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arket Research" sheetId="3" state="visible" r:id="rId5"/>
    <sheet name="Input&gt;&gt;" sheetId="4" state="visible" r:id="rId6"/>
    <sheet name="Assumption Setting" sheetId="5" state="visible" r:id="rId7"/>
    <sheet name="Capital Expenditure" sheetId="6" state="visible" r:id="rId8"/>
    <sheet name="Actuals" sheetId="7" state="visible" r:id="rId9"/>
    <sheet name="Process&gt;&gt;" sheetId="8" state="visible" r:id="rId10"/>
    <sheet name="Acquisitions" sheetId="9" state="visible" r:id="rId11"/>
    <sheet name="GTM Capacity and Timing" sheetId="10" state="visible" r:id="rId12"/>
    <sheet name="Revenue Streams" sheetId="11" state="visible" r:id="rId13"/>
    <sheet name="Total Revenue" sheetId="12" state="visible" r:id="rId14"/>
    <sheet name="Payroll" sheetId="13" state="visible" r:id="rId15"/>
    <sheet name="Depreciation and Amortization" sheetId="14" state="visible" r:id="rId16"/>
    <sheet name="Expenses" sheetId="15" state="visible" r:id="rId17"/>
    <sheet name="Output&gt;&gt;" sheetId="16" state="visible" r:id="rId18"/>
    <sheet name="Income Statement" sheetId="17" state="visible" r:id="rId19"/>
    <sheet name="Balance Sheet" sheetId="18" state="visible" r:id="rId20"/>
    <sheet name="Cash Flow Statement" sheetId="19" state="visible" r:id="rId21"/>
    <sheet name="Financial Indicators" sheetId="20" state="visible" r:id="rId22"/>
    <sheet name="Analysis&gt;&gt;" sheetId="21" state="visible" r:id="rId23"/>
    <sheet name="BEP Analysis" sheetId="22" state="visible" r:id="rId24"/>
    <sheet name="PB Analysis" sheetId="23" state="visible" r:id="rId25"/>
    <sheet name="Sensitivity" sheetId="24" state="visible" r:id="rId26"/>
    <sheet name="Stress Test" sheetId="25" state="visible" r:id="rId27"/>
    <sheet name="Exit Angel and VC"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<sst xmlns="http://schemas.openxmlformats.org/spreadsheetml/2006/main" count="3767" uniqueCount="1108">
  <si>
    <t xml:space="preserve">StartPad</t>
  </si>
  <si>
    <t xml:space="preserve">Operational Financial Model</t>
  </si>
  <si>
    <t xml:space="preserve">ABOUT THIS MODEL</t>
  </si>
  <si>
    <t xml:space="preserve">Business name</t>
  </si>
  <si>
    <t xml:space="preserve">Industry</t>
  </si>
  <si>
    <t xml:space="preserve">Entrepreneurship education and venture building</t>
  </si>
  <si>
    <t xml:space="preserve">Markets</t>
  </si>
  <si>
    <t xml:space="preserve">Egypt and Saudi Arabia</t>
  </si>
  <si>
    <t xml:space="preserve">Model currency</t>
  </si>
  <si>
    <t xml:space="preserve">USD</t>
  </si>
  <si>
    <t xml:space="preserve">Model start</t>
  </si>
  <si>
    <t xml:space="preserve">date</t>
  </si>
  <si>
    <t xml:space="preserve">October 2026</t>
  </si>
  <si>
    <t xml:space="preserve">Months in a period</t>
  </si>
  <si>
    <t xml:space="preserve">months</t>
  </si>
  <si>
    <t xml:space="preserve">Forecast period</t>
  </si>
  <si>
    <t xml:space="preserve">years</t>
  </si>
  <si>
    <t xml:space="preserve">Total months modelled</t>
  </si>
  <si>
    <t xml:space="preserve">HOW TO READ IT</t>
  </si>
  <si>
    <t xml:space="preserve">Blue figures on a yellow fill are typed inputs. Change those and the whole model moves.</t>
  </si>
  <si>
    <t xml:space="preserve">Black figures are formulas on the same sheet. Green figures are links to another sheet.</t>
  </si>
  <si>
    <t xml:space="preserve">Red figures are checks. The balance sheet check must read nil in every column.</t>
  </si>
  <si>
    <t xml:space="preserve">On every time sheet the year total comes first, then that year's twelve months.</t>
  </si>
  <si>
    <t xml:space="preserve">Volume comes from the twenty quarter plan on the assumption sheet, split into months by the phasing weights.</t>
  </si>
  <si>
    <t xml:space="preserve">CONTENTS</t>
  </si>
  <si>
    <t xml:space="preserve">   Cover</t>
  </si>
  <si>
    <t xml:space="preserve">This page: what the model is and how to read it</t>
  </si>
  <si>
    <t xml:space="preserve">   Summary</t>
  </si>
  <si>
    <t xml:space="preserve">The whole model on one page, with charts</t>
  </si>
  <si>
    <t xml:space="preserve">   Market Research</t>
  </si>
  <si>
    <t xml:space="preserve">Signed institutions and the named programmes</t>
  </si>
  <si>
    <t xml:space="preserve">Input</t>
  </si>
  <si>
    <t xml:space="preserve">Everything typed is here and nowhere else</t>
  </si>
  <si>
    <t xml:space="preserve">   Assumption Setting</t>
  </si>
  <si>
    <t xml:space="preserve">Basis, traction, the twenty quarter volume plan from Q4 2026, pricing, both funnels, who runs the activity, cost, revenue share, working capital, funding, assets</t>
  </si>
  <si>
    <t xml:space="preserve">   Capital Expenditure</t>
  </si>
  <si>
    <t xml:space="preserve">Assets driven by new hires, plus shared and intangible assets</t>
  </si>
  <si>
    <t xml:space="preserve">   Actuals</t>
  </si>
  <si>
    <t xml:space="preserve">The opening position and a grid to record each month</t>
  </si>
  <si>
    <t xml:space="preserve">Process</t>
  </si>
  <si>
    <t xml:space="preserve">Where the inputs become the model</t>
  </si>
  <si>
    <t xml:space="preserve">   Acquisitions</t>
  </si>
  <si>
    <t xml:space="preserve">Both funnels, sixty months</t>
  </si>
  <si>
    <t xml:space="preserve">   GTM Capacity and Timing</t>
  </si>
  <si>
    <t xml:space="preserve">Who runs the activity, whether there are enough of them, and how long a deal takes to become a delivery day</t>
  </si>
  <si>
    <t xml:space="preserve">   Revenue Streams</t>
  </si>
  <si>
    <t xml:space="preserve">Fourteen lines across eight engines</t>
  </si>
  <si>
    <t xml:space="preserve">   Total Revenue</t>
  </si>
  <si>
    <t xml:space="preserve">Gathered into four families</t>
  </si>
  <si>
    <t xml:space="preserve">   Payroll</t>
  </si>
  <si>
    <t xml:space="preserve">Eighteen roles, monthly, capped at 4, 7, 12, 16 and 20</t>
  </si>
  <si>
    <t xml:space="preserve">   Depreciation and Amortization</t>
  </si>
  <si>
    <t xml:space="preserve">Straight line by asset class</t>
  </si>
  <si>
    <t xml:space="preserve">   Expenses</t>
  </si>
  <si>
    <t xml:space="preserve">Direct cost, revenue share to three parties, operating cost, and the year one ceiling</t>
  </si>
  <si>
    <t xml:space="preserve">Output</t>
  </si>
  <si>
    <t xml:space="preserve">The three statements</t>
  </si>
  <si>
    <t xml:space="preserve">   Income Statement</t>
  </si>
  <si>
    <t xml:space="preserve">Five years to 30 September</t>
  </si>
  <si>
    <t xml:space="preserve">   Balance Sheet</t>
  </si>
  <si>
    <t xml:space="preserve">Five years, with the balance check</t>
  </si>
  <si>
    <t xml:space="preserve">   Cash Flow Statement</t>
  </si>
  <si>
    <t xml:space="preserve">Monthly working and the annual statement</t>
  </si>
  <si>
    <t xml:space="preserve">   Financial Indicators</t>
  </si>
  <si>
    <t xml:space="preserve">Growth, profitability, unit economics, cash</t>
  </si>
  <si>
    <t xml:space="preserve">Analysis</t>
  </si>
  <si>
    <t xml:space="preserve">What the model is tested against</t>
  </si>
  <si>
    <t xml:space="preserve">   BEP Analysis</t>
  </si>
  <si>
    <t xml:space="preserve">Break even revenue and the month it turns</t>
  </si>
  <si>
    <t xml:space="preserve">   PB Analysis</t>
  </si>
  <si>
    <t xml:space="preserve">When the capital comes back, base and flexed</t>
  </si>
  <si>
    <t xml:space="preserve">   Sensitivity</t>
  </si>
  <si>
    <t xml:space="preserve">Three two way grids on the year five result</t>
  </si>
  <si>
    <t xml:space="preserve">   Stress Test</t>
  </si>
  <si>
    <t xml:space="preserve">Four scenarios on volume, price, cost and collection</t>
  </si>
  <si>
    <t xml:space="preserve">   Exit Angel and VC</t>
  </si>
  <si>
    <t xml:space="preserve">Angel and venture returns, and the routes out</t>
  </si>
  <si>
    <t xml:space="preserve">Summary</t>
  </si>
  <si>
    <t xml:space="preserve">The whole model on one page. Every figure is a link, nothing here is typed.</t>
  </si>
  <si>
    <t xml:space="preserve">HEADLINES</t>
  </si>
  <si>
    <t xml:space="preserve">Year 1</t>
  </si>
  <si>
    <t xml:space="preserve">Year 2</t>
  </si>
  <si>
    <t xml:space="preserve">Year 3</t>
  </si>
  <si>
    <t xml:space="preserve">Year 4</t>
  </si>
  <si>
    <t xml:space="preserve">Year 5</t>
  </si>
  <si>
    <t xml:space="preserve">Total revenue</t>
  </si>
  <si>
    <t xml:space="preserve">Gross profit</t>
  </si>
  <si>
    <t xml:space="preserve">EBITDA</t>
  </si>
  <si>
    <t xml:space="preserve">Net profit</t>
  </si>
  <si>
    <t xml:space="preserve">Total expenses, direct and operating</t>
  </si>
  <si>
    <t xml:space="preserve">Cash at year end</t>
  </si>
  <si>
    <t xml:space="preserve">Lowest cash balance in the year</t>
  </si>
  <si>
    <t xml:space="preserve">Employees at year end</t>
  </si>
  <si>
    <t xml:space="preserve">Cohorts delivered</t>
  </si>
  <si>
    <t xml:space="preserve">New registered accounts</t>
  </si>
  <si>
    <t xml:space="preserve">Active paid accounts at year end</t>
  </si>
  <si>
    <t xml:space="preserve">THE TWO CHECKS THAT MATTER</t>
  </si>
  <si>
    <t xml:space="preserve">Year one expenses against the 150,000 ceiling</t>
  </si>
  <si>
    <t xml:space="preserve">headroom must be positive</t>
  </si>
  <si>
    <t xml:space="preserve">Balance sheet check</t>
  </si>
  <si>
    <t xml:space="preserve">nil in every column</t>
  </si>
  <si>
    <t xml:space="preserve">WHAT THIS MODEL OPENS ON</t>
  </si>
  <si>
    <t xml:space="preserve">Registered users on the platform</t>
  </si>
  <si>
    <t xml:space="preserve">already signed up, before any paid cohort</t>
  </si>
  <si>
    <t xml:space="preserve">Paying subscribers</t>
  </si>
  <si>
    <t xml:space="preserve">the honest starting point for the direct engine</t>
  </si>
  <si>
    <t xml:space="preserve">Live competition participants</t>
  </si>
  <si>
    <t xml:space="preserve">the competition running now</t>
  </si>
  <si>
    <t xml:space="preserve">Prize money committed on the live competition</t>
  </si>
  <si>
    <t xml:space="preserve">converted to dollars at the rate above</t>
  </si>
  <si>
    <t xml:space="preserve">University memoranda signed</t>
  </si>
  <si>
    <t xml:space="preserve">MSA, Coventry Egypt, CIC, ESLSCA and Zewail</t>
  </si>
  <si>
    <t xml:space="preserve">Partnerships at heads of terms</t>
  </si>
  <si>
    <t xml:space="preserve">Enactus Egypt, close but not signed</t>
  </si>
  <si>
    <t xml:space="preserve">Opening cash</t>
  </si>
  <si>
    <t xml:space="preserve">founder capital already contributed</t>
  </si>
  <si>
    <t xml:space="preserve">Market Research</t>
  </si>
  <si>
    <t xml:space="preserve">Where the demand already exists. These are named targets, not signed partners, except the five memoranda, which are signed.</t>
  </si>
  <si>
    <t xml:space="preserve">SIGNED AND NEAR SIGNED</t>
  </si>
  <si>
    <t xml:space="preserve">Institution</t>
  </si>
  <si>
    <t xml:space="preserve">Status</t>
  </si>
  <si>
    <t xml:space="preserve">Detail</t>
  </si>
  <si>
    <t xml:space="preserve">Cohorts planned in year one</t>
  </si>
  <si>
    <t xml:space="preserve">MSA University</t>
  </si>
  <si>
    <t xml:space="preserve">Egypt, signed</t>
  </si>
  <si>
    <t xml:space="preserve">October University for Modern Sciences and Arts</t>
  </si>
  <si>
    <t xml:space="preserve">Coventry University Egypt</t>
  </si>
  <si>
    <t xml:space="preserve">Coventry's Egypt branch campus</t>
  </si>
  <si>
    <t xml:space="preserve">Canadian International College (CIC)</t>
  </si>
  <si>
    <t xml:space="preserve">New Cairo and Sheikh Zayed campuses</t>
  </si>
  <si>
    <t xml:space="preserve">ESLSCA University Egypt</t>
  </si>
  <si>
    <t xml:space="preserve">French business school, Cairo campus</t>
  </si>
  <si>
    <t xml:space="preserve">Zewail Academy</t>
  </si>
  <si>
    <t xml:space="preserve">Zewail City of Science and Technology</t>
  </si>
  <si>
    <t xml:space="preserve">Enactus Egypt</t>
  </si>
  <si>
    <t xml:space="preserve">Egypt, heads of terms</t>
  </si>
  <si>
    <t xml:space="preserve">National competition, 30-35 finalist university teams</t>
  </si>
  <si>
    <t xml:space="preserve">NAMED PROGRAMMES THE ENGINES ATTACH TO</t>
  </si>
  <si>
    <t xml:space="preserve">Programme</t>
  </si>
  <si>
    <t xml:space="preserve">Market</t>
  </si>
  <si>
    <t xml:space="preserve">What it already runs</t>
  </si>
  <si>
    <t xml:space="preserve">Cadence</t>
  </si>
  <si>
    <t xml:space="preserve">What StartPad supplies</t>
  </si>
  <si>
    <t xml:space="preserve">Rowad 2030, One Million Entrepreneurs</t>
  </si>
  <si>
    <t xml:space="preserve">Egypt</t>
  </si>
  <si>
    <t xml:space="preserve">Ministry of Planning. A three stage online curriculum with the Rowad Meter platform; universities including Alexandria fund seats.</t>
  </si>
  <si>
    <t xml:space="preserve">Running to 2030</t>
  </si>
  <si>
    <t xml:space="preserve">Seats, then trainer certification</t>
  </si>
  <si>
    <t xml:space="preserve">MSMEDA governorate programme</t>
  </si>
  <si>
    <t xml:space="preserve">Service centres across the governorates.</t>
  </si>
  <si>
    <t xml:space="preserve">Continuous</t>
  </si>
  <si>
    <t xml:space="preserve">Seats and certification</t>
  </si>
  <si>
    <t xml:space="preserve">Central Bank of Egypt, FinYology</t>
  </si>
  <si>
    <t xml:space="preserve">More than thirty universities; FinTech Got Talent is its showcase.</t>
  </si>
  <si>
    <t xml:space="preserve">Annual, academic year</t>
  </si>
  <si>
    <t xml:space="preserve">Build cohorts, then the season</t>
  </si>
  <si>
    <t xml:space="preserve">Enactus Egypt National Competition</t>
  </si>
  <si>
    <t xml:space="preserve">Thirty to thirty five university teams in the national final. Orange Egypt has sponsored it for seventeen years.</t>
  </si>
  <si>
    <t xml:space="preserve">Annual season, 4 to 5 months</t>
  </si>
  <si>
    <t xml:space="preserve">Platform and build cohorts</t>
  </si>
  <si>
    <t xml:space="preserve">INJAZ Egypt, Company Program</t>
  </si>
  <si>
    <t xml:space="preserve">Egypt and the Arab region</t>
  </si>
  <si>
    <t xml:space="preserve">A six month student venture programme with school and university tracks, feeding INJAZ Al Arab.</t>
  </si>
  <si>
    <t xml:space="preserve">6 months per cycle</t>
  </si>
  <si>
    <t xml:space="preserve">Delivery partner licence</t>
  </si>
  <si>
    <t xml:space="preserve">Startup Teen, iSchool</t>
  </si>
  <si>
    <t xml:space="preserve">Ages 13 to 18. First edition drew 800 students from 40 schools.</t>
  </si>
  <si>
    <t xml:space="preserve">Annual season</t>
  </si>
  <si>
    <t xml:space="preserve">School variant training track</t>
  </si>
  <si>
    <t xml:space="preserve">Egypt Entrepreneurship Rally</t>
  </si>
  <si>
    <t xml:space="preserve">Run with AASTMT, sponsored by the National Bank of Egypt since 2019.</t>
  </si>
  <si>
    <t xml:space="preserve">Annual</t>
  </si>
  <si>
    <t xml:space="preserve">Platform and the sponsor's report</t>
  </si>
  <si>
    <t xml:space="preserve">Rowad Domiat</t>
  </si>
  <si>
    <t xml:space="preserve">Run by the ILO with ICSB, backed by Methanex Egypt, on the ILO Start and Improve Your Business methodology.</t>
  </si>
  <si>
    <t xml:space="preserve">Platform and the ILO mapping</t>
  </si>
  <si>
    <t xml:space="preserve">Monsha'at Academy</t>
  </si>
  <si>
    <t xml:space="preserve">KSA</t>
  </si>
  <si>
    <t xml:space="preserve">More than two hundred training events, with no build stage after them.</t>
  </si>
  <si>
    <t xml:space="preserve">Continuous catalogue</t>
  </si>
  <si>
    <t xml:space="preserve">Capstone cohorts, then seats</t>
  </si>
  <si>
    <t xml:space="preserve">Misk Foundation and the MISK SDG competition</t>
  </si>
  <si>
    <t xml:space="preserve">Youth education and entrepreneurship since 2011; the SDG competition runs with UNDP.</t>
  </si>
  <si>
    <t xml:space="preserve">Cohorts, platform, programmes</t>
  </si>
  <si>
    <t xml:space="preserve">TVTC</t>
  </si>
  <si>
    <t xml:space="preserve">336,150 trainees across 314 institutions in 2024, under a Vision 2030 mandate.</t>
  </si>
  <si>
    <t xml:space="preserve">Academic year</t>
  </si>
  <si>
    <t xml:space="preserve">Trainer certification at scale</t>
  </si>
  <si>
    <t xml:space="preserve">Hadaf and the Social Development Bank</t>
  </si>
  <si>
    <t xml:space="preserve">Subsidised training and finance with per beneficiary funding in place.</t>
  </si>
  <si>
    <t xml:space="preserve">Seat rider as a screening instrument</t>
  </si>
  <si>
    <t xml:space="preserve">No revenue in this model is attributed to any one of these. They are listed so the demand can be checked rather than taken on trust.</t>
  </si>
  <si>
    <t xml:space="preserve">Assumption Setting</t>
  </si>
  <si>
    <t xml:space="preserve">Capital Expenditure</t>
  </si>
  <si>
    <t xml:space="preserve">Actuals</t>
  </si>
  <si>
    <t xml:space="preserve">Every typed number in the model. Blue on yellow is an input. Nothing on any other sheet is typed.</t>
  </si>
  <si>
    <t xml:space="preserve">1. MODEL BASIS</t>
  </si>
  <si>
    <t xml:space="preserve">Reporting currency</t>
  </si>
  <si>
    <t xml:space="preserve">First calendar month of the model</t>
  </si>
  <si>
    <t xml:space="preserve">month one. Every month and quarter label in the workbook counts from here, so quarter one is Q4 2026</t>
  </si>
  <si>
    <t xml:space="preserve">Egyptian pounds to the dollar</t>
  </si>
  <si>
    <t xml:space="preserve">EGP</t>
  </si>
  <si>
    <t xml:space="preserve">used only to convert the prize money already committed</t>
  </si>
  <si>
    <t xml:space="preserve">Corporate income tax rate</t>
  </si>
  <si>
    <t xml:space="preserve">%</t>
  </si>
  <si>
    <t xml:space="preserve">Egyptian corporate income tax</t>
  </si>
  <si>
    <t xml:space="preserve">Month of the following year in which tax is paid</t>
  </si>
  <si>
    <t xml:space="preserve">#</t>
  </si>
  <si>
    <t xml:space="preserve">2. WHAT IS ALREADY TRUE, THE OPENING POSITION</t>
  </si>
  <si>
    <t xml:space="preserve">These are not forecasts. They are the position the model opens on: five signed university memoranda, a competition running now, and the users already on the platform.</t>
  </si>
  <si>
    <t xml:space="preserve">Prize money already committed, in dollars</t>
  </si>
  <si>
    <t xml:space="preserve">Signed and near signed institutions</t>
  </si>
  <si>
    <t xml:space="preserve">Total cohorts these can absorb in year one</t>
  </si>
  <si>
    <t xml:space="preserve">3. VOLUME PLAN, BY QUARTER, STARTING Q4 2026</t>
  </si>
  <si>
    <t xml:space="preserve">Twenty quarters, the first of them October to December 2026. Activity starts in month one in every channel. Volume does not, because a deal takes as long to close as its complexity says it does: the two columns on the right name the activity that produces each line and what sets the quarter it can first appear in. The sheet named GTM Capacity and Timing turns both into arithmetic.</t>
  </si>
  <si>
    <t xml:space="preserve">Driver</t>
  </si>
  <si>
    <t xml:space="preserve">Unit</t>
  </si>
  <si>
    <t xml:space="preserve">Q4 2026
Y1 Q1</t>
  </si>
  <si>
    <t xml:space="preserve">Q1 2027
Y1 Q2</t>
  </si>
  <si>
    <t xml:space="preserve">Q2 2027
Y1 Q3</t>
  </si>
  <si>
    <t xml:space="preserve">Q3 2027
Y1 Q4</t>
  </si>
  <si>
    <t xml:space="preserve">Q4 2027
Y2 Q1</t>
  </si>
  <si>
    <t xml:space="preserve">Q1 2028
Y2 Q2</t>
  </si>
  <si>
    <t xml:space="preserve">Q2 2028
Y2 Q3</t>
  </si>
  <si>
    <t xml:space="preserve">Q3 2028
Y2 Q4</t>
  </si>
  <si>
    <t xml:space="preserve">Q4 2028
Y3 Q1</t>
  </si>
  <si>
    <t xml:space="preserve">Q1 2029
Y3 Q2</t>
  </si>
  <si>
    <t xml:space="preserve">Q2 2029
Y3 Q3</t>
  </si>
  <si>
    <t xml:space="preserve">Q3 2029
Y3 Q4</t>
  </si>
  <si>
    <t xml:space="preserve">Q4 2029
Y4 Q1</t>
  </si>
  <si>
    <t xml:space="preserve">Q1 2030
Y4 Q2</t>
  </si>
  <si>
    <t xml:space="preserve">Q2 2030
Y4 Q3</t>
  </si>
  <si>
    <t xml:space="preserve">Q3 2030
Y4 Q4</t>
  </si>
  <si>
    <t xml:space="preserve">Q4 2030
Y5 Q1</t>
  </si>
  <si>
    <t xml:space="preserve">Q1 2031
Y5 Q2</t>
  </si>
  <si>
    <t xml:space="preserve">Q2 2031
Y5 Q3</t>
  </si>
  <si>
    <t xml:space="preserve">Q3 2031
Y5 Q4</t>
  </si>
  <si>
    <t xml:space="preserve">What produces this volume</t>
  </si>
  <si>
    <t xml:space="preserve">What sets the quarter it can first appear in</t>
  </si>
  <si>
    <t xml:space="preserve">University cohorts, Egypt, paid</t>
  </si>
  <si>
    <t xml:space="preserve">cohorts</t>
  </si>
  <si>
    <t xml:space="preserve">Campus workshops and direct outreach, closing into the five signed memoranda first</t>
  </si>
  <si>
    <t xml:space="preserve">Q4 2026 volume is the signed memoranda, not a new win: a cold university signs in month 5 and delivers in month 7</t>
  </si>
  <si>
    <t xml:space="preserve">University cohorts, Saudi Arabia, paid</t>
  </si>
  <si>
    <t xml:space="preserve">Direct outreach and events, once the Riyadh country manager starts in month 25</t>
  </si>
  <si>
    <t xml:space="preserve">held to year two, no presence in market before it</t>
  </si>
  <si>
    <t xml:space="preserve">University pilot cohorts, unpaid</t>
  </si>
  <si>
    <t xml:space="preserve">Campus workshops converted to a free first cohort</t>
  </si>
  <si>
    <t xml:space="preserve">the proof that buys the paid cohorts behind it</t>
  </si>
  <si>
    <t xml:space="preserve">Faculty licences sold</t>
  </si>
  <si>
    <t xml:space="preserve">licences</t>
  </si>
  <si>
    <t xml:space="preserve">Account expansion after two delivered cohorts at the same faculty</t>
  </si>
  <si>
    <t xml:space="preserve">cannot precede two delivered cohorts, so year two</t>
  </si>
  <si>
    <t xml:space="preserve">School cohorts</t>
  </si>
  <si>
    <t xml:space="preserve">Direct outreach to school groups and ministry lists</t>
  </si>
  <si>
    <t xml:space="preserve">gated to year two by safeguarding clearance, parental consent and the school variant of the curriculum</t>
  </si>
  <si>
    <t xml:space="preserve">School licences sold</t>
  </si>
  <si>
    <t xml:space="preserve">Expansion inside a school group already delivered to</t>
  </si>
  <si>
    <t xml:space="preserve">follows delivered school cohorts</t>
  </si>
  <si>
    <t xml:space="preserve">Technical and vocational cohorts</t>
  </si>
  <si>
    <t xml:space="preserve">Partner sessions and direct outreach to technical institutes</t>
  </si>
  <si>
    <t xml:space="preserve">follows the schools curriculum build</t>
  </si>
  <si>
    <t xml:space="preserve">National initiative seats</t>
  </si>
  <si>
    <t xml:space="preserve">seats</t>
  </si>
  <si>
    <t xml:space="preserve">Direct outreach and events into ministries and national programme offices</t>
  </si>
  <si>
    <t xml:space="preserve">eleven month cycle plus three months mobilisation, so a conversation opened in month 1 provisions seats in month 14 at the earliest</t>
  </si>
  <si>
    <t xml:space="preserve">Train the trainer cohorts</t>
  </si>
  <si>
    <t xml:space="preserve">Attached to every national initiative and NGO programme sold</t>
  </si>
  <si>
    <t xml:space="preserve">follows the initiative that needs trainers</t>
  </si>
  <si>
    <t xml:space="preserve">NGO and donor programmes</t>
  </si>
  <si>
    <t xml:space="preserve">programmes</t>
  </si>
  <si>
    <t xml:space="preserve">Events, direct outreach and the donor pipeline</t>
  </si>
  <si>
    <t xml:space="preserve">twelve month cycle plus a three month inception phase</t>
  </si>
  <si>
    <t xml:space="preserve">Competitions, self funded, the one running now</t>
  </si>
  <si>
    <t xml:space="preserve">competitions</t>
  </si>
  <si>
    <t xml:space="preserve">Already running, StartPad pays the prizes</t>
  </si>
  <si>
    <t xml:space="preserve">live now, counted as the proof investment it is</t>
  </si>
  <si>
    <t xml:space="preserve">Competitions, sponsored</t>
  </si>
  <si>
    <t xml:space="preserve">Direct outreach to sponsors, and the youth organisation channel</t>
  </si>
  <si>
    <t xml:space="preserve">four month cycle, then the season has to fit the academic calendar</t>
  </si>
  <si>
    <t xml:space="preserve">Corporate and CSR programmes</t>
  </si>
  <si>
    <t xml:space="preserve">Direct outreach and events into CSR and corporate innovation budgets</t>
  </si>
  <si>
    <t xml:space="preserve">seven month cycle plus budget release</t>
  </si>
  <si>
    <t xml:space="preserve">Mission Zero seasons carrying a sponsor</t>
  </si>
  <si>
    <t xml:space="preserve">seasons</t>
  </si>
  <si>
    <t xml:space="preserve">Sponsor outreach against a season already in production</t>
  </si>
  <si>
    <t xml:space="preserve">production capacity is three seasons a year, and year one produces one</t>
  </si>
  <si>
    <t xml:space="preserve">Programme and incubator partners active</t>
  </si>
  <si>
    <t xml:space="preserve">partners</t>
  </si>
  <si>
    <t xml:space="preserve">Partner sessions and the incubator network</t>
  </si>
  <si>
    <t xml:space="preserve">a stock, each partner carries seats every month</t>
  </si>
  <si>
    <t xml:space="preserve">Seats per programme partner</t>
  </si>
  <si>
    <t xml:space="preserve">Seats the average partner puts through</t>
  </si>
  <si>
    <t xml:space="preserve">a stock, not a flow</t>
  </si>
  <si>
    <t xml:space="preserve">Certified facilitators in the pool</t>
  </si>
  <si>
    <t xml:space="preserve">Train the trainer cohorts and the ambassador network graduating into delivery</t>
  </si>
  <si>
    <t xml:space="preserve">the pool that caps how many cohorts can be delivered at all</t>
  </si>
  <si>
    <t xml:space="preserve">Certified delivery partner organisations</t>
  </si>
  <si>
    <t xml:space="preserve">Partner enablement, certification and audit</t>
  </si>
  <si>
    <t xml:space="preserve">each one is certified before it delivers</t>
  </si>
  <si>
    <t xml:space="preserve">Monthly phasing inside a quarter</t>
  </si>
  <si>
    <t xml:space="preserve">must total 100%</t>
  </si>
  <si>
    <t xml:space="preserve">4. PRICING, BY YEAR</t>
  </si>
  <si>
    <t xml:space="preserve">University cohort, all in programme fee</t>
  </si>
  <si>
    <t xml:space="preserve">six delivery days, seats, judging and the cohort report</t>
  </si>
  <si>
    <t xml:space="preserve">Faculty licence, annual</t>
  </si>
  <si>
    <t xml:space="preserve">sold only after two delivered cohorts at the same faculty</t>
  </si>
  <si>
    <t xml:space="preserve">School cohort</t>
  </si>
  <si>
    <t xml:space="preserve">School licence, annual</t>
  </si>
  <si>
    <t xml:space="preserve">Technical and vocational cohort</t>
  </si>
  <si>
    <t xml:space="preserve">National initiative seat</t>
  </si>
  <si>
    <t xml:space="preserve">per participant, bulk provisioned</t>
  </si>
  <si>
    <t xml:space="preserve">Train the trainer cohort</t>
  </si>
  <si>
    <t xml:space="preserve">NGO or donor programme</t>
  </si>
  <si>
    <t xml:space="preserve">Sponsored competition season</t>
  </si>
  <si>
    <t xml:space="preserve">paid by the sponsor, not by the organiser</t>
  </si>
  <si>
    <t xml:space="preserve">Corporate or CSR programme</t>
  </si>
  <si>
    <t xml:space="preserve">Programme or incubator seat</t>
  </si>
  <si>
    <t xml:space="preserve">Mission Zero season sponsorship</t>
  </si>
  <si>
    <t xml:space="preserve">a named season, twelve episodes</t>
  </si>
  <si>
    <t xml:space="preserve">Subscription, Pro, annual</t>
  </si>
  <si>
    <t xml:space="preserve">Subscription, Team, annual</t>
  </si>
  <si>
    <t xml:space="preserve">Share of new subscribers taking Team</t>
  </si>
  <si>
    <t xml:space="preserve">Subscription monthly churn</t>
  </si>
  <si>
    <t xml:space="preserve">University cohort size</t>
  </si>
  <si>
    <t xml:space="preserve">School and technical cohort size</t>
  </si>
  <si>
    <t xml:space="preserve">Entrants per competition</t>
  </si>
  <si>
    <t xml:space="preserve">Participants per NGO programme</t>
  </si>
  <si>
    <t xml:space="preserve">Participants per corporate programme</t>
  </si>
  <si>
    <t xml:space="preserve">5. B2C ACQUISITION, ONLINE CHANNELS AND THE THREE STAGE FUNNEL</t>
  </si>
  <si>
    <t xml:space="preserve">Budget divided by cost per click gives paid clicks. Organic and referral traffic are then taken as a stated share of paid traffic, never assumed free. Three conversion stages follow: click to lead, lead to registered account, registered account to paid account.</t>
  </si>
  <si>
    <t xml:space="preserve">Online channel, monthly budget</t>
  </si>
  <si>
    <t xml:space="preserve">Budget Y1</t>
  </si>
  <si>
    <t xml:space="preserve">Y2</t>
  </si>
  <si>
    <t xml:space="preserve">Y3</t>
  </si>
  <si>
    <t xml:space="preserve">Y4</t>
  </si>
  <si>
    <t xml:space="preserve">Y5</t>
  </si>
  <si>
    <t xml:space="preserve">Cost per click</t>
  </si>
  <si>
    <t xml:space="preserve">Organic % of paid</t>
  </si>
  <si>
    <t xml:space="preserve">Referral % of paid</t>
  </si>
  <si>
    <t xml:space="preserve">Stage 1, click to lead</t>
  </si>
  <si>
    <t xml:space="preserve">Short video, TikTok, Instagram, Facebook</t>
  </si>
  <si>
    <t xml:space="preserve">Paid social, targeted by age, city, university</t>
  </si>
  <si>
    <t xml:space="preserve">Influencers and student creators</t>
  </si>
  <si>
    <t xml:space="preserve">Mission Zero, the founder podcast</t>
  </si>
  <si>
    <t xml:space="preserve">Webinars, live Mission 01 sessions</t>
  </si>
  <si>
    <t xml:space="preserve">SEO, content and the readiness report</t>
  </si>
  <si>
    <t xml:space="preserve">Stage 2, lead to registered account</t>
  </si>
  <si>
    <t xml:space="preserve">Stage 3, registered to paid, reached online</t>
  </si>
  <si>
    <t xml:space="preserve">Stage 3, registered to paid, reached through an institution</t>
  </si>
  <si>
    <t xml:space="preserve">a learner who sat in a cohort converts far better than a click</t>
  </si>
  <si>
    <t xml:space="preserve">6. INSTITUTIONAL ACQUISITION, OFFLINE ACTIVITY AND LEADS</t>
  </si>
  <si>
    <t xml:space="preserve">Offline channel</t>
  </si>
  <si>
    <t xml:space="preserve">Activities per month Y1</t>
  </si>
  <si>
    <t xml:space="preserve">Cost per activity</t>
  </si>
  <si>
    <t xml:space="preserve">Free sign ups per activity</t>
  </si>
  <si>
    <t xml:space="preserve">Institutional leads per activity</t>
  </si>
  <si>
    <t xml:space="preserve">Campus workshops</t>
  </si>
  <si>
    <t xml:space="preserve">Mission 01 finished live in an hour</t>
  </si>
  <si>
    <t xml:space="preserve">Ambassador campus activity</t>
  </si>
  <si>
    <t xml:space="preserve">run by the stipended ambassador network</t>
  </si>
  <si>
    <t xml:space="preserve">Events, fairs and conferences</t>
  </si>
  <si>
    <t xml:space="preserve">judged on meetings booked, not stand traffic</t>
  </si>
  <si>
    <t xml:space="preserve">Partner sessions inside somebody else's cohort</t>
  </si>
  <si>
    <t xml:space="preserve">Direct outreach by the heads</t>
  </si>
  <si>
    <t xml:space="preserve">their own prospecting, the cost sits in payroll</t>
  </si>
  <si>
    <t xml:space="preserve">Institutional enquiries per 1,000 accounts reached directly</t>
  </si>
  <si>
    <t xml:space="preserve">content and the podcast working as pipeline. Counted on accounts that came through StartPad's own channels, not on learners placed on the platform by an institution</t>
  </si>
  <si>
    <t xml:space="preserve">Share of online spend serving institutional demand</t>
  </si>
  <si>
    <t xml:space="preserve">splits marketing cost between the two funnels for the cost per contract below</t>
  </si>
  <si>
    <t xml:space="preserve">Leads are then split between the five institutional buyer types, each with its own conversion and its own sales cycle. A ministry and a bank do not buy the same way and are not modelled as if they did.</t>
  </si>
  <si>
    <t xml:space="preserve">Buyer type</t>
  </si>
  <si>
    <t xml:space="preserve">Share of leads</t>
  </si>
  <si>
    <t xml:space="preserve">Lead to meeting</t>
  </si>
  <si>
    <t xml:space="preserve">Meeting to proposal</t>
  </si>
  <si>
    <t xml:space="preserve">Proposal to win</t>
  </si>
  <si>
    <t xml:space="preserve">Sales cycle, months</t>
  </si>
  <si>
    <t xml:space="preserve">Mobilisation, signature to first delivery</t>
  </si>
  <si>
    <t xml:space="preserve">Institutions, universities and schools</t>
  </si>
  <si>
    <t xml:space="preserve">mobilisation: the cohort waits for the next semester window</t>
  </si>
  <si>
    <t xml:space="preserve">Sponsors, banks, telcos and corporates</t>
  </si>
  <si>
    <t xml:space="preserve">mobilisation: a sponsor signs against a season already scheduled</t>
  </si>
  <si>
    <t xml:space="preserve">NGOs, donors and development agencies</t>
  </si>
  <si>
    <t xml:space="preserve">mobilisation: inception phase, baselining and a steering committee</t>
  </si>
  <si>
    <t xml:space="preserve">Government and national initiatives</t>
  </si>
  <si>
    <t xml:space="preserve">mobilisation: purchase order, bulk provisioning and a pilot governorate</t>
  </si>
  <si>
    <t xml:space="preserve">CSR and corporate innovation budgets</t>
  </si>
  <si>
    <t xml:space="preserve">mobilisation: budget release and an internal nomination round</t>
  </si>
  <si>
    <t xml:space="preserve">Win rate uplift as references accumulate</t>
  </si>
  <si>
    <t xml:space="preserve">x</t>
  </si>
  <si>
    <t xml:space="preserve">applied to the proposal to win stage only. A dean who has read two cohort reports from a neighbouring faculty is a different conversation from a cold one, and this is where that shows up</t>
  </si>
  <si>
    <t xml:space="preserve">Deliveries per signed contract</t>
  </si>
  <si>
    <t xml:space="preserve">five memoranda already cover year one, so year one is the highest</t>
  </si>
  <si>
    <t xml:space="preserve">7. WHO RUNS THE ACTIVITY, AND HOW MUCH OF IT ONE PERSON CAN RUN</t>
  </si>
  <si>
    <t xml:space="preserve">The activity plan above is only credible if somebody is free to do it. Each activity names the function that owns it and how many one person can run in a month. In year one the owning functions are largely empty, which is why the founder column matters: the first commercial hire starts in month 13, so until then the founders carry the bag. The sheet named GTM Capacity and Timing does the arithmetic month by month and fails loudly if the plan asks for more activity than the establishment can run.</t>
  </si>
  <si>
    <t xml:space="preserve">Activity</t>
  </si>
  <si>
    <t xml:space="preserve">Owned by</t>
  </si>
  <si>
    <t xml:space="preserve">Per person in the owning function</t>
  </si>
  <si>
    <t xml:space="preserve">Per founder</t>
  </si>
  <si>
    <t xml:space="preserve">Per ambassador</t>
  </si>
  <si>
    <t xml:space="preserve">Per certified partner organisation</t>
  </si>
  <si>
    <t xml:space="preserve">Curriculum and Delivery</t>
  </si>
  <si>
    <t xml:space="preserve">activities one person can run in a month</t>
  </si>
  <si>
    <t xml:space="preserve">Growth and Content</t>
  </si>
  <si>
    <t xml:space="preserve">Institutional Partnerships</t>
  </si>
  <si>
    <t xml:space="preserve">Meetings per commercial head per month</t>
  </si>
  <si>
    <t xml:space="preserve">a prepared meeting with a dean, a desk officer or a sponsorship lead, followed up, not a corridor conversation</t>
  </si>
  <si>
    <t xml:space="preserve">Meetings per founder per month</t>
  </si>
  <si>
    <t xml:space="preserve">on top of running the company</t>
  </si>
  <si>
    <t xml:space="preserve">Meetings per growth and content head per month</t>
  </si>
  <si>
    <t xml:space="preserve">Delivery days one certified facilitator gives per month</t>
  </si>
  <si>
    <t xml:space="preserve">days</t>
  </si>
  <si>
    <t xml:space="preserve">a freelancer with other work. This is what caps the cohort plan</t>
  </si>
  <si>
    <t xml:space="preserve">8. DIRECT COST OF DELIVERY</t>
  </si>
  <si>
    <t xml:space="preserve">Facilitator day rate</t>
  </si>
  <si>
    <t xml:space="preserve">certified freelancers, there are no employed facilitators</t>
  </si>
  <si>
    <t xml:space="preserve">Facilitators per cohort</t>
  </si>
  <si>
    <t xml:space="preserve">Delivery days, university cohort</t>
  </si>
  <si>
    <t xml:space="preserve">Delivery days, school cohort</t>
  </si>
  <si>
    <t xml:space="preserve">Delivery days, technical cohort</t>
  </si>
  <si>
    <t xml:space="preserve">Materials and showcase, university cohort</t>
  </si>
  <si>
    <t xml:space="preserve">Materials and showcase, school cohort</t>
  </si>
  <si>
    <t xml:space="preserve">Materials and showcase, technical cohort</t>
  </si>
  <si>
    <t xml:space="preserve">Delivery cost, sponsored competition</t>
  </si>
  <si>
    <t xml:space="preserve">Delivery cost, the self funded competition, excluding prizes</t>
  </si>
  <si>
    <t xml:space="preserve">the prizes already committed are added separately</t>
  </si>
  <si>
    <t xml:space="preserve">Production cost, one Mission Zero season</t>
  </si>
  <si>
    <t xml:space="preserve">a freelance two person crew, three recording blocks a year</t>
  </si>
  <si>
    <t xml:space="preserve">Mission Zero seasons produced per year</t>
  </si>
  <si>
    <t xml:space="preserve">year one produces one, and that one carries the sponsor</t>
  </si>
  <si>
    <t xml:space="preserve">Delivery cost, NGO or donor programme</t>
  </si>
  <si>
    <t xml:space="preserve">Delivery cost, corporate programme</t>
  </si>
  <si>
    <t xml:space="preserve">Delivery cost, train the trainer cohort</t>
  </si>
  <si>
    <t xml:space="preserve">Support cost per national initiative seat</t>
  </si>
  <si>
    <t xml:space="preserve">provisioning, a bilingual support queue and partner reporting</t>
  </si>
  <si>
    <t xml:space="preserve">Support cost per programme seat</t>
  </si>
  <si>
    <t xml:space="preserve">Hosting and inference per paid subscriber per month</t>
  </si>
  <si>
    <t xml:space="preserve">9. REVENUE SHARING WITH THIRD PARTIES</t>
  </si>
  <si>
    <t xml:space="preserve">Three counterparties take a share. Each is margin given up to buy delivery capacity, distribution or access that would otherwise have to be hired for.</t>
  </si>
  <si>
    <t xml:space="preserve">Party 1, share of cohorts delivered by certified partners</t>
  </si>
  <si>
    <t xml:space="preserve">Party 1, the partner's share of that cohort fee</t>
  </si>
  <si>
    <t xml:space="preserve">they deliver, StartPad certifies and audits</t>
  </si>
  <si>
    <t xml:space="preserve">Party 2, share of sponsored competition revenue</t>
  </si>
  <si>
    <t xml:space="preserve">youth and channel organisations such as Enactus and INJAZ</t>
  </si>
  <si>
    <t xml:space="preserve">Party 2, share of programme and incubator seat revenue</t>
  </si>
  <si>
    <t xml:space="preserve">Party 3, share of national initiative seat revenue</t>
  </si>
  <si>
    <t xml:space="preserve">government aggregators and local distributors</t>
  </si>
  <si>
    <t xml:space="preserve">Party 3, payment processing on subscriptions</t>
  </si>
  <si>
    <t xml:space="preserve">10. OPERATING COST DRIVERS</t>
  </si>
  <si>
    <t xml:space="preserve">Nothing here is a flat monthly figure chosen by eye. Every line has a driver: a desk per employee, inference per active learner, travel per head on the road.</t>
  </si>
  <si>
    <t xml:space="preserve">Desk or office, per employee per month</t>
  </si>
  <si>
    <t xml:space="preserve">co working in year one, an office later</t>
  </si>
  <si>
    <t xml:space="preserve">Utilities, internet and communications, per employee per month</t>
  </si>
  <si>
    <t xml:space="preserve">Cloud, AI and third party APIs, fixed per month</t>
  </si>
  <si>
    <t xml:space="preserve">Cloud and inference, per active learner per month</t>
  </si>
  <si>
    <t xml:space="preserve">Software and tooling, per employee per month</t>
  </si>
  <si>
    <t xml:space="preserve">Travel, per employee per month</t>
  </si>
  <si>
    <t xml:space="preserve">Outsourced finance, legal and audit, per month</t>
  </si>
  <si>
    <t xml:space="preserve">bought from firms, not hired onto the establishment</t>
  </si>
  <si>
    <t xml:space="preserve">Safeguarding and compliance, per month</t>
  </si>
  <si>
    <t xml:space="preserve">Partner enablement, certification and audit, per month</t>
  </si>
  <si>
    <t xml:space="preserve">Insurance, bank charges and sundries, per month</t>
  </si>
  <si>
    <t xml:space="preserve">Campus ambassadors on a stipend</t>
  </si>
  <si>
    <t xml:space="preserve">Ambassador stipend per month</t>
  </si>
  <si>
    <t xml:space="preserve">Ambassador active months per year</t>
  </si>
  <si>
    <t xml:space="preserve">Sales commission on institutional revenue</t>
  </si>
  <si>
    <t xml:space="preserve">Contingency on operating cost</t>
  </si>
  <si>
    <t xml:space="preserve">11. WORKING CAPITAL, FUNDING AND THE YEAR ONE CEILING</t>
  </si>
  <si>
    <t xml:space="preserve">Days sales outstanding, institutional</t>
  </si>
  <si>
    <t xml:space="preserve">universities and ministries pay slowly, the largest cash risk here</t>
  </si>
  <si>
    <t xml:space="preserve">Days sales outstanding, subscriptions</t>
  </si>
  <si>
    <t xml:space="preserve">Days payable outstanding</t>
  </si>
  <si>
    <t xml:space="preserve">Accrued payroll, days outstanding</t>
  </si>
  <si>
    <t xml:space="preserve">Institutional contracts invoiced in advance</t>
  </si>
  <si>
    <t xml:space="preserve">creates deferred revenue</t>
  </si>
  <si>
    <t xml:space="preserve">Seed round raised</t>
  </si>
  <si>
    <t xml:space="preserve">sized on the cash trough below, not on a round number</t>
  </si>
  <si>
    <t xml:space="preserve">Month the seed round lands</t>
  </si>
  <si>
    <t xml:space="preserve">Minimum cash buffer to hold</t>
  </si>
  <si>
    <t xml:space="preserve">Years an institutional relationship is retained</t>
  </si>
  <si>
    <t xml:space="preserve">used for institutional lifetime value. A delivered cohort renews into a second and then into a licence</t>
  </si>
  <si>
    <t xml:space="preserve">Tax losses carried forward at inception</t>
  </si>
  <si>
    <t xml:space="preserve">none, the company has not traded</t>
  </si>
  <si>
    <t xml:space="preserve">Year one expense ceiling</t>
  </si>
  <si>
    <t xml:space="preserve">the constraint this plan was built backwards from</t>
  </si>
  <si>
    <t xml:space="preserve">12. ASSETS, DRIVEN BY HEADCOUNT</t>
  </si>
  <si>
    <t xml:space="preserve">Every new employee arrives with a kit, so asset purchases follow the hiring plan instead of being guessed at. Platform development is not capitalised: it is the engineers' salaries, and it is expensed through payroll.</t>
  </si>
  <si>
    <t xml:space="preserve">Per employee asset</t>
  </si>
  <si>
    <t xml:space="preserve">Cost per unit</t>
  </si>
  <si>
    <t xml:space="preserve">Units per new employee</t>
  </si>
  <si>
    <t xml:space="preserve">Useful life, months</t>
  </si>
  <si>
    <t xml:space="preserve">Laptop</t>
  </si>
  <si>
    <t xml:space="preserve">Monitor and peripherals</t>
  </si>
  <si>
    <t xml:space="preserve">Mobile handset and line setup</t>
  </si>
  <si>
    <t xml:space="preserve">Desk and chair</t>
  </si>
  <si>
    <t xml:space="preserve">Shared and intangible assets</t>
  </si>
  <si>
    <t xml:space="preserve">Month acquired</t>
  </si>
  <si>
    <t xml:space="preserve">Cost</t>
  </si>
  <si>
    <t xml:space="preserve">Mission Zero production kit, camera, audio, lighting</t>
  </si>
  <si>
    <t xml:space="preserve">Network, devices and security</t>
  </si>
  <si>
    <t xml:space="preserve">Trademark, IP registration and entity formation</t>
  </si>
  <si>
    <t xml:space="preserve">Riyadh office setup</t>
  </si>
  <si>
    <t xml:space="preserve">Cairo office fit out</t>
  </si>
  <si>
    <t xml:space="preserve">Per employee assets follow the hiring plan. Shared and intangible assets are dated explicitly. Platform development is not capitalised: it is salary, and it is expensed.</t>
  </si>
  <si>
    <t xml:space="preserve">ADDITIONS IN THE MONTH</t>
  </si>
  <si>
    <t xml:space="preserve">Line item</t>
  </si>
  <si>
    <t xml:space="preserve">Oct-26</t>
  </si>
  <si>
    <t xml:space="preserve">Nov-26</t>
  </si>
  <si>
    <t xml:space="preserve">Dec-26</t>
  </si>
  <si>
    <t xml:space="preserve">Jan-26</t>
  </si>
  <si>
    <t xml:space="preserve">Feb-26</t>
  </si>
  <si>
    <t xml:space="preserve">Mar-26</t>
  </si>
  <si>
    <t xml:space="preserve">Apr-26</t>
  </si>
  <si>
    <t xml:space="preserve">May-26</t>
  </si>
  <si>
    <t xml:space="preserve">Jun-26</t>
  </si>
  <si>
    <t xml:space="preserve">Jul-27</t>
  </si>
  <si>
    <t xml:space="preserve">Aug-27</t>
  </si>
  <si>
    <t xml:space="preserve">Sep-27</t>
  </si>
  <si>
    <t xml:space="preserve">Oct-27</t>
  </si>
  <si>
    <t xml:space="preserve">Nov-27</t>
  </si>
  <si>
    <t xml:space="preserve">Dec-27</t>
  </si>
  <si>
    <t xml:space="preserve">Jan-27</t>
  </si>
  <si>
    <t xml:space="preserve">Feb-27</t>
  </si>
  <si>
    <t xml:space="preserve">Mar-27</t>
  </si>
  <si>
    <t xml:space="preserve">Apr-27</t>
  </si>
  <si>
    <t xml:space="preserve">May-27</t>
  </si>
  <si>
    <t xml:space="preserve">Jun-27</t>
  </si>
  <si>
    <t xml:space="preserve">Jul-28</t>
  </si>
  <si>
    <t xml:space="preserve">Aug-28</t>
  </si>
  <si>
    <t xml:space="preserve">Sep-28</t>
  </si>
  <si>
    <t xml:space="preserve">Oct-28</t>
  </si>
  <si>
    <t xml:space="preserve">Nov-28</t>
  </si>
  <si>
    <t xml:space="preserve">Dec-28</t>
  </si>
  <si>
    <t xml:space="preserve">Jan-28</t>
  </si>
  <si>
    <t xml:space="preserve">Feb-28</t>
  </si>
  <si>
    <t xml:space="preserve">Mar-28</t>
  </si>
  <si>
    <t xml:space="preserve">Apr-28</t>
  </si>
  <si>
    <t xml:space="preserve">May-28</t>
  </si>
  <si>
    <t xml:space="preserve">Jun-28</t>
  </si>
  <si>
    <t xml:space="preserve">Jul-29</t>
  </si>
  <si>
    <t xml:space="preserve">Aug-29</t>
  </si>
  <si>
    <t xml:space="preserve">Sep-29</t>
  </si>
  <si>
    <t xml:space="preserve">Oct-29</t>
  </si>
  <si>
    <t xml:space="preserve">Nov-29</t>
  </si>
  <si>
    <t xml:space="preserve">Dec-29</t>
  </si>
  <si>
    <t xml:space="preserve">Jan-29</t>
  </si>
  <si>
    <t xml:space="preserve">Feb-29</t>
  </si>
  <si>
    <t xml:space="preserve">Mar-29</t>
  </si>
  <si>
    <t xml:space="preserve">Apr-29</t>
  </si>
  <si>
    <t xml:space="preserve">May-29</t>
  </si>
  <si>
    <t xml:space="preserve">Jun-29</t>
  </si>
  <si>
    <t xml:space="preserve">Jul-30</t>
  </si>
  <si>
    <t xml:space="preserve">Aug-30</t>
  </si>
  <si>
    <t xml:space="preserve">Sep-30</t>
  </si>
  <si>
    <t xml:space="preserve">Oct-30</t>
  </si>
  <si>
    <t xml:space="preserve">Nov-30</t>
  </si>
  <si>
    <t xml:space="preserve">Dec-30</t>
  </si>
  <si>
    <t xml:space="preserve">Jan-30</t>
  </si>
  <si>
    <t xml:space="preserve">Feb-30</t>
  </si>
  <si>
    <t xml:space="preserve">Mar-30</t>
  </si>
  <si>
    <t xml:space="preserve">Apr-30</t>
  </si>
  <si>
    <t xml:space="preserve">May-30</t>
  </si>
  <si>
    <t xml:space="preserve">Jun-30</t>
  </si>
  <si>
    <t xml:space="preserve">Jul-31</t>
  </si>
  <si>
    <t xml:space="preserve">Aug-31</t>
  </si>
  <si>
    <t xml:space="preserve">Sep-31</t>
  </si>
  <si>
    <t xml:space="preserve">Total capital expenditure</t>
  </si>
  <si>
    <t xml:space="preserve">GROSS COST, CUMULATIVE</t>
  </si>
  <si>
    <t xml:space="preserve">Total gross assets</t>
  </si>
  <si>
    <t xml:space="preserve">The position the model opens on, and a grid to record each month as it closes so this stays an operating tool rather than a one off forecast.</t>
  </si>
  <si>
    <t xml:space="preserve">OPENING POSITION AT 30 SEPTEMBER 2026</t>
  </si>
  <si>
    <t xml:space="preserve">Cash at bank</t>
  </si>
  <si>
    <t xml:space="preserve">Trade receivables</t>
  </si>
  <si>
    <t xml:space="preserve">nothing invoiced yet</t>
  </si>
  <si>
    <t xml:space="preserve">Property and equipment, net</t>
  </si>
  <si>
    <t xml:space="preserve">nothing acquired yet</t>
  </si>
  <si>
    <t xml:space="preserve">Intangible assets, net</t>
  </si>
  <si>
    <t xml:space="preserve">capitalised from month 1</t>
  </si>
  <si>
    <t xml:space="preserve">Total opening assets</t>
  </si>
  <si>
    <t xml:space="preserve">Trade and other payables</t>
  </si>
  <si>
    <t xml:space="preserve">none at inception</t>
  </si>
  <si>
    <t xml:space="preserve">Accrued payroll</t>
  </si>
  <si>
    <t xml:space="preserve">nobody employed before month 1</t>
  </si>
  <si>
    <t xml:space="preserve">Deferred revenue</t>
  </si>
  <si>
    <t xml:space="preserve">nothing billed in advance yet</t>
  </si>
  <si>
    <t xml:space="preserve">Tax payable</t>
  </si>
  <si>
    <t xml:space="preserve">no trading, so nothing owed</t>
  </si>
  <si>
    <t xml:space="preserve">Paid in share capital</t>
  </si>
  <si>
    <t xml:space="preserve">the opening cash, recorded as equity</t>
  </si>
  <si>
    <t xml:space="preserve">Retained earnings</t>
  </si>
  <si>
    <t xml:space="preserve">no trading before month 1</t>
  </si>
  <si>
    <t xml:space="preserve">Total opening liabilities and equity</t>
  </si>
  <si>
    <t xml:space="preserve">Check, assets less liabilities and equity</t>
  </si>
  <si>
    <t xml:space="preserve">TRACTION ALREADY ACHIEVED, CARRIED INTO THE MODEL</t>
  </si>
  <si>
    <t xml:space="preserve">MONTHLY ACTUALS, ENTER AS EACH MONTH CLOSES</t>
  </si>
  <si>
    <t xml:space="preserve">Leave a month blank until it has closed. Nothing downstream reads this grid: the statements run on the forecast, and these rows exist so the variance can be read without disturbing the model.</t>
  </si>
  <si>
    <t xml:space="preserve">Revenue, actual</t>
  </si>
  <si>
    <t xml:space="preserve">Direct cost, actual</t>
  </si>
  <si>
    <t xml:space="preserve">Operating cost, actual</t>
  </si>
  <si>
    <t xml:space="preserve">Closing cash, actual</t>
  </si>
  <si>
    <t xml:space="preserve">Registered accounts, actual</t>
  </si>
  <si>
    <t xml:space="preserve">Paid accounts, actual</t>
  </si>
  <si>
    <t xml:space="preserve">VARIANCE AGAINST THE MODEL</t>
  </si>
  <si>
    <t xml:space="preserve">Revenue, forecast</t>
  </si>
  <si>
    <t xml:space="preserve">Revenue, variance</t>
  </si>
  <si>
    <t xml:space="preserve">Direct cost, forecast</t>
  </si>
  <si>
    <t xml:space="preserve">Direct cost, variance</t>
  </si>
  <si>
    <t xml:space="preserve">Operating cost, forecast</t>
  </si>
  <si>
    <t xml:space="preserve">Operating cost, variance</t>
  </si>
  <si>
    <t xml:space="preserve">Closing cash, forecast</t>
  </si>
  <si>
    <t xml:space="preserve">Closing cash, variance</t>
  </si>
  <si>
    <t xml:space="preserve">Acquisitions</t>
  </si>
  <si>
    <t xml:space="preserve">GTM Capacity and Timing</t>
  </si>
  <si>
    <t xml:space="preserve">Revenue Streams</t>
  </si>
  <si>
    <t xml:space="preserve">Total Revenue</t>
  </si>
  <si>
    <t xml:space="preserve">Payroll</t>
  </si>
  <si>
    <t xml:space="preserve">Depreciation and Amortization</t>
  </si>
  <si>
    <t xml:space="preserve">Expenses</t>
  </si>
  <si>
    <t xml:space="preserve">Two funnels. Online spend buys clicks, which become leads, then registered accounts, then paid accounts. Offline activity buys institutional leads, which are split between five buyer types that each convert differently.</t>
  </si>
  <si>
    <t xml:space="preserve">B2C ACQUISITION, ONLINE CHANNELS</t>
  </si>
  <si>
    <t xml:space="preserve">    Paid clicks</t>
  </si>
  <si>
    <t xml:space="preserve">    Total clicks after organic and referral</t>
  </si>
  <si>
    <t xml:space="preserve">    Stage 1, leads</t>
  </si>
  <si>
    <t xml:space="preserve">Online marketing cost</t>
  </si>
  <si>
    <t xml:space="preserve">Total clicks</t>
  </si>
  <si>
    <t xml:space="preserve">Total online leads</t>
  </si>
  <si>
    <t xml:space="preserve">Blended cost per lead</t>
  </si>
  <si>
    <t xml:space="preserve">OFFLINE ACTIVITY</t>
  </si>
  <si>
    <t xml:space="preserve">    Cost</t>
  </si>
  <si>
    <t xml:space="preserve">    Free sign ups</t>
  </si>
  <si>
    <t xml:space="preserve">    Institutional leads</t>
  </si>
  <si>
    <t xml:space="preserve">Offline marketing cost</t>
  </si>
  <si>
    <t xml:space="preserve">Offline free sign ups</t>
  </si>
  <si>
    <t xml:space="preserve">Offline institutional leads</t>
  </si>
  <si>
    <t xml:space="preserve">Total marketing cost</t>
  </si>
  <si>
    <t xml:space="preserve">LEARNER FUNNEL, STAGES 2 AND 3</t>
  </si>
  <si>
    <t xml:space="preserve">Reached, cohort participants</t>
  </si>
  <si>
    <t xml:space="preserve">Reached, competition entrants</t>
  </si>
  <si>
    <t xml:space="preserve">Reached, sponsored and programme seats</t>
  </si>
  <si>
    <t xml:space="preserve">Reached, NGO and corporate participants</t>
  </si>
  <si>
    <t xml:space="preserve">Registered accounts from institutions</t>
  </si>
  <si>
    <t xml:space="preserve">Registered accounts from online leads, stage 2</t>
  </si>
  <si>
    <t xml:space="preserve">Registered accounts from offline sign ups</t>
  </si>
  <si>
    <t xml:space="preserve">Total new registered accounts</t>
  </si>
  <si>
    <t xml:space="preserve">Cumulative registered accounts</t>
  </si>
  <si>
    <t xml:space="preserve">Stage 3, new paid accounts</t>
  </si>
  <si>
    <t xml:space="preserve">Active paid accounts</t>
  </si>
  <si>
    <t xml:space="preserve">Cost per paid account</t>
  </si>
  <si>
    <t xml:space="preserve">INSTITUTIONAL FUNNEL, BY BUYER TYPE</t>
  </si>
  <si>
    <t xml:space="preserve">Inbound enquiries from content</t>
  </si>
  <si>
    <t xml:space="preserve">Total institutional leads</t>
  </si>
  <si>
    <t xml:space="preserve">    Meetings held</t>
  </si>
  <si>
    <t xml:space="preserve">    Proposals, pilots and bids</t>
  </si>
  <si>
    <t xml:space="preserve">    Contracts signed, after the sales cycle</t>
  </si>
  <si>
    <t xml:space="preserve">Total contracts signed</t>
  </si>
  <si>
    <t xml:space="preserve">Contracts the delivery plan requires</t>
  </si>
  <si>
    <t xml:space="preserve">Coverage, signings against the plan</t>
  </si>
  <si>
    <t xml:space="preserve">Below 1.0x the funnel is short of what the delivery plan sells. Year one sits at about 1.0x and is comfortable anyway, because the five signed memoranda already cover year one's cohorts: the model still makes the funnel win them, which is the conservative way round.</t>
  </si>
  <si>
    <t xml:space="preserve">Institutional acquisition cost</t>
  </si>
  <si>
    <t xml:space="preserve">Cost per institutional contract won</t>
  </si>
  <si>
    <t xml:space="preserve">Activity starts in month one in every channel. This sheet shows who runs it, proves the team is large enough to run it, and shows how long each kind of deal takes to turn into a delivery day.</t>
  </si>
  <si>
    <t xml:space="preserve">1. THE PEOPLE AVAILABLE TO RUN MARKETING AND SALES ACTIVITY</t>
  </si>
  <si>
    <t xml:space="preserve">Leadership</t>
  </si>
  <si>
    <t xml:space="preserve">Product and Engineering</t>
  </si>
  <si>
    <t xml:space="preserve">People and organisations able to run activity</t>
  </si>
  <si>
    <t xml:space="preserve">Year one is four employees, so the founder column in the capacity table is doing most of the work until the first commercial hire starts in month 13. That is the honest reading of a four person company, and it is why year one volume is small rather than cautious.</t>
  </si>
  <si>
    <t xml:space="preserve">2. ACTIVITY THE PLAN NEEDS, AGAINST ACTIVITY THE TEAM CAN RUN</t>
  </si>
  <si>
    <t xml:space="preserve">Campus workshops, planned</t>
  </si>
  <si>
    <t xml:space="preserve">    Capacity, the people who can run it</t>
  </si>
  <si>
    <t xml:space="preserve">    Headroom</t>
  </si>
  <si>
    <t xml:space="preserve">Ambassador campus activity, planned</t>
  </si>
  <si>
    <t xml:space="preserve">Events, fairs and conferences, planned</t>
  </si>
  <si>
    <t xml:space="preserve">Partner sessions inside somebody else's cohort, planned</t>
  </si>
  <si>
    <t xml:space="preserve">Direct outreach by the heads, planned</t>
  </si>
  <si>
    <t xml:space="preserve">Activity the plan asks for beyond what the team can run</t>
  </si>
  <si>
    <t xml:space="preserve">Activity utilisation</t>
  </si>
  <si>
    <t xml:space="preserve">The row above must read nil in every month. If it does not, the plan is selling activity nobody is free to run, and either the hiring plan or the volume plan is wrong.</t>
  </si>
  <si>
    <t xml:space="preserve">3. MEETINGS THE FUNNEL GENERATES, AGAINST MEETINGS THE TEAM CAN HOLD</t>
  </si>
  <si>
    <t xml:space="preserve">Meetings the funnel generates</t>
  </si>
  <si>
    <t xml:space="preserve">Meetings the team can hold</t>
  </si>
  <si>
    <t xml:space="preserve">Meetings asked for beyond capacity</t>
  </si>
  <si>
    <t xml:space="preserve">Meeting utilisation</t>
  </si>
  <si>
    <t xml:space="preserve">4. DELIVERY DAYS THE PLAN SELLS, AGAINST THE CERTIFIED POOL</t>
  </si>
  <si>
    <t xml:space="preserve">Facilitator days the cohort plan needs</t>
  </si>
  <si>
    <t xml:space="preserve">Facilitator days the certified pool gives</t>
  </si>
  <si>
    <t xml:space="preserve">Delivery days needed beyond the pool</t>
  </si>
  <si>
    <t xml:space="preserve">Delivery utilisation</t>
  </si>
  <si>
    <t xml:space="preserve">This is the row that caps growth. Cohorts are delivered by certified freelancers, so the plan can only sell what the pool can staff, and the pool is grown deliberately on the volume plan.</t>
  </si>
  <si>
    <t xml:space="preserve">5. CONTRACTS SIGNED, AND WHEN THEY BECOME DELIVERY</t>
  </si>
  <si>
    <t xml:space="preserve">Institutions, universities and schools, mobilised and ready to deliver</t>
  </si>
  <si>
    <t xml:space="preserve">Sponsors, banks, telcos and corporates, mobilised and ready to deliver</t>
  </si>
  <si>
    <t xml:space="preserve">NGOs, donors and development agencies, mobilised and ready to deliver</t>
  </si>
  <si>
    <t xml:space="preserve">Government and national initiatives, mobilised and ready to deliver</t>
  </si>
  <si>
    <t xml:space="preserve">CSR and corporate innovation budgets, mobilised and ready to deliver</t>
  </si>
  <si>
    <t xml:space="preserve">Contracts mobilised and ready to deliver</t>
  </si>
  <si>
    <t xml:space="preserve">Coverage after the sales cycle and mobilisation</t>
  </si>
  <si>
    <t xml:space="preserve">Year one sits below one, and that is the point: year one is delivered against the five memoranda already signed, not against the funnel. From year two the funnel has to carry the plan on its own, and this row is where that is checked.</t>
  </si>
  <si>
    <t xml:space="preserve">6. FROM THE FIRST DAY OF ACTIVITY TO THE FIRST DAY OF DELIVERY</t>
  </si>
  <si>
    <t xml:space="preserve">Every channel starts in month one, October 2026. What follows is arithmetic on the sales cycle and the mobilisation period, not judgement: this is the earliest a cold conversation opened on day one can become a delivered day, by buyer type.</t>
  </si>
  <si>
    <t xml:space="preserve">Activity starts</t>
  </si>
  <si>
    <t xml:space="preserve">Signature in month</t>
  </si>
  <si>
    <t xml:space="preserve">Mobilisation, months</t>
  </si>
  <si>
    <t xml:space="preserve">First delivery in month</t>
  </si>
  <si>
    <t xml:space="preserve">Which calendar month that is</t>
  </si>
  <si>
    <t xml:space="preserve">Read the two right hand columns against the volume plan. Where the plan starts later than this table allows, something other than the funnel is holding it back, and the volume plan names it in its own right hand column: safeguarding clearance for schools, a country manager in post for Saudi Arabia, two delivered cohorts before a faculty licence.</t>
  </si>
  <si>
    <t xml:space="preserve">7. THE DIRECT ENGINE, FROM MARKETING SPEND TO A PAYING ACCOUNT</t>
  </si>
  <si>
    <t xml:space="preserve">Marketing spend, online and offline</t>
  </si>
  <si>
    <t xml:space="preserve">New paying accounts</t>
  </si>
  <si>
    <t xml:space="preserve">Registered to paying, blended</t>
  </si>
  <si>
    <t xml:space="preserve">Cost per paying account</t>
  </si>
  <si>
    <t xml:space="preserve">Active paying accounts</t>
  </si>
  <si>
    <t xml:space="preserve">The direct engine needs no sales cycle and no mobilisation, which is why it carries revenue from month one while the institutional engines are still in their cycle. A learner who sat in a cohort converts several times better than a click, so the two routes to a paying account are priced and converted separately on the Acquisitions sheet.</t>
  </si>
  <si>
    <t xml:space="preserve">Fourteen lines across eight engines plus the podcast. Volume comes from the twenty quarter plan split by the phasing weights, so an annual total always ties back to the plan.</t>
  </si>
  <si>
    <t xml:space="preserve">DELIVERY VOLUME</t>
  </si>
  <si>
    <t xml:space="preserve">Faculty licences</t>
  </si>
  <si>
    <t xml:space="preserve">School licences</t>
  </si>
  <si>
    <t xml:space="preserve">Competitions, self funded</t>
  </si>
  <si>
    <t xml:space="preserve">Programme and incubator seats</t>
  </si>
  <si>
    <t xml:space="preserve">All in person cohorts delivered</t>
  </si>
  <si>
    <t xml:space="preserve">REVENUE BY STREAM</t>
  </si>
  <si>
    <t xml:space="preserve">University cohort programmes</t>
  </si>
  <si>
    <t xml:space="preserve">Sponsored competitions</t>
  </si>
  <si>
    <t xml:space="preserve">Mission Zero sponsorship</t>
  </si>
  <si>
    <t xml:space="preserve">Institutional and sponsor revenue</t>
  </si>
  <si>
    <t xml:space="preserve">ENGINE 8, FOUNDER SUBSCRIPTIONS</t>
  </si>
  <si>
    <t xml:space="preserve">New paid subscribers in the month</t>
  </si>
  <si>
    <t xml:space="preserve">Active paid subscribers</t>
  </si>
  <si>
    <t xml:space="preserve">Blended annual subscription price</t>
  </si>
  <si>
    <t xml:space="preserve">Subscription bookings, cash received</t>
  </si>
  <si>
    <t xml:space="preserve">Subscription revenue recognised</t>
  </si>
  <si>
    <t xml:space="preserve">Deferred subscription revenue, balance</t>
  </si>
  <si>
    <t xml:space="preserve">Every stream gathered into the four families, and the total the statements are built on.</t>
  </si>
  <si>
    <t xml:space="preserve">REVENUE BY FAMILY</t>
  </si>
  <si>
    <t xml:space="preserve">Education</t>
  </si>
  <si>
    <t xml:space="preserve">    University cohort programmes</t>
  </si>
  <si>
    <t xml:space="preserve">    Faculty licences</t>
  </si>
  <si>
    <t xml:space="preserve">    School cohorts</t>
  </si>
  <si>
    <t xml:space="preserve">    School licences</t>
  </si>
  <si>
    <t xml:space="preserve">    Technical and vocational cohorts</t>
  </si>
  <si>
    <t xml:space="preserve">    Programme and incubator seats</t>
  </si>
  <si>
    <t xml:space="preserve">Public</t>
  </si>
  <si>
    <t xml:space="preserve">    National initiative seats</t>
  </si>
  <si>
    <t xml:space="preserve">    Train the trainer cohorts</t>
  </si>
  <si>
    <t xml:space="preserve">    NGO and donor programmes</t>
  </si>
  <si>
    <t xml:space="preserve">Commercial</t>
  </si>
  <si>
    <t xml:space="preserve">    Sponsored competitions</t>
  </si>
  <si>
    <t xml:space="preserve">    Corporate and CSR programmes</t>
  </si>
  <si>
    <t xml:space="preserve">    Mission Zero sponsorship</t>
  </si>
  <si>
    <t xml:space="preserve">Direct</t>
  </si>
  <si>
    <t xml:space="preserve">    Founder subscriptions</t>
  </si>
  <si>
    <t xml:space="preserve">Institutional and sponsor share of revenue</t>
  </si>
  <si>
    <t xml:space="preserve">Month on month growth</t>
  </si>
  <si>
    <t xml:space="preserve">Eighteen roles, each with a start month and a headcount and a salary per year. Year one salaries are founder stipends, which is the only way four people and a 150,000 dollar ceiling are both true.</t>
  </si>
  <si>
    <t xml:space="preserve">ESTABLISHMENT, INPUTS</t>
  </si>
  <si>
    <t xml:space="preserve">Role</t>
  </si>
  <si>
    <t xml:space="preserve">Function</t>
  </si>
  <si>
    <t xml:space="preserve">Start month</t>
  </si>
  <si>
    <t xml:space="preserve">Monthly gross Y1</t>
  </si>
  <si>
    <t xml:space="preserve">Headcount Y1</t>
  </si>
  <si>
    <t xml:space="preserve">Chief Executive Officer</t>
  </si>
  <si>
    <t xml:space="preserve">Chief Technology Officer</t>
  </si>
  <si>
    <t xml:space="preserve">Chief Operating Officer</t>
  </si>
  <si>
    <t xml:space="preserve">Senior full-stack engineer</t>
  </si>
  <si>
    <t xml:space="preserve">AI and data engineer</t>
  </si>
  <si>
    <t xml:space="preserve">Product designer</t>
  </si>
  <si>
    <t xml:space="preserve">Head of Curriculum and Certification</t>
  </si>
  <si>
    <t xml:space="preserve">Partner network manager</t>
  </si>
  <si>
    <t xml:space="preserve">Programme delivery coordinator</t>
  </si>
  <si>
    <t xml:space="preserve">Bilingual curriculum producer</t>
  </si>
  <si>
    <t xml:space="preserve">Head of Partnerships, Egypt</t>
  </si>
  <si>
    <t xml:space="preserve">Country Manager, KSA (Riyadh)</t>
  </si>
  <si>
    <t xml:space="preserve">Head of Government, Initiatives and Donors</t>
  </si>
  <si>
    <t xml:space="preserve">Partnerships and bids associate</t>
  </si>
  <si>
    <t xml:space="preserve">Head of Schools and Technical Education</t>
  </si>
  <si>
    <t xml:space="preserve">Account manager, renewals</t>
  </si>
  <si>
    <t xml:space="preserve">Head of Growth and Content</t>
  </si>
  <si>
    <t xml:space="preserve">Student success (bilingual)</t>
  </si>
  <si>
    <t xml:space="preserve">Total establishment</t>
  </si>
  <si>
    <t xml:space="preserve">The cap this plan commits to</t>
  </si>
  <si>
    <t xml:space="preserve">Headroom against the cap</t>
  </si>
  <si>
    <t xml:space="preserve">Employer burden on gross salary</t>
  </si>
  <si>
    <t xml:space="preserve">social insurance, end of service, medical</t>
  </si>
  <si>
    <t xml:space="preserve">MONTHLY PAYROLL, FULLY LOADED</t>
  </si>
  <si>
    <t xml:space="preserve">Total payroll</t>
  </si>
  <si>
    <t xml:space="preserve">MONTHLY HEADCOUNT</t>
  </si>
  <si>
    <t xml:space="preserve">Total headcount</t>
  </si>
  <si>
    <t xml:space="preserve">New employees joining in the month</t>
  </si>
  <si>
    <t xml:space="preserve">Commercial payroll</t>
  </si>
  <si>
    <t xml:space="preserve">Commercial heads</t>
  </si>
  <si>
    <t xml:space="preserve">HEADCOUNT BY FUNCTION, WHO IS AVAILABLE TO RUN ACTIVITY</t>
  </si>
  <si>
    <t xml:space="preserve">Check, functions against total establishment</t>
  </si>
  <si>
    <t xml:space="preserve">Straight line over each class's useful life, charged from the month after acquisition and capped so nothing is written below nil.</t>
  </si>
  <si>
    <t xml:space="preserve">DEPRECIATION CHARGE IN THE MONTH</t>
  </si>
  <si>
    <t xml:space="preserve">Total depreciation and amortisation</t>
  </si>
  <si>
    <t xml:space="preserve">ACCUMULATED DEPRECIATION</t>
  </si>
  <si>
    <t xml:space="preserve">Total accumulated depreciation</t>
  </si>
  <si>
    <t xml:space="preserve">NET BOOK VALUE</t>
  </si>
  <si>
    <t xml:space="preserve">Total net book value</t>
  </si>
  <si>
    <t xml:space="preserve">Net book value, property and equipment</t>
  </si>
  <si>
    <t xml:space="preserve">Net book value, intangible assets</t>
  </si>
  <si>
    <t xml:space="preserve">Direct cost moves with delivery. Operating cost has a driver behind every line: a desk per employee, inference per active learner, travel per head on the road.</t>
  </si>
  <si>
    <t xml:space="preserve">DIRECT COST OF DELIVERY</t>
  </si>
  <si>
    <t xml:space="preserve">Facilitation, university cohorts</t>
  </si>
  <si>
    <t xml:space="preserve">Facilitation, school cohorts</t>
  </si>
  <si>
    <t xml:space="preserve">Facilitation, technical cohorts</t>
  </si>
  <si>
    <t xml:space="preserve">Materials, kits and showcases</t>
  </si>
  <si>
    <t xml:space="preserve">Competition delivery, sponsored</t>
  </si>
  <si>
    <t xml:space="preserve">Competition delivery and prizes, self funded</t>
  </si>
  <si>
    <t xml:space="preserve">Mission Zero production</t>
  </si>
  <si>
    <t xml:space="preserve">NGO and donor programme delivery</t>
  </si>
  <si>
    <t xml:space="preserve">Corporate programme delivery</t>
  </si>
  <si>
    <t xml:space="preserve">Train the trainer delivery</t>
  </si>
  <si>
    <t xml:space="preserve">National initiative seat support</t>
  </si>
  <si>
    <t xml:space="preserve">Programme and incubator seat support</t>
  </si>
  <si>
    <t xml:space="preserve">Subscription hosting and inference</t>
  </si>
  <si>
    <t xml:space="preserve">Revenue share, certified delivery partners</t>
  </si>
  <si>
    <t xml:space="preserve">Revenue share, youth and channel organisations</t>
  </si>
  <si>
    <t xml:space="preserve">Revenue share, aggregators and payment processing</t>
  </si>
  <si>
    <t xml:space="preserve">Total direct cost</t>
  </si>
  <si>
    <t xml:space="preserve">Gross margin</t>
  </si>
  <si>
    <t xml:space="preserve">OPERATING COST</t>
  </si>
  <si>
    <t xml:space="preserve">Payroll, fully loaded</t>
  </si>
  <si>
    <t xml:space="preserve">Sales commission</t>
  </si>
  <si>
    <t xml:space="preserve">Marketing, offline channels</t>
  </si>
  <si>
    <t xml:space="preserve">Marketing, online channels</t>
  </si>
  <si>
    <t xml:space="preserve">Ambassador stipends</t>
  </si>
  <si>
    <t xml:space="preserve">Desk and office</t>
  </si>
  <si>
    <t xml:space="preserve">Utilities, internet and communications</t>
  </si>
  <si>
    <t xml:space="preserve">Cloud, AI inference and APIs</t>
  </si>
  <si>
    <t xml:space="preserve">Software and tooling</t>
  </si>
  <si>
    <t xml:space="preserve">Travel</t>
  </si>
  <si>
    <t xml:space="preserve">Outsourced finance, legal and audit</t>
  </si>
  <si>
    <t xml:space="preserve">Safeguarding and compliance</t>
  </si>
  <si>
    <t xml:space="preserve">Insurance, bank charges and sundries</t>
  </si>
  <si>
    <t xml:space="preserve">Contingency</t>
  </si>
  <si>
    <t xml:space="preserve">Operating cost before depreciation</t>
  </si>
  <si>
    <t xml:space="preserve">Depreciation and amortisation</t>
  </si>
  <si>
    <t xml:space="preserve">Total operating cost</t>
  </si>
  <si>
    <t xml:space="preserve">RESULT, AND THE YEAR ONE CEILING</t>
  </si>
  <si>
    <t xml:space="preserve">EBIT, operating profit</t>
  </si>
  <si>
    <t xml:space="preserve">Cash operating cost excluding payroll</t>
  </si>
  <si>
    <t xml:space="preserve">Headroom against the ceiling</t>
  </si>
  <si>
    <t xml:space="preserve">Income Statement</t>
  </si>
  <si>
    <t xml:space="preserve">Balance Sheet</t>
  </si>
  <si>
    <t xml:space="preserve">Cash Flow Statement</t>
  </si>
  <si>
    <t xml:space="preserve">Financial Indicators</t>
  </si>
  <si>
    <t xml:space="preserve">Five years to 30 September. Every line is the sum of its sixty monthly cells, so the annual figures cannot drift from the monthly model.</t>
  </si>
  <si>
    <t xml:space="preserve">FOR THE YEARS ENDED 30 SEPTEMBER</t>
  </si>
  <si>
    <t xml:space="preserve">all eight engines</t>
  </si>
  <si>
    <t xml:space="preserve">Annual growth</t>
  </si>
  <si>
    <t xml:space="preserve">Cost of revenue</t>
  </si>
  <si>
    <t xml:space="preserve">facilitation, materials, seats, prizes and revenue share</t>
  </si>
  <si>
    <t xml:space="preserve">Gross profit margin</t>
  </si>
  <si>
    <t xml:space="preserve">Operating expenses</t>
  </si>
  <si>
    <t xml:space="preserve">    Payroll, fully loaded</t>
  </si>
  <si>
    <t xml:space="preserve">    Sales commission</t>
  </si>
  <si>
    <t xml:space="preserve">    Marketing, offline channels</t>
  </si>
  <si>
    <t xml:space="preserve">    Marketing, online channels</t>
  </si>
  <si>
    <t xml:space="preserve">    Ambassador stipends</t>
  </si>
  <si>
    <t xml:space="preserve">    Desk and office</t>
  </si>
  <si>
    <t xml:space="preserve">    Utilities, internet and communications</t>
  </si>
  <si>
    <t xml:space="preserve">    Cloud, AI inference and APIs</t>
  </si>
  <si>
    <t xml:space="preserve">    Software and tooling</t>
  </si>
  <si>
    <t xml:space="preserve">    Travel</t>
  </si>
  <si>
    <t xml:space="preserve">    Outsourced finance, legal and audit</t>
  </si>
  <si>
    <t xml:space="preserve">    Safeguarding and compliance</t>
  </si>
  <si>
    <t xml:space="preserve">    Partner enablement, certification and audit</t>
  </si>
  <si>
    <t xml:space="preserve">    Insurance, bank charges and sundries</t>
  </si>
  <si>
    <t xml:space="preserve">    Contingency</t>
  </si>
  <si>
    <t xml:space="preserve">Total operating expenses</t>
  </si>
  <si>
    <t xml:space="preserve">EBITDA margin</t>
  </si>
  <si>
    <t xml:space="preserve">Profit before tax</t>
  </si>
  <si>
    <t xml:space="preserve">no debt in the plan, so no interest</t>
  </si>
  <si>
    <t xml:space="preserve">Tax losses carried forward, opening</t>
  </si>
  <si>
    <t xml:space="preserve">an early loss shelters a later profit</t>
  </si>
  <si>
    <t xml:space="preserve">Tax losses carried forward, closing</t>
  </si>
  <si>
    <t xml:space="preserve">Taxable profit</t>
  </si>
  <si>
    <t xml:space="preserve">Corporate income tax</t>
  </si>
  <si>
    <t xml:space="preserve">Net profit for the year</t>
  </si>
  <si>
    <t xml:space="preserve">Net profit margin</t>
  </si>
  <si>
    <t xml:space="preserve">Year one ceiling, and headroom against it</t>
  </si>
  <si>
    <t xml:space="preserve">must stay positive</t>
  </si>
  <si>
    <t xml:space="preserve">At 30 September each year, with the opening position at inception. The check line is nil in every column, which is the only proof the model hangs together.</t>
  </si>
  <si>
    <t xml:space="preserve">STATEMENT OF FINANCIAL POSITION</t>
  </si>
  <si>
    <t xml:space="preserve">At inception</t>
  </si>
  <si>
    <t xml:space="preserve">Cash and cash equivalents</t>
  </si>
  <si>
    <t xml:space="preserve">see the cash flow statement</t>
  </si>
  <si>
    <t xml:space="preserve">institutional invoices outstanding</t>
  </si>
  <si>
    <t xml:space="preserve">laptops, kit and fit out</t>
  </si>
  <si>
    <t xml:space="preserve">trademark, IP and formation</t>
  </si>
  <si>
    <t xml:space="preserve">Total assets</t>
  </si>
  <si>
    <t xml:space="preserve">billed, not yet earned</t>
  </si>
  <si>
    <t xml:space="preserve">paid in arrears</t>
  </si>
  <si>
    <t xml:space="preserve">Total liabilities</t>
  </si>
  <si>
    <t xml:space="preserve">Share capital</t>
  </si>
  <si>
    <t xml:space="preserve">founder capital plus the seed round</t>
  </si>
  <si>
    <t xml:space="preserve">cumulative profit and loss</t>
  </si>
  <si>
    <t xml:space="preserve">Total equity</t>
  </si>
  <si>
    <t xml:space="preserve">Total liabilities and equity</t>
  </si>
  <si>
    <t xml:space="preserve">CHECK, total assets less liabilities and equity</t>
  </si>
  <si>
    <t xml:space="preserve">nil in every column, or the model is wrong</t>
  </si>
  <si>
    <t xml:space="preserve">Indirect method, monthly, with the working capital balances the balance sheet is built from, then the annual statement.</t>
  </si>
  <si>
    <t xml:space="preserve">OPERATING ACTIVITIES</t>
  </si>
  <si>
    <t xml:space="preserve">Corporate income tax charge</t>
  </si>
  <si>
    <t xml:space="preserve">Add back depreciation and amortisation</t>
  </si>
  <si>
    <t xml:space="preserve">WORKING CAPITAL BALANCES AT MONTH END</t>
  </si>
  <si>
    <t xml:space="preserve">Tax paid in the month</t>
  </si>
  <si>
    <t xml:space="preserve">CASH FLOW</t>
  </si>
  <si>
    <t xml:space="preserve">(Increase) decrease in receivables</t>
  </si>
  <si>
    <t xml:space="preserve">Increase (decrease) in payables</t>
  </si>
  <si>
    <t xml:space="preserve">Increase (decrease) in accrued payroll</t>
  </si>
  <si>
    <t xml:space="preserve">Increase (decrease) in deferred revenue</t>
  </si>
  <si>
    <t xml:space="preserve">Increase (decrease) in tax payable</t>
  </si>
  <si>
    <t xml:space="preserve">Net cash from operating activities</t>
  </si>
  <si>
    <t xml:space="preserve">Capital expenditure</t>
  </si>
  <si>
    <t xml:space="preserve">Net cash used in investing activities</t>
  </si>
  <si>
    <t xml:space="preserve">Share capital raised</t>
  </si>
  <si>
    <t xml:space="preserve">Net cash from financing activities</t>
  </si>
  <si>
    <t xml:space="preserve">Net movement in cash</t>
  </si>
  <si>
    <t xml:space="preserve">Cash at the start of the month</t>
  </si>
  <si>
    <t xml:space="preserve">Cash at the end of the month</t>
  </si>
  <si>
    <t xml:space="preserve">Headroom against the minimum cash buffer</t>
  </si>
  <si>
    <t xml:space="preserve">Cumulative free cash flow</t>
  </si>
  <si>
    <t xml:space="preserve">CASH FLOW STATEMENT, ANNUAL</t>
  </si>
  <si>
    <t xml:space="preserve">Cash at the end of the year</t>
  </si>
  <si>
    <t xml:space="preserve">The numbers the business is run on, taken from the model rather than restated beside it.</t>
  </si>
  <si>
    <t xml:space="preserve">GROWTH AND SCALE</t>
  </si>
  <si>
    <t xml:space="preserve">Revenue growth</t>
  </si>
  <si>
    <t xml:space="preserve">year on year</t>
  </si>
  <si>
    <t xml:space="preserve">n/a</t>
  </si>
  <si>
    <t xml:space="preserve">engines 1 to 7</t>
  </si>
  <si>
    <t xml:space="preserve">all formats including free pilots</t>
  </si>
  <si>
    <t xml:space="preserve">Registered accounts at year end</t>
  </si>
  <si>
    <t xml:space="preserve">the cap this plan commits to</t>
  </si>
  <si>
    <t xml:space="preserve">Revenue per employee</t>
  </si>
  <si>
    <t xml:space="preserve">not on the payroll</t>
  </si>
  <si>
    <t xml:space="preserve">PROFITABILITY</t>
  </si>
  <si>
    <t xml:space="preserve">Net margin</t>
  </si>
  <si>
    <t xml:space="preserve">Headroom against the year one ceiling</t>
  </si>
  <si>
    <t xml:space="preserve">must stay positive in year one</t>
  </si>
  <si>
    <t xml:space="preserve">UNIT ECONOMICS AND THE FUNNEL</t>
  </si>
  <si>
    <t xml:space="preserve">Blended cost per lead, online</t>
  </si>
  <si>
    <t xml:space="preserve">learner CAC</t>
  </si>
  <si>
    <t xml:space="preserve">Subscriber lifetime value</t>
  </si>
  <si>
    <t xml:space="preserve">annual price times gross margin, over monthly churn</t>
  </si>
  <si>
    <t xml:space="preserve">Subscriber LTV to CAC</t>
  </si>
  <si>
    <t xml:space="preserve">offline activity, a share of online, and the commercial payroll</t>
  </si>
  <si>
    <t xml:space="preserve">Average institutional contract value</t>
  </si>
  <si>
    <t xml:space="preserve">first year value</t>
  </si>
  <si>
    <t xml:space="preserve">Institutional LTV to CAC</t>
  </si>
  <si>
    <t xml:space="preserve">contract value times gross margin times years retained, over CAC</t>
  </si>
  <si>
    <t xml:space="preserve">below 1.0x means the funnel is short</t>
  </si>
  <si>
    <t xml:space="preserve">CASH</t>
  </si>
  <si>
    <t xml:space="preserve">Net cash from operations</t>
  </si>
  <si>
    <t xml:space="preserve">Free cash flow</t>
  </si>
  <si>
    <t xml:space="preserve">operations less capital expenditure</t>
  </si>
  <si>
    <t xml:space="preserve">Average monthly burn or generation</t>
  </si>
  <si>
    <t xml:space="preserve">Months of runway at year end cash</t>
  </si>
  <si>
    <t xml:space="preserve">on that year's burn</t>
  </si>
  <si>
    <t xml:space="preserve">Debtor days achieved</t>
  </si>
  <si>
    <t xml:space="preserve">receivables over revenue</t>
  </si>
  <si>
    <t xml:space="preserve">BEP Analysis</t>
  </si>
  <si>
    <t xml:space="preserve">PB Analysis</t>
  </si>
  <si>
    <t xml:space="preserve">Sensitivity</t>
  </si>
  <si>
    <t xml:space="preserve">Stress Test</t>
  </si>
  <si>
    <t xml:space="preserve">Exit Angel and VC</t>
  </si>
  <si>
    <t xml:space="preserve">Break Even Analysis</t>
  </si>
  <si>
    <t xml:space="preserve">Where the contribution from delivery covers the cost of existing, and the month the company stops consuming cash.</t>
  </si>
  <si>
    <t xml:space="preserve">ANNUAL BREAK EVEN</t>
  </si>
  <si>
    <t xml:space="preserve">Revenue</t>
  </si>
  <si>
    <t xml:space="preserve">Variable cost of delivery</t>
  </si>
  <si>
    <t xml:space="preserve">direct cost, prizes and revenue share</t>
  </si>
  <si>
    <t xml:space="preserve">Contribution</t>
  </si>
  <si>
    <t xml:space="preserve">Contribution margin</t>
  </si>
  <si>
    <t xml:space="preserve">Fixed operating cost</t>
  </si>
  <si>
    <t xml:space="preserve">everything that does not move with a cohort, including depreciation</t>
  </si>
  <si>
    <t xml:space="preserve">Break even revenue</t>
  </si>
  <si>
    <t xml:space="preserve">fixed cost over contribution margin</t>
  </si>
  <si>
    <t xml:space="preserve">Break even revenue per month</t>
  </si>
  <si>
    <t xml:space="preserve">Margin of safety</t>
  </si>
  <si>
    <t xml:space="preserve">how far revenue can fall before a loss</t>
  </si>
  <si>
    <t xml:space="preserve">Break even in university cohort equivalents</t>
  </si>
  <si>
    <t xml:space="preserve">at that year's cohort price</t>
  </si>
  <si>
    <t xml:space="preserve">Cohorts actually delivered</t>
  </si>
  <si>
    <t xml:space="preserve">for comparison</t>
  </si>
  <si>
    <t xml:space="preserve">THE MONTH IT TURNS</t>
  </si>
  <si>
    <t xml:space="preserve">Month number</t>
  </si>
  <si>
    <t xml:space="preserve">Which month</t>
  </si>
  <si>
    <t xml:space="preserve">Month labels, lookup row</t>
  </si>
  <si>
    <t xml:space="preserve">First month with positive EBITDA, working</t>
  </si>
  <si>
    <t xml:space="preserve">First month with positive operating cash flow, working</t>
  </si>
  <si>
    <t xml:space="preserve">Month of the lowest cash balance, working</t>
  </si>
  <si>
    <t xml:space="preserve">First month cumulative free cash flow turns positive, working</t>
  </si>
  <si>
    <t xml:space="preserve">First month with positive EBITDA</t>
  </si>
  <si>
    <t xml:space="preserve">delivery covers the cost of existing</t>
  </si>
  <si>
    <t xml:space="preserve">First month with positive operating cash flow</t>
  </si>
  <si>
    <t xml:space="preserve">profit converted into cash</t>
  </si>
  <si>
    <t xml:space="preserve">Month of the lowest cash balance</t>
  </si>
  <si>
    <t xml:space="preserve">the trough of the cash curve</t>
  </si>
  <si>
    <t xml:space="preserve">First month cumulative free cash flow turns positive</t>
  </si>
  <si>
    <t xml:space="preserve">the business has repaid its own burn</t>
  </si>
  <si>
    <t xml:space="preserve">Payback Analysis</t>
  </si>
  <si>
    <t xml:space="preserve">When the money put in comes back, in the base case and under stress.</t>
  </si>
  <si>
    <t xml:space="preserve">CAPITAL IN</t>
  </si>
  <si>
    <t xml:space="preserve">Founder capital at inception</t>
  </si>
  <si>
    <t xml:space="preserve">already contributed</t>
  </si>
  <si>
    <t xml:space="preserve">Seed round</t>
  </si>
  <si>
    <t xml:space="preserve">the raise this model sizes</t>
  </si>
  <si>
    <t xml:space="preserve">Total capital invested</t>
  </si>
  <si>
    <t xml:space="preserve">CASH RETURNED, BASE CASE</t>
  </si>
  <si>
    <t xml:space="preserve">Free cash flow in the year</t>
  </si>
  <si>
    <t xml:space="preserve">operations less capex</t>
  </si>
  <si>
    <t xml:space="preserve">Capital recovered</t>
  </si>
  <si>
    <t xml:space="preserve">cumulative free cash flow over capital</t>
  </si>
  <si>
    <t xml:space="preserve">Capital still outstanding</t>
  </si>
  <si>
    <t xml:space="preserve">PAYBACK PERIOD</t>
  </si>
  <si>
    <t xml:space="preserve">Payback flag, working</t>
  </si>
  <si>
    <t xml:space="preserve">Months to repay all capital invested</t>
  </si>
  <si>
    <t xml:space="preserve">cumulative free cash flow covers the money in</t>
  </si>
  <si>
    <t xml:space="preserve">WHAT THE PAYBACK IS SENSITIVE TO</t>
  </si>
  <si>
    <t xml:space="preserve">Volume at</t>
  </si>
  <si>
    <t xml:space="preserve">Cumulative free cash flow, 5 years</t>
  </si>
  <si>
    <t xml:space="preserve">Delivery volume flexed</t>
  </si>
  <si>
    <t xml:space="preserve">Volume flexes revenue and direct cost together; the operating base is held, which is what makes a volume shortfall expensive.</t>
  </si>
  <si>
    <t xml:space="preserve">Sensitivity Analysis</t>
  </si>
  <si>
    <t xml:space="preserve">Two way grids on the year five result. Every cell is a live formula, so a changed assumption moves the whole grid.</t>
  </si>
  <si>
    <t xml:space="preserve">YEAR FIVE EBITDA, VOLUME AGAINST PRICE</t>
  </si>
  <si>
    <t xml:space="preserve">Rows flex delivery volume, columns flex price. Direct cost moves with volume, the operating base does not.</t>
  </si>
  <si>
    <t xml:space="preserve">Price change</t>
  </si>
  <si>
    <t xml:space="preserve">Volume change</t>
  </si>
  <si>
    <t xml:space="preserve">YEAR FIVE EBITDA, VOLUME AGAINST OPERATING COST</t>
  </si>
  <si>
    <t xml:space="preserve">Columns flex the fixed operating base, the cost of holding the establishment and the network.</t>
  </si>
  <si>
    <t xml:space="preserve">Operating cost change</t>
  </si>
  <si>
    <t xml:space="preserve">YEAR FIVE EBITDA, COST PER CLICK AGAINST PAID CONVERSION</t>
  </si>
  <si>
    <t xml:space="preserve">The two levers that decide whether the direct engine pays for itself. Rows flex every channel's cost per click, columns flex the registered to paid rate.</t>
  </si>
  <si>
    <t xml:space="preserve">Paid conversion change</t>
  </si>
  <si>
    <t xml:space="preserve">Cost per click change</t>
  </si>
  <si>
    <t xml:space="preserve">Stress Testing</t>
  </si>
  <si>
    <t xml:space="preserve">Four scenarios applied to the base case. Volume and price flex, the operating base barely does, which is what makes a shortfall expensive.</t>
  </si>
  <si>
    <t xml:space="preserve">SCENARIO LEVERS</t>
  </si>
  <si>
    <t xml:space="preserve">Scenario</t>
  </si>
  <si>
    <t xml:space="preserve">Volume</t>
  </si>
  <si>
    <t xml:space="preserve">Price</t>
  </si>
  <si>
    <t xml:space="preserve">Operating cost</t>
  </si>
  <si>
    <t xml:space="preserve">Collection days</t>
  </si>
  <si>
    <t xml:space="preserve">Paid conversion</t>
  </si>
  <si>
    <t xml:space="preserve">Base case</t>
  </si>
  <si>
    <t xml:space="preserve">the plan as modelled</t>
  </si>
  <si>
    <t xml:space="preserve">Upside</t>
  </si>
  <si>
    <t xml:space="preserve">institutional demand lands early</t>
  </si>
  <si>
    <t xml:space="preserve">Downside</t>
  </si>
  <si>
    <t xml:space="preserve">a slow first two years in Egypt</t>
  </si>
  <si>
    <t xml:space="preserve">Severe</t>
  </si>
  <si>
    <t xml:space="preserve">public budgets freeze and a market slips</t>
  </si>
  <si>
    <t xml:space="preserve">REVENUE UNDER STRESS</t>
  </si>
  <si>
    <t xml:space="preserve">EBITDA UNDER STRESS</t>
  </si>
  <si>
    <t xml:space="preserve">CASH AND WHAT IT WOULD TAKE TO SURVIVE</t>
  </si>
  <si>
    <t xml:space="preserve">Lowest cash</t>
  </si>
  <si>
    <t xml:space="preserve">Further funding needed</t>
  </si>
  <si>
    <t xml:space="preserve">The cash rows re run the base case cash walk with the scenario's EBITDA and collection cycle substituted. They are an overlay on the model, not a second model: capital expenditure and payables are held at the base case, which makes the downside slightly flattering and is the honest direction for an error to run.</t>
  </si>
  <si>
    <t xml:space="preserve">Investor Return and Exit</t>
  </si>
  <si>
    <t xml:space="preserve">What an angel and a venture investor each put in, what they hold after dilution, and what the holding is worth on three exit assumptions.</t>
  </si>
  <si>
    <t xml:space="preserve">THE ROUND</t>
  </si>
  <si>
    <t xml:space="preserve">Angel round</t>
  </si>
  <si>
    <t xml:space="preserve">Venture round</t>
  </si>
  <si>
    <t xml:space="preserve">Amount invested</t>
  </si>
  <si>
    <t xml:space="preserve">the angel takes part of the seed, the fund takes a later round</t>
  </si>
  <si>
    <t xml:space="preserve">Pre money valuation</t>
  </si>
  <si>
    <t xml:space="preserve">a MENA pre revenue to early revenue range</t>
  </si>
  <si>
    <t xml:space="preserve">Post money valuation</t>
  </si>
  <si>
    <t xml:space="preserve">Ownership at entry</t>
  </si>
  <si>
    <t xml:space="preserve">Dilution from later rounds</t>
  </si>
  <si>
    <t xml:space="preserve">two further rounds assumed</t>
  </si>
  <si>
    <t xml:space="preserve">Ownership at exit</t>
  </si>
  <si>
    <t xml:space="preserve">WHAT THE COMPANY IS WORTH AT EXIT</t>
  </si>
  <si>
    <t xml:space="preserve">Three bases, because no single multiple is defensible on its own. Education businesses selling to institutions trade on revenue while they are growing and on earnings once they are not.</t>
  </si>
  <si>
    <t xml:space="preserve">Basis</t>
  </si>
  <si>
    <t xml:space="preserve">Multiple</t>
  </si>
  <si>
    <t xml:space="preserve">Exit value</t>
  </si>
  <si>
    <t xml:space="preserve">Angel proceeds</t>
  </si>
  <si>
    <t xml:space="preserve">Venture proceeds</t>
  </si>
  <si>
    <t xml:space="preserve">Year five revenue multiple, conservative</t>
  </si>
  <si>
    <t xml:space="preserve">a slower growth trade sale</t>
  </si>
  <si>
    <t xml:space="preserve">Year five revenue multiple, central</t>
  </si>
  <si>
    <t xml:space="preserve">the base case for a strategic buyer</t>
  </si>
  <si>
    <t xml:space="preserve">Year five revenue multiple, strong</t>
  </si>
  <si>
    <t xml:space="preserve">a competitive process</t>
  </si>
  <si>
    <t xml:space="preserve">Year five EBITDA multiple</t>
  </si>
  <si>
    <t xml:space="preserve">a cash generative buyer's view</t>
  </si>
  <si>
    <t xml:space="preserve">RETURN TO THE INVESTOR, ON THE CENTRAL MULTIPLE</t>
  </si>
  <si>
    <t xml:space="preserve">Years held from entry to exit</t>
  </si>
  <si>
    <t xml:space="preserve">the angel enters at the seed, the fund at a later round</t>
  </si>
  <si>
    <t xml:space="preserve">Proceeds at exit</t>
  </si>
  <si>
    <t xml:space="preserve">on the central revenue multiple</t>
  </si>
  <si>
    <t xml:space="preserve">Multiple of money returned</t>
  </si>
  <si>
    <t xml:space="preserve">Annualised return</t>
  </si>
  <si>
    <t xml:space="preserve">the internal rate of return on one investment and one exit</t>
  </si>
  <si>
    <t xml:space="preserve">THE ROUTES OUT</t>
  </si>
  <si>
    <t xml:space="preserve">Strategic acquisition by an education group</t>
  </si>
  <si>
    <t xml:space="preserve">A regional training or education group buying the institutional relationships and the certified network. The most likely route, and the one the business is shaped for: a buyer acquires delivery capacity in two markets without building it.</t>
  </si>
  <si>
    <t xml:space="preserve">Acquisition by a platform or edtech consolidator</t>
  </si>
  <si>
    <t xml:space="preserve">A buyer acquiring the curriculum, the assessment record and the Arabic product. Values the platform and the data rather than the relationships.</t>
  </si>
  <si>
    <t xml:space="preserve">Secondary sale at the Series A or B</t>
  </si>
  <si>
    <t xml:space="preserve">Early investors sell part of the holding to an incoming fund. Partial liquidity at three to four years without an exit.</t>
  </si>
  <si>
    <t xml:space="preserve">Acquisition by a government backed vehicle</t>
  </si>
  <si>
    <t xml:space="preserve">A sovereign or development backed fund buying national delivery capacity. Slower, lower multiple, highest certainty once the initiative engine is contracted.</t>
  </si>
  <si>
    <t xml:space="preserve">Continue and distribute</t>
  </si>
  <si>
    <t xml:space="preserve">A profitable company of this size can pay dividends rather than sell. The weakest return for an investor and the one a founder should name openly rather than leave implied.</t>
  </si>
</sst>
</file>

<file path=xl/styles.xml><?xml version="1.0" encoding="utf-8"?>
<styleSheet xmlns="http://schemas.openxmlformats.org/spreadsheetml/2006/main">
  <numFmts count="13">
    <numFmt numFmtId="164" formatCode="General"/>
    <numFmt numFmtId="165" formatCode="@"/>
    <numFmt numFmtId="166" formatCode="\$#,##0;&quot;($&quot;#,##0\);\-"/>
    <numFmt numFmtId="167" formatCode="#,##0;\(#,##0\);\-"/>
    <numFmt numFmtId="168" formatCode="\$#,##0"/>
    <numFmt numFmtId="169" formatCode="mmm\-yy"/>
    <numFmt numFmtId="170" formatCode="#,##0.00;\(#,##0.00\);\-"/>
    <numFmt numFmtId="171" formatCode="0.0%"/>
    <numFmt numFmtId="172" formatCode="\$#,##0.00;&quot;($&quot;#,##0.00\);\-"/>
    <numFmt numFmtId="173" formatCode="0.00%"/>
    <numFmt numFmtId="174" formatCode="#,##0.0;\(#,##0.0\);\-"/>
    <numFmt numFmtId="175" formatCode="0.0\x"/>
    <numFmt numFmtId="176" formatCode="0&quot; days&quot;"/>
  </numFmts>
  <fonts count="49">
    <font>
      <sz val="11"/>
      <color theme="1"/>
      <name val="Calibri"/>
      <family val="2"/>
      <charset val="1"/>
    </font>
    <font>
      <sz val="10"/>
      <name val="Arial"/>
      <family val="0"/>
    </font>
    <font>
      <sz val="10"/>
      <name val="Arial"/>
      <family val="0"/>
    </font>
    <font>
      <sz val="10"/>
      <name val="Arial"/>
      <family val="0"/>
    </font>
    <font>
      <b val="true"/>
      <sz val="30"/>
      <color rgb="FF3418E0"/>
      <name val="Arial"/>
      <family val="0"/>
      <charset val="1"/>
    </font>
    <font>
      <sz val="18"/>
      <color rgb="FF0B0E14"/>
      <name val="Arial"/>
      <family val="0"/>
      <charset val="1"/>
    </font>
    <font>
      <b val="true"/>
      <sz val="9.5"/>
      <color rgb="FF3418E0"/>
      <name val="Arial"/>
      <family val="0"/>
      <charset val="1"/>
    </font>
    <font>
      <sz val="9.5"/>
      <color rgb="FF0B0E14"/>
      <name val="Arial"/>
      <family val="0"/>
      <charset val="1"/>
    </font>
    <font>
      <sz val="8.5"/>
      <color rgb="FF6B7285"/>
      <name val="Arial"/>
      <family val="0"/>
      <charset val="1"/>
    </font>
    <font>
      <b val="true"/>
      <sz val="9.5"/>
      <color rgb="FF0B0E14"/>
      <name val="Arial"/>
      <family val="0"/>
      <charset val="1"/>
    </font>
    <font>
      <sz val="9"/>
      <color rgb="FF3A4050"/>
      <name val="Arial"/>
      <family val="0"/>
      <charset val="1"/>
    </font>
    <font>
      <sz val="9"/>
      <color rgb="FF0B0E14"/>
      <name val="Arial"/>
      <family val="0"/>
      <charset val="1"/>
    </font>
    <font>
      <sz val="8.5"/>
      <color rgb="FF3A4050"/>
      <name val="Arial"/>
      <family val="0"/>
      <charset val="1"/>
    </font>
    <font>
      <b val="true"/>
      <sz val="15"/>
      <color rgb="FF3418E0"/>
      <name val="Arial"/>
      <family val="0"/>
      <charset val="1"/>
    </font>
    <font>
      <b val="true"/>
      <sz val="9"/>
      <color rgb="FFFFFFFF"/>
      <name val="Arial"/>
      <family val="0"/>
      <charset val="1"/>
    </font>
    <font>
      <b val="true"/>
      <sz val="9"/>
      <color rgb="FF0B0E14"/>
      <name val="Arial"/>
      <family val="0"/>
      <charset val="1"/>
    </font>
    <font>
      <sz val="9"/>
      <color rgb="FF008000"/>
      <name val="Arial"/>
      <family val="0"/>
      <charset val="1"/>
    </font>
    <font>
      <sz val="7.5"/>
      <color rgb="FF6B7285"/>
      <name val="Arial"/>
      <family val="0"/>
      <charset val="1"/>
    </font>
    <font>
      <b val="true"/>
      <sz val="9"/>
      <color rgb="FFB00020"/>
      <name val="Arial"/>
      <family val="0"/>
      <charset val="1"/>
    </font>
    <font>
      <b val="true"/>
      <sz val="9"/>
      <color rgb="FF008000"/>
      <name val="Arial"/>
      <family val="0"/>
      <charset val="1"/>
    </font>
    <font>
      <b val="true"/>
      <sz val="18"/>
      <color rgb="FF000000"/>
      <name val="Calibri"/>
      <family val="2"/>
    </font>
    <font>
      <sz val="10"/>
      <color rgb="FF000000"/>
      <name val="Calibri"/>
      <family val="2"/>
    </font>
    <font>
      <b val="true"/>
      <sz val="8.5"/>
      <color rgb="FFFFFFFF"/>
      <name val="Arial"/>
      <family val="0"/>
      <charset val="1"/>
    </font>
    <font>
      <sz val="8.5"/>
      <color rgb="FF3418E0"/>
      <name val="Arial"/>
      <family val="0"/>
      <charset val="1"/>
    </font>
    <font>
      <b val="true"/>
      <sz val="8.5"/>
      <color rgb="FF0B0E14"/>
      <name val="Arial"/>
      <family val="0"/>
      <charset val="1"/>
    </font>
    <font>
      <i val="true"/>
      <sz val="8.5"/>
      <color rgb="FF6B7285"/>
      <name val="Arial"/>
      <family val="0"/>
      <charset val="1"/>
    </font>
    <font>
      <b val="true"/>
      <sz val="26"/>
      <color rgb="FF3418E0"/>
      <name val="Arial"/>
      <family val="0"/>
      <charset val="1"/>
    </font>
    <font>
      <b val="true"/>
      <sz val="11"/>
      <color rgb="FF0B0E14"/>
      <name val="Arial"/>
      <family val="0"/>
      <charset val="1"/>
    </font>
    <font>
      <sz val="8"/>
      <color rgb="FF6B7285"/>
      <name val="Arial"/>
      <family val="0"/>
      <charset val="1"/>
    </font>
    <font>
      <sz val="9"/>
      <color rgb="FF0000FF"/>
      <name val="Arial"/>
      <family val="0"/>
      <charset val="1"/>
    </font>
    <font>
      <i val="true"/>
      <sz val="8"/>
      <color rgb="FF6B7285"/>
      <name val="Arial"/>
      <family val="0"/>
      <charset val="1"/>
    </font>
    <font>
      <b val="true"/>
      <sz val="8"/>
      <color rgb="FFFFFFFF"/>
      <name val="Arial"/>
      <family val="0"/>
      <charset val="1"/>
    </font>
    <font>
      <sz val="8"/>
      <color rgb="FF3A4050"/>
      <name val="Arial"/>
      <family val="0"/>
      <charset val="1"/>
    </font>
    <font>
      <b val="true"/>
      <sz val="7"/>
      <color rgb="FFFFFFFF"/>
      <name val="Arial"/>
      <family val="0"/>
      <charset val="1"/>
    </font>
    <font>
      <b val="true"/>
      <sz val="7.4"/>
      <color rgb="FFFFFFFF"/>
      <name val="Arial"/>
      <family val="0"/>
      <charset val="1"/>
    </font>
    <font>
      <sz val="8.5"/>
      <color rgb="FF0B0E14"/>
      <name val="Arial"/>
      <family val="0"/>
      <charset val="1"/>
    </font>
    <font>
      <sz val="7.5"/>
      <color rgb="FF3A4050"/>
      <name val="Arial"/>
      <family val="0"/>
      <charset val="1"/>
    </font>
    <font>
      <b val="true"/>
      <sz val="7.6"/>
      <color rgb="FFFFFFFF"/>
      <name val="Arial"/>
      <family val="0"/>
      <charset val="1"/>
    </font>
    <font>
      <b val="true"/>
      <sz val="8.6"/>
      <color rgb="FF0B0E14"/>
      <name val="Arial"/>
      <family val="0"/>
      <charset val="1"/>
    </font>
    <font>
      <sz val="8.2"/>
      <color rgb="FF0B0E14"/>
      <name val="Arial"/>
      <family val="0"/>
      <charset val="1"/>
    </font>
    <font>
      <b val="true"/>
      <sz val="8.2"/>
      <color rgb="FF0B0E14"/>
      <name val="Arial"/>
      <family val="0"/>
      <charset val="1"/>
    </font>
    <font>
      <sz val="8.2"/>
      <color rgb="FF0000FF"/>
      <name val="Arial"/>
      <family val="0"/>
      <charset val="1"/>
    </font>
    <font>
      <sz val="8.2"/>
      <color rgb="FF008000"/>
      <name val="Arial"/>
      <family val="0"/>
      <charset val="1"/>
    </font>
    <font>
      <b val="true"/>
      <sz val="8.2"/>
      <color rgb="FFB00020"/>
      <name val="Arial"/>
      <family val="0"/>
      <charset val="1"/>
    </font>
    <font>
      <sz val="8.5"/>
      <color rgb="FF0000FF"/>
      <name val="Arial"/>
      <family val="0"/>
      <charset val="1"/>
    </font>
    <font>
      <b val="true"/>
      <sz val="9"/>
      <color rgb="FF3418E0"/>
      <name val="Arial"/>
      <family val="0"/>
      <charset val="1"/>
    </font>
    <font>
      <b val="true"/>
      <sz val="9"/>
      <color rgb="FF0000FF"/>
      <name val="Arial"/>
      <family val="0"/>
      <charset val="1"/>
    </font>
    <font>
      <b val="true"/>
      <sz val="8"/>
      <color rgb="FF3418E0"/>
      <name val="Arial"/>
      <family val="0"/>
      <charset val="1"/>
    </font>
    <font>
      <b val="true"/>
      <sz val="8.5"/>
      <color rgb="FF0000FF"/>
      <name val="Arial"/>
      <family val="0"/>
      <charset val="1"/>
    </font>
  </fonts>
  <fills count="8">
    <fill>
      <patternFill patternType="none"/>
    </fill>
    <fill>
      <patternFill patternType="gray125"/>
    </fill>
    <fill>
      <patternFill patternType="solid">
        <fgColor rgb="FFF2F3F7"/>
        <bgColor rgb="FFE8EAF4"/>
      </patternFill>
    </fill>
    <fill>
      <patternFill patternType="solid">
        <fgColor rgb="FF3418E0"/>
        <bgColor rgb="FF1E0C8C"/>
      </patternFill>
    </fill>
    <fill>
      <patternFill patternType="solid">
        <fgColor rgb="FF1E0C8C"/>
        <bgColor rgb="FF000080"/>
      </patternFill>
    </fill>
    <fill>
      <patternFill patternType="solid">
        <fgColor rgb="FFFFFF00"/>
        <bgColor rgb="FFCBF24A"/>
      </patternFill>
    </fill>
    <fill>
      <patternFill patternType="solid">
        <fgColor rgb="FFCBF24A"/>
        <bgColor rgb="FFFFFF00"/>
      </patternFill>
    </fill>
    <fill>
      <patternFill patternType="solid">
        <fgColor rgb="FFE8EAF4"/>
        <bgColor rgb="FFF2F3F7"/>
      </patternFill>
    </fill>
  </fills>
  <borders count="2">
    <border diagonalUp="false" diagonalDown="false">
      <left/>
      <right/>
      <top/>
      <bottom/>
      <diagonal/>
    </border>
    <border diagonalUp="false" diagonalDown="false">
      <left/>
      <right/>
      <top/>
      <bottom style="medium">
        <color rgb="FF341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2"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9" fillId="5" borderId="0" xfId="0" applyFont="true" applyBorder="false" applyAlignment="false" applyProtection="false">
      <alignment horizontal="general" vertical="bottom" textRotation="0" wrapText="false" indent="0" shrinkToFit="false"/>
      <protection locked="true" hidden="false"/>
    </xf>
    <xf numFmtId="169" fontId="29" fillId="5" borderId="0" xfId="0" applyFont="true" applyBorder="false" applyAlignment="false" applyProtection="false">
      <alignment horizontal="general" vertical="bottom" textRotation="0" wrapText="false" indent="0" shrinkToFit="false"/>
      <protection locked="true" hidden="false"/>
    </xf>
    <xf numFmtId="170" fontId="29" fillId="5" borderId="0" xfId="0" applyFont="true" applyBorder="false" applyAlignment="false" applyProtection="false">
      <alignment horizontal="general" vertical="bottom" textRotation="0" wrapText="false" indent="0" shrinkToFit="false"/>
      <protection locked="true" hidden="false"/>
    </xf>
    <xf numFmtId="171" fontId="29" fillId="5" borderId="0" xfId="0" applyFont="true" applyBorder="false" applyAlignment="false" applyProtection="false">
      <alignment horizontal="general" vertical="bottom" textRotation="0" wrapText="false" indent="0" shrinkToFit="false"/>
      <protection locked="true" hidden="false"/>
    </xf>
    <xf numFmtId="167" fontId="29"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6"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5" fontId="33" fillId="4" borderId="0" xfId="0" applyFont="true" applyBorder="false" applyAlignment="true" applyProtection="false">
      <alignment horizontal="center" vertical="bottom" textRotation="0" wrapText="true" indent="0" shrinkToFit="false"/>
      <protection locked="true" hidden="false"/>
    </xf>
    <xf numFmtId="164" fontId="34" fillId="4" borderId="0" xfId="0" applyFont="true" applyBorder="false" applyAlignment="true" applyProtection="false">
      <alignment horizontal="left" vertical="bottom" textRotation="0" wrapText="tru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center" vertical="bottom" textRotation="0" wrapText="false" indent="0" shrinkToFit="false"/>
      <protection locked="true" hidden="false"/>
    </xf>
    <xf numFmtId="172" fontId="29" fillId="5" borderId="0" xfId="0" applyFont="true" applyBorder="false" applyAlignment="false" applyProtection="false">
      <alignment horizontal="general" vertical="bottom" textRotation="0" wrapText="false" indent="0" shrinkToFit="false"/>
      <protection locked="true" hidden="false"/>
    </xf>
    <xf numFmtId="164" fontId="34" fillId="4" borderId="0" xfId="0" applyFont="true" applyBorder="false" applyAlignment="true" applyProtection="false">
      <alignment horizontal="center" vertical="bottom" textRotation="0" wrapText="true" indent="0" shrinkToFit="false"/>
      <protection locked="true" hidden="false"/>
    </xf>
    <xf numFmtId="173" fontId="29" fillId="5" borderId="0" xfId="0" applyFont="true" applyBorder="false" applyAlignment="false" applyProtection="false">
      <alignment horizontal="general" vertical="bottom" textRotation="0" wrapText="false" indent="0" shrinkToFit="false"/>
      <protection locked="true" hidden="false"/>
    </xf>
    <xf numFmtId="174" fontId="29" fillId="5" borderId="0" xfId="0" applyFont="true" applyBorder="false" applyAlignment="false" applyProtection="false">
      <alignment horizontal="general" vertical="bottom" textRotation="0" wrapText="false" indent="0" shrinkToFit="false"/>
      <protection locked="true" hidden="false"/>
    </xf>
    <xf numFmtId="175" fontId="29" fillId="5" borderId="0" xfId="0" applyFont="true" applyBorder="false" applyAlignment="false" applyProtection="false">
      <alignment horizontal="general" vertical="bottom" textRotation="0" wrapText="false" indent="0" shrinkToFit="false"/>
      <protection locked="true" hidden="false"/>
    </xf>
    <xf numFmtId="176" fontId="29" fillId="5" borderId="0" xfId="0" applyFont="true" applyBorder="false" applyAlignment="false" applyProtection="false">
      <alignment horizontal="general" vertical="bottom" textRotation="0" wrapText="false" indent="0" shrinkToFit="false"/>
      <protection locked="true" hidden="false"/>
    </xf>
    <xf numFmtId="165" fontId="24" fillId="6" borderId="0" xfId="0" applyFont="true" applyBorder="false" applyAlignment="true" applyProtection="false">
      <alignment horizontal="center" vertical="bottom" textRotation="0" wrapText="false" indent="0" shrinkToFit="false"/>
      <protection locked="true" hidden="false"/>
    </xf>
    <xf numFmtId="165" fontId="37" fillId="4" borderId="0" xfId="0" applyFont="true" applyBorder="false" applyAlignment="true" applyProtection="false">
      <alignment horizontal="center" vertical="bottom" textRotation="0" wrapText="false" indent="0" shrinkToFit="false"/>
      <protection locked="true" hidden="false"/>
    </xf>
    <xf numFmtId="165" fontId="37" fillId="3" borderId="0" xfId="0" applyFont="true" applyBorder="false" applyAlignment="true" applyProtection="false">
      <alignment horizontal="center" vertical="bottom" textRotation="0" wrapText="false" indent="0" shrinkToFit="false"/>
      <protection locked="true" hidden="false"/>
    </xf>
    <xf numFmtId="166" fontId="38" fillId="7" borderId="0" xfId="0" applyFont="true" applyBorder="fals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6" fontId="38" fillId="6" borderId="0" xfId="0" applyFont="true" applyBorder="false" applyAlignment="false" applyProtection="false">
      <alignment horizontal="general" vertical="bottom" textRotation="0" wrapText="false" indent="0" shrinkToFit="false"/>
      <protection locked="true" hidden="false"/>
    </xf>
    <xf numFmtId="166" fontId="40"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6" fontId="40" fillId="7"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6" fontId="41" fillId="5" borderId="0" xfId="0" applyFont="true" applyBorder="false" applyAlignment="false" applyProtection="false">
      <alignment horizontal="general" vertical="bottom" textRotation="0" wrapText="false" indent="0" shrinkToFit="false"/>
      <protection locked="true" hidden="false"/>
    </xf>
    <xf numFmtId="167" fontId="38" fillId="0" borderId="0" xfId="0" applyFont="true" applyBorder="false" applyAlignment="false" applyProtection="false">
      <alignment horizontal="general" vertical="bottom" textRotation="0" wrapText="false" indent="0" shrinkToFit="false"/>
      <protection locked="true" hidden="false"/>
    </xf>
    <xf numFmtId="167" fontId="41" fillId="5"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false" applyProtection="false">
      <alignment horizontal="general" vertical="bottom" textRotation="0" wrapText="false" indent="0" shrinkToFit="false"/>
      <protection locked="true" hidden="false"/>
    </xf>
    <xf numFmtId="166" fontId="40" fillId="0" borderId="0" xfId="0" applyFont="true" applyBorder="false" applyAlignment="false" applyProtection="false">
      <alignment horizontal="general" vertical="bottom" textRotation="0" wrapText="false" indent="0" shrinkToFit="false"/>
      <protection locked="true" hidden="false"/>
    </xf>
    <xf numFmtId="167" fontId="38" fillId="7" borderId="0" xfId="0"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74" fontId="38" fillId="7"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7" fontId="40" fillId="0" borderId="0" xfId="0" applyFont="true" applyBorder="false" applyAlignment="false" applyProtection="false">
      <alignment horizontal="general" vertical="bottom" textRotation="0" wrapText="false" indent="0" shrinkToFit="false"/>
      <protection locked="true" hidden="false"/>
    </xf>
    <xf numFmtId="174" fontId="40" fillId="0" borderId="0" xfId="0" applyFont="true" applyBorder="false" applyAlignment="false" applyProtection="false">
      <alignment horizontal="general" vertical="bottom" textRotation="0" wrapText="false" indent="0" shrinkToFit="false"/>
      <protection locked="true" hidden="false"/>
    </xf>
    <xf numFmtId="172" fontId="38" fillId="7"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67" fontId="40" fillId="7" borderId="0" xfId="0" applyFont="true" applyBorder="false" applyAlignment="false" applyProtection="false">
      <alignment horizontal="general" vertical="bottom" textRotation="0" wrapText="false" indent="0" shrinkToFit="false"/>
      <protection locked="true" hidden="false"/>
    </xf>
    <xf numFmtId="174" fontId="38" fillId="6" borderId="0" xfId="0" applyFont="true" applyBorder="false" applyAlignment="false" applyProtection="false">
      <alignment horizontal="general" vertical="bottom" textRotation="0" wrapText="false" indent="0" shrinkToFit="false"/>
      <protection locked="true" hidden="false"/>
    </xf>
    <xf numFmtId="174" fontId="40" fillId="6" borderId="0" xfId="0" applyFont="true" applyBorder="false" applyAlignment="false" applyProtection="false">
      <alignment horizontal="general" vertical="bottom" textRotation="0" wrapText="false" indent="0" shrinkToFit="false"/>
      <protection locked="true" hidden="false"/>
    </xf>
    <xf numFmtId="174" fontId="40" fillId="7" borderId="0" xfId="0" applyFont="true" applyBorder="false" applyAlignment="false" applyProtection="false">
      <alignment horizontal="general" vertical="bottom" textRotation="0" wrapText="false" indent="0" shrinkToFit="false"/>
      <protection locked="true" hidden="false"/>
    </xf>
    <xf numFmtId="174" fontId="42" fillId="0" borderId="0" xfId="0" applyFont="true" applyBorder="false" applyAlignment="false" applyProtection="false">
      <alignment horizontal="general" vertical="bottom" textRotation="0" wrapText="false" indent="0" shrinkToFit="false"/>
      <protection locked="true" hidden="false"/>
    </xf>
    <xf numFmtId="175" fontId="38" fillId="6" borderId="0" xfId="0" applyFont="true" applyBorder="false" applyAlignment="false" applyProtection="false">
      <alignment horizontal="general" vertical="bottom" textRotation="0" wrapText="false" indent="0" shrinkToFit="false"/>
      <protection locked="true" hidden="false"/>
    </xf>
    <xf numFmtId="175" fontId="40" fillId="6" borderId="0" xfId="0" applyFont="true" applyBorder="false" applyAlignment="false" applyProtection="false">
      <alignment horizontal="general" vertical="bottom" textRotation="0" wrapText="false" indent="0" shrinkToFit="false"/>
      <protection locked="true" hidden="false"/>
    </xf>
    <xf numFmtId="167" fontId="42" fillId="0" borderId="0" xfId="0" applyFont="true" applyBorder="false" applyAlignment="false" applyProtection="false">
      <alignment horizontal="general" vertical="bottom" textRotation="0" wrapText="false" indent="0" shrinkToFit="false"/>
      <protection locked="true" hidden="false"/>
    </xf>
    <xf numFmtId="174" fontId="43" fillId="7" borderId="0" xfId="0" applyFont="true" applyBorder="false" applyAlignment="false" applyProtection="false">
      <alignment horizontal="general" vertical="bottom" textRotation="0" wrapText="false" indent="0" shrinkToFit="false"/>
      <protection locked="true" hidden="false"/>
    </xf>
    <xf numFmtId="171" fontId="38" fillId="6" borderId="0" xfId="0" applyFont="true" applyBorder="false" applyAlignment="false" applyProtection="false">
      <alignment horizontal="general" vertical="bottom" textRotation="0" wrapText="false" indent="0" shrinkToFit="false"/>
      <protection locked="true" hidden="false"/>
    </xf>
    <xf numFmtId="171" fontId="40" fillId="6" borderId="0" xfId="0" applyFont="true" applyBorder="false" applyAlignment="false" applyProtection="false">
      <alignment horizontal="general" vertical="bottom" textRotation="0" wrapText="false" indent="0" shrinkToFit="false"/>
      <protection locked="true" hidden="false"/>
    </xf>
    <xf numFmtId="174" fontId="43" fillId="0" borderId="0" xfId="0" applyFont="true" applyBorder="false" applyAlignment="false" applyProtection="false">
      <alignment horizontal="general" vertical="bottom" textRotation="0" wrapText="false" indent="0" shrinkToFit="false"/>
      <protection locked="true" hidden="false"/>
    </xf>
    <xf numFmtId="167" fontId="35" fillId="0" borderId="0" xfId="0" applyFont="true" applyBorder="false" applyAlignment="false" applyProtection="false">
      <alignment horizontal="general" vertical="bottom" textRotation="0" wrapText="false" indent="0" shrinkToFit="false"/>
      <protection locked="true" hidden="false"/>
    </xf>
    <xf numFmtId="167" fontId="24"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73" fontId="38" fillId="7" borderId="0" xfId="0" applyFont="true" applyBorder="false" applyAlignment="false" applyProtection="false">
      <alignment horizontal="general" vertical="bottom" textRotation="0" wrapText="false" indent="0" shrinkToFit="false"/>
      <protection locked="true" hidden="false"/>
    </xf>
    <xf numFmtId="173" fontId="40" fillId="0" borderId="0" xfId="0" applyFont="true" applyBorder="false" applyAlignment="false" applyProtection="false">
      <alignment horizontal="general" vertical="bottom" textRotation="0" wrapText="false" indent="0" shrinkToFit="false"/>
      <protection locked="true" hidden="false"/>
    </xf>
    <xf numFmtId="172" fontId="42" fillId="0" borderId="0" xfId="0" applyFont="true" applyBorder="false" applyAlignment="false" applyProtection="false">
      <alignment horizontal="general" vertical="bottom" textRotation="0" wrapText="false" indent="0" shrinkToFit="false"/>
      <protection locked="true" hidden="false"/>
    </xf>
    <xf numFmtId="167" fontId="38" fillId="6" borderId="0" xfId="0" applyFont="true" applyBorder="false" applyAlignment="false" applyProtection="false">
      <alignment horizontal="general" vertical="bottom" textRotation="0" wrapText="false" indent="0" shrinkToFit="false"/>
      <protection locked="true" hidden="false"/>
    </xf>
    <xf numFmtId="167" fontId="40" fillId="6" borderId="0" xfId="0" applyFont="true" applyBorder="false" applyAlignment="false" applyProtection="false">
      <alignment horizontal="general" vertical="bottom" textRotation="0" wrapText="false" indent="0" shrinkToFit="false"/>
      <protection locked="true" hidden="false"/>
    </xf>
    <xf numFmtId="171" fontId="38" fillId="7" borderId="0" xfId="0" applyFont="true" applyBorder="false" applyAlignment="false" applyProtection="false">
      <alignment horizontal="general" vertical="bottom" textRotation="0" wrapText="false" indent="0" shrinkToFit="false"/>
      <protection locked="true" hidden="false"/>
    </xf>
    <xf numFmtId="171" fontId="39" fillId="0"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true" applyProtection="false">
      <alignment horizontal="center" vertical="bottom" textRotation="0" wrapText="true" indent="0" shrinkToFit="false"/>
      <protection locked="true" hidden="false"/>
    </xf>
    <xf numFmtId="167" fontId="44" fillId="5" borderId="0" xfId="0" applyFont="true" applyBorder="false" applyAlignment="false" applyProtection="false">
      <alignment horizontal="general" vertical="bottom" textRotation="0" wrapText="false" indent="0" shrinkToFit="false"/>
      <protection locked="true" hidden="false"/>
    </xf>
    <xf numFmtId="166" fontId="44" fillId="5"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7" fontId="46" fillId="5"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43" fillId="0"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1" fontId="28" fillId="0"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5" borderId="0" xfId="0" applyFont="true" applyBorder="false" applyAlignment="true" applyProtection="false">
      <alignment horizontal="center" vertical="bottom" textRotation="0" wrapText="false" indent="0" shrinkToFit="false"/>
      <protection locked="true" hidden="false"/>
    </xf>
    <xf numFmtId="171" fontId="48" fillId="5" borderId="0" xfId="0" applyFont="true" applyBorder="false" applyAlignment="false" applyProtection="false">
      <alignment horizontal="general" vertical="bottom" textRotation="0" wrapText="false" indent="0" shrinkToFit="false"/>
      <protection locked="true" hidden="false"/>
    </xf>
    <xf numFmtId="166" fontId="35"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71" fontId="15" fillId="6" borderId="0" xfId="0" applyFont="true" applyBorder="false" applyAlignment="false" applyProtection="false">
      <alignment horizontal="general" vertical="bottom" textRotation="0" wrapText="false" indent="0" shrinkToFit="false"/>
      <protection locked="true" hidden="false"/>
    </xf>
    <xf numFmtId="175" fontId="1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1E0C8C"/>
      <rgbColor rgb="FF808000"/>
      <rgbColor rgb="FF800080"/>
      <rgbColor rgb="FF008080"/>
      <rgbColor rgb="FFC0C0C0"/>
      <rgbColor rgb="FF878787"/>
      <rgbColor rgb="FF9999FF"/>
      <rgbColor rgb="FFBE4B48"/>
      <rgbColor rgb="FFF2F3F7"/>
      <rgbColor rgb="FFE8EAF4"/>
      <rgbColor rgb="FF660066"/>
      <rgbColor rgb="FFFF8080"/>
      <rgbColor rgb="FF0066CC"/>
      <rgbColor rgb="FFD9D9D9"/>
      <rgbColor rgb="FF000080"/>
      <rgbColor rgb="FFFF00FF"/>
      <rgbColor rgb="FFCBF24A"/>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6B7285"/>
      <rgbColor rgb="FF969696"/>
      <rgbColor rgb="FF003366"/>
      <rgbColor rgb="FF339966"/>
      <rgbColor rgb="FF0B0E14"/>
      <rgbColor rgb="FF333300"/>
      <rgbColor rgb="FF993300"/>
      <rgbColor rgb="FF993366"/>
      <rgbColor rgb="FF3418E0"/>
      <rgbColor rgb="FF3A40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against total expenses</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'Total Revenue'!$C$25:$BN$25</c:f>
              <c:numCache>
                <c:formatCode>\$#,##0;"($"#,##0\);\-</c:formatCode>
                <c:ptCount val="64"/>
                <c:pt idx="0">
                  <c:v>1925.02138465909</c:v>
                </c:pt>
                <c:pt idx="1">
                  <c:v>2368.79901931818</c:v>
                </c:pt>
                <c:pt idx="2">
                  <c:v>2894.08415397727</c:v>
                </c:pt>
                <c:pt idx="3">
                  <c:v>4645.28953863636</c:v>
                </c:pt>
                <c:pt idx="4">
                  <c:v>5447.09117329546</c:v>
                </c:pt>
                <c:pt idx="5">
                  <c:v>6403.36830795455</c:v>
                </c:pt>
                <c:pt idx="6">
                  <c:v>6599.65869261364</c:v>
                </c:pt>
                <c:pt idx="7">
                  <c:v>7729.38907727273</c:v>
                </c:pt>
                <c:pt idx="8">
                  <c:v>9079.12746193182</c:v>
                </c:pt>
                <c:pt idx="9">
                  <c:v>17920.7618465909</c:v>
                </c:pt>
                <c:pt idx="10">
                  <c:v>21122.52623125</c:v>
                </c:pt>
                <c:pt idx="11">
                  <c:v>24957.0866159091</c:v>
                </c:pt>
                <c:pt idx="12">
                  <c:v>897001.554313258</c:v>
                </c:pt>
                <c:pt idx="13">
                  <c:v>24884.9474931187</c:v>
                </c:pt>
                <c:pt idx="14">
                  <c:v>29323.8029536616</c:v>
                </c:pt>
                <c:pt idx="15">
                  <c:v>34616.4919142046</c:v>
                </c:pt>
                <c:pt idx="16">
                  <c:v>42331.8781247475</c:v>
                </c:pt>
                <c:pt idx="17">
                  <c:v>49869.4455852904</c:v>
                </c:pt>
                <c:pt idx="18">
                  <c:v>58878.4305458333</c:v>
                </c:pt>
                <c:pt idx="19">
                  <c:v>70422.1557563763</c:v>
                </c:pt>
                <c:pt idx="20">
                  <c:v>82986.4084669192</c:v>
                </c:pt>
                <c:pt idx="21">
                  <c:v>98023.2941774621</c:v>
                </c:pt>
                <c:pt idx="22">
                  <c:v>113732.686054672</c:v>
                </c:pt>
                <c:pt idx="23">
                  <c:v>133892.188765215</c:v>
                </c:pt>
                <c:pt idx="24">
                  <c:v>158039.824475758</c:v>
                </c:pt>
                <c:pt idx="25">
                  <c:v>3342076.96762152</c:v>
                </c:pt>
                <c:pt idx="26">
                  <c:v>168229.208705404</c:v>
                </c:pt>
                <c:pt idx="27">
                  <c:v>198178.998768384</c:v>
                </c:pt>
                <c:pt idx="28">
                  <c:v>234026.595831364</c:v>
                </c:pt>
                <c:pt idx="29">
                  <c:v>205045.962727677</c:v>
                </c:pt>
                <c:pt idx="30">
                  <c:v>241137.553790657</c:v>
                </c:pt>
                <c:pt idx="31">
                  <c:v>284349.333853636</c:v>
                </c:pt>
                <c:pt idx="32">
                  <c:v>266723.539416616</c:v>
                </c:pt>
                <c:pt idx="33">
                  <c:v>313142.897479596</c:v>
                </c:pt>
                <c:pt idx="34">
                  <c:v>368743.638542576</c:v>
                </c:pt>
                <c:pt idx="35">
                  <c:v>299459.125438889</c:v>
                </c:pt>
                <c:pt idx="36">
                  <c:v>350779.736501869</c:v>
                </c:pt>
                <c:pt idx="37">
                  <c:v>412260.376564848</c:v>
                </c:pt>
                <c:pt idx="38">
                  <c:v>6651975.79649727</c:v>
                </c:pt>
                <c:pt idx="39">
                  <c:v>375417.438335606</c:v>
                </c:pt>
                <c:pt idx="40">
                  <c:v>439829.14827303</c:v>
                </c:pt>
                <c:pt idx="41">
                  <c:v>516984.276010455</c:v>
                </c:pt>
                <c:pt idx="42">
                  <c:v>445982.860447879</c:v>
                </c:pt>
                <c:pt idx="43">
                  <c:v>521837.086385303</c:v>
                </c:pt>
                <c:pt idx="44">
                  <c:v>612717.042122727</c:v>
                </c:pt>
                <c:pt idx="45">
                  <c:v>496646.770560152</c:v>
                </c:pt>
                <c:pt idx="46">
                  <c:v>579992.030497576</c:v>
                </c:pt>
                <c:pt idx="47">
                  <c:v>679859.608235</c:v>
                </c:pt>
                <c:pt idx="48">
                  <c:v>561233.859339091</c:v>
                </c:pt>
                <c:pt idx="49">
                  <c:v>654721.635276515</c:v>
                </c:pt>
                <c:pt idx="50">
                  <c:v>766754.041013939</c:v>
                </c:pt>
                <c:pt idx="51">
                  <c:v>10320927.9251864</c:v>
                </c:pt>
                <c:pt idx="52">
                  <c:v>645090.466799121</c:v>
                </c:pt>
                <c:pt idx="53">
                  <c:v>751874.781084301</c:v>
                </c:pt>
                <c:pt idx="54">
                  <c:v>879830.081569482</c:v>
                </c:pt>
                <c:pt idx="55">
                  <c:v>694729.409104663</c:v>
                </c:pt>
                <c:pt idx="56">
                  <c:v>808322.400452344</c:v>
                </c:pt>
                <c:pt idx="57">
                  <c:v>944449.628375025</c:v>
                </c:pt>
                <c:pt idx="58">
                  <c:v>774724.643326873</c:v>
                </c:pt>
                <c:pt idx="59">
                  <c:v>900820.951987054</c:v>
                </c:pt>
                <c:pt idx="60">
                  <c:v>1051948.77309723</c:v>
                </c:pt>
                <c:pt idx="61">
                  <c:v>816275.689799083</c:v>
                </c:pt>
                <c:pt idx="62">
                  <c:v>947680.675521764</c:v>
                </c:pt>
                <c:pt idx="63">
                  <c:v>1105180.42406944</c:v>
                </c:pt>
              </c:numCache>
            </c:numRef>
          </c:val>
          <c:smooth val="1"/>
        </c:ser>
        <c:ser>
          <c:idx val="1"/>
          <c:order val="1"/>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Expenses!$C$50:$BN$50</c:f>
              <c:numCache>
                <c:formatCode>\$#,##0;"($"#,##0\);\-</c:formatCode>
                <c:ptCount val="64"/>
                <c:pt idx="0">
                  <c:v>10955.2837318639</c:v>
                </c:pt>
                <c:pt idx="1">
                  <c:v>11679.8977239803</c:v>
                </c:pt>
                <c:pt idx="2">
                  <c:v>12330.7042265611</c:v>
                </c:pt>
                <c:pt idx="3">
                  <c:v>10428.9323178791</c:v>
                </c:pt>
                <c:pt idx="4">
                  <c:v>10741.2599510776</c:v>
                </c:pt>
                <c:pt idx="5">
                  <c:v>11115.4480934768</c:v>
                </c:pt>
                <c:pt idx="6">
                  <c:v>10992.8528194917</c:v>
                </c:pt>
                <c:pt idx="7">
                  <c:v>11403.482864879</c:v>
                </c:pt>
                <c:pt idx="8">
                  <c:v>11895.7181441701</c:v>
                </c:pt>
                <c:pt idx="9">
                  <c:v>14172.7502776698</c:v>
                </c:pt>
                <c:pt idx="10">
                  <c:v>15159.6275546676</c:v>
                </c:pt>
                <c:pt idx="11">
                  <c:v>16342.7967514887</c:v>
                </c:pt>
                <c:pt idx="12">
                  <c:v>643522.741553424</c:v>
                </c:pt>
                <c:pt idx="13">
                  <c:v>38587.5325072183</c:v>
                </c:pt>
                <c:pt idx="14">
                  <c:v>40178.2613455621</c:v>
                </c:pt>
                <c:pt idx="15">
                  <c:v>41938.1779175446</c:v>
                </c:pt>
                <c:pt idx="16">
                  <c:v>43935.835940359</c:v>
                </c:pt>
                <c:pt idx="17">
                  <c:v>46323.2733716511</c:v>
                </c:pt>
                <c:pt idx="18">
                  <c:v>49182.5681249345</c:v>
                </c:pt>
                <c:pt idx="19">
                  <c:v>51512.5468989847</c:v>
                </c:pt>
                <c:pt idx="20">
                  <c:v>55253.2053359509</c:v>
                </c:pt>
                <c:pt idx="21">
                  <c:v>59735.8601543122</c:v>
                </c:pt>
                <c:pt idx="22">
                  <c:v>65629.5884555822</c:v>
                </c:pt>
                <c:pt idx="23">
                  <c:v>71877.3830967405</c:v>
                </c:pt>
                <c:pt idx="24">
                  <c:v>79368.5084045843</c:v>
                </c:pt>
                <c:pt idx="25">
                  <c:v>1897825.77154344</c:v>
                </c:pt>
                <c:pt idx="26">
                  <c:v>121490.011127605</c:v>
                </c:pt>
                <c:pt idx="27">
                  <c:v>131294.027981645</c:v>
                </c:pt>
                <c:pt idx="28">
                  <c:v>142503.06023026</c:v>
                </c:pt>
                <c:pt idx="29">
                  <c:v>134725.902579471</c:v>
                </c:pt>
                <c:pt idx="30">
                  <c:v>146284.857514124</c:v>
                </c:pt>
                <c:pt idx="31">
                  <c:v>160140.094800904</c:v>
                </c:pt>
                <c:pt idx="32">
                  <c:v>153596.556509955</c:v>
                </c:pt>
                <c:pt idx="33">
                  <c:v>168431.553228289</c:v>
                </c:pt>
                <c:pt idx="34">
                  <c:v>186220.947476316</c:v>
                </c:pt>
                <c:pt idx="35">
                  <c:v>166281.530180969</c:v>
                </c:pt>
                <c:pt idx="36">
                  <c:v>183250.930478292</c:v>
                </c:pt>
                <c:pt idx="37">
                  <c:v>203606.299435608</c:v>
                </c:pt>
                <c:pt idx="38">
                  <c:v>3376714.09899283</c:v>
                </c:pt>
                <c:pt idx="39">
                  <c:v>221556.437323748</c:v>
                </c:pt>
                <c:pt idx="40">
                  <c:v>242927.649225096</c:v>
                </c:pt>
                <c:pt idx="41">
                  <c:v>268361.1210354</c:v>
                </c:pt>
                <c:pt idx="42">
                  <c:v>245913.03765943</c:v>
                </c:pt>
                <c:pt idx="43">
                  <c:v>271243.882054024</c:v>
                </c:pt>
                <c:pt idx="44">
                  <c:v>301626.445483578</c:v>
                </c:pt>
                <c:pt idx="45">
                  <c:v>260606.784620896</c:v>
                </c:pt>
                <c:pt idx="46">
                  <c:v>288267.590253446</c:v>
                </c:pt>
                <c:pt idx="47">
                  <c:v>321380.971936893</c:v>
                </c:pt>
                <c:pt idx="48">
                  <c:v>284413.090135241</c:v>
                </c:pt>
                <c:pt idx="49">
                  <c:v>316158.87891877</c:v>
                </c:pt>
                <c:pt idx="50">
                  <c:v>354258.210346314</c:v>
                </c:pt>
                <c:pt idx="51">
                  <c:v>4936390.4742942</c:v>
                </c:pt>
                <c:pt idx="52">
                  <c:v>337722.455711236</c:v>
                </c:pt>
                <c:pt idx="53">
                  <c:v>374452.537211926</c:v>
                </c:pt>
                <c:pt idx="54">
                  <c:v>418078.363703246</c:v>
                </c:pt>
                <c:pt idx="55">
                  <c:v>355400.657334934</c:v>
                </c:pt>
                <c:pt idx="56">
                  <c:v>394565.24019541</c:v>
                </c:pt>
                <c:pt idx="57">
                  <c:v>441529.16838518</c:v>
                </c:pt>
                <c:pt idx="58">
                  <c:v>379753.943568764</c:v>
                </c:pt>
                <c:pt idx="59">
                  <c:v>422957.494562459</c:v>
                </c:pt>
                <c:pt idx="60">
                  <c:v>474824.107050374</c:v>
                </c:pt>
                <c:pt idx="61">
                  <c:v>396765.016412045</c:v>
                </c:pt>
                <c:pt idx="62">
                  <c:v>442631.77388684</c:v>
                </c:pt>
                <c:pt idx="63">
                  <c:v>497709.716271785</c:v>
                </c:pt>
              </c:numCache>
            </c:numRef>
          </c:val>
          <c:smooth val="1"/>
        </c:ser>
        <c:hiLowLines>
          <c:spPr>
            <a:ln w="0">
              <a:noFill/>
            </a:ln>
          </c:spPr>
        </c:hiLowLines>
        <c:marker val="0"/>
        <c:axId val="51735353"/>
        <c:axId val="11958976"/>
      </c:lineChart>
      <c:catAx>
        <c:axId val="517353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958976"/>
        <c:crosses val="autoZero"/>
        <c:auto val="1"/>
        <c:lblAlgn val="ctr"/>
        <c:lblOffset val="100"/>
        <c:noMultiLvlLbl val="0"/>
      </c:catAx>
      <c:valAx>
        <c:axId val="11958976"/>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73535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balance, month by month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'Cash Flow Statement'!$C$35:$BN$35</c:f>
              <c:numCache>
                <c:formatCode>\$#,##0;"($"#,##0\);\-</c:formatCode>
                <c:ptCount val="64"/>
                <c:pt idx="0">
                  <c:v>37567.0108122425</c:v>
                </c:pt>
                <c:pt idx="1">
                  <c:v>26039.6314082187</c:v>
                </c:pt>
                <c:pt idx="2">
                  <c:v>267989.117930489</c:v>
                </c:pt>
                <c:pt idx="3">
                  <c:v>256633.379309413</c:v>
                </c:pt>
                <c:pt idx="4">
                  <c:v>250428.984437332</c:v>
                </c:pt>
                <c:pt idx="5">
                  <c:v>244532.96631692</c:v>
                </c:pt>
                <c:pt idx="6">
                  <c:v>239964.947601377</c:v>
                </c:pt>
                <c:pt idx="7">
                  <c:v>234677.965713048</c:v>
                </c:pt>
                <c:pt idx="8">
                  <c:v>229857.70345165</c:v>
                </c:pt>
                <c:pt idx="9">
                  <c:v>218062.084319995</c:v>
                </c:pt>
                <c:pt idx="10">
                  <c:v>219478.918578757</c:v>
                </c:pt>
                <c:pt idx="11">
                  <c:v>222505.596480491</c:v>
                </c:pt>
                <c:pt idx="12">
                  <c:v>301159.136374112</c:v>
                </c:pt>
                <c:pt idx="13">
                  <c:v>225548.767105567</c:v>
                </c:pt>
                <c:pt idx="14">
                  <c:v>210126.154516461</c:v>
                </c:pt>
                <c:pt idx="15">
                  <c:v>196802.189144617</c:v>
                </c:pt>
                <c:pt idx="16">
                  <c:v>183874.22762593</c:v>
                </c:pt>
                <c:pt idx="17">
                  <c:v>177003.555902508</c:v>
                </c:pt>
                <c:pt idx="18">
                  <c:v>173705.511134792</c:v>
                </c:pt>
                <c:pt idx="19">
                  <c:v>174794.411600587</c:v>
                </c:pt>
                <c:pt idx="20">
                  <c:v>184432.821402818</c:v>
                </c:pt>
                <c:pt idx="21">
                  <c:v>200481.888631649</c:v>
                </c:pt>
                <c:pt idx="22">
                  <c:v>227134.938878159</c:v>
                </c:pt>
                <c:pt idx="23">
                  <c:v>259032.554491158</c:v>
                </c:pt>
                <c:pt idx="24">
                  <c:v>301159.136374112</c:v>
                </c:pt>
                <c:pt idx="25">
                  <c:v>1423393.64132164</c:v>
                </c:pt>
                <c:pt idx="26">
                  <c:v>349743.35403957</c:v>
                </c:pt>
                <c:pt idx="27">
                  <c:v>376011.584837178</c:v>
                </c:pt>
                <c:pt idx="28">
                  <c:v>417356.032990952</c:v>
                </c:pt>
                <c:pt idx="29">
                  <c:v>506971.768350963</c:v>
                </c:pt>
                <c:pt idx="30">
                  <c:v>550844.890754584</c:v>
                </c:pt>
                <c:pt idx="31">
                  <c:v>612891.970015573</c:v>
                </c:pt>
                <c:pt idx="32">
                  <c:v>770705.842360161</c:v>
                </c:pt>
                <c:pt idx="33">
                  <c:v>846258.105330579</c:v>
                </c:pt>
                <c:pt idx="34">
                  <c:v>945506.046970944</c:v>
                </c:pt>
                <c:pt idx="35">
                  <c:v>1219561.2520505</c:v>
                </c:pt>
                <c:pt idx="36">
                  <c:v>1308426.0357464</c:v>
                </c:pt>
                <c:pt idx="37">
                  <c:v>1423393.64132164</c:v>
                </c:pt>
                <c:pt idx="38">
                  <c:v>4062304.52769995</c:v>
                </c:pt>
                <c:pt idx="39">
                  <c:v>1685184.41489661</c:v>
                </c:pt>
                <c:pt idx="40">
                  <c:v>1791520.45715231</c:v>
                </c:pt>
                <c:pt idx="41">
                  <c:v>1931376.49479371</c:v>
                </c:pt>
                <c:pt idx="42">
                  <c:v>1958401.99359619</c:v>
                </c:pt>
                <c:pt idx="43">
                  <c:v>2098608.83142064</c:v>
                </c:pt>
                <c:pt idx="44">
                  <c:v>2278345.36430299</c:v>
                </c:pt>
                <c:pt idx="45">
                  <c:v>2740416.31859374</c:v>
                </c:pt>
                <c:pt idx="46">
                  <c:v>2905588.52517416</c:v>
                </c:pt>
                <c:pt idx="47">
                  <c:v>3114842.2980994</c:v>
                </c:pt>
                <c:pt idx="48">
                  <c:v>3626057.15026923</c:v>
                </c:pt>
                <c:pt idx="49">
                  <c:v>3819593.00568269</c:v>
                </c:pt>
                <c:pt idx="50">
                  <c:v>4062304.52769995</c:v>
                </c:pt>
                <c:pt idx="51">
                  <c:v>8477398.88278772</c:v>
                </c:pt>
                <c:pt idx="52">
                  <c:v>4630216.92343156</c:v>
                </c:pt>
                <c:pt idx="53">
                  <c:v>4849002.09003198</c:v>
                </c:pt>
                <c:pt idx="54">
                  <c:v>5124632.76588349</c:v>
                </c:pt>
                <c:pt idx="55">
                  <c:v>5081324.63291412</c:v>
                </c:pt>
                <c:pt idx="56">
                  <c:v>5321011.26928553</c:v>
                </c:pt>
                <c:pt idx="57">
                  <c:v>5621507.46952413</c:v>
                </c:pt>
                <c:pt idx="58">
                  <c:v>6334887.60835331</c:v>
                </c:pt>
                <c:pt idx="59">
                  <c:v>6613804.95310893</c:v>
                </c:pt>
                <c:pt idx="60">
                  <c:v>6960613.43395656</c:v>
                </c:pt>
                <c:pt idx="61">
                  <c:v>7819332.20225578</c:v>
                </c:pt>
                <c:pt idx="62">
                  <c:v>8112969.45752747</c:v>
                </c:pt>
                <c:pt idx="63">
                  <c:v>8477398.88278772</c:v>
                </c:pt>
              </c:numCache>
            </c:numRef>
          </c:val>
          <c:smooth val="1"/>
        </c:ser>
        <c:hiLowLines>
          <c:spPr>
            <a:ln w="0">
              <a:noFill/>
            </a:ln>
          </c:spPr>
        </c:hiLowLines>
        <c:marker val="0"/>
        <c:axId val="60431322"/>
        <c:axId val="28241793"/>
      </c:lineChart>
      <c:catAx>
        <c:axId val="6043132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241793"/>
        <c:crosses val="autoZero"/>
        <c:auto val="1"/>
        <c:lblAlgn val="ctr"/>
        <c:lblOffset val="100"/>
        <c:noMultiLvlLbl val="0"/>
      </c:catAx>
      <c:valAx>
        <c:axId val="28241793"/>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4313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1</xdr:col>
      <xdr:colOff>1852560</xdr:colOff>
      <xdr:row>36</xdr:row>
      <xdr:rowOff>32760</xdr:rowOff>
    </xdr:to>
    <xdr:graphicFrame>
      <xdr:nvGraphicFramePr>
        <xdr:cNvPr id="0" name="Chart 1"/>
        <xdr:cNvGraphicFramePr/>
      </xdr:nvGraphicFramePr>
      <xdr:xfrm>
        <a:off x="0" y="4191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0</xdr:rowOff>
    </xdr:from>
    <xdr:to>
      <xdr:col>11</xdr:col>
      <xdr:colOff>417240</xdr:colOff>
      <xdr:row>36</xdr:row>
      <xdr:rowOff>32760</xdr:rowOff>
    </xdr:to>
    <xdr:graphicFrame>
      <xdr:nvGraphicFramePr>
        <xdr:cNvPr id="1" name="Chart 2"/>
        <xdr:cNvGraphicFramePr/>
      </xdr:nvGraphicFramePr>
      <xdr:xfrm>
        <a:off x="10934640" y="4191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6"/>
    <col collapsed="false" customWidth="true" hidden="false" outlineLevel="0" max="4" min="4" style="0" width="62"/>
  </cols>
  <sheetData>
    <row r="2" customFormat="false" ht="42" hidden="false" customHeight="true" outlineLevel="0" collapsed="false">
      <c r="B2" s="1" t="s">
        <v>0</v>
      </c>
    </row>
    <row r="3" customFormat="false" ht="25.5" hidden="false" customHeight="true" outlineLevel="0" collapsed="false">
      <c r="B3" s="2" t="s">
        <v>1</v>
      </c>
    </row>
    <row r="4" customFormat="false" ht="15" hidden="false" customHeight="false" outlineLevel="0" collapsed="false">
      <c r="B4" s="3"/>
      <c r="C4" s="3"/>
      <c r="D4" s="3"/>
    </row>
    <row r="6" customFormat="false" ht="15" hidden="false" customHeight="false" outlineLevel="0" collapsed="false">
      <c r="B6" s="4" t="s">
        <v>2</v>
      </c>
    </row>
    <row r="7" customFormat="false" ht="15" hidden="false" customHeight="false" outlineLevel="0" collapsed="false">
      <c r="B7" s="5" t="s">
        <v>3</v>
      </c>
      <c r="C7" s="6"/>
      <c r="D7" s="7" t="s">
        <v>0</v>
      </c>
    </row>
    <row r="8" customFormat="false" ht="15" hidden="false" customHeight="false" outlineLevel="0" collapsed="false">
      <c r="B8" s="5" t="s">
        <v>4</v>
      </c>
      <c r="C8" s="6"/>
      <c r="D8" s="7" t="s">
        <v>5</v>
      </c>
    </row>
    <row r="9" customFormat="false" ht="15" hidden="false" customHeight="false" outlineLevel="0" collapsed="false">
      <c r="B9" s="5" t="s">
        <v>6</v>
      </c>
      <c r="C9" s="6"/>
      <c r="D9" s="7" t="s">
        <v>7</v>
      </c>
    </row>
    <row r="10" customFormat="false" ht="15" hidden="false" customHeight="false" outlineLevel="0" collapsed="false">
      <c r="B10" s="5" t="s">
        <v>8</v>
      </c>
      <c r="C10" s="6"/>
      <c r="D10" s="7" t="s">
        <v>9</v>
      </c>
    </row>
    <row r="11" customFormat="false" ht="15" hidden="false" customHeight="false" outlineLevel="0" collapsed="false">
      <c r="B11" s="5" t="s">
        <v>10</v>
      </c>
      <c r="C11" s="6" t="s">
        <v>11</v>
      </c>
      <c r="D11" s="7" t="s">
        <v>12</v>
      </c>
    </row>
    <row r="12" customFormat="false" ht="15" hidden="false" customHeight="false" outlineLevel="0" collapsed="false">
      <c r="B12" s="5" t="s">
        <v>13</v>
      </c>
      <c r="C12" s="6" t="s">
        <v>14</v>
      </c>
      <c r="D12" s="7" t="n">
        <v>12</v>
      </c>
    </row>
    <row r="13" customFormat="false" ht="15" hidden="false" customHeight="false" outlineLevel="0" collapsed="false">
      <c r="B13" s="5" t="s">
        <v>15</v>
      </c>
      <c r="C13" s="6" t="s">
        <v>16</v>
      </c>
      <c r="D13" s="7" t="n">
        <v>5</v>
      </c>
    </row>
    <row r="14" customFormat="false" ht="15" hidden="false" customHeight="false" outlineLevel="0" collapsed="false">
      <c r="B14" s="5" t="s">
        <v>17</v>
      </c>
      <c r="C14" s="6" t="s">
        <v>14</v>
      </c>
      <c r="D14" s="7" t="n">
        <v>60</v>
      </c>
    </row>
    <row r="16" customFormat="false" ht="15" hidden="false" customHeight="false" outlineLevel="0" collapsed="false">
      <c r="B16" s="4" t="s">
        <v>18</v>
      </c>
    </row>
    <row r="17" customFormat="false" ht="15" hidden="false" customHeight="false" outlineLevel="0" collapsed="false">
      <c r="B17" s="8" t="s">
        <v>19</v>
      </c>
      <c r="C17" s="8"/>
      <c r="D17" s="8"/>
    </row>
    <row r="18" customFormat="false" ht="15" hidden="false" customHeight="false" outlineLevel="0" collapsed="false">
      <c r="B18" s="8" t="s">
        <v>20</v>
      </c>
      <c r="C18" s="8"/>
      <c r="D18" s="8"/>
    </row>
    <row r="19" customFormat="false" ht="15" hidden="false" customHeight="false" outlineLevel="0" collapsed="false">
      <c r="B19" s="8" t="s">
        <v>21</v>
      </c>
      <c r="C19" s="8"/>
      <c r="D19" s="8"/>
    </row>
    <row r="20" customFormat="false" ht="15" hidden="false" customHeight="false" outlineLevel="0" collapsed="false">
      <c r="B20" s="8" t="s">
        <v>22</v>
      </c>
      <c r="C20" s="8"/>
      <c r="D20" s="8"/>
    </row>
    <row r="21" customFormat="false" ht="15" hidden="false" customHeight="false" outlineLevel="0" collapsed="false">
      <c r="B21" s="8" t="s">
        <v>23</v>
      </c>
      <c r="C21" s="8"/>
      <c r="D21" s="8"/>
    </row>
    <row r="23" customFormat="false" ht="15" hidden="false" customHeight="false" outlineLevel="0" collapsed="false">
      <c r="B23" s="4" t="s">
        <v>24</v>
      </c>
    </row>
    <row r="24" customFormat="false" ht="15" hidden="false" customHeight="false" outlineLevel="0" collapsed="false">
      <c r="B24" s="9" t="s">
        <v>25</v>
      </c>
      <c r="C24" s="10"/>
      <c r="D24" s="11" t="s">
        <v>26</v>
      </c>
    </row>
    <row r="25" customFormat="false" ht="15" hidden="false" customHeight="false" outlineLevel="0" collapsed="false">
      <c r="B25" s="12" t="s">
        <v>27</v>
      </c>
      <c r="D25" s="13" t="s">
        <v>28</v>
      </c>
    </row>
    <row r="26" customFormat="false" ht="15" hidden="false" customHeight="false" outlineLevel="0" collapsed="false">
      <c r="B26" s="9" t="s">
        <v>29</v>
      </c>
      <c r="C26" s="10"/>
      <c r="D26" s="11" t="s">
        <v>30</v>
      </c>
    </row>
    <row r="27" customFormat="false" ht="15" hidden="false" customHeight="false" outlineLevel="0" collapsed="false">
      <c r="B27" s="4" t="s">
        <v>31</v>
      </c>
      <c r="D27" s="6" t="s">
        <v>32</v>
      </c>
    </row>
    <row r="28" customFormat="false" ht="15" hidden="false" customHeight="false" outlineLevel="0" collapsed="false">
      <c r="B28" s="9" t="s">
        <v>33</v>
      </c>
      <c r="C28" s="10"/>
      <c r="D28" s="11" t="s">
        <v>34</v>
      </c>
    </row>
    <row r="29" customFormat="false" ht="15" hidden="false" customHeight="false" outlineLevel="0" collapsed="false">
      <c r="B29" s="12" t="s">
        <v>35</v>
      </c>
      <c r="D29" s="13" t="s">
        <v>36</v>
      </c>
    </row>
    <row r="30" customFormat="false" ht="15" hidden="false" customHeight="false" outlineLevel="0" collapsed="false">
      <c r="B30" s="9" t="s">
        <v>37</v>
      </c>
      <c r="C30" s="10"/>
      <c r="D30" s="11" t="s">
        <v>38</v>
      </c>
    </row>
    <row r="31" customFormat="false" ht="15" hidden="false" customHeight="false" outlineLevel="0" collapsed="false">
      <c r="B31" s="4" t="s">
        <v>39</v>
      </c>
      <c r="D31" s="6" t="s">
        <v>40</v>
      </c>
    </row>
    <row r="32" customFormat="false" ht="15" hidden="false" customHeight="false" outlineLevel="0" collapsed="false">
      <c r="B32" s="9" t="s">
        <v>41</v>
      </c>
      <c r="C32" s="10"/>
      <c r="D32" s="11" t="s">
        <v>42</v>
      </c>
    </row>
    <row r="33" customFormat="false" ht="15" hidden="false" customHeight="false" outlineLevel="0" collapsed="false">
      <c r="B33" s="12" t="s">
        <v>43</v>
      </c>
      <c r="D33" s="13" t="s">
        <v>44</v>
      </c>
    </row>
    <row r="34" customFormat="false" ht="15" hidden="false" customHeight="false" outlineLevel="0" collapsed="false">
      <c r="B34" s="9" t="s">
        <v>45</v>
      </c>
      <c r="C34" s="10"/>
      <c r="D34" s="11" t="s">
        <v>46</v>
      </c>
    </row>
    <row r="35" customFormat="false" ht="15" hidden="false" customHeight="false" outlineLevel="0" collapsed="false">
      <c r="B35" s="12" t="s">
        <v>47</v>
      </c>
      <c r="D35" s="13" t="s">
        <v>48</v>
      </c>
    </row>
    <row r="36" customFormat="false" ht="15" hidden="false" customHeight="false" outlineLevel="0" collapsed="false">
      <c r="B36" s="9" t="s">
        <v>49</v>
      </c>
      <c r="C36" s="10"/>
      <c r="D36" s="11" t="s">
        <v>50</v>
      </c>
    </row>
    <row r="37" customFormat="false" ht="15" hidden="false" customHeight="false" outlineLevel="0" collapsed="false">
      <c r="B37" s="12" t="s">
        <v>51</v>
      </c>
      <c r="D37" s="13" t="s">
        <v>52</v>
      </c>
    </row>
    <row r="38" customFormat="false" ht="15" hidden="false" customHeight="false" outlineLevel="0" collapsed="false">
      <c r="B38" s="9" t="s">
        <v>53</v>
      </c>
      <c r="C38" s="10"/>
      <c r="D38" s="11" t="s">
        <v>54</v>
      </c>
    </row>
    <row r="39" customFormat="false" ht="15" hidden="false" customHeight="false" outlineLevel="0" collapsed="false">
      <c r="B39" s="4" t="s">
        <v>55</v>
      </c>
      <c r="D39" s="6" t="s">
        <v>56</v>
      </c>
    </row>
    <row r="40" customFormat="false" ht="15" hidden="false" customHeight="false" outlineLevel="0" collapsed="false">
      <c r="B40" s="9" t="s">
        <v>57</v>
      </c>
      <c r="C40" s="10"/>
      <c r="D40" s="11" t="s">
        <v>58</v>
      </c>
    </row>
    <row r="41" customFormat="false" ht="15" hidden="false" customHeight="false" outlineLevel="0" collapsed="false">
      <c r="B41" s="12" t="s">
        <v>59</v>
      </c>
      <c r="D41" s="13" t="s">
        <v>60</v>
      </c>
    </row>
    <row r="42" customFormat="false" ht="15" hidden="false" customHeight="false" outlineLevel="0" collapsed="false">
      <c r="B42" s="9" t="s">
        <v>61</v>
      </c>
      <c r="C42" s="10"/>
      <c r="D42" s="11" t="s">
        <v>62</v>
      </c>
    </row>
    <row r="43" customFormat="false" ht="15" hidden="false" customHeight="false" outlineLevel="0" collapsed="false">
      <c r="B43" s="12" t="s">
        <v>63</v>
      </c>
      <c r="D43" s="13" t="s">
        <v>64</v>
      </c>
    </row>
    <row r="44" customFormat="false" ht="15" hidden="false" customHeight="false" outlineLevel="0" collapsed="false">
      <c r="B44" s="4" t="s">
        <v>65</v>
      </c>
      <c r="D44" s="6" t="s">
        <v>66</v>
      </c>
    </row>
    <row r="45" customFormat="false" ht="15" hidden="false" customHeight="false" outlineLevel="0" collapsed="false">
      <c r="B45" s="12" t="s">
        <v>67</v>
      </c>
      <c r="D45" s="13" t="s">
        <v>68</v>
      </c>
    </row>
    <row r="46" customFormat="false" ht="15" hidden="false" customHeight="false" outlineLevel="0" collapsed="false">
      <c r="B46" s="9" t="s">
        <v>69</v>
      </c>
      <c r="C46" s="10"/>
      <c r="D46" s="11" t="s">
        <v>70</v>
      </c>
    </row>
    <row r="47" customFormat="false" ht="15" hidden="false" customHeight="false" outlineLevel="0" collapsed="false">
      <c r="B47" s="12" t="s">
        <v>71</v>
      </c>
      <c r="D47" s="13" t="s">
        <v>72</v>
      </c>
    </row>
    <row r="48" customFormat="false" ht="15" hidden="false" customHeight="false" outlineLevel="0" collapsed="false">
      <c r="B48" s="9" t="s">
        <v>73</v>
      </c>
      <c r="C48" s="10"/>
      <c r="D48" s="11" t="s">
        <v>74</v>
      </c>
    </row>
    <row r="49" customFormat="false" ht="15" hidden="false" customHeight="false" outlineLevel="0" collapsed="false">
      <c r="B49" s="12" t="s">
        <v>75</v>
      </c>
      <c r="D49" s="13" t="s">
        <v>76</v>
      </c>
    </row>
  </sheetData>
  <mergeCells count="5">
    <mergeCell ref="B17:D17"/>
    <mergeCell ref="B18:D18"/>
    <mergeCell ref="B19:D19"/>
    <mergeCell ref="B20:D20"/>
    <mergeCell ref="B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7" min="3" style="0" width="15"/>
  </cols>
  <sheetData>
    <row r="1" customFormat="false" ht="24.75" hidden="false" customHeight="true" outlineLevel="0" collapsed="false">
      <c r="A1" s="14" t="s">
        <v>77</v>
      </c>
    </row>
    <row r="2" customFormat="false" ht="13.5" hidden="false" customHeight="true" outlineLevel="0" collapsed="false">
      <c r="A2" s="6" t="s">
        <v>78</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79</v>
      </c>
      <c r="B5" s="15"/>
      <c r="C5" s="15"/>
      <c r="D5" s="15"/>
      <c r="E5" s="15"/>
      <c r="F5" s="15"/>
      <c r="G5" s="15"/>
      <c r="H5" s="15"/>
      <c r="I5" s="15"/>
    </row>
    <row r="6" customFormat="false" ht="15" hidden="false" customHeight="false" outlineLevel="0" collapsed="false">
      <c r="A6" s="16"/>
      <c r="B6" s="16"/>
      <c r="C6" s="17" t="s">
        <v>80</v>
      </c>
      <c r="D6" s="17" t="s">
        <v>81</v>
      </c>
      <c r="E6" s="17" t="s">
        <v>82</v>
      </c>
      <c r="F6" s="17" t="s">
        <v>83</v>
      </c>
      <c r="G6" s="17" t="s">
        <v>84</v>
      </c>
    </row>
    <row r="7" customFormat="false" ht="15" hidden="false" customHeight="false" outlineLevel="0" collapsed="false">
      <c r="A7" s="18" t="s">
        <v>85</v>
      </c>
      <c r="C7" s="19" t="n">
        <f aca="false">'Financial Indicators'!$C$7</f>
        <v>111092.203503409</v>
      </c>
      <c r="D7" s="19" t="n">
        <f aca="false">'Financial Indicators'!$D$7</f>
        <v>897001.554313258</v>
      </c>
      <c r="E7" s="19" t="n">
        <f aca="false">'Financial Indicators'!$E$7</f>
        <v>3342076.96762152</v>
      </c>
      <c r="F7" s="19" t="n">
        <f aca="false">'Financial Indicators'!$F$7</f>
        <v>6651975.79649727</v>
      </c>
      <c r="G7" s="19" t="n">
        <f aca="false">'Financial Indicators'!$G$7</f>
        <v>10320927.9251864</v>
      </c>
    </row>
    <row r="8" customFormat="false" ht="15" hidden="false" customHeight="false" outlineLevel="0" collapsed="false">
      <c r="A8" s="12" t="s">
        <v>86</v>
      </c>
      <c r="C8" s="20" t="n">
        <f aca="false">'Financial Indicators'!$C$20</f>
        <v>68940.9445288291</v>
      </c>
      <c r="D8" s="20" t="n">
        <f aca="false">'Financial Indicators'!$D$20</f>
        <v>653883.976372905</v>
      </c>
      <c r="E8" s="20" t="n">
        <f aca="false">'Financial Indicators'!$E$20</f>
        <v>2424621.15190277</v>
      </c>
      <c r="F8" s="20" t="n">
        <f aca="false">'Financial Indicators'!$F$20</f>
        <v>4793798.55800812</v>
      </c>
      <c r="G8" s="20" t="n">
        <f aca="false">'Financial Indicators'!$G$20</f>
        <v>7390234.30645809</v>
      </c>
    </row>
    <row r="9" customFormat="false" ht="15" hidden="false" customHeight="false" outlineLevel="0" collapsed="false">
      <c r="A9" s="18" t="s">
        <v>87</v>
      </c>
      <c r="C9" s="19" t="n">
        <f aca="false">'Financial Indicators'!$C$22</f>
        <v>-32739.0509537965</v>
      </c>
      <c r="D9" s="19" t="n">
        <f aca="false">'Financial Indicators'!$D$22</f>
        <v>258560.062759833</v>
      </c>
      <c r="E9" s="19" t="n">
        <f aca="false">'Financial Indicators'!$E$22</f>
        <v>1454378.27941141</v>
      </c>
      <c r="F9" s="19" t="n">
        <f aca="false">'Financial Indicators'!$F$22</f>
        <v>3286870.03083777</v>
      </c>
      <c r="G9" s="19" t="n">
        <f aca="false">'Financial Indicators'!$G$22</f>
        <v>5396383.28422552</v>
      </c>
    </row>
    <row r="10" customFormat="false" ht="15" hidden="false" customHeight="false" outlineLevel="0" collapsed="false">
      <c r="A10" s="18" t="s">
        <v>88</v>
      </c>
      <c r="C10" s="19" t="n">
        <f aca="false">'Financial Indicators'!$C$24</f>
        <v>-36126.5509537965</v>
      </c>
      <c r="D10" s="19" t="n">
        <f aca="false">'Financial Indicators'!$D$24</f>
        <v>204574.553853475</v>
      </c>
      <c r="E10" s="19" t="n">
        <f aca="false">'Financial Indicators'!$E$24</f>
        <v>1119294.67696051</v>
      </c>
      <c r="F10" s="19" t="n">
        <f aca="false">'Financial Indicators'!$F$24</f>
        <v>2538327.81556594</v>
      </c>
      <c r="G10" s="19" t="n">
        <f aca="false">'Financial Indicators'!$G$24</f>
        <v>4173016.52444145</v>
      </c>
    </row>
    <row r="11" customFormat="false" ht="15" hidden="false" customHeight="false" outlineLevel="0" collapsed="false">
      <c r="A11" s="18" t="s">
        <v>89</v>
      </c>
      <c r="C11" s="19" t="n">
        <f aca="false">'Financial Indicators'!$C$26</f>
        <v>147218.754457206</v>
      </c>
      <c r="D11" s="19" t="n">
        <f aca="false">'Financial Indicators'!$D$26</f>
        <v>643522.741553424</v>
      </c>
      <c r="E11" s="19" t="n">
        <f aca="false">'Financial Indicators'!$E$26</f>
        <v>1897825.77154344</v>
      </c>
      <c r="F11" s="19" t="n">
        <f aca="false">'Financial Indicators'!$F$26</f>
        <v>3376714.09899283</v>
      </c>
      <c r="G11" s="19" t="n">
        <f aca="false">'Financial Indicators'!$G$26</f>
        <v>4936390.4742942</v>
      </c>
    </row>
    <row r="12" customFormat="false" ht="15" hidden="false" customHeight="false" outlineLevel="0" collapsed="false">
      <c r="A12" s="18" t="s">
        <v>90</v>
      </c>
      <c r="C12" s="19" t="n">
        <f aca="false">'Financial Indicators'!$C$42</f>
        <v>222505.596480491</v>
      </c>
      <c r="D12" s="19" t="n">
        <f aca="false">'Financial Indicators'!$D$42</f>
        <v>301159.136374112</v>
      </c>
      <c r="E12" s="19" t="n">
        <f aca="false">'Financial Indicators'!$E$42</f>
        <v>1423393.64132164</v>
      </c>
      <c r="F12" s="19" t="n">
        <f aca="false">'Financial Indicators'!$F$42</f>
        <v>4062304.52769995</v>
      </c>
      <c r="G12" s="19" t="n">
        <f aca="false">'Financial Indicators'!$G$42</f>
        <v>8477398.88278772</v>
      </c>
    </row>
    <row r="13" customFormat="false" ht="15" hidden="false" customHeight="false" outlineLevel="0" collapsed="false">
      <c r="A13" s="12" t="s">
        <v>91</v>
      </c>
      <c r="C13" s="20" t="n">
        <f aca="false">'Financial Indicators'!$C$43</f>
        <v>26039.6314082187</v>
      </c>
      <c r="D13" s="20" t="n">
        <f aca="false">'Financial Indicators'!$D$43</f>
        <v>173705.511134792</v>
      </c>
      <c r="E13" s="20" t="n">
        <f aca="false">'Financial Indicators'!$E$43</f>
        <v>349743.35403957</v>
      </c>
      <c r="F13" s="20" t="n">
        <f aca="false">'Financial Indicators'!$F$43</f>
        <v>1685184.41489661</v>
      </c>
      <c r="G13" s="20" t="n">
        <f aca="false">'Financial Indicators'!$G$43</f>
        <v>4630216.92343156</v>
      </c>
    </row>
    <row r="14" customFormat="false" ht="15" hidden="false" customHeight="false" outlineLevel="0" collapsed="false">
      <c r="A14" s="12" t="s">
        <v>92</v>
      </c>
      <c r="C14" s="21" t="n">
        <f aca="false">'Financial Indicators'!$C$14</f>
        <v>4</v>
      </c>
      <c r="D14" s="21" t="n">
        <f aca="false">'Financial Indicators'!$D$14</f>
        <v>7</v>
      </c>
      <c r="E14" s="21" t="n">
        <f aca="false">'Financial Indicators'!$E$14</f>
        <v>12</v>
      </c>
      <c r="F14" s="21" t="n">
        <f aca="false">'Financial Indicators'!$F$14</f>
        <v>16</v>
      </c>
      <c r="G14" s="21" t="n">
        <f aca="false">'Financial Indicators'!$G$14</f>
        <v>20</v>
      </c>
    </row>
    <row r="15" customFormat="false" ht="15" hidden="false" customHeight="false" outlineLevel="0" collapsed="false">
      <c r="A15" s="12" t="s">
        <v>93</v>
      </c>
      <c r="C15" s="21" t="n">
        <f aca="false">'Financial Indicators'!$C$10</f>
        <v>14</v>
      </c>
      <c r="D15" s="21" t="n">
        <f aca="false">'Financial Indicators'!$D$10</f>
        <v>48</v>
      </c>
      <c r="E15" s="21" t="n">
        <f aca="false">'Financial Indicators'!$E$10</f>
        <v>136</v>
      </c>
      <c r="F15" s="21" t="n">
        <f aca="false">'Financial Indicators'!$F$10</f>
        <v>232</v>
      </c>
      <c r="G15" s="21" t="n">
        <f aca="false">'Financial Indicators'!$G$10</f>
        <v>328</v>
      </c>
    </row>
    <row r="16" customFormat="false" ht="15" hidden="false" customHeight="false" outlineLevel="0" collapsed="false">
      <c r="A16" s="12" t="s">
        <v>94</v>
      </c>
      <c r="C16" s="21" t="n">
        <f aca="false">'Financial Indicators'!$C$11</f>
        <v>4828.05590909091</v>
      </c>
      <c r="D16" s="21" t="n">
        <f aca="false">'Financial Indicators'!$D$11</f>
        <v>25676.3454545455</v>
      </c>
      <c r="E16" s="21" t="n">
        <f aca="false">'Financial Indicators'!$E$11</f>
        <v>79411.5663636364</v>
      </c>
      <c r="F16" s="21" t="n">
        <f aca="false">'Financial Indicators'!$F$11</f>
        <v>159213.588484849</v>
      </c>
      <c r="G16" s="21" t="n">
        <f aca="false">'Financial Indicators'!$G$11</f>
        <v>244435.929166667</v>
      </c>
    </row>
    <row r="17" customFormat="false" ht="15" hidden="false" customHeight="false" outlineLevel="0" collapsed="false">
      <c r="A17" s="12" t="s">
        <v>95</v>
      </c>
      <c r="C17" s="21" t="n">
        <f aca="false">'Financial Indicators'!$C$13</f>
        <v>138.989340445837</v>
      </c>
      <c r="D17" s="21" t="n">
        <f aca="false">'Financial Indicators'!$D$13</f>
        <v>1006.85664605295</v>
      </c>
      <c r="E17" s="21" t="n">
        <f aca="false">'Financial Indicators'!$E$13</f>
        <v>4226.77646429424</v>
      </c>
      <c r="F17" s="21" t="n">
        <f aca="false">'Financial Indicators'!$F$13</f>
        <v>10863.8739379104</v>
      </c>
      <c r="G17" s="21" t="n">
        <f aca="false">'Financial Indicators'!$G$13</f>
        <v>20256.1404820315</v>
      </c>
    </row>
    <row r="19" customFormat="false" ht="16.5" hidden="false" customHeight="true" outlineLevel="0" collapsed="false">
      <c r="A19" s="15" t="s">
        <v>96</v>
      </c>
      <c r="B19" s="15"/>
      <c r="C19" s="15"/>
      <c r="D19" s="15"/>
      <c r="E19" s="15"/>
      <c r="F19" s="15"/>
      <c r="G19" s="15"/>
      <c r="H19" s="15"/>
      <c r="I19" s="15"/>
    </row>
    <row r="20" customFormat="false" ht="15" hidden="false" customHeight="false" outlineLevel="0" collapsed="false">
      <c r="A20" s="18" t="s">
        <v>97</v>
      </c>
      <c r="B20" s="22" t="s">
        <v>98</v>
      </c>
      <c r="C20" s="23" t="n">
        <f aca="false">'Assumption Setting'!$C$195-'Financial Indicators'!$C$26</f>
        <v>2781.24554279444</v>
      </c>
      <c r="D20" s="23" t="str">
        <f aca="false">""</f>
        <v/>
      </c>
      <c r="E20" s="23" t="str">
        <f aca="false">""</f>
        <v/>
      </c>
      <c r="F20" s="23" t="str">
        <f aca="false">""</f>
        <v/>
      </c>
      <c r="G20" s="23" t="str">
        <f aca="false">""</f>
        <v/>
      </c>
    </row>
    <row r="21" customFormat="false" ht="15" hidden="false" customHeight="false" outlineLevel="0" collapsed="false">
      <c r="A21" s="18" t="s">
        <v>99</v>
      </c>
      <c r="B21" s="22" t="s">
        <v>100</v>
      </c>
      <c r="C21" s="23" t="n">
        <f aca="false">'Balance Sheet'!D$24</f>
        <v>0</v>
      </c>
      <c r="D21" s="23" t="n">
        <f aca="false">'Balance Sheet'!E$24</f>
        <v>0</v>
      </c>
      <c r="E21" s="23" t="n">
        <f aca="false">'Balance Sheet'!F$24</f>
        <v>0</v>
      </c>
      <c r="F21" s="23" t="n">
        <f aca="false">'Balance Sheet'!G$24</f>
        <v>0</v>
      </c>
      <c r="G21" s="23" t="n">
        <f aca="false">'Balance Sheet'!H$24</f>
        <v>0</v>
      </c>
    </row>
    <row r="45" customFormat="false" ht="16.5" hidden="false" customHeight="true" outlineLevel="0" collapsed="false">
      <c r="A45" s="15" t="s">
        <v>101</v>
      </c>
      <c r="B45" s="15"/>
      <c r="C45" s="15"/>
      <c r="D45" s="15"/>
      <c r="E45" s="15"/>
      <c r="F45" s="15"/>
      <c r="G45" s="15"/>
      <c r="H45" s="15"/>
      <c r="I45" s="15"/>
    </row>
    <row r="46" customFormat="false" ht="15" hidden="false" customHeight="false" outlineLevel="0" collapsed="false">
      <c r="A46" s="12" t="s">
        <v>102</v>
      </c>
      <c r="B46" s="22" t="s">
        <v>103</v>
      </c>
      <c r="C46" s="24" t="n">
        <f aca="false">'Assumption Setting'!$C$14</f>
        <v>300</v>
      </c>
    </row>
    <row r="47" customFormat="false" ht="15" hidden="false" customHeight="false" outlineLevel="0" collapsed="false">
      <c r="A47" s="12" t="s">
        <v>104</v>
      </c>
      <c r="B47" s="22" t="s">
        <v>105</v>
      </c>
      <c r="C47" s="24" t="n">
        <f aca="false">'Assumption Setting'!$C$15</f>
        <v>2</v>
      </c>
    </row>
    <row r="48" customFormat="false" ht="15" hidden="false" customHeight="false" outlineLevel="0" collapsed="false">
      <c r="A48" s="12" t="s">
        <v>106</v>
      </c>
      <c r="B48" s="22" t="s">
        <v>107</v>
      </c>
      <c r="C48" s="24" t="n">
        <f aca="false">'Assumption Setting'!$C$16</f>
        <v>100</v>
      </c>
    </row>
    <row r="49" customFormat="false" ht="15" hidden="false" customHeight="false" outlineLevel="0" collapsed="false">
      <c r="A49" s="12" t="s">
        <v>108</v>
      </c>
      <c r="B49" s="22" t="s">
        <v>109</v>
      </c>
      <c r="C49" s="25" t="n">
        <f aca="false">'Assumption Setting'!$C$17</f>
        <v>100000</v>
      </c>
    </row>
    <row r="50" customFormat="false" ht="15" hidden="false" customHeight="false" outlineLevel="0" collapsed="false">
      <c r="A50" s="12" t="s">
        <v>110</v>
      </c>
      <c r="B50" s="22" t="s">
        <v>111</v>
      </c>
      <c r="C50" s="24" t="n">
        <f aca="false">'Assumption Setting'!$C$18</f>
        <v>5</v>
      </c>
    </row>
    <row r="51" customFormat="false" ht="15" hidden="false" customHeight="false" outlineLevel="0" collapsed="false">
      <c r="A51" s="12" t="s">
        <v>112</v>
      </c>
      <c r="B51" s="22" t="s">
        <v>113</v>
      </c>
      <c r="C51" s="24" t="n">
        <f aca="false">'Assumption Setting'!$C$19</f>
        <v>1</v>
      </c>
    </row>
    <row r="52" customFormat="false" ht="15" hidden="false" customHeight="false" outlineLevel="0" collapsed="false">
      <c r="A52" s="12" t="s">
        <v>114</v>
      </c>
      <c r="B52" s="22" t="s">
        <v>115</v>
      </c>
      <c r="C52" s="25" t="n">
        <f aca="false">'Assumption Setting'!$C$20</f>
        <v>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2"/>
    <col collapsed="false" customWidth="true" hidden="false" outlineLevel="0" max="4" min="4" style="0" width="22"/>
    <col collapsed="false" customWidth="true" hidden="false" outlineLevel="0" max="5" min="5" style="0" width="26"/>
  </cols>
  <sheetData>
    <row r="1" customFormat="false" ht="24.75" hidden="false" customHeight="true" outlineLevel="0" collapsed="false">
      <c r="A1" s="14" t="s">
        <v>116</v>
      </c>
    </row>
    <row r="2" customFormat="false" ht="13.5" hidden="false" customHeight="true" outlineLevel="0" collapsed="false">
      <c r="A2" s="6" t="s">
        <v>117</v>
      </c>
    </row>
    <row r="3" customFormat="false" ht="3.75" hidden="false" customHeight="true" outlineLevel="0" collapsed="false">
      <c r="A3" s="3"/>
      <c r="B3" s="3"/>
      <c r="C3" s="3"/>
      <c r="D3" s="3"/>
      <c r="E3" s="3"/>
      <c r="F3" s="3"/>
    </row>
    <row r="5" customFormat="false" ht="16.5" hidden="false" customHeight="true" outlineLevel="0" collapsed="false">
      <c r="A5" s="15" t="s">
        <v>118</v>
      </c>
      <c r="B5" s="15"/>
      <c r="C5" s="15"/>
      <c r="D5" s="15"/>
      <c r="E5" s="15"/>
      <c r="F5" s="15"/>
    </row>
    <row r="6" customFormat="false" ht="15" hidden="false" customHeight="false" outlineLevel="0" collapsed="false">
      <c r="A6" s="26" t="s">
        <v>119</v>
      </c>
      <c r="B6" s="26" t="s">
        <v>120</v>
      </c>
      <c r="C6" s="26" t="s">
        <v>121</v>
      </c>
      <c r="D6" s="26" t="s">
        <v>122</v>
      </c>
    </row>
    <row r="7" customFormat="false" ht="15" hidden="false" customHeight="false" outlineLevel="0" collapsed="false">
      <c r="A7" s="18" t="s">
        <v>123</v>
      </c>
      <c r="B7" s="27" t="s">
        <v>124</v>
      </c>
      <c r="C7" s="13" t="s">
        <v>125</v>
      </c>
      <c r="D7" s="24" t="n">
        <v>3</v>
      </c>
    </row>
    <row r="8" customFormat="false" ht="15" hidden="false" customHeight="false" outlineLevel="0" collapsed="false">
      <c r="A8" s="18" t="s">
        <v>126</v>
      </c>
      <c r="B8" s="27" t="s">
        <v>124</v>
      </c>
      <c r="C8" s="13" t="s">
        <v>127</v>
      </c>
      <c r="D8" s="24" t="n">
        <v>3</v>
      </c>
    </row>
    <row r="9" customFormat="false" ht="15" hidden="false" customHeight="false" outlineLevel="0" collapsed="false">
      <c r="A9" s="18" t="s">
        <v>128</v>
      </c>
      <c r="B9" s="27" t="s">
        <v>124</v>
      </c>
      <c r="C9" s="13" t="s">
        <v>129</v>
      </c>
      <c r="D9" s="24" t="n">
        <v>2</v>
      </c>
    </row>
    <row r="10" customFormat="false" ht="15" hidden="false" customHeight="false" outlineLevel="0" collapsed="false">
      <c r="A10" s="18" t="s">
        <v>130</v>
      </c>
      <c r="B10" s="27" t="s">
        <v>124</v>
      </c>
      <c r="C10" s="13" t="s">
        <v>131</v>
      </c>
      <c r="D10" s="24" t="n">
        <v>2</v>
      </c>
    </row>
    <row r="11" customFormat="false" ht="15" hidden="false" customHeight="false" outlineLevel="0" collapsed="false">
      <c r="A11" s="18" t="s">
        <v>132</v>
      </c>
      <c r="B11" s="27" t="s">
        <v>124</v>
      </c>
      <c r="C11" s="13" t="s">
        <v>133</v>
      </c>
      <c r="D11" s="24" t="n">
        <v>2</v>
      </c>
    </row>
    <row r="12" customFormat="false" ht="15" hidden="false" customHeight="false" outlineLevel="0" collapsed="false">
      <c r="A12" s="18" t="s">
        <v>134</v>
      </c>
      <c r="B12" s="27" t="s">
        <v>135</v>
      </c>
      <c r="C12" s="13" t="s">
        <v>136</v>
      </c>
      <c r="D12" s="24" t="n">
        <v>0</v>
      </c>
    </row>
    <row r="14" customFormat="false" ht="16.5" hidden="false" customHeight="true" outlineLevel="0" collapsed="false">
      <c r="A14" s="15" t="s">
        <v>137</v>
      </c>
      <c r="B14" s="15"/>
      <c r="C14" s="15"/>
      <c r="D14" s="15"/>
      <c r="E14" s="15"/>
      <c r="F14" s="15"/>
    </row>
    <row r="15" customFormat="false" ht="15" hidden="false" customHeight="false" outlineLevel="0" collapsed="false">
      <c r="A15" s="26" t="s">
        <v>138</v>
      </c>
      <c r="B15" s="26" t="s">
        <v>139</v>
      </c>
      <c r="C15" s="26" t="s">
        <v>140</v>
      </c>
      <c r="D15" s="26" t="s">
        <v>141</v>
      </c>
      <c r="E15" s="26" t="s">
        <v>142</v>
      </c>
    </row>
    <row r="16" customFormat="false" ht="30" hidden="false" customHeight="true" outlineLevel="0" collapsed="false">
      <c r="A16" s="28" t="s">
        <v>143</v>
      </c>
      <c r="B16" s="29" t="s">
        <v>144</v>
      </c>
      <c r="C16" s="29" t="s">
        <v>145</v>
      </c>
      <c r="D16" s="29" t="s">
        <v>146</v>
      </c>
      <c r="E16" s="29" t="s">
        <v>147</v>
      </c>
    </row>
    <row r="17" customFormat="false" ht="30" hidden="false" customHeight="true" outlineLevel="0" collapsed="false">
      <c r="A17" s="30" t="s">
        <v>148</v>
      </c>
      <c r="B17" s="31" t="s">
        <v>144</v>
      </c>
      <c r="C17" s="31" t="s">
        <v>149</v>
      </c>
      <c r="D17" s="31" t="s">
        <v>150</v>
      </c>
      <c r="E17" s="31" t="s">
        <v>151</v>
      </c>
    </row>
    <row r="18" customFormat="false" ht="30" hidden="false" customHeight="true" outlineLevel="0" collapsed="false">
      <c r="A18" s="28" t="s">
        <v>152</v>
      </c>
      <c r="B18" s="29" t="s">
        <v>144</v>
      </c>
      <c r="C18" s="29" t="s">
        <v>153</v>
      </c>
      <c r="D18" s="29" t="s">
        <v>154</v>
      </c>
      <c r="E18" s="29" t="s">
        <v>155</v>
      </c>
    </row>
    <row r="19" customFormat="false" ht="30" hidden="false" customHeight="true" outlineLevel="0" collapsed="false">
      <c r="A19" s="30" t="s">
        <v>156</v>
      </c>
      <c r="B19" s="31" t="s">
        <v>144</v>
      </c>
      <c r="C19" s="31" t="s">
        <v>157</v>
      </c>
      <c r="D19" s="31" t="s">
        <v>158</v>
      </c>
      <c r="E19" s="31" t="s">
        <v>159</v>
      </c>
    </row>
    <row r="20" customFormat="false" ht="30" hidden="false" customHeight="true" outlineLevel="0" collapsed="false">
      <c r="A20" s="28" t="s">
        <v>160</v>
      </c>
      <c r="B20" s="29" t="s">
        <v>161</v>
      </c>
      <c r="C20" s="29" t="s">
        <v>162</v>
      </c>
      <c r="D20" s="29" t="s">
        <v>163</v>
      </c>
      <c r="E20" s="29" t="s">
        <v>164</v>
      </c>
    </row>
    <row r="21" customFormat="false" ht="30" hidden="false" customHeight="true" outlineLevel="0" collapsed="false">
      <c r="A21" s="30" t="s">
        <v>165</v>
      </c>
      <c r="B21" s="31" t="s">
        <v>144</v>
      </c>
      <c r="C21" s="31" t="s">
        <v>166</v>
      </c>
      <c r="D21" s="31" t="s">
        <v>167</v>
      </c>
      <c r="E21" s="31" t="s">
        <v>168</v>
      </c>
    </row>
    <row r="22" customFormat="false" ht="30" hidden="false" customHeight="true" outlineLevel="0" collapsed="false">
      <c r="A22" s="28" t="s">
        <v>169</v>
      </c>
      <c r="B22" s="29" t="s">
        <v>144</v>
      </c>
      <c r="C22" s="29" t="s">
        <v>170</v>
      </c>
      <c r="D22" s="29" t="s">
        <v>171</v>
      </c>
      <c r="E22" s="29" t="s">
        <v>172</v>
      </c>
    </row>
    <row r="23" customFormat="false" ht="30" hidden="false" customHeight="true" outlineLevel="0" collapsed="false">
      <c r="A23" s="30" t="s">
        <v>173</v>
      </c>
      <c r="B23" s="31" t="s">
        <v>144</v>
      </c>
      <c r="C23" s="31" t="s">
        <v>174</v>
      </c>
      <c r="D23" s="31" t="s">
        <v>171</v>
      </c>
      <c r="E23" s="31" t="s">
        <v>175</v>
      </c>
    </row>
    <row r="24" customFormat="false" ht="30" hidden="false" customHeight="true" outlineLevel="0" collapsed="false">
      <c r="A24" s="28" t="s">
        <v>176</v>
      </c>
      <c r="B24" s="29" t="s">
        <v>177</v>
      </c>
      <c r="C24" s="29" t="s">
        <v>178</v>
      </c>
      <c r="D24" s="29" t="s">
        <v>179</v>
      </c>
      <c r="E24" s="29" t="s">
        <v>180</v>
      </c>
    </row>
    <row r="25" customFormat="false" ht="30" hidden="false" customHeight="true" outlineLevel="0" collapsed="false">
      <c r="A25" s="30" t="s">
        <v>181</v>
      </c>
      <c r="B25" s="31" t="s">
        <v>177</v>
      </c>
      <c r="C25" s="31" t="s">
        <v>182</v>
      </c>
      <c r="D25" s="31" t="s">
        <v>171</v>
      </c>
      <c r="E25" s="31" t="s">
        <v>183</v>
      </c>
    </row>
    <row r="26" customFormat="false" ht="30" hidden="false" customHeight="true" outlineLevel="0" collapsed="false">
      <c r="A26" s="28" t="s">
        <v>184</v>
      </c>
      <c r="B26" s="29" t="s">
        <v>177</v>
      </c>
      <c r="C26" s="29" t="s">
        <v>185</v>
      </c>
      <c r="D26" s="29" t="s">
        <v>186</v>
      </c>
      <c r="E26" s="29" t="s">
        <v>187</v>
      </c>
    </row>
    <row r="27" customFormat="false" ht="30" hidden="false" customHeight="true" outlineLevel="0" collapsed="false">
      <c r="A27" s="30" t="s">
        <v>188</v>
      </c>
      <c r="B27" s="31" t="s">
        <v>177</v>
      </c>
      <c r="C27" s="31" t="s">
        <v>189</v>
      </c>
      <c r="D27" s="31" t="s">
        <v>150</v>
      </c>
      <c r="E27" s="31" t="s">
        <v>190</v>
      </c>
    </row>
    <row r="29" customFormat="false" ht="15" hidden="false" customHeight="false" outlineLevel="0" collapsed="false">
      <c r="A29" s="32"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31</v>
      </c>
    </row>
    <row r="3" customFormat="false" ht="15" hidden="false" customHeight="false" outlineLevel="0" collapsed="false">
      <c r="B3" s="3"/>
      <c r="C3" s="3"/>
    </row>
    <row r="5" customFormat="false" ht="30" hidden="false" customHeight="true" outlineLevel="0" collapsed="false">
      <c r="B5" s="35" t="s">
        <v>192</v>
      </c>
      <c r="C5" s="36" t="s">
        <v>34</v>
      </c>
    </row>
    <row r="6" customFormat="false" ht="30" hidden="false" customHeight="true" outlineLevel="0" collapsed="false">
      <c r="B6" s="35" t="s">
        <v>193</v>
      </c>
      <c r="C6" s="36" t="s">
        <v>36</v>
      </c>
    </row>
    <row r="7" customFormat="false" ht="30" hidden="false" customHeight="true" outlineLevel="0" collapsed="false">
      <c r="B7" s="35" t="s">
        <v>194</v>
      </c>
      <c r="C7" s="36"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9"/>
    <col collapsed="false" customWidth="true" hidden="false" outlineLevel="0" max="23" min="3" style="0" width="11"/>
    <col collapsed="false" customWidth="true" hidden="false" outlineLevel="0" max="24" min="24" style="0" width="58"/>
    <col collapsed="false" customWidth="true" hidden="false" outlineLevel="0" max="25" min="25" style="0" width="52"/>
  </cols>
  <sheetData>
    <row r="1" customFormat="false" ht="24.75" hidden="false" customHeight="true" outlineLevel="0" collapsed="false">
      <c r="A1" s="14" t="s">
        <v>192</v>
      </c>
    </row>
    <row r="2" customFormat="false" ht="13.5" hidden="false" customHeight="true" outlineLevel="0" collapsed="false">
      <c r="A2" s="6" t="s">
        <v>195</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row>
    <row r="5" customFormat="false" ht="16.5" hidden="false" customHeight="true" outlineLevel="0" collapsed="false">
      <c r="A5" s="15" t="s">
        <v>196</v>
      </c>
      <c r="B5" s="15"/>
      <c r="C5" s="15"/>
      <c r="D5" s="15"/>
      <c r="E5" s="15"/>
      <c r="F5" s="15"/>
      <c r="G5" s="15"/>
      <c r="H5" s="15"/>
      <c r="I5" s="15"/>
      <c r="J5" s="15"/>
      <c r="K5" s="15"/>
      <c r="L5" s="15"/>
      <c r="M5" s="15"/>
      <c r="N5" s="15"/>
      <c r="O5" s="15"/>
      <c r="P5" s="15"/>
      <c r="Q5" s="15"/>
      <c r="R5" s="15"/>
      <c r="S5" s="15"/>
      <c r="T5" s="15"/>
      <c r="U5" s="15"/>
      <c r="V5" s="15"/>
      <c r="W5" s="15"/>
      <c r="X5" s="15"/>
      <c r="Y5" s="15"/>
    </row>
    <row r="6" customFormat="false" ht="15" hidden="false" customHeight="false" outlineLevel="0" collapsed="false">
      <c r="A6" s="12" t="s">
        <v>197</v>
      </c>
      <c r="B6" s="37"/>
      <c r="C6" s="38" t="s">
        <v>9</v>
      </c>
    </row>
    <row r="7" customFormat="false" ht="15" hidden="false" customHeight="false" outlineLevel="0" collapsed="false">
      <c r="A7" s="12" t="s">
        <v>198</v>
      </c>
      <c r="B7" s="37"/>
      <c r="C7" s="39" t="n">
        <v>46296</v>
      </c>
      <c r="X7" s="22" t="s">
        <v>199</v>
      </c>
    </row>
    <row r="8" customFormat="false" ht="15" hidden="false" customHeight="false" outlineLevel="0" collapsed="false">
      <c r="A8" s="12" t="s">
        <v>200</v>
      </c>
      <c r="B8" s="37" t="s">
        <v>201</v>
      </c>
      <c r="C8" s="40" t="n">
        <v>48.5</v>
      </c>
      <c r="X8" s="22" t="s">
        <v>202</v>
      </c>
    </row>
    <row r="9" customFormat="false" ht="15" hidden="false" customHeight="false" outlineLevel="0" collapsed="false">
      <c r="A9" s="12" t="s">
        <v>203</v>
      </c>
      <c r="B9" s="37" t="s">
        <v>204</v>
      </c>
      <c r="C9" s="41" t="n">
        <v>0.225</v>
      </c>
      <c r="X9" s="22" t="s">
        <v>205</v>
      </c>
    </row>
    <row r="10" customFormat="false" ht="15" hidden="false" customHeight="false" outlineLevel="0" collapsed="false">
      <c r="A10" s="12" t="s">
        <v>206</v>
      </c>
      <c r="B10" s="37" t="s">
        <v>207</v>
      </c>
      <c r="C10" s="42" t="n">
        <v>4</v>
      </c>
    </row>
    <row r="12" customFormat="false" ht="16.5" hidden="false" customHeight="true" outlineLevel="0" collapsed="false">
      <c r="A12" s="15" t="s">
        <v>208</v>
      </c>
      <c r="B12" s="15"/>
      <c r="C12" s="15"/>
      <c r="D12" s="15"/>
      <c r="E12" s="15"/>
      <c r="F12" s="15"/>
      <c r="G12" s="15"/>
      <c r="H12" s="15"/>
      <c r="I12" s="15"/>
      <c r="J12" s="15"/>
      <c r="K12" s="15"/>
      <c r="L12" s="15"/>
      <c r="M12" s="15"/>
      <c r="N12" s="15"/>
      <c r="O12" s="15"/>
      <c r="P12" s="15"/>
      <c r="Q12" s="15"/>
      <c r="R12" s="15"/>
      <c r="S12" s="15"/>
      <c r="T12" s="15"/>
      <c r="U12" s="15"/>
      <c r="V12" s="15"/>
      <c r="W12" s="15"/>
      <c r="X12" s="15"/>
      <c r="Y12" s="15"/>
    </row>
    <row r="13" customFormat="false" ht="15" hidden="false" customHeight="false" outlineLevel="0" collapsed="false">
      <c r="A13" s="43" t="s">
        <v>209</v>
      </c>
      <c r="B13" s="43"/>
      <c r="C13" s="43"/>
      <c r="D13" s="43"/>
      <c r="E13" s="43"/>
      <c r="F13" s="43"/>
      <c r="G13" s="43"/>
      <c r="H13" s="43"/>
      <c r="I13" s="43"/>
      <c r="J13" s="43"/>
      <c r="K13" s="43"/>
      <c r="L13" s="43"/>
      <c r="M13" s="43"/>
      <c r="N13" s="43"/>
      <c r="O13" s="43"/>
      <c r="P13" s="43"/>
    </row>
    <row r="14" customFormat="false" ht="15" hidden="false" customHeight="false" outlineLevel="0" collapsed="false">
      <c r="A14" s="12" t="s">
        <v>102</v>
      </c>
      <c r="B14" s="37" t="s">
        <v>207</v>
      </c>
      <c r="C14" s="42" t="n">
        <v>300</v>
      </c>
      <c r="X14" s="22" t="s">
        <v>103</v>
      </c>
    </row>
    <row r="15" customFormat="false" ht="15" hidden="false" customHeight="false" outlineLevel="0" collapsed="false">
      <c r="A15" s="12" t="s">
        <v>104</v>
      </c>
      <c r="B15" s="37" t="s">
        <v>207</v>
      </c>
      <c r="C15" s="42" t="n">
        <v>2</v>
      </c>
      <c r="X15" s="22" t="s">
        <v>105</v>
      </c>
    </row>
    <row r="16" customFormat="false" ht="15" hidden="false" customHeight="false" outlineLevel="0" collapsed="false">
      <c r="A16" s="12" t="s">
        <v>106</v>
      </c>
      <c r="B16" s="37" t="s">
        <v>207</v>
      </c>
      <c r="C16" s="42" t="n">
        <v>100</v>
      </c>
      <c r="X16" s="22" t="s">
        <v>107</v>
      </c>
    </row>
    <row r="17" customFormat="false" ht="15" hidden="false" customHeight="false" outlineLevel="0" collapsed="false">
      <c r="A17" s="12" t="s">
        <v>108</v>
      </c>
      <c r="B17" s="37" t="s">
        <v>201</v>
      </c>
      <c r="C17" s="44" t="n">
        <v>100000</v>
      </c>
      <c r="X17" s="22" t="s">
        <v>109</v>
      </c>
    </row>
    <row r="18" customFormat="false" ht="15" hidden="false" customHeight="false" outlineLevel="0" collapsed="false">
      <c r="A18" s="12" t="s">
        <v>110</v>
      </c>
      <c r="B18" s="37" t="s">
        <v>207</v>
      </c>
      <c r="C18" s="42" t="n">
        <v>5</v>
      </c>
      <c r="X18" s="22" t="s">
        <v>111</v>
      </c>
    </row>
    <row r="19" customFormat="false" ht="15" hidden="false" customHeight="false" outlineLevel="0" collapsed="false">
      <c r="A19" s="12" t="s">
        <v>112</v>
      </c>
      <c r="B19" s="37" t="s">
        <v>207</v>
      </c>
      <c r="C19" s="42" t="n">
        <v>1</v>
      </c>
      <c r="X19" s="22" t="s">
        <v>113</v>
      </c>
    </row>
    <row r="20" customFormat="false" ht="15" hidden="false" customHeight="false" outlineLevel="0" collapsed="false">
      <c r="A20" s="12" t="s">
        <v>114</v>
      </c>
      <c r="B20" s="37" t="s">
        <v>9</v>
      </c>
      <c r="C20" s="44" t="n">
        <v>50000</v>
      </c>
      <c r="X20" s="22" t="s">
        <v>115</v>
      </c>
    </row>
    <row r="21" customFormat="false" ht="15" hidden="false" customHeight="false" outlineLevel="0" collapsed="false">
      <c r="A21" s="12" t="s">
        <v>210</v>
      </c>
      <c r="B21" s="37" t="s">
        <v>9</v>
      </c>
      <c r="C21" s="19" t="n">
        <f aca="false">'Assumption Setting'!$C$17/'Assumption Setting'!$C$8</f>
        <v>2061.85567010309</v>
      </c>
    </row>
    <row r="23" customFormat="false" ht="15" hidden="false" customHeight="false" outlineLevel="0" collapsed="false">
      <c r="A23" s="18" t="s">
        <v>211</v>
      </c>
    </row>
    <row r="24" customFormat="false" ht="15" hidden="false" customHeight="false" outlineLevel="0" collapsed="false">
      <c r="A24" s="45" t="s">
        <v>119</v>
      </c>
      <c r="C24" s="45" t="s">
        <v>120</v>
      </c>
      <c r="D24" s="45" t="s">
        <v>121</v>
      </c>
      <c r="H24" s="45" t="s">
        <v>122</v>
      </c>
    </row>
    <row r="25" customFormat="false" ht="15" hidden="false" customHeight="false" outlineLevel="0" collapsed="false">
      <c r="A25" s="46" t="s">
        <v>123</v>
      </c>
      <c r="C25" s="27" t="s">
        <v>124</v>
      </c>
      <c r="D25" s="47" t="s">
        <v>125</v>
      </c>
      <c r="H25" s="42" t="n">
        <v>3</v>
      </c>
    </row>
    <row r="26" customFormat="false" ht="15" hidden="false" customHeight="false" outlineLevel="0" collapsed="false">
      <c r="A26" s="46" t="s">
        <v>126</v>
      </c>
      <c r="C26" s="27" t="s">
        <v>124</v>
      </c>
      <c r="D26" s="47" t="s">
        <v>127</v>
      </c>
      <c r="H26" s="42" t="n">
        <v>3</v>
      </c>
    </row>
    <row r="27" customFormat="false" ht="15" hidden="false" customHeight="false" outlineLevel="0" collapsed="false">
      <c r="A27" s="46" t="s">
        <v>128</v>
      </c>
      <c r="C27" s="27" t="s">
        <v>124</v>
      </c>
      <c r="D27" s="47" t="s">
        <v>129</v>
      </c>
      <c r="H27" s="42" t="n">
        <v>2</v>
      </c>
    </row>
    <row r="28" customFormat="false" ht="15" hidden="false" customHeight="false" outlineLevel="0" collapsed="false">
      <c r="A28" s="46" t="s">
        <v>130</v>
      </c>
      <c r="C28" s="27" t="s">
        <v>124</v>
      </c>
      <c r="D28" s="47" t="s">
        <v>131</v>
      </c>
      <c r="H28" s="42" t="n">
        <v>2</v>
      </c>
    </row>
    <row r="29" customFormat="false" ht="15" hidden="false" customHeight="false" outlineLevel="0" collapsed="false">
      <c r="A29" s="46" t="s">
        <v>132</v>
      </c>
      <c r="C29" s="27" t="s">
        <v>124</v>
      </c>
      <c r="D29" s="47" t="s">
        <v>133</v>
      </c>
      <c r="H29" s="42" t="n">
        <v>2</v>
      </c>
    </row>
    <row r="30" customFormat="false" ht="15" hidden="false" customHeight="false" outlineLevel="0" collapsed="false">
      <c r="A30" s="46" t="s">
        <v>134</v>
      </c>
      <c r="C30" s="27" t="s">
        <v>135</v>
      </c>
      <c r="D30" s="47" t="s">
        <v>136</v>
      </c>
      <c r="H30" s="42" t="n">
        <v>0</v>
      </c>
    </row>
    <row r="31" customFormat="false" ht="15" hidden="false" customHeight="false" outlineLevel="0" collapsed="false">
      <c r="A31" s="18" t="s">
        <v>212</v>
      </c>
      <c r="H31" s="48" t="n">
        <f aca="false">SUM(H25:H30)</f>
        <v>12</v>
      </c>
    </row>
    <row r="33" customFormat="false" ht="16.5" hidden="false" customHeight="true" outlineLevel="0" collapsed="false">
      <c r="A33" s="15" t="s">
        <v>213</v>
      </c>
      <c r="B33" s="15"/>
      <c r="C33" s="15"/>
      <c r="D33" s="15"/>
      <c r="E33" s="15"/>
      <c r="F33" s="15"/>
      <c r="G33" s="15"/>
      <c r="H33" s="15"/>
      <c r="I33" s="15"/>
      <c r="J33" s="15"/>
      <c r="K33" s="15"/>
      <c r="L33" s="15"/>
      <c r="M33" s="15"/>
      <c r="N33" s="15"/>
      <c r="O33" s="15"/>
      <c r="P33" s="15"/>
      <c r="Q33" s="15"/>
      <c r="R33" s="15"/>
      <c r="S33" s="15"/>
      <c r="T33" s="15"/>
      <c r="U33" s="15"/>
      <c r="V33" s="15"/>
      <c r="W33" s="15"/>
      <c r="X33" s="15"/>
      <c r="Y33" s="15"/>
    </row>
    <row r="34" customFormat="false" ht="15" hidden="false" customHeight="false" outlineLevel="0" collapsed="false">
      <c r="A34" s="43" t="s">
        <v>214</v>
      </c>
      <c r="B34" s="43"/>
      <c r="C34" s="43"/>
      <c r="D34" s="43"/>
      <c r="E34" s="43"/>
      <c r="F34" s="43"/>
      <c r="G34" s="43"/>
      <c r="H34" s="43"/>
      <c r="I34" s="43"/>
      <c r="J34" s="43"/>
      <c r="K34" s="43"/>
      <c r="L34" s="43"/>
      <c r="M34" s="43"/>
      <c r="N34" s="43"/>
      <c r="O34" s="43"/>
      <c r="P34" s="43"/>
    </row>
    <row r="35" customFormat="false" ht="25.5" hidden="false" customHeight="true" outlineLevel="0" collapsed="false">
      <c r="A35" s="26" t="s">
        <v>215</v>
      </c>
      <c r="B35" s="26" t="s">
        <v>216</v>
      </c>
      <c r="C35" s="49" t="s">
        <v>217</v>
      </c>
      <c r="D35" s="49" t="s">
        <v>218</v>
      </c>
      <c r="E35" s="49" t="s">
        <v>219</v>
      </c>
      <c r="F35" s="49" t="s">
        <v>220</v>
      </c>
      <c r="G35" s="49" t="s">
        <v>221</v>
      </c>
      <c r="H35" s="49" t="s">
        <v>222</v>
      </c>
      <c r="I35" s="49" t="s">
        <v>223</v>
      </c>
      <c r="J35" s="49" t="s">
        <v>224</v>
      </c>
      <c r="K35" s="49" t="s">
        <v>225</v>
      </c>
      <c r="L35" s="49" t="s">
        <v>226</v>
      </c>
      <c r="M35" s="49" t="s">
        <v>227</v>
      </c>
      <c r="N35" s="49" t="s">
        <v>228</v>
      </c>
      <c r="O35" s="49" t="s">
        <v>229</v>
      </c>
      <c r="P35" s="49" t="s">
        <v>230</v>
      </c>
      <c r="Q35" s="49" t="s">
        <v>231</v>
      </c>
      <c r="R35" s="49" t="s">
        <v>232</v>
      </c>
      <c r="S35" s="49" t="s">
        <v>233</v>
      </c>
      <c r="T35" s="49" t="s">
        <v>234</v>
      </c>
      <c r="U35" s="49" t="s">
        <v>235</v>
      </c>
      <c r="V35" s="49" t="s">
        <v>236</v>
      </c>
      <c r="X35" s="50" t="s">
        <v>237</v>
      </c>
      <c r="Y35" s="50" t="s">
        <v>238</v>
      </c>
    </row>
    <row r="36" customFormat="false" ht="21.75" hidden="false" customHeight="true" outlineLevel="0" collapsed="false">
      <c r="A36" s="51" t="s">
        <v>239</v>
      </c>
      <c r="B36" s="37" t="s">
        <v>240</v>
      </c>
      <c r="C36" s="42" t="n">
        <v>1</v>
      </c>
      <c r="D36" s="42" t="n">
        <v>2</v>
      </c>
      <c r="E36" s="42" t="n">
        <v>3</v>
      </c>
      <c r="F36" s="42" t="n">
        <v>4</v>
      </c>
      <c r="G36" s="42" t="n">
        <v>5</v>
      </c>
      <c r="H36" s="42" t="n">
        <v>6</v>
      </c>
      <c r="I36" s="42" t="n">
        <v>8</v>
      </c>
      <c r="J36" s="42" t="n">
        <v>9</v>
      </c>
      <c r="K36" s="42" t="n">
        <v>11</v>
      </c>
      <c r="L36" s="42" t="n">
        <v>13</v>
      </c>
      <c r="M36" s="42" t="n">
        <v>15</v>
      </c>
      <c r="N36" s="42" t="n">
        <v>17</v>
      </c>
      <c r="O36" s="42" t="n">
        <v>19</v>
      </c>
      <c r="P36" s="42" t="n">
        <v>21</v>
      </c>
      <c r="Q36" s="42" t="n">
        <v>23</v>
      </c>
      <c r="R36" s="42" t="n">
        <v>25</v>
      </c>
      <c r="S36" s="42" t="n">
        <v>27</v>
      </c>
      <c r="T36" s="42" t="n">
        <v>29</v>
      </c>
      <c r="U36" s="42" t="n">
        <v>31</v>
      </c>
      <c r="V36" s="42" t="n">
        <v>33</v>
      </c>
      <c r="X36" s="52" t="s">
        <v>241</v>
      </c>
      <c r="Y36" s="53" t="s">
        <v>242</v>
      </c>
    </row>
    <row r="37" customFormat="false" ht="21.75" hidden="false" customHeight="true" outlineLevel="0" collapsed="false">
      <c r="A37" s="51" t="s">
        <v>243</v>
      </c>
      <c r="B37" s="37" t="s">
        <v>240</v>
      </c>
      <c r="C37" s="42" t="n">
        <v>0</v>
      </c>
      <c r="D37" s="42" t="n">
        <v>0</v>
      </c>
      <c r="E37" s="42" t="n">
        <v>0</v>
      </c>
      <c r="F37" s="42" t="n">
        <v>0</v>
      </c>
      <c r="G37" s="42" t="n">
        <v>0</v>
      </c>
      <c r="H37" s="42" t="n">
        <v>1</v>
      </c>
      <c r="I37" s="42" t="n">
        <v>1</v>
      </c>
      <c r="J37" s="42" t="n">
        <v>2</v>
      </c>
      <c r="K37" s="42" t="n">
        <v>4</v>
      </c>
      <c r="L37" s="42" t="n">
        <v>5</v>
      </c>
      <c r="M37" s="42" t="n">
        <v>6</v>
      </c>
      <c r="N37" s="42" t="n">
        <v>7</v>
      </c>
      <c r="O37" s="42" t="n">
        <v>8</v>
      </c>
      <c r="P37" s="42" t="n">
        <v>9</v>
      </c>
      <c r="Q37" s="42" t="n">
        <v>10</v>
      </c>
      <c r="R37" s="42" t="n">
        <v>11</v>
      </c>
      <c r="S37" s="42" t="n">
        <v>12</v>
      </c>
      <c r="T37" s="42" t="n">
        <v>13</v>
      </c>
      <c r="U37" s="42" t="n">
        <v>14</v>
      </c>
      <c r="V37" s="42" t="n">
        <v>15</v>
      </c>
      <c r="X37" s="52" t="s">
        <v>244</v>
      </c>
      <c r="Y37" s="53" t="s">
        <v>245</v>
      </c>
    </row>
    <row r="38" customFormat="false" ht="21.75" hidden="false" customHeight="true" outlineLevel="0" collapsed="false">
      <c r="A38" s="51" t="s">
        <v>246</v>
      </c>
      <c r="B38" s="37" t="s">
        <v>240</v>
      </c>
      <c r="C38" s="42" t="n">
        <v>2</v>
      </c>
      <c r="D38" s="42" t="n">
        <v>1</v>
      </c>
      <c r="E38" s="42" t="n">
        <v>1</v>
      </c>
      <c r="F38" s="42" t="n">
        <v>0</v>
      </c>
      <c r="G38" s="42" t="n">
        <v>1</v>
      </c>
      <c r="H38" s="42" t="n">
        <v>1</v>
      </c>
      <c r="I38" s="42" t="n">
        <v>1</v>
      </c>
      <c r="J38" s="42" t="n">
        <v>1</v>
      </c>
      <c r="K38" s="42" t="n">
        <v>1</v>
      </c>
      <c r="L38" s="42" t="n">
        <v>1</v>
      </c>
      <c r="M38" s="42" t="n">
        <v>1</v>
      </c>
      <c r="N38" s="42" t="n">
        <v>1</v>
      </c>
      <c r="O38" s="42" t="n">
        <v>1</v>
      </c>
      <c r="P38" s="42" t="n">
        <v>1</v>
      </c>
      <c r="Q38" s="42" t="n">
        <v>1</v>
      </c>
      <c r="R38" s="42" t="n">
        <v>1</v>
      </c>
      <c r="S38" s="42" t="n">
        <v>1</v>
      </c>
      <c r="T38" s="42" t="n">
        <v>1</v>
      </c>
      <c r="U38" s="42" t="n">
        <v>1</v>
      </c>
      <c r="V38" s="42" t="n">
        <v>1</v>
      </c>
      <c r="X38" s="52" t="s">
        <v>247</v>
      </c>
      <c r="Y38" s="53" t="s">
        <v>248</v>
      </c>
    </row>
    <row r="39" customFormat="false" ht="21.75" hidden="false" customHeight="true" outlineLevel="0" collapsed="false">
      <c r="A39" s="51" t="s">
        <v>249</v>
      </c>
      <c r="B39" s="37" t="s">
        <v>250</v>
      </c>
      <c r="C39" s="42" t="n">
        <v>0</v>
      </c>
      <c r="D39" s="42" t="n">
        <v>0</v>
      </c>
      <c r="E39" s="42" t="n">
        <v>0</v>
      </c>
      <c r="F39" s="42" t="n">
        <v>0</v>
      </c>
      <c r="G39" s="42" t="n">
        <v>0</v>
      </c>
      <c r="H39" s="42" t="n">
        <v>1</v>
      </c>
      <c r="I39" s="42" t="n">
        <v>1</v>
      </c>
      <c r="J39" s="42" t="n">
        <v>2</v>
      </c>
      <c r="K39" s="42" t="n">
        <v>3</v>
      </c>
      <c r="L39" s="42" t="n">
        <v>3</v>
      </c>
      <c r="M39" s="42" t="n">
        <v>4</v>
      </c>
      <c r="N39" s="42" t="n">
        <v>4</v>
      </c>
      <c r="O39" s="42" t="n">
        <v>5</v>
      </c>
      <c r="P39" s="42" t="n">
        <v>5</v>
      </c>
      <c r="Q39" s="42" t="n">
        <v>6</v>
      </c>
      <c r="R39" s="42" t="n">
        <v>6</v>
      </c>
      <c r="S39" s="42" t="n">
        <v>7</v>
      </c>
      <c r="T39" s="42" t="n">
        <v>7</v>
      </c>
      <c r="U39" s="42" t="n">
        <v>8</v>
      </c>
      <c r="V39" s="42" t="n">
        <v>8</v>
      </c>
      <c r="X39" s="52" t="s">
        <v>251</v>
      </c>
      <c r="Y39" s="53" t="s">
        <v>252</v>
      </c>
    </row>
    <row r="40" customFormat="false" ht="21.75" hidden="false" customHeight="true" outlineLevel="0" collapsed="false">
      <c r="A40" s="51" t="s">
        <v>253</v>
      </c>
      <c r="B40" s="37" t="s">
        <v>240</v>
      </c>
      <c r="C40" s="42" t="n">
        <v>0</v>
      </c>
      <c r="D40" s="42" t="n">
        <v>0</v>
      </c>
      <c r="E40" s="42" t="n">
        <v>0</v>
      </c>
      <c r="F40" s="42" t="n">
        <v>0</v>
      </c>
      <c r="G40" s="42" t="n">
        <v>0</v>
      </c>
      <c r="H40" s="42" t="n">
        <v>2</v>
      </c>
      <c r="I40" s="42" t="n">
        <v>3</v>
      </c>
      <c r="J40" s="42" t="n">
        <v>4</v>
      </c>
      <c r="K40" s="42" t="n">
        <v>6</v>
      </c>
      <c r="L40" s="42" t="n">
        <v>8</v>
      </c>
      <c r="M40" s="42" t="n">
        <v>10</v>
      </c>
      <c r="N40" s="42" t="n">
        <v>12</v>
      </c>
      <c r="O40" s="42" t="n">
        <v>14</v>
      </c>
      <c r="P40" s="42" t="n">
        <v>16</v>
      </c>
      <c r="Q40" s="42" t="n">
        <v>18</v>
      </c>
      <c r="R40" s="42" t="n">
        <v>20</v>
      </c>
      <c r="S40" s="42" t="n">
        <v>22</v>
      </c>
      <c r="T40" s="42" t="n">
        <v>24</v>
      </c>
      <c r="U40" s="42" t="n">
        <v>26</v>
      </c>
      <c r="V40" s="42" t="n">
        <v>28</v>
      </c>
      <c r="X40" s="52" t="s">
        <v>254</v>
      </c>
      <c r="Y40" s="53" t="s">
        <v>255</v>
      </c>
    </row>
    <row r="41" customFormat="false" ht="21.75" hidden="false" customHeight="true" outlineLevel="0" collapsed="false">
      <c r="A41" s="51" t="s">
        <v>256</v>
      </c>
      <c r="B41" s="37" t="s">
        <v>250</v>
      </c>
      <c r="C41" s="42" t="n">
        <v>0</v>
      </c>
      <c r="D41" s="42" t="n">
        <v>0</v>
      </c>
      <c r="E41" s="42" t="n">
        <v>0</v>
      </c>
      <c r="F41" s="42" t="n">
        <v>0</v>
      </c>
      <c r="G41" s="42" t="n">
        <v>0</v>
      </c>
      <c r="H41" s="42" t="n">
        <v>0</v>
      </c>
      <c r="I41" s="42" t="n">
        <v>1</v>
      </c>
      <c r="J41" s="42" t="n">
        <v>1</v>
      </c>
      <c r="K41" s="42" t="n">
        <v>2</v>
      </c>
      <c r="L41" s="42" t="n">
        <v>2</v>
      </c>
      <c r="M41" s="42" t="n">
        <v>3</v>
      </c>
      <c r="N41" s="42" t="n">
        <v>3</v>
      </c>
      <c r="O41" s="42" t="n">
        <v>4</v>
      </c>
      <c r="P41" s="42" t="n">
        <v>4</v>
      </c>
      <c r="Q41" s="42" t="n">
        <v>5</v>
      </c>
      <c r="R41" s="42" t="n">
        <v>5</v>
      </c>
      <c r="S41" s="42" t="n">
        <v>6</v>
      </c>
      <c r="T41" s="42" t="n">
        <v>6</v>
      </c>
      <c r="U41" s="42" t="n">
        <v>7</v>
      </c>
      <c r="V41" s="42" t="n">
        <v>7</v>
      </c>
      <c r="X41" s="52" t="s">
        <v>257</v>
      </c>
      <c r="Y41" s="53" t="s">
        <v>258</v>
      </c>
    </row>
    <row r="42" customFormat="false" ht="21.75" hidden="false" customHeight="true" outlineLevel="0" collapsed="false">
      <c r="A42" s="51" t="s">
        <v>259</v>
      </c>
      <c r="B42" s="37" t="s">
        <v>240</v>
      </c>
      <c r="C42" s="42" t="n">
        <v>0</v>
      </c>
      <c r="D42" s="42" t="n">
        <v>0</v>
      </c>
      <c r="E42" s="42" t="n">
        <v>0</v>
      </c>
      <c r="F42" s="42" t="n">
        <v>0</v>
      </c>
      <c r="G42" s="42" t="n">
        <v>0</v>
      </c>
      <c r="H42" s="42" t="n">
        <v>0</v>
      </c>
      <c r="I42" s="42" t="n">
        <v>1</v>
      </c>
      <c r="J42" s="42" t="n">
        <v>2</v>
      </c>
      <c r="K42" s="42" t="n">
        <v>3</v>
      </c>
      <c r="L42" s="42" t="n">
        <v>4</v>
      </c>
      <c r="M42" s="42" t="n">
        <v>5</v>
      </c>
      <c r="N42" s="42" t="n">
        <v>6</v>
      </c>
      <c r="O42" s="42" t="n">
        <v>7</v>
      </c>
      <c r="P42" s="42" t="n">
        <v>8</v>
      </c>
      <c r="Q42" s="42" t="n">
        <v>9</v>
      </c>
      <c r="R42" s="42" t="n">
        <v>10</v>
      </c>
      <c r="S42" s="42" t="n">
        <v>11</v>
      </c>
      <c r="T42" s="42" t="n">
        <v>12</v>
      </c>
      <c r="U42" s="42" t="n">
        <v>13</v>
      </c>
      <c r="V42" s="42" t="n">
        <v>14</v>
      </c>
      <c r="X42" s="52" t="s">
        <v>260</v>
      </c>
      <c r="Y42" s="53" t="s">
        <v>261</v>
      </c>
    </row>
    <row r="43" customFormat="false" ht="21.75" hidden="false" customHeight="true" outlineLevel="0" collapsed="false">
      <c r="A43" s="51" t="s">
        <v>262</v>
      </c>
      <c r="B43" s="37" t="s">
        <v>263</v>
      </c>
      <c r="C43" s="42" t="n">
        <v>0</v>
      </c>
      <c r="D43" s="42" t="n">
        <v>0</v>
      </c>
      <c r="E43" s="42" t="n">
        <v>0</v>
      </c>
      <c r="F43" s="42" t="n">
        <v>0</v>
      </c>
      <c r="G43" s="42" t="n">
        <v>0</v>
      </c>
      <c r="H43" s="42" t="n">
        <v>0</v>
      </c>
      <c r="I43" s="42" t="n">
        <v>1500</v>
      </c>
      <c r="J43" s="42" t="n">
        <v>2500</v>
      </c>
      <c r="K43" s="42" t="n">
        <v>4000</v>
      </c>
      <c r="L43" s="42" t="n">
        <v>6000</v>
      </c>
      <c r="M43" s="42" t="n">
        <v>8000</v>
      </c>
      <c r="N43" s="42" t="n">
        <v>10000</v>
      </c>
      <c r="O43" s="42" t="n">
        <v>14000</v>
      </c>
      <c r="P43" s="42" t="n">
        <v>17000</v>
      </c>
      <c r="Q43" s="42" t="n">
        <v>20000</v>
      </c>
      <c r="R43" s="42" t="n">
        <v>23000</v>
      </c>
      <c r="S43" s="42" t="n">
        <v>26000</v>
      </c>
      <c r="T43" s="42" t="n">
        <v>29000</v>
      </c>
      <c r="U43" s="42" t="n">
        <v>32000</v>
      </c>
      <c r="V43" s="42" t="n">
        <v>35000</v>
      </c>
      <c r="X43" s="52" t="s">
        <v>264</v>
      </c>
      <c r="Y43" s="53" t="s">
        <v>265</v>
      </c>
    </row>
    <row r="44" customFormat="false" ht="21.75" hidden="false" customHeight="true" outlineLevel="0" collapsed="false">
      <c r="A44" s="51" t="s">
        <v>266</v>
      </c>
      <c r="B44" s="37" t="s">
        <v>240</v>
      </c>
      <c r="C44" s="42" t="n">
        <v>0</v>
      </c>
      <c r="D44" s="42" t="n">
        <v>0</v>
      </c>
      <c r="E44" s="42" t="n">
        <v>0</v>
      </c>
      <c r="F44" s="42" t="n">
        <v>0</v>
      </c>
      <c r="G44" s="42" t="n">
        <v>0</v>
      </c>
      <c r="H44" s="42" t="n">
        <v>0</v>
      </c>
      <c r="I44" s="42" t="n">
        <v>1</v>
      </c>
      <c r="J44" s="42" t="n">
        <v>1</v>
      </c>
      <c r="K44" s="42" t="n">
        <v>2</v>
      </c>
      <c r="L44" s="42" t="n">
        <v>2</v>
      </c>
      <c r="M44" s="42" t="n">
        <v>3</v>
      </c>
      <c r="N44" s="42" t="n">
        <v>3</v>
      </c>
      <c r="O44" s="42" t="n">
        <v>4</v>
      </c>
      <c r="P44" s="42" t="n">
        <v>4</v>
      </c>
      <c r="Q44" s="42" t="n">
        <v>5</v>
      </c>
      <c r="R44" s="42" t="n">
        <v>5</v>
      </c>
      <c r="S44" s="42" t="n">
        <v>6</v>
      </c>
      <c r="T44" s="42" t="n">
        <v>6</v>
      </c>
      <c r="U44" s="42" t="n">
        <v>7</v>
      </c>
      <c r="V44" s="42" t="n">
        <v>7</v>
      </c>
      <c r="X44" s="52" t="s">
        <v>267</v>
      </c>
      <c r="Y44" s="53" t="s">
        <v>268</v>
      </c>
    </row>
    <row r="45" customFormat="false" ht="21.75" hidden="false" customHeight="true" outlineLevel="0" collapsed="false">
      <c r="A45" s="51" t="s">
        <v>269</v>
      </c>
      <c r="B45" s="37" t="s">
        <v>270</v>
      </c>
      <c r="C45" s="42" t="n">
        <v>0</v>
      </c>
      <c r="D45" s="42" t="n">
        <v>0</v>
      </c>
      <c r="E45" s="42" t="n">
        <v>0</v>
      </c>
      <c r="F45" s="42" t="n">
        <v>0</v>
      </c>
      <c r="G45" s="42" t="n">
        <v>0</v>
      </c>
      <c r="H45" s="42" t="n">
        <v>1</v>
      </c>
      <c r="I45" s="42" t="n">
        <v>1</v>
      </c>
      <c r="J45" s="42" t="n">
        <v>2</v>
      </c>
      <c r="K45" s="42" t="n">
        <v>2</v>
      </c>
      <c r="L45" s="42" t="n">
        <v>3</v>
      </c>
      <c r="M45" s="42" t="n">
        <v>3</v>
      </c>
      <c r="N45" s="42" t="n">
        <v>4</v>
      </c>
      <c r="O45" s="42" t="n">
        <v>4</v>
      </c>
      <c r="P45" s="42" t="n">
        <v>5</v>
      </c>
      <c r="Q45" s="42" t="n">
        <v>5</v>
      </c>
      <c r="R45" s="42" t="n">
        <v>6</v>
      </c>
      <c r="S45" s="42" t="n">
        <v>6</v>
      </c>
      <c r="T45" s="42" t="n">
        <v>7</v>
      </c>
      <c r="U45" s="42" t="n">
        <v>7</v>
      </c>
      <c r="V45" s="42" t="n">
        <v>8</v>
      </c>
      <c r="X45" s="52" t="s">
        <v>271</v>
      </c>
      <c r="Y45" s="53" t="s">
        <v>272</v>
      </c>
    </row>
    <row r="46" customFormat="false" ht="21.75" hidden="false" customHeight="true" outlineLevel="0" collapsed="false">
      <c r="A46" s="51" t="s">
        <v>273</v>
      </c>
      <c r="B46" s="37" t="s">
        <v>274</v>
      </c>
      <c r="C46" s="42" t="n">
        <v>1</v>
      </c>
      <c r="D46" s="42" t="n">
        <v>0</v>
      </c>
      <c r="E46" s="42" t="n">
        <v>0</v>
      </c>
      <c r="F46" s="42" t="n">
        <v>0</v>
      </c>
      <c r="G46" s="42" t="n">
        <v>0</v>
      </c>
      <c r="H46" s="42" t="n">
        <v>0</v>
      </c>
      <c r="I46" s="42" t="n">
        <v>0</v>
      </c>
      <c r="J46" s="42" t="n">
        <v>0</v>
      </c>
      <c r="K46" s="42" t="n">
        <v>0</v>
      </c>
      <c r="L46" s="42" t="n">
        <v>0</v>
      </c>
      <c r="M46" s="42" t="n">
        <v>0</v>
      </c>
      <c r="N46" s="42" t="n">
        <v>0</v>
      </c>
      <c r="O46" s="42" t="n">
        <v>0</v>
      </c>
      <c r="P46" s="42" t="n">
        <v>0</v>
      </c>
      <c r="Q46" s="42" t="n">
        <v>0</v>
      </c>
      <c r="R46" s="42" t="n">
        <v>0</v>
      </c>
      <c r="S46" s="42" t="n">
        <v>0</v>
      </c>
      <c r="T46" s="42" t="n">
        <v>0</v>
      </c>
      <c r="U46" s="42" t="n">
        <v>0</v>
      </c>
      <c r="V46" s="42" t="n">
        <v>0</v>
      </c>
      <c r="X46" s="52" t="s">
        <v>275</v>
      </c>
      <c r="Y46" s="53" t="s">
        <v>276</v>
      </c>
    </row>
    <row r="47" customFormat="false" ht="21.75" hidden="false" customHeight="true" outlineLevel="0" collapsed="false">
      <c r="A47" s="51" t="s">
        <v>277</v>
      </c>
      <c r="B47" s="37" t="s">
        <v>274</v>
      </c>
      <c r="C47" s="42" t="n">
        <v>0</v>
      </c>
      <c r="D47" s="42" t="n">
        <v>0</v>
      </c>
      <c r="E47" s="42" t="n">
        <v>0</v>
      </c>
      <c r="F47" s="42" t="n">
        <v>1</v>
      </c>
      <c r="G47" s="42" t="n">
        <v>1</v>
      </c>
      <c r="H47" s="42" t="n">
        <v>1</v>
      </c>
      <c r="I47" s="42" t="n">
        <v>1</v>
      </c>
      <c r="J47" s="42" t="n">
        <v>2</v>
      </c>
      <c r="K47" s="42" t="n">
        <v>2</v>
      </c>
      <c r="L47" s="42" t="n">
        <v>2</v>
      </c>
      <c r="M47" s="42" t="n">
        <v>3</v>
      </c>
      <c r="N47" s="42" t="n">
        <v>3</v>
      </c>
      <c r="O47" s="42" t="n">
        <v>3</v>
      </c>
      <c r="P47" s="42" t="n">
        <v>4</v>
      </c>
      <c r="Q47" s="42" t="n">
        <v>4</v>
      </c>
      <c r="R47" s="42" t="n">
        <v>5</v>
      </c>
      <c r="S47" s="42" t="n">
        <v>5</v>
      </c>
      <c r="T47" s="42" t="n">
        <v>5</v>
      </c>
      <c r="U47" s="42" t="n">
        <v>6</v>
      </c>
      <c r="V47" s="42" t="n">
        <v>6</v>
      </c>
      <c r="X47" s="52" t="s">
        <v>278</v>
      </c>
      <c r="Y47" s="53" t="s">
        <v>279</v>
      </c>
    </row>
    <row r="48" customFormat="false" ht="21.75" hidden="false" customHeight="true" outlineLevel="0" collapsed="false">
      <c r="A48" s="51" t="s">
        <v>280</v>
      </c>
      <c r="B48" s="37" t="s">
        <v>270</v>
      </c>
      <c r="C48" s="42" t="n">
        <v>0</v>
      </c>
      <c r="D48" s="42" t="n">
        <v>0</v>
      </c>
      <c r="E48" s="42" t="n">
        <v>0</v>
      </c>
      <c r="F48" s="42" t="n">
        <v>0</v>
      </c>
      <c r="G48" s="42" t="n">
        <v>0</v>
      </c>
      <c r="H48" s="42" t="n">
        <v>0</v>
      </c>
      <c r="I48" s="42" t="n">
        <v>0</v>
      </c>
      <c r="J48" s="42" t="n">
        <v>1</v>
      </c>
      <c r="K48" s="42" t="n">
        <v>1</v>
      </c>
      <c r="L48" s="42" t="n">
        <v>1</v>
      </c>
      <c r="M48" s="42" t="n">
        <v>2</v>
      </c>
      <c r="N48" s="42" t="n">
        <v>2</v>
      </c>
      <c r="O48" s="42" t="n">
        <v>2</v>
      </c>
      <c r="P48" s="42" t="n">
        <v>3</v>
      </c>
      <c r="Q48" s="42" t="n">
        <v>3</v>
      </c>
      <c r="R48" s="42" t="n">
        <v>4</v>
      </c>
      <c r="S48" s="42" t="n">
        <v>4</v>
      </c>
      <c r="T48" s="42" t="n">
        <v>4</v>
      </c>
      <c r="U48" s="42" t="n">
        <v>5</v>
      </c>
      <c r="V48" s="42" t="n">
        <v>5</v>
      </c>
      <c r="X48" s="52" t="s">
        <v>281</v>
      </c>
      <c r="Y48" s="53" t="s">
        <v>282</v>
      </c>
    </row>
    <row r="49" customFormat="false" ht="21.75" hidden="false" customHeight="true" outlineLevel="0" collapsed="false">
      <c r="A49" s="51" t="s">
        <v>283</v>
      </c>
      <c r="B49" s="37" t="s">
        <v>284</v>
      </c>
      <c r="C49" s="42" t="n">
        <v>0</v>
      </c>
      <c r="D49" s="42" t="n">
        <v>0</v>
      </c>
      <c r="E49" s="42" t="n">
        <v>0</v>
      </c>
      <c r="F49" s="42" t="n">
        <v>1</v>
      </c>
      <c r="G49" s="42" t="n">
        <v>1</v>
      </c>
      <c r="H49" s="42" t="n">
        <v>0</v>
      </c>
      <c r="I49" s="42" t="n">
        <v>1</v>
      </c>
      <c r="J49" s="42" t="n">
        <v>0</v>
      </c>
      <c r="K49" s="42" t="n">
        <v>1</v>
      </c>
      <c r="L49" s="42" t="n">
        <v>1</v>
      </c>
      <c r="M49" s="42" t="n">
        <v>1</v>
      </c>
      <c r="N49" s="42" t="n">
        <v>0</v>
      </c>
      <c r="O49" s="42" t="n">
        <v>1</v>
      </c>
      <c r="P49" s="42" t="n">
        <v>1</v>
      </c>
      <c r="Q49" s="42" t="n">
        <v>1</v>
      </c>
      <c r="R49" s="42" t="n">
        <v>0</v>
      </c>
      <c r="S49" s="42" t="n">
        <v>1</v>
      </c>
      <c r="T49" s="42" t="n">
        <v>1</v>
      </c>
      <c r="U49" s="42" t="n">
        <v>1</v>
      </c>
      <c r="V49" s="42" t="n">
        <v>0</v>
      </c>
      <c r="X49" s="52" t="s">
        <v>285</v>
      </c>
      <c r="Y49" s="53" t="s">
        <v>286</v>
      </c>
    </row>
    <row r="50" customFormat="false" ht="21.75" hidden="false" customHeight="true" outlineLevel="0" collapsed="false">
      <c r="A50" s="51" t="s">
        <v>287</v>
      </c>
      <c r="B50" s="37" t="s">
        <v>288</v>
      </c>
      <c r="C50" s="42" t="n">
        <v>0</v>
      </c>
      <c r="D50" s="42" t="n">
        <v>1</v>
      </c>
      <c r="E50" s="42" t="n">
        <v>1</v>
      </c>
      <c r="F50" s="42" t="n">
        <v>2</v>
      </c>
      <c r="G50" s="42" t="n">
        <v>3</v>
      </c>
      <c r="H50" s="42" t="n">
        <v>4</v>
      </c>
      <c r="I50" s="42" t="n">
        <v>5</v>
      </c>
      <c r="J50" s="42" t="n">
        <v>6</v>
      </c>
      <c r="K50" s="42" t="n">
        <v>7</v>
      </c>
      <c r="L50" s="42" t="n">
        <v>8</v>
      </c>
      <c r="M50" s="42" t="n">
        <v>9</v>
      </c>
      <c r="N50" s="42" t="n">
        <v>10</v>
      </c>
      <c r="O50" s="42" t="n">
        <v>11</v>
      </c>
      <c r="P50" s="42" t="n">
        <v>12</v>
      </c>
      <c r="Q50" s="42" t="n">
        <v>13</v>
      </c>
      <c r="R50" s="42" t="n">
        <v>14</v>
      </c>
      <c r="S50" s="42" t="n">
        <v>15</v>
      </c>
      <c r="T50" s="42" t="n">
        <v>16</v>
      </c>
      <c r="U50" s="42" t="n">
        <v>17</v>
      </c>
      <c r="V50" s="42" t="n">
        <v>18</v>
      </c>
      <c r="X50" s="52" t="s">
        <v>289</v>
      </c>
      <c r="Y50" s="53" t="s">
        <v>290</v>
      </c>
    </row>
    <row r="51" customFormat="false" ht="21.75" hidden="false" customHeight="true" outlineLevel="0" collapsed="false">
      <c r="A51" s="51" t="s">
        <v>291</v>
      </c>
      <c r="B51" s="37" t="s">
        <v>263</v>
      </c>
      <c r="C51" s="42" t="n">
        <v>60</v>
      </c>
      <c r="D51" s="42" t="n">
        <v>60</v>
      </c>
      <c r="E51" s="42" t="n">
        <v>60</v>
      </c>
      <c r="F51" s="42" t="n">
        <v>60</v>
      </c>
      <c r="G51" s="42" t="n">
        <v>70</v>
      </c>
      <c r="H51" s="42" t="n">
        <v>70</v>
      </c>
      <c r="I51" s="42" t="n">
        <v>70</v>
      </c>
      <c r="J51" s="42" t="n">
        <v>70</v>
      </c>
      <c r="K51" s="42" t="n">
        <v>80</v>
      </c>
      <c r="L51" s="42" t="n">
        <v>80</v>
      </c>
      <c r="M51" s="42" t="n">
        <v>80</v>
      </c>
      <c r="N51" s="42" t="n">
        <v>80</v>
      </c>
      <c r="O51" s="42" t="n">
        <v>85</v>
      </c>
      <c r="P51" s="42" t="n">
        <v>85</v>
      </c>
      <c r="Q51" s="42" t="n">
        <v>85</v>
      </c>
      <c r="R51" s="42" t="n">
        <v>85</v>
      </c>
      <c r="S51" s="42" t="n">
        <v>90</v>
      </c>
      <c r="T51" s="42" t="n">
        <v>90</v>
      </c>
      <c r="U51" s="42" t="n">
        <v>90</v>
      </c>
      <c r="V51" s="42" t="n">
        <v>90</v>
      </c>
      <c r="X51" s="52" t="s">
        <v>292</v>
      </c>
      <c r="Y51" s="53" t="s">
        <v>293</v>
      </c>
    </row>
    <row r="52" customFormat="false" ht="21.75" hidden="false" customHeight="true" outlineLevel="0" collapsed="false">
      <c r="A52" s="51" t="s">
        <v>294</v>
      </c>
      <c r="B52" s="37" t="s">
        <v>207</v>
      </c>
      <c r="C52" s="42" t="n">
        <v>6</v>
      </c>
      <c r="D52" s="42" t="n">
        <v>9</v>
      </c>
      <c r="E52" s="42" t="n">
        <v>12</v>
      </c>
      <c r="F52" s="42" t="n">
        <v>15</v>
      </c>
      <c r="G52" s="42" t="n">
        <v>19</v>
      </c>
      <c r="H52" s="42" t="n">
        <v>24</v>
      </c>
      <c r="I52" s="42" t="n">
        <v>29</v>
      </c>
      <c r="J52" s="42" t="n">
        <v>34</v>
      </c>
      <c r="K52" s="42" t="n">
        <v>40</v>
      </c>
      <c r="L52" s="42" t="n">
        <v>46</v>
      </c>
      <c r="M52" s="42" t="n">
        <v>52</v>
      </c>
      <c r="N52" s="42" t="n">
        <v>58</v>
      </c>
      <c r="O52" s="42" t="n">
        <v>66</v>
      </c>
      <c r="P52" s="42" t="n">
        <v>74</v>
      </c>
      <c r="Q52" s="42" t="n">
        <v>82</v>
      </c>
      <c r="R52" s="42" t="n">
        <v>90</v>
      </c>
      <c r="S52" s="42" t="n">
        <v>98</v>
      </c>
      <c r="T52" s="42" t="n">
        <v>106</v>
      </c>
      <c r="U52" s="42" t="n">
        <v>114</v>
      </c>
      <c r="V52" s="42" t="n">
        <v>122</v>
      </c>
      <c r="X52" s="52" t="s">
        <v>295</v>
      </c>
      <c r="Y52" s="53" t="s">
        <v>296</v>
      </c>
    </row>
    <row r="53" customFormat="false" ht="21.75" hidden="false" customHeight="true" outlineLevel="0" collapsed="false">
      <c r="A53" s="51" t="s">
        <v>297</v>
      </c>
      <c r="B53" s="37" t="s">
        <v>207</v>
      </c>
      <c r="C53" s="42" t="n">
        <v>0</v>
      </c>
      <c r="D53" s="42" t="n">
        <v>0</v>
      </c>
      <c r="E53" s="42" t="n">
        <v>1</v>
      </c>
      <c r="F53" s="42" t="n">
        <v>1</v>
      </c>
      <c r="G53" s="42" t="n">
        <v>2</v>
      </c>
      <c r="H53" s="42" t="n">
        <v>3</v>
      </c>
      <c r="I53" s="42" t="n">
        <v>4</v>
      </c>
      <c r="J53" s="42" t="n">
        <v>5</v>
      </c>
      <c r="K53" s="42" t="n">
        <v>6</v>
      </c>
      <c r="L53" s="42" t="n">
        <v>7</v>
      </c>
      <c r="M53" s="42" t="n">
        <v>8</v>
      </c>
      <c r="N53" s="42" t="n">
        <v>9</v>
      </c>
      <c r="O53" s="42" t="n">
        <v>10</v>
      </c>
      <c r="P53" s="42" t="n">
        <v>11</v>
      </c>
      <c r="Q53" s="42" t="n">
        <v>12</v>
      </c>
      <c r="R53" s="42" t="n">
        <v>13</v>
      </c>
      <c r="S53" s="42" t="n">
        <v>14</v>
      </c>
      <c r="T53" s="42" t="n">
        <v>15</v>
      </c>
      <c r="U53" s="42" t="n">
        <v>16</v>
      </c>
      <c r="V53" s="42" t="n">
        <v>17</v>
      </c>
      <c r="X53" s="52" t="s">
        <v>298</v>
      </c>
      <c r="Y53" s="53" t="s">
        <v>299</v>
      </c>
    </row>
    <row r="55" customFormat="false" ht="15" hidden="false" customHeight="false" outlineLevel="0" collapsed="false">
      <c r="A55" s="12" t="s">
        <v>300</v>
      </c>
      <c r="B55" s="37" t="s">
        <v>204</v>
      </c>
      <c r="C55" s="41" t="n">
        <v>0.28</v>
      </c>
      <c r="D55" s="41" t="n">
        <v>0.33</v>
      </c>
      <c r="E55" s="41" t="n">
        <v>0.39</v>
      </c>
      <c r="F55" s="54" t="n">
        <f aca="false">SUM(C55:E55)</f>
        <v>1</v>
      </c>
      <c r="G55" s="22" t="s">
        <v>301</v>
      </c>
    </row>
    <row r="57" customFormat="false" ht="16.5" hidden="false" customHeight="true" outlineLevel="0" collapsed="false">
      <c r="A57" s="15" t="s">
        <v>302</v>
      </c>
      <c r="B57" s="15"/>
      <c r="C57" s="15"/>
      <c r="D57" s="15"/>
      <c r="E57" s="15"/>
      <c r="F57" s="15"/>
      <c r="G57" s="15"/>
      <c r="H57" s="15"/>
      <c r="I57" s="15"/>
      <c r="J57" s="15"/>
      <c r="K57" s="15"/>
      <c r="L57" s="15"/>
      <c r="M57" s="15"/>
      <c r="N57" s="15"/>
      <c r="O57" s="15"/>
      <c r="P57" s="15"/>
      <c r="Q57" s="15"/>
      <c r="R57" s="15"/>
      <c r="S57" s="15"/>
      <c r="T57" s="15"/>
      <c r="U57" s="15"/>
      <c r="V57" s="15"/>
      <c r="W57" s="15"/>
      <c r="X57" s="15"/>
      <c r="Y57" s="15"/>
    </row>
    <row r="58" customFormat="false" ht="15" hidden="false" customHeight="false" outlineLevel="0" collapsed="false">
      <c r="C58" s="55" t="s">
        <v>80</v>
      </c>
      <c r="D58" s="55" t="s">
        <v>81</v>
      </c>
      <c r="E58" s="55" t="s">
        <v>82</v>
      </c>
      <c r="F58" s="55" t="s">
        <v>83</v>
      </c>
      <c r="G58" s="55" t="s">
        <v>84</v>
      </c>
    </row>
    <row r="59" customFormat="false" ht="15" hidden="false" customHeight="false" outlineLevel="0" collapsed="false">
      <c r="A59" s="12" t="s">
        <v>303</v>
      </c>
      <c r="B59" s="37" t="s">
        <v>9</v>
      </c>
      <c r="C59" s="44" t="n">
        <v>6500</v>
      </c>
      <c r="D59" s="44" t="n">
        <v>7200</v>
      </c>
      <c r="E59" s="44" t="n">
        <v>7900</v>
      </c>
      <c r="F59" s="44" t="n">
        <v>8400</v>
      </c>
      <c r="G59" s="44" t="n">
        <v>8900</v>
      </c>
      <c r="X59" s="22" t="s">
        <v>304</v>
      </c>
    </row>
    <row r="60" customFormat="false" ht="15" hidden="false" customHeight="false" outlineLevel="0" collapsed="false">
      <c r="A60" s="12" t="s">
        <v>305</v>
      </c>
      <c r="B60" s="37" t="s">
        <v>9</v>
      </c>
      <c r="C60" s="44" t="n">
        <v>0</v>
      </c>
      <c r="D60" s="44" t="n">
        <v>18000</v>
      </c>
      <c r="E60" s="44" t="n">
        <v>22000</v>
      </c>
      <c r="F60" s="44" t="n">
        <v>25000</v>
      </c>
      <c r="G60" s="44" t="n">
        <v>27000</v>
      </c>
      <c r="X60" s="22" t="s">
        <v>306</v>
      </c>
    </row>
    <row r="61" customFormat="false" ht="15" hidden="false" customHeight="false" outlineLevel="0" collapsed="false">
      <c r="A61" s="12" t="s">
        <v>307</v>
      </c>
      <c r="B61" s="37" t="s">
        <v>9</v>
      </c>
      <c r="C61" s="44" t="n">
        <v>0</v>
      </c>
      <c r="D61" s="44" t="n">
        <v>4200</v>
      </c>
      <c r="E61" s="44" t="n">
        <v>4600</v>
      </c>
      <c r="F61" s="44" t="n">
        <v>4900</v>
      </c>
      <c r="G61" s="44" t="n">
        <v>5200</v>
      </c>
    </row>
    <row r="62" customFormat="false" ht="15" hidden="false" customHeight="false" outlineLevel="0" collapsed="false">
      <c r="A62" s="12" t="s">
        <v>308</v>
      </c>
      <c r="B62" s="37" t="s">
        <v>9</v>
      </c>
      <c r="C62" s="44" t="n">
        <v>0</v>
      </c>
      <c r="D62" s="44" t="n">
        <v>9000</v>
      </c>
      <c r="E62" s="44" t="n">
        <v>11000</v>
      </c>
      <c r="F62" s="44" t="n">
        <v>12000</v>
      </c>
      <c r="G62" s="44" t="n">
        <v>13000</v>
      </c>
    </row>
    <row r="63" customFormat="false" ht="15" hidden="false" customHeight="false" outlineLevel="0" collapsed="false">
      <c r="A63" s="12" t="s">
        <v>309</v>
      </c>
      <c r="B63" s="37" t="s">
        <v>9</v>
      </c>
      <c r="C63" s="44" t="n">
        <v>0</v>
      </c>
      <c r="D63" s="44" t="n">
        <v>4600</v>
      </c>
      <c r="E63" s="44" t="n">
        <v>5000</v>
      </c>
      <c r="F63" s="44" t="n">
        <v>5300</v>
      </c>
      <c r="G63" s="44" t="n">
        <v>5600</v>
      </c>
    </row>
    <row r="64" customFormat="false" ht="15" hidden="false" customHeight="false" outlineLevel="0" collapsed="false">
      <c r="A64" s="12" t="s">
        <v>310</v>
      </c>
      <c r="B64" s="37" t="s">
        <v>9</v>
      </c>
      <c r="C64" s="56" t="n">
        <v>0</v>
      </c>
      <c r="D64" s="56" t="n">
        <v>24</v>
      </c>
      <c r="E64" s="56" t="n">
        <v>20</v>
      </c>
      <c r="F64" s="56" t="n">
        <v>18</v>
      </c>
      <c r="G64" s="56" t="n">
        <v>17</v>
      </c>
      <c r="X64" s="22" t="s">
        <v>311</v>
      </c>
    </row>
    <row r="65" customFormat="false" ht="15" hidden="false" customHeight="false" outlineLevel="0" collapsed="false">
      <c r="A65" s="12" t="s">
        <v>312</v>
      </c>
      <c r="B65" s="37" t="s">
        <v>9</v>
      </c>
      <c r="C65" s="44" t="n">
        <v>0</v>
      </c>
      <c r="D65" s="44" t="n">
        <v>11000</v>
      </c>
      <c r="E65" s="44" t="n">
        <v>12500</v>
      </c>
      <c r="F65" s="44" t="n">
        <v>13000</v>
      </c>
      <c r="G65" s="44" t="n">
        <v>13500</v>
      </c>
    </row>
    <row r="66" customFormat="false" ht="15" hidden="false" customHeight="false" outlineLevel="0" collapsed="false">
      <c r="A66" s="12" t="s">
        <v>313</v>
      </c>
      <c r="B66" s="37" t="s">
        <v>9</v>
      </c>
      <c r="C66" s="44" t="n">
        <v>0</v>
      </c>
      <c r="D66" s="44" t="n">
        <v>30000</v>
      </c>
      <c r="E66" s="44" t="n">
        <v>35000</v>
      </c>
      <c r="F66" s="44" t="n">
        <v>38000</v>
      </c>
      <c r="G66" s="44" t="n">
        <v>40000</v>
      </c>
    </row>
    <row r="67" customFormat="false" ht="15" hidden="false" customHeight="false" outlineLevel="0" collapsed="false">
      <c r="A67" s="12" t="s">
        <v>314</v>
      </c>
      <c r="B67" s="37" t="s">
        <v>9</v>
      </c>
      <c r="C67" s="44" t="n">
        <v>22000</v>
      </c>
      <c r="D67" s="44" t="n">
        <v>26000</v>
      </c>
      <c r="E67" s="44" t="n">
        <v>30000</v>
      </c>
      <c r="F67" s="44" t="n">
        <v>34000</v>
      </c>
      <c r="G67" s="44" t="n">
        <v>37000</v>
      </c>
      <c r="X67" s="22" t="s">
        <v>315</v>
      </c>
    </row>
    <row r="68" customFormat="false" ht="15" hidden="false" customHeight="false" outlineLevel="0" collapsed="false">
      <c r="A68" s="12" t="s">
        <v>316</v>
      </c>
      <c r="B68" s="37" t="s">
        <v>9</v>
      </c>
      <c r="C68" s="44" t="n">
        <v>0</v>
      </c>
      <c r="D68" s="44" t="n">
        <v>38000</v>
      </c>
      <c r="E68" s="44" t="n">
        <v>45000</v>
      </c>
      <c r="F68" s="44" t="n">
        <v>52000</v>
      </c>
      <c r="G68" s="44" t="n">
        <v>58000</v>
      </c>
    </row>
    <row r="69" customFormat="false" ht="15" hidden="false" customHeight="false" outlineLevel="0" collapsed="false">
      <c r="A69" s="12" t="s">
        <v>317</v>
      </c>
      <c r="B69" s="37" t="s">
        <v>9</v>
      </c>
      <c r="C69" s="56" t="n">
        <v>36</v>
      </c>
      <c r="D69" s="56" t="n">
        <v>40</v>
      </c>
      <c r="E69" s="56" t="n">
        <v>42</v>
      </c>
      <c r="F69" s="56" t="n">
        <v>44</v>
      </c>
      <c r="G69" s="56" t="n">
        <v>46</v>
      </c>
    </row>
    <row r="70" customFormat="false" ht="15" hidden="false" customHeight="false" outlineLevel="0" collapsed="false">
      <c r="A70" s="12" t="s">
        <v>318</v>
      </c>
      <c r="B70" s="37" t="s">
        <v>9</v>
      </c>
      <c r="C70" s="44" t="n">
        <v>9000</v>
      </c>
      <c r="D70" s="44" t="n">
        <v>14000</v>
      </c>
      <c r="E70" s="44" t="n">
        <v>20000</v>
      </c>
      <c r="F70" s="44" t="n">
        <v>26000</v>
      </c>
      <c r="G70" s="44" t="n">
        <v>30000</v>
      </c>
      <c r="X70" s="22" t="s">
        <v>319</v>
      </c>
    </row>
    <row r="71" customFormat="false" ht="15" hidden="false" customHeight="false" outlineLevel="0" collapsed="false">
      <c r="A71" s="12" t="s">
        <v>320</v>
      </c>
      <c r="B71" s="37" t="s">
        <v>9</v>
      </c>
      <c r="C71" s="44" t="n">
        <v>49</v>
      </c>
    </row>
    <row r="72" customFormat="false" ht="15" hidden="false" customHeight="false" outlineLevel="0" collapsed="false">
      <c r="A72" s="12" t="s">
        <v>321</v>
      </c>
      <c r="B72" s="37" t="s">
        <v>9</v>
      </c>
      <c r="C72" s="44" t="n">
        <v>149</v>
      </c>
    </row>
    <row r="73" customFormat="false" ht="15" hidden="false" customHeight="false" outlineLevel="0" collapsed="false">
      <c r="A73" s="12" t="s">
        <v>322</v>
      </c>
      <c r="B73" s="37" t="s">
        <v>204</v>
      </c>
      <c r="C73" s="41" t="n">
        <v>0.22</v>
      </c>
    </row>
    <row r="74" customFormat="false" ht="15" hidden="false" customHeight="false" outlineLevel="0" collapsed="false">
      <c r="A74" s="12" t="s">
        <v>323</v>
      </c>
      <c r="B74" s="37" t="s">
        <v>204</v>
      </c>
      <c r="C74" s="41" t="n">
        <v>0.05</v>
      </c>
    </row>
    <row r="75" customFormat="false" ht="15" hidden="false" customHeight="false" outlineLevel="0" collapsed="false">
      <c r="A75" s="12" t="s">
        <v>324</v>
      </c>
      <c r="B75" s="37" t="s">
        <v>207</v>
      </c>
      <c r="C75" s="42" t="n">
        <v>25</v>
      </c>
    </row>
    <row r="76" customFormat="false" ht="15" hidden="false" customHeight="false" outlineLevel="0" collapsed="false">
      <c r="A76" s="12" t="s">
        <v>325</v>
      </c>
      <c r="B76" s="37" t="s">
        <v>207</v>
      </c>
      <c r="C76" s="42" t="n">
        <v>30</v>
      </c>
    </row>
    <row r="77" customFormat="false" ht="15" hidden="false" customHeight="false" outlineLevel="0" collapsed="false">
      <c r="A77" s="12" t="s">
        <v>326</v>
      </c>
      <c r="B77" s="37" t="s">
        <v>207</v>
      </c>
      <c r="C77" s="42" t="n">
        <v>700</v>
      </c>
    </row>
    <row r="78" customFormat="false" ht="15" hidden="false" customHeight="false" outlineLevel="0" collapsed="false">
      <c r="A78" s="12" t="s">
        <v>327</v>
      </c>
      <c r="B78" s="37" t="s">
        <v>207</v>
      </c>
      <c r="C78" s="42" t="n">
        <v>140</v>
      </c>
    </row>
    <row r="79" customFormat="false" ht="15" hidden="false" customHeight="false" outlineLevel="0" collapsed="false">
      <c r="A79" s="12" t="s">
        <v>328</v>
      </c>
      <c r="B79" s="37" t="s">
        <v>207</v>
      </c>
      <c r="C79" s="42" t="n">
        <v>60</v>
      </c>
    </row>
    <row r="81" customFormat="false" ht="16.5" hidden="false" customHeight="true" outlineLevel="0" collapsed="false">
      <c r="A81" s="15" t="s">
        <v>329</v>
      </c>
      <c r="B81" s="15"/>
      <c r="C81" s="15"/>
      <c r="D81" s="15"/>
      <c r="E81" s="15"/>
      <c r="F81" s="15"/>
      <c r="G81" s="15"/>
      <c r="H81" s="15"/>
      <c r="I81" s="15"/>
      <c r="J81" s="15"/>
      <c r="K81" s="15"/>
      <c r="L81" s="15"/>
      <c r="M81" s="15"/>
      <c r="N81" s="15"/>
      <c r="O81" s="15"/>
      <c r="P81" s="15"/>
      <c r="Q81" s="15"/>
      <c r="R81" s="15"/>
      <c r="S81" s="15"/>
      <c r="T81" s="15"/>
      <c r="U81" s="15"/>
      <c r="V81" s="15"/>
      <c r="W81" s="15"/>
      <c r="X81" s="15"/>
      <c r="Y81" s="15"/>
    </row>
    <row r="82" customFormat="false" ht="15" hidden="false" customHeight="false" outlineLevel="0" collapsed="false">
      <c r="A82" s="43" t="s">
        <v>330</v>
      </c>
      <c r="B82" s="43"/>
      <c r="C82" s="43"/>
      <c r="D82" s="43"/>
      <c r="E82" s="43"/>
      <c r="F82" s="43"/>
      <c r="G82" s="43"/>
      <c r="H82" s="43"/>
      <c r="I82" s="43"/>
      <c r="J82" s="43"/>
      <c r="K82" s="43"/>
      <c r="L82" s="43"/>
      <c r="M82" s="43"/>
      <c r="N82" s="43"/>
      <c r="O82" s="43"/>
      <c r="P82" s="43"/>
    </row>
    <row r="83" customFormat="false" ht="27.75" hidden="false" customHeight="true" outlineLevel="0" collapsed="false">
      <c r="A83" s="26" t="s">
        <v>331</v>
      </c>
      <c r="B83" s="16"/>
      <c r="C83" s="57" t="s">
        <v>332</v>
      </c>
      <c r="D83" s="57" t="s">
        <v>333</v>
      </c>
      <c r="E83" s="57" t="s">
        <v>334</v>
      </c>
      <c r="F83" s="57" t="s">
        <v>335</v>
      </c>
      <c r="G83" s="57" t="s">
        <v>336</v>
      </c>
      <c r="H83" s="57" t="s">
        <v>337</v>
      </c>
      <c r="I83" s="57" t="s">
        <v>338</v>
      </c>
      <c r="J83" s="57" t="s">
        <v>339</v>
      </c>
      <c r="K83" s="57" t="s">
        <v>340</v>
      </c>
    </row>
    <row r="84" customFormat="false" ht="15" hidden="false" customHeight="false" outlineLevel="0" collapsed="false">
      <c r="A84" s="51" t="s">
        <v>341</v>
      </c>
      <c r="B84" s="37" t="s">
        <v>9</v>
      </c>
      <c r="C84" s="44" t="n">
        <v>200</v>
      </c>
      <c r="D84" s="44" t="n">
        <v>900</v>
      </c>
      <c r="E84" s="44" t="n">
        <v>2000</v>
      </c>
      <c r="F84" s="44" t="n">
        <v>3200</v>
      </c>
      <c r="G84" s="44" t="n">
        <v>4500</v>
      </c>
      <c r="H84" s="56" t="n">
        <v>0.08</v>
      </c>
      <c r="I84" s="41" t="n">
        <v>0.25</v>
      </c>
      <c r="J84" s="41" t="n">
        <v>0.08</v>
      </c>
      <c r="K84" s="58" t="n">
        <v>0.025</v>
      </c>
    </row>
    <row r="85" customFormat="false" ht="15" hidden="false" customHeight="false" outlineLevel="0" collapsed="false">
      <c r="A85" s="51" t="s">
        <v>342</v>
      </c>
      <c r="B85" s="37" t="s">
        <v>9</v>
      </c>
      <c r="C85" s="44" t="n">
        <v>160</v>
      </c>
      <c r="D85" s="44" t="n">
        <v>800</v>
      </c>
      <c r="E85" s="44" t="n">
        <v>1800</v>
      </c>
      <c r="F85" s="44" t="n">
        <v>3000</v>
      </c>
      <c r="G85" s="44" t="n">
        <v>4200</v>
      </c>
      <c r="H85" s="56" t="n">
        <v>0.14</v>
      </c>
      <c r="I85" s="41" t="n">
        <v>0.12</v>
      </c>
      <c r="J85" s="41" t="n">
        <v>0.05</v>
      </c>
      <c r="K85" s="58" t="n">
        <v>0.035</v>
      </c>
    </row>
    <row r="86" customFormat="false" ht="15" hidden="false" customHeight="false" outlineLevel="0" collapsed="false">
      <c r="A86" s="51" t="s">
        <v>343</v>
      </c>
      <c r="B86" s="37" t="s">
        <v>9</v>
      </c>
      <c r="C86" s="44" t="n">
        <v>100</v>
      </c>
      <c r="D86" s="44" t="n">
        <v>600</v>
      </c>
      <c r="E86" s="44" t="n">
        <v>1400</v>
      </c>
      <c r="F86" s="44" t="n">
        <v>2400</v>
      </c>
      <c r="G86" s="44" t="n">
        <v>3400</v>
      </c>
      <c r="H86" s="56" t="n">
        <v>0.11</v>
      </c>
      <c r="I86" s="41" t="n">
        <v>0.18</v>
      </c>
      <c r="J86" s="41" t="n">
        <v>0.09</v>
      </c>
      <c r="K86" s="58" t="n">
        <v>0.03</v>
      </c>
    </row>
    <row r="87" customFormat="false" ht="15" hidden="false" customHeight="false" outlineLevel="0" collapsed="false">
      <c r="A87" s="51" t="s">
        <v>344</v>
      </c>
      <c r="B87" s="37" t="s">
        <v>9</v>
      </c>
      <c r="C87" s="44" t="n">
        <v>120</v>
      </c>
      <c r="D87" s="44" t="n">
        <v>700</v>
      </c>
      <c r="E87" s="44" t="n">
        <v>1500</v>
      </c>
      <c r="F87" s="44" t="n">
        <v>2500</v>
      </c>
      <c r="G87" s="44" t="n">
        <v>3500</v>
      </c>
      <c r="H87" s="56" t="n">
        <v>0.22</v>
      </c>
      <c r="I87" s="41" t="n">
        <v>0.3</v>
      </c>
      <c r="J87" s="41" t="n">
        <v>0.12</v>
      </c>
      <c r="K87" s="58" t="n">
        <v>0.045</v>
      </c>
    </row>
    <row r="88" customFormat="false" ht="15" hidden="false" customHeight="false" outlineLevel="0" collapsed="false">
      <c r="A88" s="51" t="s">
        <v>345</v>
      </c>
      <c r="B88" s="37" t="s">
        <v>9</v>
      </c>
      <c r="C88" s="44" t="n">
        <v>60</v>
      </c>
      <c r="D88" s="44" t="n">
        <v>250</v>
      </c>
      <c r="E88" s="44" t="n">
        <v>600</v>
      </c>
      <c r="F88" s="44" t="n">
        <v>1000</v>
      </c>
      <c r="G88" s="44" t="n">
        <v>1400</v>
      </c>
      <c r="H88" s="56" t="n">
        <v>0.45</v>
      </c>
      <c r="I88" s="41" t="n">
        <v>0.1</v>
      </c>
      <c r="J88" s="41" t="n">
        <v>0.15</v>
      </c>
      <c r="K88" s="58" t="n">
        <v>0.22</v>
      </c>
    </row>
    <row r="89" customFormat="false" ht="15" hidden="false" customHeight="false" outlineLevel="0" collapsed="false">
      <c r="A89" s="51" t="s">
        <v>346</v>
      </c>
      <c r="B89" s="37" t="s">
        <v>9</v>
      </c>
      <c r="C89" s="44" t="n">
        <v>80</v>
      </c>
      <c r="D89" s="44" t="n">
        <v>450</v>
      </c>
      <c r="E89" s="44" t="n">
        <v>1100</v>
      </c>
      <c r="F89" s="44" t="n">
        <v>1800</v>
      </c>
      <c r="G89" s="44" t="n">
        <v>2600</v>
      </c>
      <c r="H89" s="56" t="n">
        <v>0.03</v>
      </c>
      <c r="I89" s="41" t="n">
        <v>0.4</v>
      </c>
      <c r="J89" s="41" t="n">
        <v>0.06</v>
      </c>
      <c r="K89" s="58" t="n">
        <v>0.04</v>
      </c>
    </row>
    <row r="91" customFormat="false" ht="15" hidden="false" customHeight="false" outlineLevel="0" collapsed="false">
      <c r="C91" s="55" t="s">
        <v>80</v>
      </c>
      <c r="D91" s="55" t="s">
        <v>81</v>
      </c>
      <c r="E91" s="55" t="s">
        <v>82</v>
      </c>
      <c r="F91" s="55" t="s">
        <v>83</v>
      </c>
      <c r="G91" s="55" t="s">
        <v>84</v>
      </c>
    </row>
    <row r="92" customFormat="false" ht="15" hidden="false" customHeight="false" outlineLevel="0" collapsed="false">
      <c r="A92" s="12" t="s">
        <v>347</v>
      </c>
      <c r="B92" s="37" t="s">
        <v>204</v>
      </c>
      <c r="C92" s="41" t="n">
        <v>0.45</v>
      </c>
      <c r="D92" s="41" t="n">
        <v>0.48</v>
      </c>
      <c r="E92" s="41" t="n">
        <v>0.51</v>
      </c>
      <c r="F92" s="41" t="n">
        <v>0.53</v>
      </c>
      <c r="G92" s="41" t="n">
        <v>0.55</v>
      </c>
    </row>
    <row r="93" customFormat="false" ht="15" hidden="false" customHeight="false" outlineLevel="0" collapsed="false">
      <c r="A93" s="12" t="s">
        <v>348</v>
      </c>
      <c r="B93" s="37" t="s">
        <v>204</v>
      </c>
      <c r="C93" s="58" t="n">
        <v>0.02</v>
      </c>
      <c r="D93" s="58" t="n">
        <v>0.026</v>
      </c>
      <c r="E93" s="58" t="n">
        <v>0.032</v>
      </c>
      <c r="F93" s="58" t="n">
        <v>0.036</v>
      </c>
      <c r="G93" s="58" t="n">
        <v>0.04</v>
      </c>
    </row>
    <row r="94" customFormat="false" ht="15" hidden="false" customHeight="false" outlineLevel="0" collapsed="false">
      <c r="A94" s="12" t="s">
        <v>349</v>
      </c>
      <c r="B94" s="37" t="s">
        <v>204</v>
      </c>
      <c r="C94" s="58" t="n">
        <v>0.06</v>
      </c>
      <c r="D94" s="58" t="n">
        <v>0.07</v>
      </c>
      <c r="E94" s="58" t="n">
        <v>0.08</v>
      </c>
      <c r="F94" s="58" t="n">
        <v>0.088</v>
      </c>
      <c r="G94" s="58" t="n">
        <v>0.095</v>
      </c>
      <c r="X94" s="22" t="s">
        <v>350</v>
      </c>
    </row>
    <row r="96" customFormat="false" ht="16.5" hidden="false" customHeight="true" outlineLevel="0" collapsed="false">
      <c r="A96" s="15" t="s">
        <v>351</v>
      </c>
      <c r="B96" s="15"/>
      <c r="C96" s="15"/>
      <c r="D96" s="15"/>
      <c r="E96" s="15"/>
      <c r="F96" s="15"/>
      <c r="G96" s="15"/>
      <c r="H96" s="15"/>
      <c r="I96" s="15"/>
      <c r="J96" s="15"/>
      <c r="K96" s="15"/>
      <c r="L96" s="15"/>
      <c r="M96" s="15"/>
      <c r="N96" s="15"/>
      <c r="O96" s="15"/>
      <c r="P96" s="15"/>
      <c r="Q96" s="15"/>
      <c r="R96" s="15"/>
      <c r="S96" s="15"/>
      <c r="T96" s="15"/>
      <c r="U96" s="15"/>
      <c r="V96" s="15"/>
      <c r="W96" s="15"/>
      <c r="X96" s="15"/>
      <c r="Y96" s="15"/>
    </row>
    <row r="97" customFormat="false" ht="27.75" hidden="false" customHeight="true" outlineLevel="0" collapsed="false">
      <c r="A97" s="26" t="s">
        <v>352</v>
      </c>
      <c r="B97" s="16"/>
      <c r="C97" s="57" t="s">
        <v>353</v>
      </c>
      <c r="D97" s="57" t="s">
        <v>333</v>
      </c>
      <c r="E97" s="57" t="s">
        <v>334</v>
      </c>
      <c r="F97" s="57" t="s">
        <v>335</v>
      </c>
      <c r="G97" s="57" t="s">
        <v>336</v>
      </c>
      <c r="H97" s="57" t="s">
        <v>354</v>
      </c>
      <c r="I97" s="57" t="s">
        <v>355</v>
      </c>
      <c r="J97" s="57" t="s">
        <v>356</v>
      </c>
    </row>
    <row r="98" customFormat="false" ht="15" hidden="false" customHeight="false" outlineLevel="0" collapsed="false">
      <c r="A98" s="51" t="s">
        <v>357</v>
      </c>
      <c r="B98" s="37" t="s">
        <v>207</v>
      </c>
      <c r="C98" s="59" t="n">
        <v>0.8</v>
      </c>
      <c r="D98" s="59" t="n">
        <v>5</v>
      </c>
      <c r="E98" s="59" t="n">
        <v>10</v>
      </c>
      <c r="F98" s="59" t="n">
        <v>13</v>
      </c>
      <c r="G98" s="59" t="n">
        <v>16</v>
      </c>
      <c r="H98" s="44" t="n">
        <v>250</v>
      </c>
      <c r="I98" s="42" t="n">
        <v>40</v>
      </c>
      <c r="J98" s="59" t="n">
        <v>1.2</v>
      </c>
      <c r="X98" s="22" t="s">
        <v>358</v>
      </c>
    </row>
    <row r="99" customFormat="false" ht="15" hidden="false" customHeight="false" outlineLevel="0" collapsed="false">
      <c r="A99" s="51" t="s">
        <v>359</v>
      </c>
      <c r="B99" s="37" t="s">
        <v>207</v>
      </c>
      <c r="C99" s="59" t="n">
        <v>2</v>
      </c>
      <c r="D99" s="59" t="n">
        <v>5</v>
      </c>
      <c r="E99" s="59" t="n">
        <v>9</v>
      </c>
      <c r="F99" s="59" t="n">
        <v>13</v>
      </c>
      <c r="G99" s="59" t="n">
        <v>17</v>
      </c>
      <c r="H99" s="44" t="n">
        <v>100</v>
      </c>
      <c r="I99" s="42" t="n">
        <v>32</v>
      </c>
      <c r="J99" s="59" t="n">
        <v>0.5</v>
      </c>
      <c r="X99" s="22" t="s">
        <v>360</v>
      </c>
    </row>
    <row r="100" customFormat="false" ht="15" hidden="false" customHeight="false" outlineLevel="0" collapsed="false">
      <c r="A100" s="51" t="s">
        <v>361</v>
      </c>
      <c r="B100" s="37" t="s">
        <v>207</v>
      </c>
      <c r="C100" s="59" t="n">
        <v>0.2</v>
      </c>
      <c r="D100" s="59" t="n">
        <v>1</v>
      </c>
      <c r="E100" s="59" t="n">
        <v>2</v>
      </c>
      <c r="F100" s="59" t="n">
        <v>3</v>
      </c>
      <c r="G100" s="59" t="n">
        <v>4</v>
      </c>
      <c r="H100" s="44" t="n">
        <v>800</v>
      </c>
      <c r="I100" s="42" t="n">
        <v>120</v>
      </c>
      <c r="J100" s="59" t="n">
        <v>2.5</v>
      </c>
      <c r="X100" s="22" t="s">
        <v>362</v>
      </c>
    </row>
    <row r="101" customFormat="false" ht="15" hidden="false" customHeight="false" outlineLevel="0" collapsed="false">
      <c r="A101" s="51" t="s">
        <v>363</v>
      </c>
      <c r="B101" s="37" t="s">
        <v>207</v>
      </c>
      <c r="C101" s="59" t="n">
        <v>0.25</v>
      </c>
      <c r="D101" s="59" t="n">
        <v>1.5</v>
      </c>
      <c r="E101" s="59" t="n">
        <v>3</v>
      </c>
      <c r="F101" s="59" t="n">
        <v>4.5</v>
      </c>
      <c r="G101" s="59" t="n">
        <v>6</v>
      </c>
      <c r="H101" s="44" t="n">
        <v>200</v>
      </c>
      <c r="I101" s="42" t="n">
        <v>55</v>
      </c>
      <c r="J101" s="59" t="n">
        <v>1.5</v>
      </c>
    </row>
    <row r="102" customFormat="false" ht="15" hidden="false" customHeight="false" outlineLevel="0" collapsed="false">
      <c r="A102" s="51" t="s">
        <v>364</v>
      </c>
      <c r="B102" s="37" t="s">
        <v>207</v>
      </c>
      <c r="C102" s="59" t="n">
        <v>3</v>
      </c>
      <c r="D102" s="59" t="n">
        <v>14</v>
      </c>
      <c r="E102" s="59" t="n">
        <v>26</v>
      </c>
      <c r="F102" s="59" t="n">
        <v>32</v>
      </c>
      <c r="G102" s="59" t="n">
        <v>38</v>
      </c>
      <c r="H102" s="44" t="n">
        <v>0</v>
      </c>
      <c r="I102" s="42" t="n">
        <v>0</v>
      </c>
      <c r="J102" s="59" t="n">
        <v>1.4</v>
      </c>
      <c r="X102" s="22" t="s">
        <v>365</v>
      </c>
    </row>
    <row r="104" customFormat="false" ht="15" hidden="false" customHeight="false" outlineLevel="0" collapsed="false">
      <c r="A104" s="12" t="s">
        <v>366</v>
      </c>
      <c r="B104" s="37" t="s">
        <v>207</v>
      </c>
      <c r="C104" s="59" t="n">
        <v>12</v>
      </c>
      <c r="X104" s="22" t="s">
        <v>367</v>
      </c>
    </row>
    <row r="105" customFormat="false" ht="15" hidden="false" customHeight="false" outlineLevel="0" collapsed="false">
      <c r="A105" s="12" t="s">
        <v>368</v>
      </c>
      <c r="B105" s="37" t="s">
        <v>204</v>
      </c>
      <c r="C105" s="41" t="n">
        <v>0.3</v>
      </c>
      <c r="X105" s="22" t="s">
        <v>369</v>
      </c>
    </row>
    <row r="107" customFormat="false" ht="15" hidden="false" customHeight="false" outlineLevel="0" collapsed="false">
      <c r="A107" s="43" t="s">
        <v>370</v>
      </c>
      <c r="B107" s="43"/>
      <c r="C107" s="43"/>
      <c r="D107" s="43"/>
      <c r="E107" s="43"/>
      <c r="F107" s="43"/>
      <c r="G107" s="43"/>
      <c r="H107" s="43"/>
      <c r="I107" s="43"/>
      <c r="J107" s="43"/>
      <c r="K107" s="43"/>
      <c r="L107" s="43"/>
      <c r="M107" s="43"/>
      <c r="N107" s="43"/>
      <c r="O107" s="43"/>
      <c r="P107" s="43"/>
    </row>
    <row r="108" customFormat="false" ht="27.75" hidden="false" customHeight="true" outlineLevel="0" collapsed="false">
      <c r="A108" s="26" t="s">
        <v>371</v>
      </c>
      <c r="B108" s="16"/>
      <c r="C108" s="57" t="s">
        <v>372</v>
      </c>
      <c r="D108" s="57" t="s">
        <v>373</v>
      </c>
      <c r="E108" s="57" t="s">
        <v>374</v>
      </c>
      <c r="F108" s="57" t="s">
        <v>375</v>
      </c>
      <c r="G108" s="57" t="s">
        <v>376</v>
      </c>
      <c r="H108" s="57" t="s">
        <v>377</v>
      </c>
    </row>
    <row r="109" customFormat="false" ht="15" hidden="false" customHeight="false" outlineLevel="0" collapsed="false">
      <c r="A109" s="51" t="s">
        <v>378</v>
      </c>
      <c r="B109" s="37" t="s">
        <v>204</v>
      </c>
      <c r="C109" s="41" t="n">
        <v>0.45</v>
      </c>
      <c r="D109" s="41" t="n">
        <v>0.45</v>
      </c>
      <c r="E109" s="41" t="n">
        <v>0.55</v>
      </c>
      <c r="F109" s="41" t="n">
        <v>0.4</v>
      </c>
      <c r="G109" s="42" t="n">
        <v>4</v>
      </c>
      <c r="H109" s="42" t="n">
        <v>2</v>
      </c>
      <c r="X109" s="22" t="s">
        <v>379</v>
      </c>
    </row>
    <row r="110" customFormat="false" ht="15" hidden="false" customHeight="false" outlineLevel="0" collapsed="false">
      <c r="A110" s="51" t="s">
        <v>380</v>
      </c>
      <c r="B110" s="37" t="s">
        <v>204</v>
      </c>
      <c r="C110" s="41" t="n">
        <v>0.15</v>
      </c>
      <c r="D110" s="41" t="n">
        <v>0.4</v>
      </c>
      <c r="E110" s="41" t="n">
        <v>0.5</v>
      </c>
      <c r="F110" s="41" t="n">
        <v>0.35</v>
      </c>
      <c r="G110" s="42" t="n">
        <v>4</v>
      </c>
      <c r="H110" s="42" t="n">
        <v>1</v>
      </c>
      <c r="X110" s="22" t="s">
        <v>381</v>
      </c>
    </row>
    <row r="111" customFormat="false" ht="15" hidden="false" customHeight="false" outlineLevel="0" collapsed="false">
      <c r="A111" s="51" t="s">
        <v>382</v>
      </c>
      <c r="B111" s="37" t="s">
        <v>204</v>
      </c>
      <c r="C111" s="41" t="n">
        <v>0.15</v>
      </c>
      <c r="D111" s="41" t="n">
        <v>0.35</v>
      </c>
      <c r="E111" s="41" t="n">
        <v>0.45</v>
      </c>
      <c r="F111" s="41" t="n">
        <v>0.3</v>
      </c>
      <c r="G111" s="42" t="n">
        <v>12</v>
      </c>
      <c r="H111" s="42" t="n">
        <v>3</v>
      </c>
      <c r="X111" s="22" t="s">
        <v>383</v>
      </c>
    </row>
    <row r="112" customFormat="false" ht="15" hidden="false" customHeight="false" outlineLevel="0" collapsed="false">
      <c r="A112" s="51" t="s">
        <v>384</v>
      </c>
      <c r="B112" s="37" t="s">
        <v>204</v>
      </c>
      <c r="C112" s="41" t="n">
        <v>0.15</v>
      </c>
      <c r="D112" s="41" t="n">
        <v>0.3</v>
      </c>
      <c r="E112" s="41" t="n">
        <v>0.4</v>
      </c>
      <c r="F112" s="41" t="n">
        <v>0.25</v>
      </c>
      <c r="G112" s="42" t="n">
        <v>11</v>
      </c>
      <c r="H112" s="42" t="n">
        <v>3</v>
      </c>
      <c r="X112" s="22" t="s">
        <v>385</v>
      </c>
    </row>
    <row r="113" customFormat="false" ht="15" hidden="false" customHeight="false" outlineLevel="0" collapsed="false">
      <c r="A113" s="51" t="s">
        <v>386</v>
      </c>
      <c r="B113" s="37" t="s">
        <v>204</v>
      </c>
      <c r="C113" s="41" t="n">
        <v>0.1</v>
      </c>
      <c r="D113" s="41" t="n">
        <v>0.35</v>
      </c>
      <c r="E113" s="41" t="n">
        <v>0.45</v>
      </c>
      <c r="F113" s="41" t="n">
        <v>0.3</v>
      </c>
      <c r="G113" s="42" t="n">
        <v>7</v>
      </c>
      <c r="H113" s="42" t="n">
        <v>2</v>
      </c>
      <c r="X113" s="22" t="s">
        <v>387</v>
      </c>
    </row>
    <row r="114" customFormat="false" ht="15" hidden="false" customHeight="false" outlineLevel="0" collapsed="false">
      <c r="C114" s="54" t="n">
        <f aca="false">SUM(C109:C113)</f>
        <v>1</v>
      </c>
      <c r="D114" s="22" t="s">
        <v>301</v>
      </c>
    </row>
    <row r="116" customFormat="false" ht="15" hidden="false" customHeight="false" outlineLevel="0" collapsed="false">
      <c r="C116" s="55" t="s">
        <v>80</v>
      </c>
      <c r="D116" s="55" t="s">
        <v>81</v>
      </c>
      <c r="E116" s="55" t="s">
        <v>82</v>
      </c>
      <c r="F116" s="55" t="s">
        <v>83</v>
      </c>
      <c r="G116" s="55" t="s">
        <v>84</v>
      </c>
    </row>
    <row r="117" customFormat="false" ht="15" hidden="false" customHeight="false" outlineLevel="0" collapsed="false">
      <c r="A117" s="12" t="s">
        <v>388</v>
      </c>
      <c r="B117" s="37" t="s">
        <v>389</v>
      </c>
      <c r="C117" s="60" t="n">
        <v>1</v>
      </c>
      <c r="D117" s="60" t="n">
        <v>1.15</v>
      </c>
      <c r="E117" s="60" t="n">
        <v>1.35</v>
      </c>
      <c r="F117" s="60" t="n">
        <v>1.45</v>
      </c>
      <c r="G117" s="60" t="n">
        <v>1.5</v>
      </c>
      <c r="X117" s="22" t="s">
        <v>390</v>
      </c>
    </row>
    <row r="118" customFormat="false" ht="15" hidden="false" customHeight="false" outlineLevel="0" collapsed="false">
      <c r="A118" s="12" t="s">
        <v>391</v>
      </c>
      <c r="B118" s="37" t="s">
        <v>207</v>
      </c>
      <c r="C118" s="59" t="n">
        <v>2.8</v>
      </c>
      <c r="D118" s="59" t="n">
        <v>2.4</v>
      </c>
      <c r="E118" s="59" t="n">
        <v>2.4</v>
      </c>
      <c r="F118" s="59" t="n">
        <v>2.6</v>
      </c>
      <c r="G118" s="59" t="n">
        <v>2.8</v>
      </c>
      <c r="X118" s="22" t="s">
        <v>392</v>
      </c>
    </row>
    <row r="120" customFormat="false" ht="16.5" hidden="false" customHeight="true" outlineLevel="0" collapsed="false">
      <c r="A120" s="15" t="s">
        <v>393</v>
      </c>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row>
    <row r="121" customFormat="false" ht="15" hidden="false" customHeight="false" outlineLevel="0" collapsed="false">
      <c r="A121" s="43" t="s">
        <v>394</v>
      </c>
      <c r="B121" s="43"/>
      <c r="C121" s="43"/>
      <c r="D121" s="43"/>
      <c r="E121" s="43"/>
      <c r="F121" s="43"/>
      <c r="G121" s="43"/>
      <c r="H121" s="43"/>
      <c r="I121" s="43"/>
      <c r="J121" s="43"/>
      <c r="K121" s="43"/>
      <c r="L121" s="43"/>
      <c r="M121" s="43"/>
      <c r="N121" s="43"/>
      <c r="O121" s="43"/>
      <c r="P121" s="43"/>
    </row>
    <row r="122" customFormat="false" ht="30" hidden="false" customHeight="true" outlineLevel="0" collapsed="false">
      <c r="A122" s="26" t="s">
        <v>395</v>
      </c>
      <c r="B122" s="26" t="s">
        <v>396</v>
      </c>
      <c r="C122" s="57" t="s">
        <v>397</v>
      </c>
      <c r="D122" s="57" t="s">
        <v>398</v>
      </c>
      <c r="E122" s="57" t="s">
        <v>399</v>
      </c>
      <c r="F122" s="57" t="s">
        <v>400</v>
      </c>
    </row>
    <row r="123" customFormat="false" ht="15" hidden="false" customHeight="false" outlineLevel="0" collapsed="false">
      <c r="A123" s="51" t="s">
        <v>357</v>
      </c>
      <c r="B123" s="22" t="s">
        <v>401</v>
      </c>
      <c r="C123" s="40" t="n">
        <v>4</v>
      </c>
      <c r="D123" s="40" t="n">
        <v>1</v>
      </c>
      <c r="E123" s="40" t="n">
        <v>0.1</v>
      </c>
      <c r="F123" s="40" t="n">
        <v>0.5</v>
      </c>
      <c r="X123" s="22" t="s">
        <v>402</v>
      </c>
    </row>
    <row r="124" customFormat="false" ht="15" hidden="false" customHeight="false" outlineLevel="0" collapsed="false">
      <c r="A124" s="51" t="s">
        <v>359</v>
      </c>
      <c r="B124" s="22" t="s">
        <v>403</v>
      </c>
      <c r="C124" s="40" t="n">
        <v>2</v>
      </c>
      <c r="D124" s="40" t="n">
        <v>0.5</v>
      </c>
      <c r="E124" s="40" t="n">
        <v>0.6</v>
      </c>
      <c r="F124" s="40" t="n">
        <v>0</v>
      </c>
      <c r="X124" s="22" t="s">
        <v>402</v>
      </c>
    </row>
    <row r="125" customFormat="false" ht="15" hidden="false" customHeight="false" outlineLevel="0" collapsed="false">
      <c r="A125" s="51" t="s">
        <v>361</v>
      </c>
      <c r="B125" s="22" t="s">
        <v>404</v>
      </c>
      <c r="C125" s="40" t="n">
        <v>0.6</v>
      </c>
      <c r="D125" s="40" t="n">
        <v>0.3</v>
      </c>
      <c r="E125" s="40" t="n">
        <v>0.02</v>
      </c>
      <c r="F125" s="40" t="n">
        <v>0.1</v>
      </c>
      <c r="X125" s="22" t="s">
        <v>402</v>
      </c>
    </row>
    <row r="126" customFormat="false" ht="15" hidden="false" customHeight="false" outlineLevel="0" collapsed="false">
      <c r="A126" s="51" t="s">
        <v>363</v>
      </c>
      <c r="B126" s="22" t="s">
        <v>401</v>
      </c>
      <c r="C126" s="40" t="n">
        <v>1.5</v>
      </c>
      <c r="D126" s="40" t="n">
        <v>0.5</v>
      </c>
      <c r="E126" s="40" t="n">
        <v>0</v>
      </c>
      <c r="F126" s="40" t="n">
        <v>0.8</v>
      </c>
      <c r="X126" s="22" t="s">
        <v>402</v>
      </c>
    </row>
    <row r="127" customFormat="false" ht="15" hidden="false" customHeight="false" outlineLevel="0" collapsed="false">
      <c r="A127" s="51" t="s">
        <v>364</v>
      </c>
      <c r="B127" s="22" t="s">
        <v>404</v>
      </c>
      <c r="C127" s="40" t="n">
        <v>10</v>
      </c>
      <c r="D127" s="40" t="n">
        <v>3</v>
      </c>
      <c r="E127" s="40" t="n">
        <v>0</v>
      </c>
      <c r="F127" s="40" t="n">
        <v>0</v>
      </c>
      <c r="X127" s="22" t="s">
        <v>402</v>
      </c>
    </row>
    <row r="129" customFormat="false" ht="15" hidden="false" customHeight="false" outlineLevel="0" collapsed="false">
      <c r="A129" s="12" t="s">
        <v>405</v>
      </c>
      <c r="B129" s="37" t="s">
        <v>207</v>
      </c>
      <c r="C129" s="42" t="n">
        <v>14</v>
      </c>
      <c r="X129" s="22" t="s">
        <v>406</v>
      </c>
    </row>
    <row r="130" customFormat="false" ht="15" hidden="false" customHeight="false" outlineLevel="0" collapsed="false">
      <c r="A130" s="12" t="s">
        <v>407</v>
      </c>
      <c r="B130" s="37" t="s">
        <v>207</v>
      </c>
      <c r="C130" s="42" t="n">
        <v>6</v>
      </c>
      <c r="X130" s="22" t="s">
        <v>408</v>
      </c>
    </row>
    <row r="131" customFormat="false" ht="15" hidden="false" customHeight="false" outlineLevel="0" collapsed="false">
      <c r="A131" s="12" t="s">
        <v>409</v>
      </c>
      <c r="B131" s="37" t="s">
        <v>207</v>
      </c>
      <c r="C131" s="42" t="n">
        <v>4</v>
      </c>
    </row>
    <row r="132" customFormat="false" ht="15" hidden="false" customHeight="false" outlineLevel="0" collapsed="false">
      <c r="A132" s="12" t="s">
        <v>410</v>
      </c>
      <c r="B132" s="37" t="s">
        <v>411</v>
      </c>
      <c r="C132" s="59" t="n">
        <v>3.5</v>
      </c>
      <c r="X132" s="22" t="s">
        <v>412</v>
      </c>
    </row>
    <row r="134" customFormat="false" ht="16.5" hidden="false" customHeight="true" outlineLevel="0" collapsed="false">
      <c r="A134" s="15" t="s">
        <v>413</v>
      </c>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row>
    <row r="135" customFormat="false" ht="15" hidden="false" customHeight="false" outlineLevel="0" collapsed="false">
      <c r="C135" s="55" t="s">
        <v>80</v>
      </c>
      <c r="D135" s="55" t="s">
        <v>81</v>
      </c>
      <c r="E135" s="55" t="s">
        <v>82</v>
      </c>
      <c r="F135" s="55" t="s">
        <v>83</v>
      </c>
      <c r="G135" s="55" t="s">
        <v>84</v>
      </c>
    </row>
    <row r="136" customFormat="false" ht="15" hidden="false" customHeight="false" outlineLevel="0" collapsed="false">
      <c r="A136" s="12" t="s">
        <v>414</v>
      </c>
      <c r="B136" s="37" t="s">
        <v>9</v>
      </c>
      <c r="C136" s="44" t="n">
        <v>100</v>
      </c>
      <c r="D136" s="44" t="n">
        <v>110</v>
      </c>
      <c r="E136" s="44" t="n">
        <v>120</v>
      </c>
      <c r="F136" s="44" t="n">
        <v>125</v>
      </c>
      <c r="G136" s="44" t="n">
        <v>130</v>
      </c>
      <c r="X136" s="22" t="s">
        <v>415</v>
      </c>
    </row>
    <row r="137" customFormat="false" ht="15" hidden="false" customHeight="false" outlineLevel="0" collapsed="false">
      <c r="A137" s="12" t="s">
        <v>416</v>
      </c>
      <c r="B137" s="37" t="s">
        <v>207</v>
      </c>
      <c r="C137" s="42" t="n">
        <v>2</v>
      </c>
    </row>
    <row r="138" customFormat="false" ht="15" hidden="false" customHeight="false" outlineLevel="0" collapsed="false">
      <c r="A138" s="12" t="s">
        <v>417</v>
      </c>
      <c r="B138" s="37" t="s">
        <v>411</v>
      </c>
      <c r="C138" s="42" t="n">
        <v>6</v>
      </c>
    </row>
    <row r="139" customFormat="false" ht="15" hidden="false" customHeight="false" outlineLevel="0" collapsed="false">
      <c r="A139" s="12" t="s">
        <v>418</v>
      </c>
      <c r="B139" s="37" t="s">
        <v>411</v>
      </c>
      <c r="C139" s="42" t="n">
        <v>4</v>
      </c>
    </row>
    <row r="140" customFormat="false" ht="15" hidden="false" customHeight="false" outlineLevel="0" collapsed="false">
      <c r="A140" s="12" t="s">
        <v>419</v>
      </c>
      <c r="B140" s="37" t="s">
        <v>411</v>
      </c>
      <c r="C140" s="42" t="n">
        <v>5</v>
      </c>
    </row>
    <row r="141" customFormat="false" ht="15" hidden="false" customHeight="false" outlineLevel="0" collapsed="false">
      <c r="A141" s="12" t="s">
        <v>420</v>
      </c>
      <c r="B141" s="37" t="s">
        <v>9</v>
      </c>
      <c r="C141" s="44" t="n">
        <v>420</v>
      </c>
      <c r="D141" s="44" t="n">
        <v>470</v>
      </c>
      <c r="E141" s="44" t="n">
        <v>520</v>
      </c>
      <c r="F141" s="44" t="n">
        <v>550</v>
      </c>
      <c r="G141" s="44" t="n">
        <v>580</v>
      </c>
    </row>
    <row r="142" customFormat="false" ht="15" hidden="false" customHeight="false" outlineLevel="0" collapsed="false">
      <c r="A142" s="12" t="s">
        <v>421</v>
      </c>
      <c r="B142" s="37" t="s">
        <v>9</v>
      </c>
      <c r="C142" s="44" t="n">
        <v>350</v>
      </c>
    </row>
    <row r="143" customFormat="false" ht="15" hidden="false" customHeight="false" outlineLevel="0" collapsed="false">
      <c r="A143" s="12" t="s">
        <v>422</v>
      </c>
      <c r="B143" s="37" t="s">
        <v>9</v>
      </c>
      <c r="C143" s="44" t="n">
        <v>390</v>
      </c>
    </row>
    <row r="144" customFormat="false" ht="15" hidden="false" customHeight="false" outlineLevel="0" collapsed="false">
      <c r="A144" s="12" t="s">
        <v>423</v>
      </c>
      <c r="B144" s="37" t="s">
        <v>9</v>
      </c>
      <c r="C144" s="44" t="n">
        <v>6000</v>
      </c>
      <c r="D144" s="44" t="n">
        <v>7000</v>
      </c>
      <c r="E144" s="44" t="n">
        <v>8000</v>
      </c>
      <c r="F144" s="44" t="n">
        <v>8500</v>
      </c>
      <c r="G144" s="44" t="n">
        <v>9000</v>
      </c>
    </row>
    <row r="145" customFormat="false" ht="15" hidden="false" customHeight="false" outlineLevel="0" collapsed="false">
      <c r="A145" s="12" t="s">
        <v>424</v>
      </c>
      <c r="B145" s="37" t="s">
        <v>9</v>
      </c>
      <c r="C145" s="44" t="n">
        <v>2000</v>
      </c>
      <c r="X145" s="22" t="s">
        <v>425</v>
      </c>
    </row>
    <row r="146" customFormat="false" ht="15" hidden="false" customHeight="false" outlineLevel="0" collapsed="false">
      <c r="A146" s="12" t="s">
        <v>426</v>
      </c>
      <c r="B146" s="37" t="s">
        <v>9</v>
      </c>
      <c r="C146" s="44" t="n">
        <v>4000</v>
      </c>
      <c r="D146" s="44" t="n">
        <v>6000</v>
      </c>
      <c r="E146" s="44" t="n">
        <v>8000</v>
      </c>
      <c r="F146" s="44" t="n">
        <v>9000</v>
      </c>
      <c r="G146" s="44" t="n">
        <v>10000</v>
      </c>
      <c r="X146" s="22" t="s">
        <v>427</v>
      </c>
    </row>
    <row r="147" customFormat="false" ht="15" hidden="false" customHeight="false" outlineLevel="0" collapsed="false">
      <c r="A147" s="12" t="s">
        <v>428</v>
      </c>
      <c r="B147" s="37" t="s">
        <v>207</v>
      </c>
      <c r="C147" s="42" t="n">
        <v>1</v>
      </c>
      <c r="D147" s="42" t="n">
        <v>2</v>
      </c>
      <c r="E147" s="42" t="n">
        <v>3</v>
      </c>
      <c r="F147" s="42" t="n">
        <v>3</v>
      </c>
      <c r="G147" s="42" t="n">
        <v>3</v>
      </c>
      <c r="X147" s="22" t="s">
        <v>429</v>
      </c>
    </row>
    <row r="148" customFormat="false" ht="15" hidden="false" customHeight="false" outlineLevel="0" collapsed="false">
      <c r="A148" s="12" t="s">
        <v>430</v>
      </c>
      <c r="B148" s="37" t="s">
        <v>9</v>
      </c>
      <c r="C148" s="44" t="n">
        <v>0</v>
      </c>
      <c r="D148" s="44" t="n">
        <v>7500</v>
      </c>
      <c r="E148" s="44" t="n">
        <v>9000</v>
      </c>
      <c r="F148" s="44" t="n">
        <v>9500</v>
      </c>
      <c r="G148" s="44" t="n">
        <v>10000</v>
      </c>
    </row>
    <row r="149" customFormat="false" ht="15" hidden="false" customHeight="false" outlineLevel="0" collapsed="false">
      <c r="A149" s="12" t="s">
        <v>431</v>
      </c>
      <c r="B149" s="37" t="s">
        <v>9</v>
      </c>
      <c r="C149" s="44" t="n">
        <v>0</v>
      </c>
      <c r="D149" s="44" t="n">
        <v>9000</v>
      </c>
      <c r="E149" s="44" t="n">
        <v>11000</v>
      </c>
      <c r="F149" s="44" t="n">
        <v>12000</v>
      </c>
      <c r="G149" s="44" t="n">
        <v>13000</v>
      </c>
    </row>
    <row r="150" customFormat="false" ht="15" hidden="false" customHeight="false" outlineLevel="0" collapsed="false">
      <c r="A150" s="12" t="s">
        <v>432</v>
      </c>
      <c r="B150" s="37" t="s">
        <v>9</v>
      </c>
      <c r="C150" s="44" t="n">
        <v>0</v>
      </c>
      <c r="D150" s="44" t="n">
        <v>2800</v>
      </c>
      <c r="E150" s="44" t="n">
        <v>3200</v>
      </c>
      <c r="F150" s="44" t="n">
        <v>3400</v>
      </c>
      <c r="G150" s="44" t="n">
        <v>3600</v>
      </c>
    </row>
    <row r="151" customFormat="false" ht="15" hidden="false" customHeight="false" outlineLevel="0" collapsed="false">
      <c r="A151" s="12" t="s">
        <v>433</v>
      </c>
      <c r="B151" s="37" t="s">
        <v>9</v>
      </c>
      <c r="C151" s="56" t="n">
        <v>0</v>
      </c>
      <c r="D151" s="56" t="n">
        <v>5.2</v>
      </c>
      <c r="E151" s="56" t="n">
        <v>4.8</v>
      </c>
      <c r="F151" s="56" t="n">
        <v>4.5</v>
      </c>
      <c r="G151" s="56" t="n">
        <v>4.3</v>
      </c>
      <c r="X151" s="22" t="s">
        <v>434</v>
      </c>
    </row>
    <row r="152" customFormat="false" ht="15" hidden="false" customHeight="false" outlineLevel="0" collapsed="false">
      <c r="A152" s="12" t="s">
        <v>435</v>
      </c>
      <c r="B152" s="37" t="s">
        <v>9</v>
      </c>
      <c r="C152" s="56" t="n">
        <v>4.5</v>
      </c>
    </row>
    <row r="153" customFormat="false" ht="15" hidden="false" customHeight="false" outlineLevel="0" collapsed="false">
      <c r="A153" s="12" t="s">
        <v>436</v>
      </c>
      <c r="B153" s="37" t="s">
        <v>9</v>
      </c>
      <c r="C153" s="56" t="n">
        <v>0.65</v>
      </c>
    </row>
    <row r="155" customFormat="false" ht="16.5" hidden="false" customHeight="true" outlineLevel="0" collapsed="false">
      <c r="A155" s="15" t="s">
        <v>437</v>
      </c>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row>
    <row r="156" customFormat="false" ht="15" hidden="false" customHeight="false" outlineLevel="0" collapsed="false">
      <c r="A156" s="43" t="s">
        <v>438</v>
      </c>
      <c r="B156" s="43"/>
      <c r="C156" s="43"/>
      <c r="D156" s="43"/>
      <c r="E156" s="43"/>
      <c r="F156" s="43"/>
      <c r="G156" s="43"/>
      <c r="H156" s="43"/>
      <c r="I156" s="43"/>
      <c r="J156" s="43"/>
      <c r="K156" s="43"/>
      <c r="L156" s="43"/>
      <c r="M156" s="43"/>
      <c r="N156" s="43"/>
      <c r="O156" s="43"/>
      <c r="P156" s="43"/>
    </row>
    <row r="157" customFormat="false" ht="15" hidden="false" customHeight="false" outlineLevel="0" collapsed="false">
      <c r="C157" s="55" t="s">
        <v>80</v>
      </c>
      <c r="D157" s="55" t="s">
        <v>81</v>
      </c>
      <c r="E157" s="55" t="s">
        <v>82</v>
      </c>
      <c r="F157" s="55" t="s">
        <v>83</v>
      </c>
      <c r="G157" s="55" t="s">
        <v>84</v>
      </c>
    </row>
    <row r="158" customFormat="false" ht="15" hidden="false" customHeight="false" outlineLevel="0" collapsed="false">
      <c r="A158" s="12" t="s">
        <v>439</v>
      </c>
      <c r="B158" s="37" t="s">
        <v>204</v>
      </c>
      <c r="C158" s="41" t="n">
        <v>0</v>
      </c>
      <c r="D158" s="41" t="n">
        <v>0.1</v>
      </c>
      <c r="E158" s="41" t="n">
        <v>0.3</v>
      </c>
      <c r="F158" s="41" t="n">
        <v>0.45</v>
      </c>
      <c r="G158" s="41" t="n">
        <v>0.55</v>
      </c>
    </row>
    <row r="159" customFormat="false" ht="15" hidden="false" customHeight="false" outlineLevel="0" collapsed="false">
      <c r="A159" s="12" t="s">
        <v>440</v>
      </c>
      <c r="B159" s="37" t="s">
        <v>204</v>
      </c>
      <c r="C159" s="41" t="n">
        <v>0.4</v>
      </c>
      <c r="X159" s="22" t="s">
        <v>441</v>
      </c>
    </row>
    <row r="160" customFormat="false" ht="15" hidden="false" customHeight="false" outlineLevel="0" collapsed="false">
      <c r="A160" s="12" t="s">
        <v>442</v>
      </c>
      <c r="B160" s="37" t="s">
        <v>204</v>
      </c>
      <c r="C160" s="41" t="n">
        <v>0.12</v>
      </c>
      <c r="D160" s="41" t="n">
        <v>0.12</v>
      </c>
      <c r="E160" s="41" t="n">
        <v>0.12</v>
      </c>
      <c r="F160" s="41" t="n">
        <v>0.11</v>
      </c>
      <c r="G160" s="41" t="n">
        <v>0.11</v>
      </c>
      <c r="X160" s="22" t="s">
        <v>443</v>
      </c>
    </row>
    <row r="161" customFormat="false" ht="15" hidden="false" customHeight="false" outlineLevel="0" collapsed="false">
      <c r="A161" s="12" t="s">
        <v>444</v>
      </c>
      <c r="B161" s="37" t="s">
        <v>204</v>
      </c>
      <c r="C161" s="41" t="n">
        <v>0.1</v>
      </c>
    </row>
    <row r="162" customFormat="false" ht="15" hidden="false" customHeight="false" outlineLevel="0" collapsed="false">
      <c r="A162" s="12" t="s">
        <v>445</v>
      </c>
      <c r="B162" s="37" t="s">
        <v>204</v>
      </c>
      <c r="C162" s="41" t="n">
        <v>0</v>
      </c>
      <c r="D162" s="41" t="n">
        <v>0.08</v>
      </c>
      <c r="E162" s="41" t="n">
        <v>0.08</v>
      </c>
      <c r="F162" s="41" t="n">
        <v>0.07</v>
      </c>
      <c r="G162" s="41" t="n">
        <v>0.07</v>
      </c>
      <c r="X162" s="22" t="s">
        <v>446</v>
      </c>
    </row>
    <row r="163" customFormat="false" ht="15" hidden="false" customHeight="false" outlineLevel="0" collapsed="false">
      <c r="A163" s="12" t="s">
        <v>447</v>
      </c>
      <c r="B163" s="37" t="s">
        <v>204</v>
      </c>
      <c r="C163" s="41" t="n">
        <v>0.035</v>
      </c>
    </row>
    <row r="165" customFormat="false" ht="16.5" hidden="false" customHeight="true" outlineLevel="0" collapsed="false">
      <c r="A165" s="15" t="s">
        <v>448</v>
      </c>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row>
    <row r="166" customFormat="false" ht="15" hidden="false" customHeight="false" outlineLevel="0" collapsed="false">
      <c r="A166" s="43" t="s">
        <v>449</v>
      </c>
      <c r="B166" s="43"/>
      <c r="C166" s="43"/>
      <c r="D166" s="43"/>
      <c r="E166" s="43"/>
      <c r="F166" s="43"/>
      <c r="G166" s="43"/>
      <c r="H166" s="43"/>
      <c r="I166" s="43"/>
      <c r="J166" s="43"/>
      <c r="K166" s="43"/>
      <c r="L166" s="43"/>
      <c r="M166" s="43"/>
      <c r="N166" s="43"/>
      <c r="O166" s="43"/>
      <c r="P166" s="43"/>
    </row>
    <row r="167" customFormat="false" ht="15" hidden="false" customHeight="false" outlineLevel="0" collapsed="false">
      <c r="C167" s="55" t="s">
        <v>80</v>
      </c>
      <c r="D167" s="55" t="s">
        <v>81</v>
      </c>
      <c r="E167" s="55" t="s">
        <v>82</v>
      </c>
      <c r="F167" s="55" t="s">
        <v>83</v>
      </c>
      <c r="G167" s="55" t="s">
        <v>84</v>
      </c>
    </row>
    <row r="168" customFormat="false" ht="15" hidden="false" customHeight="false" outlineLevel="0" collapsed="false">
      <c r="A168" s="12" t="s">
        <v>450</v>
      </c>
      <c r="B168" s="37" t="s">
        <v>9</v>
      </c>
      <c r="C168" s="44" t="n">
        <v>100</v>
      </c>
      <c r="D168" s="44" t="n">
        <v>120</v>
      </c>
      <c r="E168" s="44" t="n">
        <v>140</v>
      </c>
      <c r="F168" s="44" t="n">
        <v>150</v>
      </c>
      <c r="G168" s="44" t="n">
        <v>160</v>
      </c>
      <c r="X168" s="22" t="s">
        <v>451</v>
      </c>
    </row>
    <row r="169" customFormat="false" ht="15" hidden="false" customHeight="false" outlineLevel="0" collapsed="false">
      <c r="A169" s="12" t="s">
        <v>452</v>
      </c>
      <c r="B169" s="37" t="s">
        <v>9</v>
      </c>
      <c r="C169" s="44" t="n">
        <v>25</v>
      </c>
      <c r="D169" s="44" t="n">
        <v>30</v>
      </c>
      <c r="E169" s="44" t="n">
        <v>35</v>
      </c>
      <c r="F169" s="44" t="n">
        <v>38</v>
      </c>
      <c r="G169" s="44" t="n">
        <v>40</v>
      </c>
    </row>
    <row r="170" customFormat="false" ht="15" hidden="false" customHeight="false" outlineLevel="0" collapsed="false">
      <c r="A170" s="12" t="s">
        <v>453</v>
      </c>
      <c r="B170" s="37" t="s">
        <v>9</v>
      </c>
      <c r="C170" s="44" t="n">
        <v>250</v>
      </c>
      <c r="D170" s="44" t="n">
        <v>700</v>
      </c>
      <c r="E170" s="44" t="n">
        <v>1800</v>
      </c>
      <c r="F170" s="44" t="n">
        <v>3200</v>
      </c>
      <c r="G170" s="44" t="n">
        <v>4500</v>
      </c>
    </row>
    <row r="171" customFormat="false" ht="15" hidden="false" customHeight="false" outlineLevel="0" collapsed="false">
      <c r="A171" s="12" t="s">
        <v>454</v>
      </c>
      <c r="B171" s="37" t="s">
        <v>9</v>
      </c>
      <c r="C171" s="56" t="n">
        <v>0.05</v>
      </c>
    </row>
    <row r="172" customFormat="false" ht="15" hidden="false" customHeight="false" outlineLevel="0" collapsed="false">
      <c r="A172" s="12" t="s">
        <v>455</v>
      </c>
      <c r="B172" s="37" t="s">
        <v>9</v>
      </c>
      <c r="C172" s="44" t="n">
        <v>90</v>
      </c>
      <c r="D172" s="44" t="n">
        <v>130</v>
      </c>
      <c r="E172" s="44" t="n">
        <v>150</v>
      </c>
      <c r="F172" s="44" t="n">
        <v>165</v>
      </c>
      <c r="G172" s="44" t="n">
        <v>175</v>
      </c>
    </row>
    <row r="173" customFormat="false" ht="15" hidden="false" customHeight="false" outlineLevel="0" collapsed="false">
      <c r="A173" s="12" t="s">
        <v>456</v>
      </c>
      <c r="B173" s="37" t="s">
        <v>9</v>
      </c>
      <c r="C173" s="44" t="n">
        <v>85</v>
      </c>
      <c r="D173" s="44" t="n">
        <v>150</v>
      </c>
      <c r="E173" s="44" t="n">
        <v>220</v>
      </c>
      <c r="F173" s="44" t="n">
        <v>250</v>
      </c>
      <c r="G173" s="44" t="n">
        <v>270</v>
      </c>
    </row>
    <row r="174" customFormat="false" ht="15" hidden="false" customHeight="false" outlineLevel="0" collapsed="false">
      <c r="A174" s="12" t="s">
        <v>457</v>
      </c>
      <c r="B174" s="37" t="s">
        <v>9</v>
      </c>
      <c r="C174" s="44" t="n">
        <v>520</v>
      </c>
      <c r="D174" s="44" t="n">
        <v>1400</v>
      </c>
      <c r="E174" s="44" t="n">
        <v>2800</v>
      </c>
      <c r="F174" s="44" t="n">
        <v>3800</v>
      </c>
      <c r="G174" s="44" t="n">
        <v>4600</v>
      </c>
      <c r="X174" s="22" t="s">
        <v>458</v>
      </c>
    </row>
    <row r="175" customFormat="false" ht="15" hidden="false" customHeight="false" outlineLevel="0" collapsed="false">
      <c r="A175" s="12" t="s">
        <v>459</v>
      </c>
      <c r="B175" s="37" t="s">
        <v>9</v>
      </c>
      <c r="C175" s="44" t="n">
        <v>50</v>
      </c>
      <c r="D175" s="44" t="n">
        <v>250</v>
      </c>
      <c r="E175" s="44" t="n">
        <v>700</v>
      </c>
      <c r="F175" s="44" t="n">
        <v>1100</v>
      </c>
      <c r="G175" s="44" t="n">
        <v>1400</v>
      </c>
    </row>
    <row r="176" customFormat="false" ht="15" hidden="false" customHeight="false" outlineLevel="0" collapsed="false">
      <c r="A176" s="12" t="s">
        <v>460</v>
      </c>
      <c r="B176" s="37" t="s">
        <v>9</v>
      </c>
      <c r="C176" s="44" t="n">
        <v>0</v>
      </c>
      <c r="D176" s="44" t="n">
        <v>300</v>
      </c>
      <c r="E176" s="44" t="n">
        <v>1200</v>
      </c>
      <c r="F176" s="44" t="n">
        <v>2400</v>
      </c>
      <c r="G176" s="44" t="n">
        <v>3200</v>
      </c>
    </row>
    <row r="177" customFormat="false" ht="15" hidden="false" customHeight="false" outlineLevel="0" collapsed="false">
      <c r="A177" s="12" t="s">
        <v>461</v>
      </c>
      <c r="B177" s="37" t="s">
        <v>9</v>
      </c>
      <c r="C177" s="44" t="n">
        <v>150</v>
      </c>
      <c r="D177" s="44" t="n">
        <v>260</v>
      </c>
      <c r="E177" s="44" t="n">
        <v>450</v>
      </c>
      <c r="F177" s="44" t="n">
        <v>600</v>
      </c>
      <c r="G177" s="44" t="n">
        <v>750</v>
      </c>
    </row>
    <row r="178" customFormat="false" ht="15" hidden="false" customHeight="false" outlineLevel="0" collapsed="false">
      <c r="A178" s="12" t="s">
        <v>462</v>
      </c>
      <c r="B178" s="37" t="s">
        <v>207</v>
      </c>
      <c r="C178" s="42" t="n">
        <v>24</v>
      </c>
      <c r="D178" s="42" t="n">
        <v>70</v>
      </c>
      <c r="E178" s="42" t="n">
        <v>160</v>
      </c>
      <c r="F178" s="42" t="n">
        <v>260</v>
      </c>
      <c r="G178" s="42" t="n">
        <v>360</v>
      </c>
    </row>
    <row r="179" customFormat="false" ht="15" hidden="false" customHeight="false" outlineLevel="0" collapsed="false">
      <c r="A179" s="12" t="s">
        <v>463</v>
      </c>
      <c r="B179" s="37" t="s">
        <v>9</v>
      </c>
      <c r="C179" s="44" t="n">
        <v>20</v>
      </c>
    </row>
    <row r="180" customFormat="false" ht="15" hidden="false" customHeight="false" outlineLevel="0" collapsed="false">
      <c r="A180" s="12" t="s">
        <v>464</v>
      </c>
      <c r="B180" s="37" t="s">
        <v>207</v>
      </c>
      <c r="C180" s="42" t="n">
        <v>7</v>
      </c>
    </row>
    <row r="181" customFormat="false" ht="15" hidden="false" customHeight="false" outlineLevel="0" collapsed="false">
      <c r="A181" s="12" t="s">
        <v>465</v>
      </c>
      <c r="B181" s="37" t="s">
        <v>204</v>
      </c>
      <c r="C181" s="41" t="n">
        <v>0.05</v>
      </c>
    </row>
    <row r="182" customFormat="false" ht="15" hidden="false" customHeight="false" outlineLevel="0" collapsed="false">
      <c r="A182" s="12" t="s">
        <v>466</v>
      </c>
      <c r="B182" s="37" t="s">
        <v>204</v>
      </c>
      <c r="C182" s="41" t="n">
        <v>0.06</v>
      </c>
    </row>
    <row r="184" customFormat="false" ht="16.5" hidden="false" customHeight="true" outlineLevel="0" collapsed="false">
      <c r="A184" s="15" t="s">
        <v>467</v>
      </c>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row>
    <row r="185" customFormat="false" ht="15" hidden="false" customHeight="false" outlineLevel="0" collapsed="false">
      <c r="A185" s="12" t="s">
        <v>468</v>
      </c>
      <c r="B185" s="37" t="s">
        <v>411</v>
      </c>
      <c r="C185" s="61" t="n">
        <v>75</v>
      </c>
      <c r="X185" s="22" t="s">
        <v>469</v>
      </c>
    </row>
    <row r="186" customFormat="false" ht="15" hidden="false" customHeight="false" outlineLevel="0" collapsed="false">
      <c r="A186" s="12" t="s">
        <v>470</v>
      </c>
      <c r="B186" s="37" t="s">
        <v>411</v>
      </c>
      <c r="C186" s="61" t="n">
        <v>2</v>
      </c>
    </row>
    <row r="187" customFormat="false" ht="15" hidden="false" customHeight="false" outlineLevel="0" collapsed="false">
      <c r="A187" s="12" t="s">
        <v>471</v>
      </c>
      <c r="B187" s="37" t="s">
        <v>411</v>
      </c>
      <c r="C187" s="61" t="n">
        <v>35</v>
      </c>
    </row>
    <row r="188" customFormat="false" ht="15" hidden="false" customHeight="false" outlineLevel="0" collapsed="false">
      <c r="A188" s="12" t="s">
        <v>472</v>
      </c>
      <c r="B188" s="37" t="s">
        <v>411</v>
      </c>
      <c r="C188" s="61" t="n">
        <v>10</v>
      </c>
    </row>
    <row r="189" customFormat="false" ht="15" hidden="false" customHeight="false" outlineLevel="0" collapsed="false">
      <c r="A189" s="12" t="s">
        <v>473</v>
      </c>
      <c r="B189" s="37" t="s">
        <v>204</v>
      </c>
      <c r="C189" s="41" t="n">
        <v>0.3</v>
      </c>
      <c r="X189" s="22" t="s">
        <v>474</v>
      </c>
    </row>
    <row r="190" customFormat="false" ht="15" hidden="false" customHeight="false" outlineLevel="0" collapsed="false">
      <c r="A190" s="12" t="s">
        <v>475</v>
      </c>
      <c r="B190" s="37" t="s">
        <v>9</v>
      </c>
      <c r="C190" s="44" t="n">
        <v>250000</v>
      </c>
      <c r="X190" s="22" t="s">
        <v>476</v>
      </c>
    </row>
    <row r="191" customFormat="false" ht="15" hidden="false" customHeight="false" outlineLevel="0" collapsed="false">
      <c r="A191" s="12" t="s">
        <v>477</v>
      </c>
      <c r="B191" s="37" t="s">
        <v>207</v>
      </c>
      <c r="C191" s="42" t="n">
        <v>3</v>
      </c>
    </row>
    <row r="192" customFormat="false" ht="15" hidden="false" customHeight="false" outlineLevel="0" collapsed="false">
      <c r="A192" s="12" t="s">
        <v>478</v>
      </c>
      <c r="B192" s="37" t="s">
        <v>9</v>
      </c>
      <c r="C192" s="44" t="n">
        <v>40000</v>
      </c>
    </row>
    <row r="193" customFormat="false" ht="15" hidden="false" customHeight="false" outlineLevel="0" collapsed="false">
      <c r="A193" s="12" t="s">
        <v>479</v>
      </c>
      <c r="B193" s="37" t="s">
        <v>207</v>
      </c>
      <c r="C193" s="59" t="n">
        <v>2.8</v>
      </c>
      <c r="X193" s="22" t="s">
        <v>480</v>
      </c>
    </row>
    <row r="194" customFormat="false" ht="15" hidden="false" customHeight="false" outlineLevel="0" collapsed="false">
      <c r="A194" s="12" t="s">
        <v>481</v>
      </c>
      <c r="B194" s="37" t="s">
        <v>9</v>
      </c>
      <c r="C194" s="44" t="n">
        <v>0</v>
      </c>
      <c r="X194" s="22" t="s">
        <v>482</v>
      </c>
    </row>
    <row r="195" customFormat="false" ht="15" hidden="false" customHeight="false" outlineLevel="0" collapsed="false">
      <c r="A195" s="12" t="s">
        <v>483</v>
      </c>
      <c r="B195" s="37" t="s">
        <v>9</v>
      </c>
      <c r="C195" s="44" t="n">
        <v>150000</v>
      </c>
      <c r="X195" s="22" t="s">
        <v>484</v>
      </c>
    </row>
    <row r="197" customFormat="false" ht="16.5" hidden="false" customHeight="true" outlineLevel="0" collapsed="false">
      <c r="A197" s="15" t="s">
        <v>485</v>
      </c>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row>
    <row r="198" customFormat="false" ht="15" hidden="false" customHeight="false" outlineLevel="0" collapsed="false">
      <c r="A198" s="43" t="s">
        <v>486</v>
      </c>
      <c r="B198" s="43"/>
      <c r="C198" s="43"/>
      <c r="D198" s="43"/>
      <c r="E198" s="43"/>
      <c r="F198" s="43"/>
      <c r="G198" s="43"/>
      <c r="H198" s="43"/>
      <c r="I198" s="43"/>
      <c r="J198" s="43"/>
      <c r="K198" s="43"/>
      <c r="L198" s="43"/>
      <c r="M198" s="43"/>
      <c r="N198" s="43"/>
      <c r="O198" s="43"/>
      <c r="P198" s="43"/>
    </row>
    <row r="199" customFormat="false" ht="25.5" hidden="false" customHeight="true" outlineLevel="0" collapsed="false">
      <c r="A199" s="26" t="s">
        <v>487</v>
      </c>
      <c r="B199" s="16"/>
      <c r="C199" s="57" t="s">
        <v>488</v>
      </c>
      <c r="D199" s="57" t="s">
        <v>489</v>
      </c>
      <c r="E199" s="57" t="s">
        <v>490</v>
      </c>
    </row>
    <row r="200" customFormat="false" ht="15" hidden="false" customHeight="false" outlineLevel="0" collapsed="false">
      <c r="A200" s="51" t="s">
        <v>491</v>
      </c>
      <c r="C200" s="44" t="n">
        <v>900</v>
      </c>
      <c r="D200" s="42" t="n">
        <v>1</v>
      </c>
      <c r="E200" s="42" t="n">
        <v>36</v>
      </c>
    </row>
    <row r="201" customFormat="false" ht="15" hidden="false" customHeight="false" outlineLevel="0" collapsed="false">
      <c r="A201" s="51" t="s">
        <v>492</v>
      </c>
      <c r="C201" s="44" t="n">
        <v>200</v>
      </c>
      <c r="D201" s="42" t="n">
        <v>1</v>
      </c>
      <c r="E201" s="42" t="n">
        <v>48</v>
      </c>
    </row>
    <row r="202" customFormat="false" ht="15" hidden="false" customHeight="false" outlineLevel="0" collapsed="false">
      <c r="A202" s="51" t="s">
        <v>493</v>
      </c>
      <c r="C202" s="44" t="n">
        <v>250</v>
      </c>
      <c r="D202" s="42" t="n">
        <v>1</v>
      </c>
      <c r="E202" s="42" t="n">
        <v>24</v>
      </c>
    </row>
    <row r="203" customFormat="false" ht="15" hidden="false" customHeight="false" outlineLevel="0" collapsed="false">
      <c r="A203" s="51" t="s">
        <v>494</v>
      </c>
      <c r="C203" s="44" t="n">
        <v>0</v>
      </c>
      <c r="D203" s="42" t="n">
        <v>1</v>
      </c>
      <c r="E203" s="42" t="n">
        <v>60</v>
      </c>
    </row>
    <row r="205" customFormat="false" ht="15" hidden="false" customHeight="false" outlineLevel="0" collapsed="false">
      <c r="A205" s="18" t="s">
        <v>495</v>
      </c>
      <c r="C205" s="57" t="s">
        <v>496</v>
      </c>
      <c r="D205" s="57" t="s">
        <v>497</v>
      </c>
      <c r="E205" s="57" t="s">
        <v>490</v>
      </c>
    </row>
    <row r="206" customFormat="false" ht="15" hidden="false" customHeight="false" outlineLevel="0" collapsed="false">
      <c r="A206" s="51" t="s">
        <v>498</v>
      </c>
      <c r="C206" s="42" t="n">
        <v>2</v>
      </c>
      <c r="D206" s="44" t="n">
        <v>3500</v>
      </c>
      <c r="E206" s="42" t="n">
        <v>48</v>
      </c>
    </row>
    <row r="207" customFormat="false" ht="15" hidden="false" customHeight="false" outlineLevel="0" collapsed="false">
      <c r="A207" s="51" t="s">
        <v>499</v>
      </c>
      <c r="C207" s="42" t="n">
        <v>1</v>
      </c>
      <c r="D207" s="44" t="n">
        <v>800</v>
      </c>
      <c r="E207" s="42" t="n">
        <v>48</v>
      </c>
    </row>
    <row r="208" customFormat="false" ht="15" hidden="false" customHeight="false" outlineLevel="0" collapsed="false">
      <c r="A208" s="51" t="s">
        <v>500</v>
      </c>
      <c r="C208" s="42" t="n">
        <v>1</v>
      </c>
      <c r="D208" s="44" t="n">
        <v>4000</v>
      </c>
      <c r="E208" s="42" t="n">
        <v>60</v>
      </c>
    </row>
    <row r="209" customFormat="false" ht="15" hidden="false" customHeight="false" outlineLevel="0" collapsed="false">
      <c r="A209" s="51" t="s">
        <v>501</v>
      </c>
      <c r="C209" s="42" t="n">
        <v>25</v>
      </c>
      <c r="D209" s="44" t="n">
        <v>6000</v>
      </c>
      <c r="E209" s="42" t="n">
        <v>60</v>
      </c>
    </row>
    <row r="210" customFormat="false" ht="15" hidden="false" customHeight="false" outlineLevel="0" collapsed="false">
      <c r="A210" s="51" t="s">
        <v>502</v>
      </c>
      <c r="C210" s="42" t="n">
        <v>25</v>
      </c>
      <c r="D210" s="44" t="n">
        <v>9000</v>
      </c>
      <c r="E210" s="42" t="n">
        <v>60</v>
      </c>
    </row>
  </sheetData>
  <mergeCells count="8">
    <mergeCell ref="A13:P13"/>
    <mergeCell ref="A34:P34"/>
    <mergeCell ref="A82:P82"/>
    <mergeCell ref="A107:P107"/>
    <mergeCell ref="A121:P121"/>
    <mergeCell ref="A156:P156"/>
    <mergeCell ref="A166:P166"/>
    <mergeCell ref="A198:P19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193</v>
      </c>
    </row>
    <row r="2" customFormat="false" ht="13.5" hidden="false" customHeight="true" outlineLevel="0" collapsed="false">
      <c r="A2" s="6" t="s">
        <v>503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504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491</v>
      </c>
      <c r="B7" s="65" t="n">
        <f aca="false">SUM(C7:N7)</f>
        <v>3600</v>
      </c>
      <c r="C7" s="66" t="n">
        <f aca="false">Payroll!C$74*'Assumption Setting'!$C$200*'Assumption Setting'!$D$200</f>
        <v>3600</v>
      </c>
      <c r="D7" s="66" t="n">
        <f aca="false">Payroll!D$74*'Assumption Setting'!$C$200*'Assumption Setting'!$D$200</f>
        <v>0</v>
      </c>
      <c r="E7" s="66" t="n">
        <f aca="false">Payroll!E$74*'Assumption Setting'!$C$200*'Assumption Setting'!$D$200</f>
        <v>0</v>
      </c>
      <c r="F7" s="66" t="n">
        <f aca="false">Payroll!F$74*'Assumption Setting'!$C$200*'Assumption Setting'!$D$200</f>
        <v>0</v>
      </c>
      <c r="G7" s="66" t="n">
        <f aca="false">Payroll!G$74*'Assumption Setting'!$C$200*'Assumption Setting'!$D$200</f>
        <v>0</v>
      </c>
      <c r="H7" s="66" t="n">
        <f aca="false">Payroll!H$74*'Assumption Setting'!$C$200*'Assumption Setting'!$D$200</f>
        <v>0</v>
      </c>
      <c r="I7" s="66" t="n">
        <f aca="false">Payroll!I$74*'Assumption Setting'!$C$200*'Assumption Setting'!$D$200</f>
        <v>0</v>
      </c>
      <c r="J7" s="66" t="n">
        <f aca="false">Payroll!J$74*'Assumption Setting'!$C$200*'Assumption Setting'!$D$200</f>
        <v>0</v>
      </c>
      <c r="K7" s="66" t="n">
        <f aca="false">Payroll!K$74*'Assumption Setting'!$C$200*'Assumption Setting'!$D$200</f>
        <v>0</v>
      </c>
      <c r="L7" s="66" t="n">
        <f aca="false">Payroll!L$74*'Assumption Setting'!$C$200*'Assumption Setting'!$D$200</f>
        <v>0</v>
      </c>
      <c r="M7" s="66" t="n">
        <f aca="false">Payroll!M$74*'Assumption Setting'!$C$200*'Assumption Setting'!$D$200</f>
        <v>0</v>
      </c>
      <c r="N7" s="66" t="n">
        <f aca="false">Payroll!N$74*'Assumption Setting'!$C$200*'Assumption Setting'!$D$200</f>
        <v>0</v>
      </c>
      <c r="O7" s="65" t="n">
        <f aca="false">SUM(P7:AA7)</f>
        <v>2700</v>
      </c>
      <c r="P7" s="66" t="n">
        <f aca="false">Payroll!P$74*'Assumption Setting'!$C$200*'Assumption Setting'!$D$200</f>
        <v>2700</v>
      </c>
      <c r="Q7" s="66" t="n">
        <f aca="false">Payroll!Q$74*'Assumption Setting'!$C$200*'Assumption Setting'!$D$200</f>
        <v>0</v>
      </c>
      <c r="R7" s="66" t="n">
        <f aca="false">Payroll!R$74*'Assumption Setting'!$C$200*'Assumption Setting'!$D$200</f>
        <v>0</v>
      </c>
      <c r="S7" s="66" t="n">
        <f aca="false">Payroll!S$74*'Assumption Setting'!$C$200*'Assumption Setting'!$D$200</f>
        <v>0</v>
      </c>
      <c r="T7" s="66" t="n">
        <f aca="false">Payroll!T$74*'Assumption Setting'!$C$200*'Assumption Setting'!$D$200</f>
        <v>0</v>
      </c>
      <c r="U7" s="66" t="n">
        <f aca="false">Payroll!U$74*'Assumption Setting'!$C$200*'Assumption Setting'!$D$200</f>
        <v>0</v>
      </c>
      <c r="V7" s="66" t="n">
        <f aca="false">Payroll!V$74*'Assumption Setting'!$C$200*'Assumption Setting'!$D$200</f>
        <v>0</v>
      </c>
      <c r="W7" s="66" t="n">
        <f aca="false">Payroll!W$74*'Assumption Setting'!$C$200*'Assumption Setting'!$D$200</f>
        <v>0</v>
      </c>
      <c r="X7" s="66" t="n">
        <f aca="false">Payroll!X$74*'Assumption Setting'!$C$200*'Assumption Setting'!$D$200</f>
        <v>0</v>
      </c>
      <c r="Y7" s="66" t="n">
        <f aca="false">Payroll!Y$74*'Assumption Setting'!$C$200*'Assumption Setting'!$D$200</f>
        <v>0</v>
      </c>
      <c r="Z7" s="66" t="n">
        <f aca="false">Payroll!Z$74*'Assumption Setting'!$C$200*'Assumption Setting'!$D$200</f>
        <v>0</v>
      </c>
      <c r="AA7" s="66" t="n">
        <f aca="false">Payroll!AA$74*'Assumption Setting'!$C$200*'Assumption Setting'!$D$200</f>
        <v>0</v>
      </c>
      <c r="AB7" s="65" t="n">
        <f aca="false">SUM(AC7:AN7)</f>
        <v>4500</v>
      </c>
      <c r="AC7" s="66" t="n">
        <f aca="false">Payroll!AC$74*'Assumption Setting'!$C$200*'Assumption Setting'!$D$200</f>
        <v>4500</v>
      </c>
      <c r="AD7" s="66" t="n">
        <f aca="false">Payroll!AD$74*'Assumption Setting'!$C$200*'Assumption Setting'!$D$200</f>
        <v>0</v>
      </c>
      <c r="AE7" s="66" t="n">
        <f aca="false">Payroll!AE$74*'Assumption Setting'!$C$200*'Assumption Setting'!$D$200</f>
        <v>0</v>
      </c>
      <c r="AF7" s="66" t="n">
        <f aca="false">Payroll!AF$74*'Assumption Setting'!$C$200*'Assumption Setting'!$D$200</f>
        <v>0</v>
      </c>
      <c r="AG7" s="66" t="n">
        <f aca="false">Payroll!AG$74*'Assumption Setting'!$C$200*'Assumption Setting'!$D$200</f>
        <v>0</v>
      </c>
      <c r="AH7" s="66" t="n">
        <f aca="false">Payroll!AH$74*'Assumption Setting'!$C$200*'Assumption Setting'!$D$200</f>
        <v>0</v>
      </c>
      <c r="AI7" s="66" t="n">
        <f aca="false">Payroll!AI$74*'Assumption Setting'!$C$200*'Assumption Setting'!$D$200</f>
        <v>0</v>
      </c>
      <c r="AJ7" s="66" t="n">
        <f aca="false">Payroll!AJ$74*'Assumption Setting'!$C$200*'Assumption Setting'!$D$200</f>
        <v>0</v>
      </c>
      <c r="AK7" s="66" t="n">
        <f aca="false">Payroll!AK$74*'Assumption Setting'!$C$200*'Assumption Setting'!$D$200</f>
        <v>0</v>
      </c>
      <c r="AL7" s="66" t="n">
        <f aca="false">Payroll!AL$74*'Assumption Setting'!$C$200*'Assumption Setting'!$D$200</f>
        <v>0</v>
      </c>
      <c r="AM7" s="66" t="n">
        <f aca="false">Payroll!AM$74*'Assumption Setting'!$C$200*'Assumption Setting'!$D$200</f>
        <v>0</v>
      </c>
      <c r="AN7" s="66" t="n">
        <f aca="false">Payroll!AN$74*'Assumption Setting'!$C$200*'Assumption Setting'!$D$200</f>
        <v>0</v>
      </c>
      <c r="AO7" s="65" t="n">
        <f aca="false">SUM(AP7:BA7)</f>
        <v>3600</v>
      </c>
      <c r="AP7" s="66" t="n">
        <f aca="false">Payroll!AP$74*'Assumption Setting'!$C$200*'Assumption Setting'!$D$200</f>
        <v>3600</v>
      </c>
      <c r="AQ7" s="66" t="n">
        <f aca="false">Payroll!AQ$74*'Assumption Setting'!$C$200*'Assumption Setting'!$D$200</f>
        <v>0</v>
      </c>
      <c r="AR7" s="66" t="n">
        <f aca="false">Payroll!AR$74*'Assumption Setting'!$C$200*'Assumption Setting'!$D$200</f>
        <v>0</v>
      </c>
      <c r="AS7" s="66" t="n">
        <f aca="false">Payroll!AS$74*'Assumption Setting'!$C$200*'Assumption Setting'!$D$200</f>
        <v>0</v>
      </c>
      <c r="AT7" s="66" t="n">
        <f aca="false">Payroll!AT$74*'Assumption Setting'!$C$200*'Assumption Setting'!$D$200</f>
        <v>0</v>
      </c>
      <c r="AU7" s="66" t="n">
        <f aca="false">Payroll!AU$74*'Assumption Setting'!$C$200*'Assumption Setting'!$D$200</f>
        <v>0</v>
      </c>
      <c r="AV7" s="66" t="n">
        <f aca="false">Payroll!AV$74*'Assumption Setting'!$C$200*'Assumption Setting'!$D$200</f>
        <v>0</v>
      </c>
      <c r="AW7" s="66" t="n">
        <f aca="false">Payroll!AW$74*'Assumption Setting'!$C$200*'Assumption Setting'!$D$200</f>
        <v>0</v>
      </c>
      <c r="AX7" s="66" t="n">
        <f aca="false">Payroll!AX$74*'Assumption Setting'!$C$200*'Assumption Setting'!$D$200</f>
        <v>0</v>
      </c>
      <c r="AY7" s="66" t="n">
        <f aca="false">Payroll!AY$74*'Assumption Setting'!$C$200*'Assumption Setting'!$D$200</f>
        <v>0</v>
      </c>
      <c r="AZ7" s="66" t="n">
        <f aca="false">Payroll!AZ$74*'Assumption Setting'!$C$200*'Assumption Setting'!$D$200</f>
        <v>0</v>
      </c>
      <c r="BA7" s="66" t="n">
        <f aca="false">Payroll!BA$74*'Assumption Setting'!$C$200*'Assumption Setting'!$D$200</f>
        <v>0</v>
      </c>
      <c r="BB7" s="65" t="n">
        <f aca="false">SUM(BC7:BN7)</f>
        <v>3600</v>
      </c>
      <c r="BC7" s="66" t="n">
        <f aca="false">Payroll!BC$74*'Assumption Setting'!$C$200*'Assumption Setting'!$D$200</f>
        <v>3600</v>
      </c>
      <c r="BD7" s="66" t="n">
        <f aca="false">Payroll!BD$74*'Assumption Setting'!$C$200*'Assumption Setting'!$D$200</f>
        <v>0</v>
      </c>
      <c r="BE7" s="66" t="n">
        <f aca="false">Payroll!BE$74*'Assumption Setting'!$C$200*'Assumption Setting'!$D$200</f>
        <v>0</v>
      </c>
      <c r="BF7" s="66" t="n">
        <f aca="false">Payroll!BF$74*'Assumption Setting'!$C$200*'Assumption Setting'!$D$200</f>
        <v>0</v>
      </c>
      <c r="BG7" s="66" t="n">
        <f aca="false">Payroll!BG$74*'Assumption Setting'!$C$200*'Assumption Setting'!$D$200</f>
        <v>0</v>
      </c>
      <c r="BH7" s="66" t="n">
        <f aca="false">Payroll!BH$74*'Assumption Setting'!$C$200*'Assumption Setting'!$D$200</f>
        <v>0</v>
      </c>
      <c r="BI7" s="66" t="n">
        <f aca="false">Payroll!BI$74*'Assumption Setting'!$C$200*'Assumption Setting'!$D$200</f>
        <v>0</v>
      </c>
      <c r="BJ7" s="66" t="n">
        <f aca="false">Payroll!BJ$74*'Assumption Setting'!$C$200*'Assumption Setting'!$D$200</f>
        <v>0</v>
      </c>
      <c r="BK7" s="66" t="n">
        <f aca="false">Payroll!BK$74*'Assumption Setting'!$C$200*'Assumption Setting'!$D$200</f>
        <v>0</v>
      </c>
      <c r="BL7" s="66" t="n">
        <f aca="false">Payroll!BL$74*'Assumption Setting'!$C$200*'Assumption Setting'!$D$200</f>
        <v>0</v>
      </c>
      <c r="BM7" s="66" t="n">
        <f aca="false">Payroll!BM$74*'Assumption Setting'!$C$200*'Assumption Setting'!$D$200</f>
        <v>0</v>
      </c>
      <c r="BN7" s="66" t="n">
        <f aca="false">Payroll!BN$74*'Assumption Setting'!$C$200*'Assumption Setting'!$D$200</f>
        <v>0</v>
      </c>
    </row>
    <row r="8" customFormat="false" ht="15" hidden="false" customHeight="false" outlineLevel="0" collapsed="false">
      <c r="A8" s="12" t="s">
        <v>492</v>
      </c>
      <c r="B8" s="65" t="n">
        <f aca="false">SUM(C8:N8)</f>
        <v>800</v>
      </c>
      <c r="C8" s="66" t="n">
        <f aca="false">Payroll!C$74*'Assumption Setting'!$C$201*'Assumption Setting'!$D$201</f>
        <v>800</v>
      </c>
      <c r="D8" s="66" t="n">
        <f aca="false">Payroll!D$74*'Assumption Setting'!$C$201*'Assumption Setting'!$D$201</f>
        <v>0</v>
      </c>
      <c r="E8" s="66" t="n">
        <f aca="false">Payroll!E$74*'Assumption Setting'!$C$201*'Assumption Setting'!$D$201</f>
        <v>0</v>
      </c>
      <c r="F8" s="66" t="n">
        <f aca="false">Payroll!F$74*'Assumption Setting'!$C$201*'Assumption Setting'!$D$201</f>
        <v>0</v>
      </c>
      <c r="G8" s="66" t="n">
        <f aca="false">Payroll!G$74*'Assumption Setting'!$C$201*'Assumption Setting'!$D$201</f>
        <v>0</v>
      </c>
      <c r="H8" s="66" t="n">
        <f aca="false">Payroll!H$74*'Assumption Setting'!$C$201*'Assumption Setting'!$D$201</f>
        <v>0</v>
      </c>
      <c r="I8" s="66" t="n">
        <f aca="false">Payroll!I$74*'Assumption Setting'!$C$201*'Assumption Setting'!$D$201</f>
        <v>0</v>
      </c>
      <c r="J8" s="66" t="n">
        <f aca="false">Payroll!J$74*'Assumption Setting'!$C$201*'Assumption Setting'!$D$201</f>
        <v>0</v>
      </c>
      <c r="K8" s="66" t="n">
        <f aca="false">Payroll!K$74*'Assumption Setting'!$C$201*'Assumption Setting'!$D$201</f>
        <v>0</v>
      </c>
      <c r="L8" s="66" t="n">
        <f aca="false">Payroll!L$74*'Assumption Setting'!$C$201*'Assumption Setting'!$D$201</f>
        <v>0</v>
      </c>
      <c r="M8" s="66" t="n">
        <f aca="false">Payroll!M$74*'Assumption Setting'!$C$201*'Assumption Setting'!$D$201</f>
        <v>0</v>
      </c>
      <c r="N8" s="66" t="n">
        <f aca="false">Payroll!N$74*'Assumption Setting'!$C$201*'Assumption Setting'!$D$201</f>
        <v>0</v>
      </c>
      <c r="O8" s="65" t="n">
        <f aca="false">SUM(P8:AA8)</f>
        <v>600</v>
      </c>
      <c r="P8" s="66" t="n">
        <f aca="false">Payroll!P$74*'Assumption Setting'!$C$201*'Assumption Setting'!$D$201</f>
        <v>600</v>
      </c>
      <c r="Q8" s="66" t="n">
        <f aca="false">Payroll!Q$74*'Assumption Setting'!$C$201*'Assumption Setting'!$D$201</f>
        <v>0</v>
      </c>
      <c r="R8" s="66" t="n">
        <f aca="false">Payroll!R$74*'Assumption Setting'!$C$201*'Assumption Setting'!$D$201</f>
        <v>0</v>
      </c>
      <c r="S8" s="66" t="n">
        <f aca="false">Payroll!S$74*'Assumption Setting'!$C$201*'Assumption Setting'!$D$201</f>
        <v>0</v>
      </c>
      <c r="T8" s="66" t="n">
        <f aca="false">Payroll!T$74*'Assumption Setting'!$C$201*'Assumption Setting'!$D$201</f>
        <v>0</v>
      </c>
      <c r="U8" s="66" t="n">
        <f aca="false">Payroll!U$74*'Assumption Setting'!$C$201*'Assumption Setting'!$D$201</f>
        <v>0</v>
      </c>
      <c r="V8" s="66" t="n">
        <f aca="false">Payroll!V$74*'Assumption Setting'!$C$201*'Assumption Setting'!$D$201</f>
        <v>0</v>
      </c>
      <c r="W8" s="66" t="n">
        <f aca="false">Payroll!W$74*'Assumption Setting'!$C$201*'Assumption Setting'!$D$201</f>
        <v>0</v>
      </c>
      <c r="X8" s="66" t="n">
        <f aca="false">Payroll!X$74*'Assumption Setting'!$C$201*'Assumption Setting'!$D$201</f>
        <v>0</v>
      </c>
      <c r="Y8" s="66" t="n">
        <f aca="false">Payroll!Y$74*'Assumption Setting'!$C$201*'Assumption Setting'!$D$201</f>
        <v>0</v>
      </c>
      <c r="Z8" s="66" t="n">
        <f aca="false">Payroll!Z$74*'Assumption Setting'!$C$201*'Assumption Setting'!$D$201</f>
        <v>0</v>
      </c>
      <c r="AA8" s="66" t="n">
        <f aca="false">Payroll!AA$74*'Assumption Setting'!$C$201*'Assumption Setting'!$D$201</f>
        <v>0</v>
      </c>
      <c r="AB8" s="65" t="n">
        <f aca="false">SUM(AC8:AN8)</f>
        <v>1000</v>
      </c>
      <c r="AC8" s="66" t="n">
        <f aca="false">Payroll!AC$74*'Assumption Setting'!$C$201*'Assumption Setting'!$D$201</f>
        <v>1000</v>
      </c>
      <c r="AD8" s="66" t="n">
        <f aca="false">Payroll!AD$74*'Assumption Setting'!$C$201*'Assumption Setting'!$D$201</f>
        <v>0</v>
      </c>
      <c r="AE8" s="66" t="n">
        <f aca="false">Payroll!AE$74*'Assumption Setting'!$C$201*'Assumption Setting'!$D$201</f>
        <v>0</v>
      </c>
      <c r="AF8" s="66" t="n">
        <f aca="false">Payroll!AF$74*'Assumption Setting'!$C$201*'Assumption Setting'!$D$201</f>
        <v>0</v>
      </c>
      <c r="AG8" s="66" t="n">
        <f aca="false">Payroll!AG$74*'Assumption Setting'!$C$201*'Assumption Setting'!$D$201</f>
        <v>0</v>
      </c>
      <c r="AH8" s="66" t="n">
        <f aca="false">Payroll!AH$74*'Assumption Setting'!$C$201*'Assumption Setting'!$D$201</f>
        <v>0</v>
      </c>
      <c r="AI8" s="66" t="n">
        <f aca="false">Payroll!AI$74*'Assumption Setting'!$C$201*'Assumption Setting'!$D$201</f>
        <v>0</v>
      </c>
      <c r="AJ8" s="66" t="n">
        <f aca="false">Payroll!AJ$74*'Assumption Setting'!$C$201*'Assumption Setting'!$D$201</f>
        <v>0</v>
      </c>
      <c r="AK8" s="66" t="n">
        <f aca="false">Payroll!AK$74*'Assumption Setting'!$C$201*'Assumption Setting'!$D$201</f>
        <v>0</v>
      </c>
      <c r="AL8" s="66" t="n">
        <f aca="false">Payroll!AL$74*'Assumption Setting'!$C$201*'Assumption Setting'!$D$201</f>
        <v>0</v>
      </c>
      <c r="AM8" s="66" t="n">
        <f aca="false">Payroll!AM$74*'Assumption Setting'!$C$201*'Assumption Setting'!$D$201</f>
        <v>0</v>
      </c>
      <c r="AN8" s="66" t="n">
        <f aca="false">Payroll!AN$74*'Assumption Setting'!$C$201*'Assumption Setting'!$D$201</f>
        <v>0</v>
      </c>
      <c r="AO8" s="65" t="n">
        <f aca="false">SUM(AP8:BA8)</f>
        <v>800</v>
      </c>
      <c r="AP8" s="66" t="n">
        <f aca="false">Payroll!AP$74*'Assumption Setting'!$C$201*'Assumption Setting'!$D$201</f>
        <v>800</v>
      </c>
      <c r="AQ8" s="66" t="n">
        <f aca="false">Payroll!AQ$74*'Assumption Setting'!$C$201*'Assumption Setting'!$D$201</f>
        <v>0</v>
      </c>
      <c r="AR8" s="66" t="n">
        <f aca="false">Payroll!AR$74*'Assumption Setting'!$C$201*'Assumption Setting'!$D$201</f>
        <v>0</v>
      </c>
      <c r="AS8" s="66" t="n">
        <f aca="false">Payroll!AS$74*'Assumption Setting'!$C$201*'Assumption Setting'!$D$201</f>
        <v>0</v>
      </c>
      <c r="AT8" s="66" t="n">
        <f aca="false">Payroll!AT$74*'Assumption Setting'!$C$201*'Assumption Setting'!$D$201</f>
        <v>0</v>
      </c>
      <c r="AU8" s="66" t="n">
        <f aca="false">Payroll!AU$74*'Assumption Setting'!$C$201*'Assumption Setting'!$D$201</f>
        <v>0</v>
      </c>
      <c r="AV8" s="66" t="n">
        <f aca="false">Payroll!AV$74*'Assumption Setting'!$C$201*'Assumption Setting'!$D$201</f>
        <v>0</v>
      </c>
      <c r="AW8" s="66" t="n">
        <f aca="false">Payroll!AW$74*'Assumption Setting'!$C$201*'Assumption Setting'!$D$201</f>
        <v>0</v>
      </c>
      <c r="AX8" s="66" t="n">
        <f aca="false">Payroll!AX$74*'Assumption Setting'!$C$201*'Assumption Setting'!$D$201</f>
        <v>0</v>
      </c>
      <c r="AY8" s="66" t="n">
        <f aca="false">Payroll!AY$74*'Assumption Setting'!$C$201*'Assumption Setting'!$D$201</f>
        <v>0</v>
      </c>
      <c r="AZ8" s="66" t="n">
        <f aca="false">Payroll!AZ$74*'Assumption Setting'!$C$201*'Assumption Setting'!$D$201</f>
        <v>0</v>
      </c>
      <c r="BA8" s="66" t="n">
        <f aca="false">Payroll!BA$74*'Assumption Setting'!$C$201*'Assumption Setting'!$D$201</f>
        <v>0</v>
      </c>
      <c r="BB8" s="65" t="n">
        <f aca="false">SUM(BC8:BN8)</f>
        <v>800</v>
      </c>
      <c r="BC8" s="66" t="n">
        <f aca="false">Payroll!BC$74*'Assumption Setting'!$C$201*'Assumption Setting'!$D$201</f>
        <v>800</v>
      </c>
      <c r="BD8" s="66" t="n">
        <f aca="false">Payroll!BD$74*'Assumption Setting'!$C$201*'Assumption Setting'!$D$201</f>
        <v>0</v>
      </c>
      <c r="BE8" s="66" t="n">
        <f aca="false">Payroll!BE$74*'Assumption Setting'!$C$201*'Assumption Setting'!$D$201</f>
        <v>0</v>
      </c>
      <c r="BF8" s="66" t="n">
        <f aca="false">Payroll!BF$74*'Assumption Setting'!$C$201*'Assumption Setting'!$D$201</f>
        <v>0</v>
      </c>
      <c r="BG8" s="66" t="n">
        <f aca="false">Payroll!BG$74*'Assumption Setting'!$C$201*'Assumption Setting'!$D$201</f>
        <v>0</v>
      </c>
      <c r="BH8" s="66" t="n">
        <f aca="false">Payroll!BH$74*'Assumption Setting'!$C$201*'Assumption Setting'!$D$201</f>
        <v>0</v>
      </c>
      <c r="BI8" s="66" t="n">
        <f aca="false">Payroll!BI$74*'Assumption Setting'!$C$201*'Assumption Setting'!$D$201</f>
        <v>0</v>
      </c>
      <c r="BJ8" s="66" t="n">
        <f aca="false">Payroll!BJ$74*'Assumption Setting'!$C$201*'Assumption Setting'!$D$201</f>
        <v>0</v>
      </c>
      <c r="BK8" s="66" t="n">
        <f aca="false">Payroll!BK$74*'Assumption Setting'!$C$201*'Assumption Setting'!$D$201</f>
        <v>0</v>
      </c>
      <c r="BL8" s="66" t="n">
        <f aca="false">Payroll!BL$74*'Assumption Setting'!$C$201*'Assumption Setting'!$D$201</f>
        <v>0</v>
      </c>
      <c r="BM8" s="66" t="n">
        <f aca="false">Payroll!BM$74*'Assumption Setting'!$C$201*'Assumption Setting'!$D$201</f>
        <v>0</v>
      </c>
      <c r="BN8" s="66" t="n">
        <f aca="false">Payroll!BN$74*'Assumption Setting'!$C$201*'Assumption Setting'!$D$201</f>
        <v>0</v>
      </c>
    </row>
    <row r="9" customFormat="false" ht="15" hidden="false" customHeight="false" outlineLevel="0" collapsed="false">
      <c r="A9" s="12" t="s">
        <v>493</v>
      </c>
      <c r="B9" s="65" t="n">
        <f aca="false">SUM(C9:N9)</f>
        <v>1000</v>
      </c>
      <c r="C9" s="66" t="n">
        <f aca="false">Payroll!C$74*'Assumption Setting'!$C$202*'Assumption Setting'!$D$202</f>
        <v>1000</v>
      </c>
      <c r="D9" s="66" t="n">
        <f aca="false">Payroll!D$74*'Assumption Setting'!$C$202*'Assumption Setting'!$D$202</f>
        <v>0</v>
      </c>
      <c r="E9" s="66" t="n">
        <f aca="false">Payroll!E$74*'Assumption Setting'!$C$202*'Assumption Setting'!$D$202</f>
        <v>0</v>
      </c>
      <c r="F9" s="66" t="n">
        <f aca="false">Payroll!F$74*'Assumption Setting'!$C$202*'Assumption Setting'!$D$202</f>
        <v>0</v>
      </c>
      <c r="G9" s="66" t="n">
        <f aca="false">Payroll!G$74*'Assumption Setting'!$C$202*'Assumption Setting'!$D$202</f>
        <v>0</v>
      </c>
      <c r="H9" s="66" t="n">
        <f aca="false">Payroll!H$74*'Assumption Setting'!$C$202*'Assumption Setting'!$D$202</f>
        <v>0</v>
      </c>
      <c r="I9" s="66" t="n">
        <f aca="false">Payroll!I$74*'Assumption Setting'!$C$202*'Assumption Setting'!$D$202</f>
        <v>0</v>
      </c>
      <c r="J9" s="66" t="n">
        <f aca="false">Payroll!J$74*'Assumption Setting'!$C$202*'Assumption Setting'!$D$202</f>
        <v>0</v>
      </c>
      <c r="K9" s="66" t="n">
        <f aca="false">Payroll!K$74*'Assumption Setting'!$C$202*'Assumption Setting'!$D$202</f>
        <v>0</v>
      </c>
      <c r="L9" s="66" t="n">
        <f aca="false">Payroll!L$74*'Assumption Setting'!$C$202*'Assumption Setting'!$D$202</f>
        <v>0</v>
      </c>
      <c r="M9" s="66" t="n">
        <f aca="false">Payroll!M$74*'Assumption Setting'!$C$202*'Assumption Setting'!$D$202</f>
        <v>0</v>
      </c>
      <c r="N9" s="66" t="n">
        <f aca="false">Payroll!N$74*'Assumption Setting'!$C$202*'Assumption Setting'!$D$202</f>
        <v>0</v>
      </c>
      <c r="O9" s="65" t="n">
        <f aca="false">SUM(P9:AA9)</f>
        <v>750</v>
      </c>
      <c r="P9" s="66" t="n">
        <f aca="false">Payroll!P$74*'Assumption Setting'!$C$202*'Assumption Setting'!$D$202</f>
        <v>750</v>
      </c>
      <c r="Q9" s="66" t="n">
        <f aca="false">Payroll!Q$74*'Assumption Setting'!$C$202*'Assumption Setting'!$D$202</f>
        <v>0</v>
      </c>
      <c r="R9" s="66" t="n">
        <f aca="false">Payroll!R$74*'Assumption Setting'!$C$202*'Assumption Setting'!$D$202</f>
        <v>0</v>
      </c>
      <c r="S9" s="66" t="n">
        <f aca="false">Payroll!S$74*'Assumption Setting'!$C$202*'Assumption Setting'!$D$202</f>
        <v>0</v>
      </c>
      <c r="T9" s="66" t="n">
        <f aca="false">Payroll!T$74*'Assumption Setting'!$C$202*'Assumption Setting'!$D$202</f>
        <v>0</v>
      </c>
      <c r="U9" s="66" t="n">
        <f aca="false">Payroll!U$74*'Assumption Setting'!$C$202*'Assumption Setting'!$D$202</f>
        <v>0</v>
      </c>
      <c r="V9" s="66" t="n">
        <f aca="false">Payroll!V$74*'Assumption Setting'!$C$202*'Assumption Setting'!$D$202</f>
        <v>0</v>
      </c>
      <c r="W9" s="66" t="n">
        <f aca="false">Payroll!W$74*'Assumption Setting'!$C$202*'Assumption Setting'!$D$202</f>
        <v>0</v>
      </c>
      <c r="X9" s="66" t="n">
        <f aca="false">Payroll!X$74*'Assumption Setting'!$C$202*'Assumption Setting'!$D$202</f>
        <v>0</v>
      </c>
      <c r="Y9" s="66" t="n">
        <f aca="false">Payroll!Y$74*'Assumption Setting'!$C$202*'Assumption Setting'!$D$202</f>
        <v>0</v>
      </c>
      <c r="Z9" s="66" t="n">
        <f aca="false">Payroll!Z$74*'Assumption Setting'!$C$202*'Assumption Setting'!$D$202</f>
        <v>0</v>
      </c>
      <c r="AA9" s="66" t="n">
        <f aca="false">Payroll!AA$74*'Assumption Setting'!$C$202*'Assumption Setting'!$D$202</f>
        <v>0</v>
      </c>
      <c r="AB9" s="65" t="n">
        <f aca="false">SUM(AC9:AN9)</f>
        <v>1250</v>
      </c>
      <c r="AC9" s="66" t="n">
        <f aca="false">Payroll!AC$74*'Assumption Setting'!$C$202*'Assumption Setting'!$D$202</f>
        <v>1250</v>
      </c>
      <c r="AD9" s="66" t="n">
        <f aca="false">Payroll!AD$74*'Assumption Setting'!$C$202*'Assumption Setting'!$D$202</f>
        <v>0</v>
      </c>
      <c r="AE9" s="66" t="n">
        <f aca="false">Payroll!AE$74*'Assumption Setting'!$C$202*'Assumption Setting'!$D$202</f>
        <v>0</v>
      </c>
      <c r="AF9" s="66" t="n">
        <f aca="false">Payroll!AF$74*'Assumption Setting'!$C$202*'Assumption Setting'!$D$202</f>
        <v>0</v>
      </c>
      <c r="AG9" s="66" t="n">
        <f aca="false">Payroll!AG$74*'Assumption Setting'!$C$202*'Assumption Setting'!$D$202</f>
        <v>0</v>
      </c>
      <c r="AH9" s="66" t="n">
        <f aca="false">Payroll!AH$74*'Assumption Setting'!$C$202*'Assumption Setting'!$D$202</f>
        <v>0</v>
      </c>
      <c r="AI9" s="66" t="n">
        <f aca="false">Payroll!AI$74*'Assumption Setting'!$C$202*'Assumption Setting'!$D$202</f>
        <v>0</v>
      </c>
      <c r="AJ9" s="66" t="n">
        <f aca="false">Payroll!AJ$74*'Assumption Setting'!$C$202*'Assumption Setting'!$D$202</f>
        <v>0</v>
      </c>
      <c r="AK9" s="66" t="n">
        <f aca="false">Payroll!AK$74*'Assumption Setting'!$C$202*'Assumption Setting'!$D$202</f>
        <v>0</v>
      </c>
      <c r="AL9" s="66" t="n">
        <f aca="false">Payroll!AL$74*'Assumption Setting'!$C$202*'Assumption Setting'!$D$202</f>
        <v>0</v>
      </c>
      <c r="AM9" s="66" t="n">
        <f aca="false">Payroll!AM$74*'Assumption Setting'!$C$202*'Assumption Setting'!$D$202</f>
        <v>0</v>
      </c>
      <c r="AN9" s="66" t="n">
        <f aca="false">Payroll!AN$74*'Assumption Setting'!$C$202*'Assumption Setting'!$D$202</f>
        <v>0</v>
      </c>
      <c r="AO9" s="65" t="n">
        <f aca="false">SUM(AP9:BA9)</f>
        <v>1000</v>
      </c>
      <c r="AP9" s="66" t="n">
        <f aca="false">Payroll!AP$74*'Assumption Setting'!$C$202*'Assumption Setting'!$D$202</f>
        <v>1000</v>
      </c>
      <c r="AQ9" s="66" t="n">
        <f aca="false">Payroll!AQ$74*'Assumption Setting'!$C$202*'Assumption Setting'!$D$202</f>
        <v>0</v>
      </c>
      <c r="AR9" s="66" t="n">
        <f aca="false">Payroll!AR$74*'Assumption Setting'!$C$202*'Assumption Setting'!$D$202</f>
        <v>0</v>
      </c>
      <c r="AS9" s="66" t="n">
        <f aca="false">Payroll!AS$74*'Assumption Setting'!$C$202*'Assumption Setting'!$D$202</f>
        <v>0</v>
      </c>
      <c r="AT9" s="66" t="n">
        <f aca="false">Payroll!AT$74*'Assumption Setting'!$C$202*'Assumption Setting'!$D$202</f>
        <v>0</v>
      </c>
      <c r="AU9" s="66" t="n">
        <f aca="false">Payroll!AU$74*'Assumption Setting'!$C$202*'Assumption Setting'!$D$202</f>
        <v>0</v>
      </c>
      <c r="AV9" s="66" t="n">
        <f aca="false">Payroll!AV$74*'Assumption Setting'!$C$202*'Assumption Setting'!$D$202</f>
        <v>0</v>
      </c>
      <c r="AW9" s="66" t="n">
        <f aca="false">Payroll!AW$74*'Assumption Setting'!$C$202*'Assumption Setting'!$D$202</f>
        <v>0</v>
      </c>
      <c r="AX9" s="66" t="n">
        <f aca="false">Payroll!AX$74*'Assumption Setting'!$C$202*'Assumption Setting'!$D$202</f>
        <v>0</v>
      </c>
      <c r="AY9" s="66" t="n">
        <f aca="false">Payroll!AY$74*'Assumption Setting'!$C$202*'Assumption Setting'!$D$202</f>
        <v>0</v>
      </c>
      <c r="AZ9" s="66" t="n">
        <f aca="false">Payroll!AZ$74*'Assumption Setting'!$C$202*'Assumption Setting'!$D$202</f>
        <v>0</v>
      </c>
      <c r="BA9" s="66" t="n">
        <f aca="false">Payroll!BA$74*'Assumption Setting'!$C$202*'Assumption Setting'!$D$202</f>
        <v>0</v>
      </c>
      <c r="BB9" s="65" t="n">
        <f aca="false">SUM(BC9:BN9)</f>
        <v>1000</v>
      </c>
      <c r="BC9" s="66" t="n">
        <f aca="false">Payroll!BC$74*'Assumption Setting'!$C$202*'Assumption Setting'!$D$202</f>
        <v>1000</v>
      </c>
      <c r="BD9" s="66" t="n">
        <f aca="false">Payroll!BD$74*'Assumption Setting'!$C$202*'Assumption Setting'!$D$202</f>
        <v>0</v>
      </c>
      <c r="BE9" s="66" t="n">
        <f aca="false">Payroll!BE$74*'Assumption Setting'!$C$202*'Assumption Setting'!$D$202</f>
        <v>0</v>
      </c>
      <c r="BF9" s="66" t="n">
        <f aca="false">Payroll!BF$74*'Assumption Setting'!$C$202*'Assumption Setting'!$D$202</f>
        <v>0</v>
      </c>
      <c r="BG9" s="66" t="n">
        <f aca="false">Payroll!BG$74*'Assumption Setting'!$C$202*'Assumption Setting'!$D$202</f>
        <v>0</v>
      </c>
      <c r="BH9" s="66" t="n">
        <f aca="false">Payroll!BH$74*'Assumption Setting'!$C$202*'Assumption Setting'!$D$202</f>
        <v>0</v>
      </c>
      <c r="BI9" s="66" t="n">
        <f aca="false">Payroll!BI$74*'Assumption Setting'!$C$202*'Assumption Setting'!$D$202</f>
        <v>0</v>
      </c>
      <c r="BJ9" s="66" t="n">
        <f aca="false">Payroll!BJ$74*'Assumption Setting'!$C$202*'Assumption Setting'!$D$202</f>
        <v>0</v>
      </c>
      <c r="BK9" s="66" t="n">
        <f aca="false">Payroll!BK$74*'Assumption Setting'!$C$202*'Assumption Setting'!$D$202</f>
        <v>0</v>
      </c>
      <c r="BL9" s="66" t="n">
        <f aca="false">Payroll!BL$74*'Assumption Setting'!$C$202*'Assumption Setting'!$D$202</f>
        <v>0</v>
      </c>
      <c r="BM9" s="66" t="n">
        <f aca="false">Payroll!BM$74*'Assumption Setting'!$C$202*'Assumption Setting'!$D$202</f>
        <v>0</v>
      </c>
      <c r="BN9" s="66" t="n">
        <f aca="false">Payroll!BN$74*'Assumption Setting'!$C$202*'Assumption Setting'!$D$202</f>
        <v>0</v>
      </c>
    </row>
    <row r="10" customFormat="false" ht="15" hidden="false" customHeight="false" outlineLevel="0" collapsed="false">
      <c r="A10" s="12" t="s">
        <v>494</v>
      </c>
      <c r="B10" s="65" t="n">
        <f aca="false">SUM(C10:N10)</f>
        <v>0</v>
      </c>
      <c r="C10" s="66" t="n">
        <f aca="false">Payroll!C$74*'Assumption Setting'!$C$203*'Assumption Setting'!$D$203</f>
        <v>0</v>
      </c>
      <c r="D10" s="66" t="n">
        <f aca="false">Payroll!D$74*'Assumption Setting'!$C$203*'Assumption Setting'!$D$203</f>
        <v>0</v>
      </c>
      <c r="E10" s="66" t="n">
        <f aca="false">Payroll!E$74*'Assumption Setting'!$C$203*'Assumption Setting'!$D$203</f>
        <v>0</v>
      </c>
      <c r="F10" s="66" t="n">
        <f aca="false">Payroll!F$74*'Assumption Setting'!$C$203*'Assumption Setting'!$D$203</f>
        <v>0</v>
      </c>
      <c r="G10" s="66" t="n">
        <f aca="false">Payroll!G$74*'Assumption Setting'!$C$203*'Assumption Setting'!$D$203</f>
        <v>0</v>
      </c>
      <c r="H10" s="66" t="n">
        <f aca="false">Payroll!H$74*'Assumption Setting'!$C$203*'Assumption Setting'!$D$203</f>
        <v>0</v>
      </c>
      <c r="I10" s="66" t="n">
        <f aca="false">Payroll!I$74*'Assumption Setting'!$C$203*'Assumption Setting'!$D$203</f>
        <v>0</v>
      </c>
      <c r="J10" s="66" t="n">
        <f aca="false">Payroll!J$74*'Assumption Setting'!$C$203*'Assumption Setting'!$D$203</f>
        <v>0</v>
      </c>
      <c r="K10" s="66" t="n">
        <f aca="false">Payroll!K$74*'Assumption Setting'!$C$203*'Assumption Setting'!$D$203</f>
        <v>0</v>
      </c>
      <c r="L10" s="66" t="n">
        <f aca="false">Payroll!L$74*'Assumption Setting'!$C$203*'Assumption Setting'!$D$203</f>
        <v>0</v>
      </c>
      <c r="M10" s="66" t="n">
        <f aca="false">Payroll!M$74*'Assumption Setting'!$C$203*'Assumption Setting'!$D$203</f>
        <v>0</v>
      </c>
      <c r="N10" s="66" t="n">
        <f aca="false">Payroll!N$74*'Assumption Setting'!$C$203*'Assumption Setting'!$D$203</f>
        <v>0</v>
      </c>
      <c r="O10" s="65" t="n">
        <f aca="false">SUM(P10:AA10)</f>
        <v>0</v>
      </c>
      <c r="P10" s="66" t="n">
        <f aca="false">Payroll!P$74*'Assumption Setting'!$C$203*'Assumption Setting'!$D$203</f>
        <v>0</v>
      </c>
      <c r="Q10" s="66" t="n">
        <f aca="false">Payroll!Q$74*'Assumption Setting'!$C$203*'Assumption Setting'!$D$203</f>
        <v>0</v>
      </c>
      <c r="R10" s="66" t="n">
        <f aca="false">Payroll!R$74*'Assumption Setting'!$C$203*'Assumption Setting'!$D$203</f>
        <v>0</v>
      </c>
      <c r="S10" s="66" t="n">
        <f aca="false">Payroll!S$74*'Assumption Setting'!$C$203*'Assumption Setting'!$D$203</f>
        <v>0</v>
      </c>
      <c r="T10" s="66" t="n">
        <f aca="false">Payroll!T$74*'Assumption Setting'!$C$203*'Assumption Setting'!$D$203</f>
        <v>0</v>
      </c>
      <c r="U10" s="66" t="n">
        <f aca="false">Payroll!U$74*'Assumption Setting'!$C$203*'Assumption Setting'!$D$203</f>
        <v>0</v>
      </c>
      <c r="V10" s="66" t="n">
        <f aca="false">Payroll!V$74*'Assumption Setting'!$C$203*'Assumption Setting'!$D$203</f>
        <v>0</v>
      </c>
      <c r="W10" s="66" t="n">
        <f aca="false">Payroll!W$74*'Assumption Setting'!$C$203*'Assumption Setting'!$D$203</f>
        <v>0</v>
      </c>
      <c r="X10" s="66" t="n">
        <f aca="false">Payroll!X$74*'Assumption Setting'!$C$203*'Assumption Setting'!$D$203</f>
        <v>0</v>
      </c>
      <c r="Y10" s="66" t="n">
        <f aca="false">Payroll!Y$74*'Assumption Setting'!$C$203*'Assumption Setting'!$D$203</f>
        <v>0</v>
      </c>
      <c r="Z10" s="66" t="n">
        <f aca="false">Payroll!Z$74*'Assumption Setting'!$C$203*'Assumption Setting'!$D$203</f>
        <v>0</v>
      </c>
      <c r="AA10" s="66" t="n">
        <f aca="false">Payroll!AA$74*'Assumption Setting'!$C$203*'Assumption Setting'!$D$203</f>
        <v>0</v>
      </c>
      <c r="AB10" s="65" t="n">
        <f aca="false">SUM(AC10:AN10)</f>
        <v>0</v>
      </c>
      <c r="AC10" s="66" t="n">
        <f aca="false">Payroll!AC$74*'Assumption Setting'!$C$203*'Assumption Setting'!$D$203</f>
        <v>0</v>
      </c>
      <c r="AD10" s="66" t="n">
        <f aca="false">Payroll!AD$74*'Assumption Setting'!$C$203*'Assumption Setting'!$D$203</f>
        <v>0</v>
      </c>
      <c r="AE10" s="66" t="n">
        <f aca="false">Payroll!AE$74*'Assumption Setting'!$C$203*'Assumption Setting'!$D$203</f>
        <v>0</v>
      </c>
      <c r="AF10" s="66" t="n">
        <f aca="false">Payroll!AF$74*'Assumption Setting'!$C$203*'Assumption Setting'!$D$203</f>
        <v>0</v>
      </c>
      <c r="AG10" s="66" t="n">
        <f aca="false">Payroll!AG$74*'Assumption Setting'!$C$203*'Assumption Setting'!$D$203</f>
        <v>0</v>
      </c>
      <c r="AH10" s="66" t="n">
        <f aca="false">Payroll!AH$74*'Assumption Setting'!$C$203*'Assumption Setting'!$D$203</f>
        <v>0</v>
      </c>
      <c r="AI10" s="66" t="n">
        <f aca="false">Payroll!AI$74*'Assumption Setting'!$C$203*'Assumption Setting'!$D$203</f>
        <v>0</v>
      </c>
      <c r="AJ10" s="66" t="n">
        <f aca="false">Payroll!AJ$74*'Assumption Setting'!$C$203*'Assumption Setting'!$D$203</f>
        <v>0</v>
      </c>
      <c r="AK10" s="66" t="n">
        <f aca="false">Payroll!AK$74*'Assumption Setting'!$C$203*'Assumption Setting'!$D$203</f>
        <v>0</v>
      </c>
      <c r="AL10" s="66" t="n">
        <f aca="false">Payroll!AL$74*'Assumption Setting'!$C$203*'Assumption Setting'!$D$203</f>
        <v>0</v>
      </c>
      <c r="AM10" s="66" t="n">
        <f aca="false">Payroll!AM$74*'Assumption Setting'!$C$203*'Assumption Setting'!$D$203</f>
        <v>0</v>
      </c>
      <c r="AN10" s="66" t="n">
        <f aca="false">Payroll!AN$74*'Assumption Setting'!$C$203*'Assumption Setting'!$D$203</f>
        <v>0</v>
      </c>
      <c r="AO10" s="65" t="n">
        <f aca="false">SUM(AP10:BA10)</f>
        <v>0</v>
      </c>
      <c r="AP10" s="66" t="n">
        <f aca="false">Payroll!AP$74*'Assumption Setting'!$C$203*'Assumption Setting'!$D$203</f>
        <v>0</v>
      </c>
      <c r="AQ10" s="66" t="n">
        <f aca="false">Payroll!AQ$74*'Assumption Setting'!$C$203*'Assumption Setting'!$D$203</f>
        <v>0</v>
      </c>
      <c r="AR10" s="66" t="n">
        <f aca="false">Payroll!AR$74*'Assumption Setting'!$C$203*'Assumption Setting'!$D$203</f>
        <v>0</v>
      </c>
      <c r="AS10" s="66" t="n">
        <f aca="false">Payroll!AS$74*'Assumption Setting'!$C$203*'Assumption Setting'!$D$203</f>
        <v>0</v>
      </c>
      <c r="AT10" s="66" t="n">
        <f aca="false">Payroll!AT$74*'Assumption Setting'!$C$203*'Assumption Setting'!$D$203</f>
        <v>0</v>
      </c>
      <c r="AU10" s="66" t="n">
        <f aca="false">Payroll!AU$74*'Assumption Setting'!$C$203*'Assumption Setting'!$D$203</f>
        <v>0</v>
      </c>
      <c r="AV10" s="66" t="n">
        <f aca="false">Payroll!AV$74*'Assumption Setting'!$C$203*'Assumption Setting'!$D$203</f>
        <v>0</v>
      </c>
      <c r="AW10" s="66" t="n">
        <f aca="false">Payroll!AW$74*'Assumption Setting'!$C$203*'Assumption Setting'!$D$203</f>
        <v>0</v>
      </c>
      <c r="AX10" s="66" t="n">
        <f aca="false">Payroll!AX$74*'Assumption Setting'!$C$203*'Assumption Setting'!$D$203</f>
        <v>0</v>
      </c>
      <c r="AY10" s="66" t="n">
        <f aca="false">Payroll!AY$74*'Assumption Setting'!$C$203*'Assumption Setting'!$D$203</f>
        <v>0</v>
      </c>
      <c r="AZ10" s="66" t="n">
        <f aca="false">Payroll!AZ$74*'Assumption Setting'!$C$203*'Assumption Setting'!$D$203</f>
        <v>0</v>
      </c>
      <c r="BA10" s="66" t="n">
        <f aca="false">Payroll!BA$74*'Assumption Setting'!$C$203*'Assumption Setting'!$D$203</f>
        <v>0</v>
      </c>
      <c r="BB10" s="65" t="n">
        <f aca="false">SUM(BC10:BN10)</f>
        <v>0</v>
      </c>
      <c r="BC10" s="66" t="n">
        <f aca="false">Payroll!BC$74*'Assumption Setting'!$C$203*'Assumption Setting'!$D$203</f>
        <v>0</v>
      </c>
      <c r="BD10" s="66" t="n">
        <f aca="false">Payroll!BD$74*'Assumption Setting'!$C$203*'Assumption Setting'!$D$203</f>
        <v>0</v>
      </c>
      <c r="BE10" s="66" t="n">
        <f aca="false">Payroll!BE$74*'Assumption Setting'!$C$203*'Assumption Setting'!$D$203</f>
        <v>0</v>
      </c>
      <c r="BF10" s="66" t="n">
        <f aca="false">Payroll!BF$74*'Assumption Setting'!$C$203*'Assumption Setting'!$D$203</f>
        <v>0</v>
      </c>
      <c r="BG10" s="66" t="n">
        <f aca="false">Payroll!BG$74*'Assumption Setting'!$C$203*'Assumption Setting'!$D$203</f>
        <v>0</v>
      </c>
      <c r="BH10" s="66" t="n">
        <f aca="false">Payroll!BH$74*'Assumption Setting'!$C$203*'Assumption Setting'!$D$203</f>
        <v>0</v>
      </c>
      <c r="BI10" s="66" t="n">
        <f aca="false">Payroll!BI$74*'Assumption Setting'!$C$203*'Assumption Setting'!$D$203</f>
        <v>0</v>
      </c>
      <c r="BJ10" s="66" t="n">
        <f aca="false">Payroll!BJ$74*'Assumption Setting'!$C$203*'Assumption Setting'!$D$203</f>
        <v>0</v>
      </c>
      <c r="BK10" s="66" t="n">
        <f aca="false">Payroll!BK$74*'Assumption Setting'!$C$203*'Assumption Setting'!$D$203</f>
        <v>0</v>
      </c>
      <c r="BL10" s="66" t="n">
        <f aca="false">Payroll!BL$74*'Assumption Setting'!$C$203*'Assumption Setting'!$D$203</f>
        <v>0</v>
      </c>
      <c r="BM10" s="66" t="n">
        <f aca="false">Payroll!BM$74*'Assumption Setting'!$C$203*'Assumption Setting'!$D$203</f>
        <v>0</v>
      </c>
      <c r="BN10" s="66" t="n">
        <f aca="false">Payroll!BN$74*'Assumption Setting'!$C$203*'Assumption Setting'!$D$203</f>
        <v>0</v>
      </c>
    </row>
    <row r="11" customFormat="false" ht="15" hidden="false" customHeight="false" outlineLevel="0" collapsed="false">
      <c r="A11" s="12" t="s">
        <v>498</v>
      </c>
      <c r="B11" s="65" t="n">
        <f aca="false">SUM(C11:N11)</f>
        <v>3500</v>
      </c>
      <c r="C11" s="66" t="n">
        <f aca="false">IF(1='Assumption Setting'!$C$206,'Assumption Setting'!$D$206,0)</f>
        <v>0</v>
      </c>
      <c r="D11" s="66" t="n">
        <f aca="false">IF(2='Assumption Setting'!$C$206,'Assumption Setting'!$D$206,0)</f>
        <v>3500</v>
      </c>
      <c r="E11" s="66" t="n">
        <f aca="false">IF(3='Assumption Setting'!$C$206,'Assumption Setting'!$D$206,0)</f>
        <v>0</v>
      </c>
      <c r="F11" s="66" t="n">
        <f aca="false">IF(4='Assumption Setting'!$C$206,'Assumption Setting'!$D$206,0)</f>
        <v>0</v>
      </c>
      <c r="G11" s="66" t="n">
        <f aca="false">IF(5='Assumption Setting'!$C$206,'Assumption Setting'!$D$206,0)</f>
        <v>0</v>
      </c>
      <c r="H11" s="66" t="n">
        <f aca="false">IF(6='Assumption Setting'!$C$206,'Assumption Setting'!$D$206,0)</f>
        <v>0</v>
      </c>
      <c r="I11" s="66" t="n">
        <f aca="false">IF(7='Assumption Setting'!$C$206,'Assumption Setting'!$D$206,0)</f>
        <v>0</v>
      </c>
      <c r="J11" s="66" t="n">
        <f aca="false">IF(8='Assumption Setting'!$C$206,'Assumption Setting'!$D$206,0)</f>
        <v>0</v>
      </c>
      <c r="K11" s="66" t="n">
        <f aca="false">IF(9='Assumption Setting'!$C$206,'Assumption Setting'!$D$206,0)</f>
        <v>0</v>
      </c>
      <c r="L11" s="66" t="n">
        <f aca="false">IF(10='Assumption Setting'!$C$206,'Assumption Setting'!$D$206,0)</f>
        <v>0</v>
      </c>
      <c r="M11" s="66" t="n">
        <f aca="false">IF(11='Assumption Setting'!$C$206,'Assumption Setting'!$D$206,0)</f>
        <v>0</v>
      </c>
      <c r="N11" s="66" t="n">
        <f aca="false">IF(12='Assumption Setting'!$C$206,'Assumption Setting'!$D$206,0)</f>
        <v>0</v>
      </c>
      <c r="O11" s="65" t="n">
        <f aca="false">SUM(P11:AA11)</f>
        <v>0</v>
      </c>
      <c r="P11" s="66" t="n">
        <f aca="false">IF(13='Assumption Setting'!$C$206,'Assumption Setting'!$D$206,0)</f>
        <v>0</v>
      </c>
      <c r="Q11" s="66" t="n">
        <f aca="false">IF(14='Assumption Setting'!$C$206,'Assumption Setting'!$D$206,0)</f>
        <v>0</v>
      </c>
      <c r="R11" s="66" t="n">
        <f aca="false">IF(15='Assumption Setting'!$C$206,'Assumption Setting'!$D$206,0)</f>
        <v>0</v>
      </c>
      <c r="S11" s="66" t="n">
        <f aca="false">IF(16='Assumption Setting'!$C$206,'Assumption Setting'!$D$206,0)</f>
        <v>0</v>
      </c>
      <c r="T11" s="66" t="n">
        <f aca="false">IF(17='Assumption Setting'!$C$206,'Assumption Setting'!$D$206,0)</f>
        <v>0</v>
      </c>
      <c r="U11" s="66" t="n">
        <f aca="false">IF(18='Assumption Setting'!$C$206,'Assumption Setting'!$D$206,0)</f>
        <v>0</v>
      </c>
      <c r="V11" s="66" t="n">
        <f aca="false">IF(19='Assumption Setting'!$C$206,'Assumption Setting'!$D$206,0)</f>
        <v>0</v>
      </c>
      <c r="W11" s="66" t="n">
        <f aca="false">IF(20='Assumption Setting'!$C$206,'Assumption Setting'!$D$206,0)</f>
        <v>0</v>
      </c>
      <c r="X11" s="66" t="n">
        <f aca="false">IF(21='Assumption Setting'!$C$206,'Assumption Setting'!$D$206,0)</f>
        <v>0</v>
      </c>
      <c r="Y11" s="66" t="n">
        <f aca="false">IF(22='Assumption Setting'!$C$206,'Assumption Setting'!$D$206,0)</f>
        <v>0</v>
      </c>
      <c r="Z11" s="66" t="n">
        <f aca="false">IF(23='Assumption Setting'!$C$206,'Assumption Setting'!$D$206,0)</f>
        <v>0</v>
      </c>
      <c r="AA11" s="66" t="n">
        <f aca="false">IF(24='Assumption Setting'!$C$206,'Assumption Setting'!$D$206,0)</f>
        <v>0</v>
      </c>
      <c r="AB11" s="65" t="n">
        <f aca="false">SUM(AC11:AN11)</f>
        <v>0</v>
      </c>
      <c r="AC11" s="66" t="n">
        <f aca="false">IF(25='Assumption Setting'!$C$206,'Assumption Setting'!$D$206,0)</f>
        <v>0</v>
      </c>
      <c r="AD11" s="66" t="n">
        <f aca="false">IF(26='Assumption Setting'!$C$206,'Assumption Setting'!$D$206,0)</f>
        <v>0</v>
      </c>
      <c r="AE11" s="66" t="n">
        <f aca="false">IF(27='Assumption Setting'!$C$206,'Assumption Setting'!$D$206,0)</f>
        <v>0</v>
      </c>
      <c r="AF11" s="66" t="n">
        <f aca="false">IF(28='Assumption Setting'!$C$206,'Assumption Setting'!$D$206,0)</f>
        <v>0</v>
      </c>
      <c r="AG11" s="66" t="n">
        <f aca="false">IF(29='Assumption Setting'!$C$206,'Assumption Setting'!$D$206,0)</f>
        <v>0</v>
      </c>
      <c r="AH11" s="66" t="n">
        <f aca="false">IF(30='Assumption Setting'!$C$206,'Assumption Setting'!$D$206,0)</f>
        <v>0</v>
      </c>
      <c r="AI11" s="66" t="n">
        <f aca="false">IF(31='Assumption Setting'!$C$206,'Assumption Setting'!$D$206,0)</f>
        <v>0</v>
      </c>
      <c r="AJ11" s="66" t="n">
        <f aca="false">IF(32='Assumption Setting'!$C$206,'Assumption Setting'!$D$206,0)</f>
        <v>0</v>
      </c>
      <c r="AK11" s="66" t="n">
        <f aca="false">IF(33='Assumption Setting'!$C$206,'Assumption Setting'!$D$206,0)</f>
        <v>0</v>
      </c>
      <c r="AL11" s="66" t="n">
        <f aca="false">IF(34='Assumption Setting'!$C$206,'Assumption Setting'!$D$206,0)</f>
        <v>0</v>
      </c>
      <c r="AM11" s="66" t="n">
        <f aca="false">IF(35='Assumption Setting'!$C$206,'Assumption Setting'!$D$206,0)</f>
        <v>0</v>
      </c>
      <c r="AN11" s="66" t="n">
        <f aca="false">IF(36='Assumption Setting'!$C$206,'Assumption Setting'!$D$206,0)</f>
        <v>0</v>
      </c>
      <c r="AO11" s="65" t="n">
        <f aca="false">SUM(AP11:BA11)</f>
        <v>0</v>
      </c>
      <c r="AP11" s="66" t="n">
        <f aca="false">IF(37='Assumption Setting'!$C$206,'Assumption Setting'!$D$206,0)</f>
        <v>0</v>
      </c>
      <c r="AQ11" s="66" t="n">
        <f aca="false">IF(38='Assumption Setting'!$C$206,'Assumption Setting'!$D$206,0)</f>
        <v>0</v>
      </c>
      <c r="AR11" s="66" t="n">
        <f aca="false">IF(39='Assumption Setting'!$C$206,'Assumption Setting'!$D$206,0)</f>
        <v>0</v>
      </c>
      <c r="AS11" s="66" t="n">
        <f aca="false">IF(40='Assumption Setting'!$C$206,'Assumption Setting'!$D$206,0)</f>
        <v>0</v>
      </c>
      <c r="AT11" s="66" t="n">
        <f aca="false">IF(41='Assumption Setting'!$C$206,'Assumption Setting'!$D$206,0)</f>
        <v>0</v>
      </c>
      <c r="AU11" s="66" t="n">
        <f aca="false">IF(42='Assumption Setting'!$C$206,'Assumption Setting'!$D$206,0)</f>
        <v>0</v>
      </c>
      <c r="AV11" s="66" t="n">
        <f aca="false">IF(43='Assumption Setting'!$C$206,'Assumption Setting'!$D$206,0)</f>
        <v>0</v>
      </c>
      <c r="AW11" s="66" t="n">
        <f aca="false">IF(44='Assumption Setting'!$C$206,'Assumption Setting'!$D$206,0)</f>
        <v>0</v>
      </c>
      <c r="AX11" s="66" t="n">
        <f aca="false">IF(45='Assumption Setting'!$C$206,'Assumption Setting'!$D$206,0)</f>
        <v>0</v>
      </c>
      <c r="AY11" s="66" t="n">
        <f aca="false">IF(46='Assumption Setting'!$C$206,'Assumption Setting'!$D$206,0)</f>
        <v>0</v>
      </c>
      <c r="AZ11" s="66" t="n">
        <f aca="false">IF(47='Assumption Setting'!$C$206,'Assumption Setting'!$D$206,0)</f>
        <v>0</v>
      </c>
      <c r="BA11" s="66" t="n">
        <f aca="false">IF(48='Assumption Setting'!$C$206,'Assumption Setting'!$D$206,0)</f>
        <v>0</v>
      </c>
      <c r="BB11" s="65" t="n">
        <f aca="false">SUM(BC11:BN11)</f>
        <v>0</v>
      </c>
      <c r="BC11" s="66" t="n">
        <f aca="false">IF(49='Assumption Setting'!$C$206,'Assumption Setting'!$D$206,0)</f>
        <v>0</v>
      </c>
      <c r="BD11" s="66" t="n">
        <f aca="false">IF(50='Assumption Setting'!$C$206,'Assumption Setting'!$D$206,0)</f>
        <v>0</v>
      </c>
      <c r="BE11" s="66" t="n">
        <f aca="false">IF(51='Assumption Setting'!$C$206,'Assumption Setting'!$D$206,0)</f>
        <v>0</v>
      </c>
      <c r="BF11" s="66" t="n">
        <f aca="false">IF(52='Assumption Setting'!$C$206,'Assumption Setting'!$D$206,0)</f>
        <v>0</v>
      </c>
      <c r="BG11" s="66" t="n">
        <f aca="false">IF(53='Assumption Setting'!$C$206,'Assumption Setting'!$D$206,0)</f>
        <v>0</v>
      </c>
      <c r="BH11" s="66" t="n">
        <f aca="false">IF(54='Assumption Setting'!$C$206,'Assumption Setting'!$D$206,0)</f>
        <v>0</v>
      </c>
      <c r="BI11" s="66" t="n">
        <f aca="false">IF(55='Assumption Setting'!$C$206,'Assumption Setting'!$D$206,0)</f>
        <v>0</v>
      </c>
      <c r="BJ11" s="66" t="n">
        <f aca="false">IF(56='Assumption Setting'!$C$206,'Assumption Setting'!$D$206,0)</f>
        <v>0</v>
      </c>
      <c r="BK11" s="66" t="n">
        <f aca="false">IF(57='Assumption Setting'!$C$206,'Assumption Setting'!$D$206,0)</f>
        <v>0</v>
      </c>
      <c r="BL11" s="66" t="n">
        <f aca="false">IF(58='Assumption Setting'!$C$206,'Assumption Setting'!$D$206,0)</f>
        <v>0</v>
      </c>
      <c r="BM11" s="66" t="n">
        <f aca="false">IF(59='Assumption Setting'!$C$206,'Assumption Setting'!$D$206,0)</f>
        <v>0</v>
      </c>
      <c r="BN11" s="66" t="n">
        <f aca="false">IF(60='Assumption Setting'!$C$206,'Assumption Setting'!$D$206,0)</f>
        <v>0</v>
      </c>
    </row>
    <row r="12" customFormat="false" ht="15" hidden="false" customHeight="false" outlineLevel="0" collapsed="false">
      <c r="A12" s="12" t="s">
        <v>499</v>
      </c>
      <c r="B12" s="65" t="n">
        <f aca="false">SUM(C12:N12)</f>
        <v>800</v>
      </c>
      <c r="C12" s="66" t="n">
        <f aca="false">IF(1='Assumption Setting'!$C$207,'Assumption Setting'!$D$207,0)</f>
        <v>800</v>
      </c>
      <c r="D12" s="66" t="n">
        <f aca="false">IF(2='Assumption Setting'!$C$207,'Assumption Setting'!$D$207,0)</f>
        <v>0</v>
      </c>
      <c r="E12" s="66" t="n">
        <f aca="false">IF(3='Assumption Setting'!$C$207,'Assumption Setting'!$D$207,0)</f>
        <v>0</v>
      </c>
      <c r="F12" s="66" t="n">
        <f aca="false">IF(4='Assumption Setting'!$C$207,'Assumption Setting'!$D$207,0)</f>
        <v>0</v>
      </c>
      <c r="G12" s="66" t="n">
        <f aca="false">IF(5='Assumption Setting'!$C$207,'Assumption Setting'!$D$207,0)</f>
        <v>0</v>
      </c>
      <c r="H12" s="66" t="n">
        <f aca="false">IF(6='Assumption Setting'!$C$207,'Assumption Setting'!$D$207,0)</f>
        <v>0</v>
      </c>
      <c r="I12" s="66" t="n">
        <f aca="false">IF(7='Assumption Setting'!$C$207,'Assumption Setting'!$D$207,0)</f>
        <v>0</v>
      </c>
      <c r="J12" s="66" t="n">
        <f aca="false">IF(8='Assumption Setting'!$C$207,'Assumption Setting'!$D$207,0)</f>
        <v>0</v>
      </c>
      <c r="K12" s="66" t="n">
        <f aca="false">IF(9='Assumption Setting'!$C$207,'Assumption Setting'!$D$207,0)</f>
        <v>0</v>
      </c>
      <c r="L12" s="66" t="n">
        <f aca="false">IF(10='Assumption Setting'!$C$207,'Assumption Setting'!$D$207,0)</f>
        <v>0</v>
      </c>
      <c r="M12" s="66" t="n">
        <f aca="false">IF(11='Assumption Setting'!$C$207,'Assumption Setting'!$D$207,0)</f>
        <v>0</v>
      </c>
      <c r="N12" s="66" t="n">
        <f aca="false">IF(12='Assumption Setting'!$C$207,'Assumption Setting'!$D$207,0)</f>
        <v>0</v>
      </c>
      <c r="O12" s="65" t="n">
        <f aca="false">SUM(P12:AA12)</f>
        <v>0</v>
      </c>
      <c r="P12" s="66" t="n">
        <f aca="false">IF(13='Assumption Setting'!$C$207,'Assumption Setting'!$D$207,0)</f>
        <v>0</v>
      </c>
      <c r="Q12" s="66" t="n">
        <f aca="false">IF(14='Assumption Setting'!$C$207,'Assumption Setting'!$D$207,0)</f>
        <v>0</v>
      </c>
      <c r="R12" s="66" t="n">
        <f aca="false">IF(15='Assumption Setting'!$C$207,'Assumption Setting'!$D$207,0)</f>
        <v>0</v>
      </c>
      <c r="S12" s="66" t="n">
        <f aca="false">IF(16='Assumption Setting'!$C$207,'Assumption Setting'!$D$207,0)</f>
        <v>0</v>
      </c>
      <c r="T12" s="66" t="n">
        <f aca="false">IF(17='Assumption Setting'!$C$207,'Assumption Setting'!$D$207,0)</f>
        <v>0</v>
      </c>
      <c r="U12" s="66" t="n">
        <f aca="false">IF(18='Assumption Setting'!$C$207,'Assumption Setting'!$D$207,0)</f>
        <v>0</v>
      </c>
      <c r="V12" s="66" t="n">
        <f aca="false">IF(19='Assumption Setting'!$C$207,'Assumption Setting'!$D$207,0)</f>
        <v>0</v>
      </c>
      <c r="W12" s="66" t="n">
        <f aca="false">IF(20='Assumption Setting'!$C$207,'Assumption Setting'!$D$207,0)</f>
        <v>0</v>
      </c>
      <c r="X12" s="66" t="n">
        <f aca="false">IF(21='Assumption Setting'!$C$207,'Assumption Setting'!$D$207,0)</f>
        <v>0</v>
      </c>
      <c r="Y12" s="66" t="n">
        <f aca="false">IF(22='Assumption Setting'!$C$207,'Assumption Setting'!$D$207,0)</f>
        <v>0</v>
      </c>
      <c r="Z12" s="66" t="n">
        <f aca="false">IF(23='Assumption Setting'!$C$207,'Assumption Setting'!$D$207,0)</f>
        <v>0</v>
      </c>
      <c r="AA12" s="66" t="n">
        <f aca="false">IF(24='Assumption Setting'!$C$207,'Assumption Setting'!$D$207,0)</f>
        <v>0</v>
      </c>
      <c r="AB12" s="65" t="n">
        <f aca="false">SUM(AC12:AN12)</f>
        <v>0</v>
      </c>
      <c r="AC12" s="66" t="n">
        <f aca="false">IF(25='Assumption Setting'!$C$207,'Assumption Setting'!$D$207,0)</f>
        <v>0</v>
      </c>
      <c r="AD12" s="66" t="n">
        <f aca="false">IF(26='Assumption Setting'!$C$207,'Assumption Setting'!$D$207,0)</f>
        <v>0</v>
      </c>
      <c r="AE12" s="66" t="n">
        <f aca="false">IF(27='Assumption Setting'!$C$207,'Assumption Setting'!$D$207,0)</f>
        <v>0</v>
      </c>
      <c r="AF12" s="66" t="n">
        <f aca="false">IF(28='Assumption Setting'!$C$207,'Assumption Setting'!$D$207,0)</f>
        <v>0</v>
      </c>
      <c r="AG12" s="66" t="n">
        <f aca="false">IF(29='Assumption Setting'!$C$207,'Assumption Setting'!$D$207,0)</f>
        <v>0</v>
      </c>
      <c r="AH12" s="66" t="n">
        <f aca="false">IF(30='Assumption Setting'!$C$207,'Assumption Setting'!$D$207,0)</f>
        <v>0</v>
      </c>
      <c r="AI12" s="66" t="n">
        <f aca="false">IF(31='Assumption Setting'!$C$207,'Assumption Setting'!$D$207,0)</f>
        <v>0</v>
      </c>
      <c r="AJ12" s="66" t="n">
        <f aca="false">IF(32='Assumption Setting'!$C$207,'Assumption Setting'!$D$207,0)</f>
        <v>0</v>
      </c>
      <c r="AK12" s="66" t="n">
        <f aca="false">IF(33='Assumption Setting'!$C$207,'Assumption Setting'!$D$207,0)</f>
        <v>0</v>
      </c>
      <c r="AL12" s="66" t="n">
        <f aca="false">IF(34='Assumption Setting'!$C$207,'Assumption Setting'!$D$207,0)</f>
        <v>0</v>
      </c>
      <c r="AM12" s="66" t="n">
        <f aca="false">IF(35='Assumption Setting'!$C$207,'Assumption Setting'!$D$207,0)</f>
        <v>0</v>
      </c>
      <c r="AN12" s="66" t="n">
        <f aca="false">IF(36='Assumption Setting'!$C$207,'Assumption Setting'!$D$207,0)</f>
        <v>0</v>
      </c>
      <c r="AO12" s="65" t="n">
        <f aca="false">SUM(AP12:BA12)</f>
        <v>0</v>
      </c>
      <c r="AP12" s="66" t="n">
        <f aca="false">IF(37='Assumption Setting'!$C$207,'Assumption Setting'!$D$207,0)</f>
        <v>0</v>
      </c>
      <c r="AQ12" s="66" t="n">
        <f aca="false">IF(38='Assumption Setting'!$C$207,'Assumption Setting'!$D$207,0)</f>
        <v>0</v>
      </c>
      <c r="AR12" s="66" t="n">
        <f aca="false">IF(39='Assumption Setting'!$C$207,'Assumption Setting'!$D$207,0)</f>
        <v>0</v>
      </c>
      <c r="AS12" s="66" t="n">
        <f aca="false">IF(40='Assumption Setting'!$C$207,'Assumption Setting'!$D$207,0)</f>
        <v>0</v>
      </c>
      <c r="AT12" s="66" t="n">
        <f aca="false">IF(41='Assumption Setting'!$C$207,'Assumption Setting'!$D$207,0)</f>
        <v>0</v>
      </c>
      <c r="AU12" s="66" t="n">
        <f aca="false">IF(42='Assumption Setting'!$C$207,'Assumption Setting'!$D$207,0)</f>
        <v>0</v>
      </c>
      <c r="AV12" s="66" t="n">
        <f aca="false">IF(43='Assumption Setting'!$C$207,'Assumption Setting'!$D$207,0)</f>
        <v>0</v>
      </c>
      <c r="AW12" s="66" t="n">
        <f aca="false">IF(44='Assumption Setting'!$C$207,'Assumption Setting'!$D$207,0)</f>
        <v>0</v>
      </c>
      <c r="AX12" s="66" t="n">
        <f aca="false">IF(45='Assumption Setting'!$C$207,'Assumption Setting'!$D$207,0)</f>
        <v>0</v>
      </c>
      <c r="AY12" s="66" t="n">
        <f aca="false">IF(46='Assumption Setting'!$C$207,'Assumption Setting'!$D$207,0)</f>
        <v>0</v>
      </c>
      <c r="AZ12" s="66" t="n">
        <f aca="false">IF(47='Assumption Setting'!$C$207,'Assumption Setting'!$D$207,0)</f>
        <v>0</v>
      </c>
      <c r="BA12" s="66" t="n">
        <f aca="false">IF(48='Assumption Setting'!$C$207,'Assumption Setting'!$D$207,0)</f>
        <v>0</v>
      </c>
      <c r="BB12" s="65" t="n">
        <f aca="false">SUM(BC12:BN12)</f>
        <v>0</v>
      </c>
      <c r="BC12" s="66" t="n">
        <f aca="false">IF(49='Assumption Setting'!$C$207,'Assumption Setting'!$D$207,0)</f>
        <v>0</v>
      </c>
      <c r="BD12" s="66" t="n">
        <f aca="false">IF(50='Assumption Setting'!$C$207,'Assumption Setting'!$D$207,0)</f>
        <v>0</v>
      </c>
      <c r="BE12" s="66" t="n">
        <f aca="false">IF(51='Assumption Setting'!$C$207,'Assumption Setting'!$D$207,0)</f>
        <v>0</v>
      </c>
      <c r="BF12" s="66" t="n">
        <f aca="false">IF(52='Assumption Setting'!$C$207,'Assumption Setting'!$D$207,0)</f>
        <v>0</v>
      </c>
      <c r="BG12" s="66" t="n">
        <f aca="false">IF(53='Assumption Setting'!$C$207,'Assumption Setting'!$D$207,0)</f>
        <v>0</v>
      </c>
      <c r="BH12" s="66" t="n">
        <f aca="false">IF(54='Assumption Setting'!$C$207,'Assumption Setting'!$D$207,0)</f>
        <v>0</v>
      </c>
      <c r="BI12" s="66" t="n">
        <f aca="false">IF(55='Assumption Setting'!$C$207,'Assumption Setting'!$D$207,0)</f>
        <v>0</v>
      </c>
      <c r="BJ12" s="66" t="n">
        <f aca="false">IF(56='Assumption Setting'!$C$207,'Assumption Setting'!$D$207,0)</f>
        <v>0</v>
      </c>
      <c r="BK12" s="66" t="n">
        <f aca="false">IF(57='Assumption Setting'!$C$207,'Assumption Setting'!$D$207,0)</f>
        <v>0</v>
      </c>
      <c r="BL12" s="66" t="n">
        <f aca="false">IF(58='Assumption Setting'!$C$207,'Assumption Setting'!$D$207,0)</f>
        <v>0</v>
      </c>
      <c r="BM12" s="66" t="n">
        <f aca="false">IF(59='Assumption Setting'!$C$207,'Assumption Setting'!$D$207,0)</f>
        <v>0</v>
      </c>
      <c r="BN12" s="66" t="n">
        <f aca="false">IF(60='Assumption Setting'!$C$207,'Assumption Setting'!$D$207,0)</f>
        <v>0</v>
      </c>
    </row>
    <row r="13" customFormat="false" ht="15" hidden="false" customHeight="false" outlineLevel="0" collapsed="false">
      <c r="A13" s="12" t="s">
        <v>500</v>
      </c>
      <c r="B13" s="65" t="n">
        <f aca="false">SUM(C13:N13)</f>
        <v>4000</v>
      </c>
      <c r="C13" s="66" t="n">
        <f aca="false">IF(1='Assumption Setting'!$C$208,'Assumption Setting'!$D$208,0)</f>
        <v>4000</v>
      </c>
      <c r="D13" s="66" t="n">
        <f aca="false">IF(2='Assumption Setting'!$C$208,'Assumption Setting'!$D$208,0)</f>
        <v>0</v>
      </c>
      <c r="E13" s="66" t="n">
        <f aca="false">IF(3='Assumption Setting'!$C$208,'Assumption Setting'!$D$208,0)</f>
        <v>0</v>
      </c>
      <c r="F13" s="66" t="n">
        <f aca="false">IF(4='Assumption Setting'!$C$208,'Assumption Setting'!$D$208,0)</f>
        <v>0</v>
      </c>
      <c r="G13" s="66" t="n">
        <f aca="false">IF(5='Assumption Setting'!$C$208,'Assumption Setting'!$D$208,0)</f>
        <v>0</v>
      </c>
      <c r="H13" s="66" t="n">
        <f aca="false">IF(6='Assumption Setting'!$C$208,'Assumption Setting'!$D$208,0)</f>
        <v>0</v>
      </c>
      <c r="I13" s="66" t="n">
        <f aca="false">IF(7='Assumption Setting'!$C$208,'Assumption Setting'!$D$208,0)</f>
        <v>0</v>
      </c>
      <c r="J13" s="66" t="n">
        <f aca="false">IF(8='Assumption Setting'!$C$208,'Assumption Setting'!$D$208,0)</f>
        <v>0</v>
      </c>
      <c r="K13" s="66" t="n">
        <f aca="false">IF(9='Assumption Setting'!$C$208,'Assumption Setting'!$D$208,0)</f>
        <v>0</v>
      </c>
      <c r="L13" s="66" t="n">
        <f aca="false">IF(10='Assumption Setting'!$C$208,'Assumption Setting'!$D$208,0)</f>
        <v>0</v>
      </c>
      <c r="M13" s="66" t="n">
        <f aca="false">IF(11='Assumption Setting'!$C$208,'Assumption Setting'!$D$208,0)</f>
        <v>0</v>
      </c>
      <c r="N13" s="66" t="n">
        <f aca="false">IF(12='Assumption Setting'!$C$208,'Assumption Setting'!$D$208,0)</f>
        <v>0</v>
      </c>
      <c r="O13" s="65" t="n">
        <f aca="false">SUM(P13:AA13)</f>
        <v>0</v>
      </c>
      <c r="P13" s="66" t="n">
        <f aca="false">IF(13='Assumption Setting'!$C$208,'Assumption Setting'!$D$208,0)</f>
        <v>0</v>
      </c>
      <c r="Q13" s="66" t="n">
        <f aca="false">IF(14='Assumption Setting'!$C$208,'Assumption Setting'!$D$208,0)</f>
        <v>0</v>
      </c>
      <c r="R13" s="66" t="n">
        <f aca="false">IF(15='Assumption Setting'!$C$208,'Assumption Setting'!$D$208,0)</f>
        <v>0</v>
      </c>
      <c r="S13" s="66" t="n">
        <f aca="false">IF(16='Assumption Setting'!$C$208,'Assumption Setting'!$D$208,0)</f>
        <v>0</v>
      </c>
      <c r="T13" s="66" t="n">
        <f aca="false">IF(17='Assumption Setting'!$C$208,'Assumption Setting'!$D$208,0)</f>
        <v>0</v>
      </c>
      <c r="U13" s="66" t="n">
        <f aca="false">IF(18='Assumption Setting'!$C$208,'Assumption Setting'!$D$208,0)</f>
        <v>0</v>
      </c>
      <c r="V13" s="66" t="n">
        <f aca="false">IF(19='Assumption Setting'!$C$208,'Assumption Setting'!$D$208,0)</f>
        <v>0</v>
      </c>
      <c r="W13" s="66" t="n">
        <f aca="false">IF(20='Assumption Setting'!$C$208,'Assumption Setting'!$D$208,0)</f>
        <v>0</v>
      </c>
      <c r="X13" s="66" t="n">
        <f aca="false">IF(21='Assumption Setting'!$C$208,'Assumption Setting'!$D$208,0)</f>
        <v>0</v>
      </c>
      <c r="Y13" s="66" t="n">
        <f aca="false">IF(22='Assumption Setting'!$C$208,'Assumption Setting'!$D$208,0)</f>
        <v>0</v>
      </c>
      <c r="Z13" s="66" t="n">
        <f aca="false">IF(23='Assumption Setting'!$C$208,'Assumption Setting'!$D$208,0)</f>
        <v>0</v>
      </c>
      <c r="AA13" s="66" t="n">
        <f aca="false">IF(24='Assumption Setting'!$C$208,'Assumption Setting'!$D$208,0)</f>
        <v>0</v>
      </c>
      <c r="AB13" s="65" t="n">
        <f aca="false">SUM(AC13:AN13)</f>
        <v>0</v>
      </c>
      <c r="AC13" s="66" t="n">
        <f aca="false">IF(25='Assumption Setting'!$C$208,'Assumption Setting'!$D$208,0)</f>
        <v>0</v>
      </c>
      <c r="AD13" s="66" t="n">
        <f aca="false">IF(26='Assumption Setting'!$C$208,'Assumption Setting'!$D$208,0)</f>
        <v>0</v>
      </c>
      <c r="AE13" s="66" t="n">
        <f aca="false">IF(27='Assumption Setting'!$C$208,'Assumption Setting'!$D$208,0)</f>
        <v>0</v>
      </c>
      <c r="AF13" s="66" t="n">
        <f aca="false">IF(28='Assumption Setting'!$C$208,'Assumption Setting'!$D$208,0)</f>
        <v>0</v>
      </c>
      <c r="AG13" s="66" t="n">
        <f aca="false">IF(29='Assumption Setting'!$C$208,'Assumption Setting'!$D$208,0)</f>
        <v>0</v>
      </c>
      <c r="AH13" s="66" t="n">
        <f aca="false">IF(30='Assumption Setting'!$C$208,'Assumption Setting'!$D$208,0)</f>
        <v>0</v>
      </c>
      <c r="AI13" s="66" t="n">
        <f aca="false">IF(31='Assumption Setting'!$C$208,'Assumption Setting'!$D$208,0)</f>
        <v>0</v>
      </c>
      <c r="AJ13" s="66" t="n">
        <f aca="false">IF(32='Assumption Setting'!$C$208,'Assumption Setting'!$D$208,0)</f>
        <v>0</v>
      </c>
      <c r="AK13" s="66" t="n">
        <f aca="false">IF(33='Assumption Setting'!$C$208,'Assumption Setting'!$D$208,0)</f>
        <v>0</v>
      </c>
      <c r="AL13" s="66" t="n">
        <f aca="false">IF(34='Assumption Setting'!$C$208,'Assumption Setting'!$D$208,0)</f>
        <v>0</v>
      </c>
      <c r="AM13" s="66" t="n">
        <f aca="false">IF(35='Assumption Setting'!$C$208,'Assumption Setting'!$D$208,0)</f>
        <v>0</v>
      </c>
      <c r="AN13" s="66" t="n">
        <f aca="false">IF(36='Assumption Setting'!$C$208,'Assumption Setting'!$D$208,0)</f>
        <v>0</v>
      </c>
      <c r="AO13" s="65" t="n">
        <f aca="false">SUM(AP13:BA13)</f>
        <v>0</v>
      </c>
      <c r="AP13" s="66" t="n">
        <f aca="false">IF(37='Assumption Setting'!$C$208,'Assumption Setting'!$D$208,0)</f>
        <v>0</v>
      </c>
      <c r="AQ13" s="66" t="n">
        <f aca="false">IF(38='Assumption Setting'!$C$208,'Assumption Setting'!$D$208,0)</f>
        <v>0</v>
      </c>
      <c r="AR13" s="66" t="n">
        <f aca="false">IF(39='Assumption Setting'!$C$208,'Assumption Setting'!$D$208,0)</f>
        <v>0</v>
      </c>
      <c r="AS13" s="66" t="n">
        <f aca="false">IF(40='Assumption Setting'!$C$208,'Assumption Setting'!$D$208,0)</f>
        <v>0</v>
      </c>
      <c r="AT13" s="66" t="n">
        <f aca="false">IF(41='Assumption Setting'!$C$208,'Assumption Setting'!$D$208,0)</f>
        <v>0</v>
      </c>
      <c r="AU13" s="66" t="n">
        <f aca="false">IF(42='Assumption Setting'!$C$208,'Assumption Setting'!$D$208,0)</f>
        <v>0</v>
      </c>
      <c r="AV13" s="66" t="n">
        <f aca="false">IF(43='Assumption Setting'!$C$208,'Assumption Setting'!$D$208,0)</f>
        <v>0</v>
      </c>
      <c r="AW13" s="66" t="n">
        <f aca="false">IF(44='Assumption Setting'!$C$208,'Assumption Setting'!$D$208,0)</f>
        <v>0</v>
      </c>
      <c r="AX13" s="66" t="n">
        <f aca="false">IF(45='Assumption Setting'!$C$208,'Assumption Setting'!$D$208,0)</f>
        <v>0</v>
      </c>
      <c r="AY13" s="66" t="n">
        <f aca="false">IF(46='Assumption Setting'!$C$208,'Assumption Setting'!$D$208,0)</f>
        <v>0</v>
      </c>
      <c r="AZ13" s="66" t="n">
        <f aca="false">IF(47='Assumption Setting'!$C$208,'Assumption Setting'!$D$208,0)</f>
        <v>0</v>
      </c>
      <c r="BA13" s="66" t="n">
        <f aca="false">IF(48='Assumption Setting'!$C$208,'Assumption Setting'!$D$208,0)</f>
        <v>0</v>
      </c>
      <c r="BB13" s="65" t="n">
        <f aca="false">SUM(BC13:BN13)</f>
        <v>0</v>
      </c>
      <c r="BC13" s="66" t="n">
        <f aca="false">IF(49='Assumption Setting'!$C$208,'Assumption Setting'!$D$208,0)</f>
        <v>0</v>
      </c>
      <c r="BD13" s="66" t="n">
        <f aca="false">IF(50='Assumption Setting'!$C$208,'Assumption Setting'!$D$208,0)</f>
        <v>0</v>
      </c>
      <c r="BE13" s="66" t="n">
        <f aca="false">IF(51='Assumption Setting'!$C$208,'Assumption Setting'!$D$208,0)</f>
        <v>0</v>
      </c>
      <c r="BF13" s="66" t="n">
        <f aca="false">IF(52='Assumption Setting'!$C$208,'Assumption Setting'!$D$208,0)</f>
        <v>0</v>
      </c>
      <c r="BG13" s="66" t="n">
        <f aca="false">IF(53='Assumption Setting'!$C$208,'Assumption Setting'!$D$208,0)</f>
        <v>0</v>
      </c>
      <c r="BH13" s="66" t="n">
        <f aca="false">IF(54='Assumption Setting'!$C$208,'Assumption Setting'!$D$208,0)</f>
        <v>0</v>
      </c>
      <c r="BI13" s="66" t="n">
        <f aca="false">IF(55='Assumption Setting'!$C$208,'Assumption Setting'!$D$208,0)</f>
        <v>0</v>
      </c>
      <c r="BJ13" s="66" t="n">
        <f aca="false">IF(56='Assumption Setting'!$C$208,'Assumption Setting'!$D$208,0)</f>
        <v>0</v>
      </c>
      <c r="BK13" s="66" t="n">
        <f aca="false">IF(57='Assumption Setting'!$C$208,'Assumption Setting'!$D$208,0)</f>
        <v>0</v>
      </c>
      <c r="BL13" s="66" t="n">
        <f aca="false">IF(58='Assumption Setting'!$C$208,'Assumption Setting'!$D$208,0)</f>
        <v>0</v>
      </c>
      <c r="BM13" s="66" t="n">
        <f aca="false">IF(59='Assumption Setting'!$C$208,'Assumption Setting'!$D$208,0)</f>
        <v>0</v>
      </c>
      <c r="BN13" s="66" t="n">
        <f aca="false">IF(60='Assumption Setting'!$C$208,'Assumption Setting'!$D$208,0)</f>
        <v>0</v>
      </c>
    </row>
    <row r="14" customFormat="false" ht="15" hidden="false" customHeight="false" outlineLevel="0" collapsed="false">
      <c r="A14" s="12" t="s">
        <v>501</v>
      </c>
      <c r="B14" s="65" t="n">
        <f aca="false">SUM(C14:N14)</f>
        <v>0</v>
      </c>
      <c r="C14" s="66" t="n">
        <f aca="false">IF(1='Assumption Setting'!$C$209,'Assumption Setting'!$D$209,0)</f>
        <v>0</v>
      </c>
      <c r="D14" s="66" t="n">
        <f aca="false">IF(2='Assumption Setting'!$C$209,'Assumption Setting'!$D$209,0)</f>
        <v>0</v>
      </c>
      <c r="E14" s="66" t="n">
        <f aca="false">IF(3='Assumption Setting'!$C$209,'Assumption Setting'!$D$209,0)</f>
        <v>0</v>
      </c>
      <c r="F14" s="66" t="n">
        <f aca="false">IF(4='Assumption Setting'!$C$209,'Assumption Setting'!$D$209,0)</f>
        <v>0</v>
      </c>
      <c r="G14" s="66" t="n">
        <f aca="false">IF(5='Assumption Setting'!$C$209,'Assumption Setting'!$D$209,0)</f>
        <v>0</v>
      </c>
      <c r="H14" s="66" t="n">
        <f aca="false">IF(6='Assumption Setting'!$C$209,'Assumption Setting'!$D$209,0)</f>
        <v>0</v>
      </c>
      <c r="I14" s="66" t="n">
        <f aca="false">IF(7='Assumption Setting'!$C$209,'Assumption Setting'!$D$209,0)</f>
        <v>0</v>
      </c>
      <c r="J14" s="66" t="n">
        <f aca="false">IF(8='Assumption Setting'!$C$209,'Assumption Setting'!$D$209,0)</f>
        <v>0</v>
      </c>
      <c r="K14" s="66" t="n">
        <f aca="false">IF(9='Assumption Setting'!$C$209,'Assumption Setting'!$D$209,0)</f>
        <v>0</v>
      </c>
      <c r="L14" s="66" t="n">
        <f aca="false">IF(10='Assumption Setting'!$C$209,'Assumption Setting'!$D$209,0)</f>
        <v>0</v>
      </c>
      <c r="M14" s="66" t="n">
        <f aca="false">IF(11='Assumption Setting'!$C$209,'Assumption Setting'!$D$209,0)</f>
        <v>0</v>
      </c>
      <c r="N14" s="66" t="n">
        <f aca="false">IF(12='Assumption Setting'!$C$209,'Assumption Setting'!$D$209,0)</f>
        <v>0</v>
      </c>
      <c r="O14" s="65" t="n">
        <f aca="false">SUM(P14:AA14)</f>
        <v>0</v>
      </c>
      <c r="P14" s="66" t="n">
        <f aca="false">IF(13='Assumption Setting'!$C$209,'Assumption Setting'!$D$209,0)</f>
        <v>0</v>
      </c>
      <c r="Q14" s="66" t="n">
        <f aca="false">IF(14='Assumption Setting'!$C$209,'Assumption Setting'!$D$209,0)</f>
        <v>0</v>
      </c>
      <c r="R14" s="66" t="n">
        <f aca="false">IF(15='Assumption Setting'!$C$209,'Assumption Setting'!$D$209,0)</f>
        <v>0</v>
      </c>
      <c r="S14" s="66" t="n">
        <f aca="false">IF(16='Assumption Setting'!$C$209,'Assumption Setting'!$D$209,0)</f>
        <v>0</v>
      </c>
      <c r="T14" s="66" t="n">
        <f aca="false">IF(17='Assumption Setting'!$C$209,'Assumption Setting'!$D$209,0)</f>
        <v>0</v>
      </c>
      <c r="U14" s="66" t="n">
        <f aca="false">IF(18='Assumption Setting'!$C$209,'Assumption Setting'!$D$209,0)</f>
        <v>0</v>
      </c>
      <c r="V14" s="66" t="n">
        <f aca="false">IF(19='Assumption Setting'!$C$209,'Assumption Setting'!$D$209,0)</f>
        <v>0</v>
      </c>
      <c r="W14" s="66" t="n">
        <f aca="false">IF(20='Assumption Setting'!$C$209,'Assumption Setting'!$D$209,0)</f>
        <v>0</v>
      </c>
      <c r="X14" s="66" t="n">
        <f aca="false">IF(21='Assumption Setting'!$C$209,'Assumption Setting'!$D$209,0)</f>
        <v>0</v>
      </c>
      <c r="Y14" s="66" t="n">
        <f aca="false">IF(22='Assumption Setting'!$C$209,'Assumption Setting'!$D$209,0)</f>
        <v>0</v>
      </c>
      <c r="Z14" s="66" t="n">
        <f aca="false">IF(23='Assumption Setting'!$C$209,'Assumption Setting'!$D$209,0)</f>
        <v>0</v>
      </c>
      <c r="AA14" s="66" t="n">
        <f aca="false">IF(24='Assumption Setting'!$C$209,'Assumption Setting'!$D$209,0)</f>
        <v>0</v>
      </c>
      <c r="AB14" s="65" t="n">
        <f aca="false">SUM(AC14:AN14)</f>
        <v>6000</v>
      </c>
      <c r="AC14" s="66" t="n">
        <f aca="false">IF(25='Assumption Setting'!$C$209,'Assumption Setting'!$D$209,0)</f>
        <v>6000</v>
      </c>
      <c r="AD14" s="66" t="n">
        <f aca="false">IF(26='Assumption Setting'!$C$209,'Assumption Setting'!$D$209,0)</f>
        <v>0</v>
      </c>
      <c r="AE14" s="66" t="n">
        <f aca="false">IF(27='Assumption Setting'!$C$209,'Assumption Setting'!$D$209,0)</f>
        <v>0</v>
      </c>
      <c r="AF14" s="66" t="n">
        <f aca="false">IF(28='Assumption Setting'!$C$209,'Assumption Setting'!$D$209,0)</f>
        <v>0</v>
      </c>
      <c r="AG14" s="66" t="n">
        <f aca="false">IF(29='Assumption Setting'!$C$209,'Assumption Setting'!$D$209,0)</f>
        <v>0</v>
      </c>
      <c r="AH14" s="66" t="n">
        <f aca="false">IF(30='Assumption Setting'!$C$209,'Assumption Setting'!$D$209,0)</f>
        <v>0</v>
      </c>
      <c r="AI14" s="66" t="n">
        <f aca="false">IF(31='Assumption Setting'!$C$209,'Assumption Setting'!$D$209,0)</f>
        <v>0</v>
      </c>
      <c r="AJ14" s="66" t="n">
        <f aca="false">IF(32='Assumption Setting'!$C$209,'Assumption Setting'!$D$209,0)</f>
        <v>0</v>
      </c>
      <c r="AK14" s="66" t="n">
        <f aca="false">IF(33='Assumption Setting'!$C$209,'Assumption Setting'!$D$209,0)</f>
        <v>0</v>
      </c>
      <c r="AL14" s="66" t="n">
        <f aca="false">IF(34='Assumption Setting'!$C$209,'Assumption Setting'!$D$209,0)</f>
        <v>0</v>
      </c>
      <c r="AM14" s="66" t="n">
        <f aca="false">IF(35='Assumption Setting'!$C$209,'Assumption Setting'!$D$209,0)</f>
        <v>0</v>
      </c>
      <c r="AN14" s="66" t="n">
        <f aca="false">IF(36='Assumption Setting'!$C$209,'Assumption Setting'!$D$209,0)</f>
        <v>0</v>
      </c>
      <c r="AO14" s="65" t="n">
        <f aca="false">SUM(AP14:BA14)</f>
        <v>0</v>
      </c>
      <c r="AP14" s="66" t="n">
        <f aca="false">IF(37='Assumption Setting'!$C$209,'Assumption Setting'!$D$209,0)</f>
        <v>0</v>
      </c>
      <c r="AQ14" s="66" t="n">
        <f aca="false">IF(38='Assumption Setting'!$C$209,'Assumption Setting'!$D$209,0)</f>
        <v>0</v>
      </c>
      <c r="AR14" s="66" t="n">
        <f aca="false">IF(39='Assumption Setting'!$C$209,'Assumption Setting'!$D$209,0)</f>
        <v>0</v>
      </c>
      <c r="AS14" s="66" t="n">
        <f aca="false">IF(40='Assumption Setting'!$C$209,'Assumption Setting'!$D$209,0)</f>
        <v>0</v>
      </c>
      <c r="AT14" s="66" t="n">
        <f aca="false">IF(41='Assumption Setting'!$C$209,'Assumption Setting'!$D$209,0)</f>
        <v>0</v>
      </c>
      <c r="AU14" s="66" t="n">
        <f aca="false">IF(42='Assumption Setting'!$C$209,'Assumption Setting'!$D$209,0)</f>
        <v>0</v>
      </c>
      <c r="AV14" s="66" t="n">
        <f aca="false">IF(43='Assumption Setting'!$C$209,'Assumption Setting'!$D$209,0)</f>
        <v>0</v>
      </c>
      <c r="AW14" s="66" t="n">
        <f aca="false">IF(44='Assumption Setting'!$C$209,'Assumption Setting'!$D$209,0)</f>
        <v>0</v>
      </c>
      <c r="AX14" s="66" t="n">
        <f aca="false">IF(45='Assumption Setting'!$C$209,'Assumption Setting'!$D$209,0)</f>
        <v>0</v>
      </c>
      <c r="AY14" s="66" t="n">
        <f aca="false">IF(46='Assumption Setting'!$C$209,'Assumption Setting'!$D$209,0)</f>
        <v>0</v>
      </c>
      <c r="AZ14" s="66" t="n">
        <f aca="false">IF(47='Assumption Setting'!$C$209,'Assumption Setting'!$D$209,0)</f>
        <v>0</v>
      </c>
      <c r="BA14" s="66" t="n">
        <f aca="false">IF(48='Assumption Setting'!$C$209,'Assumption Setting'!$D$209,0)</f>
        <v>0</v>
      </c>
      <c r="BB14" s="65" t="n">
        <f aca="false">SUM(BC14:BN14)</f>
        <v>0</v>
      </c>
      <c r="BC14" s="66" t="n">
        <f aca="false">IF(49='Assumption Setting'!$C$209,'Assumption Setting'!$D$209,0)</f>
        <v>0</v>
      </c>
      <c r="BD14" s="66" t="n">
        <f aca="false">IF(50='Assumption Setting'!$C$209,'Assumption Setting'!$D$209,0)</f>
        <v>0</v>
      </c>
      <c r="BE14" s="66" t="n">
        <f aca="false">IF(51='Assumption Setting'!$C$209,'Assumption Setting'!$D$209,0)</f>
        <v>0</v>
      </c>
      <c r="BF14" s="66" t="n">
        <f aca="false">IF(52='Assumption Setting'!$C$209,'Assumption Setting'!$D$209,0)</f>
        <v>0</v>
      </c>
      <c r="BG14" s="66" t="n">
        <f aca="false">IF(53='Assumption Setting'!$C$209,'Assumption Setting'!$D$209,0)</f>
        <v>0</v>
      </c>
      <c r="BH14" s="66" t="n">
        <f aca="false">IF(54='Assumption Setting'!$C$209,'Assumption Setting'!$D$209,0)</f>
        <v>0</v>
      </c>
      <c r="BI14" s="66" t="n">
        <f aca="false">IF(55='Assumption Setting'!$C$209,'Assumption Setting'!$D$209,0)</f>
        <v>0</v>
      </c>
      <c r="BJ14" s="66" t="n">
        <f aca="false">IF(56='Assumption Setting'!$C$209,'Assumption Setting'!$D$209,0)</f>
        <v>0</v>
      </c>
      <c r="BK14" s="66" t="n">
        <f aca="false">IF(57='Assumption Setting'!$C$209,'Assumption Setting'!$D$209,0)</f>
        <v>0</v>
      </c>
      <c r="BL14" s="66" t="n">
        <f aca="false">IF(58='Assumption Setting'!$C$209,'Assumption Setting'!$D$209,0)</f>
        <v>0</v>
      </c>
      <c r="BM14" s="66" t="n">
        <f aca="false">IF(59='Assumption Setting'!$C$209,'Assumption Setting'!$D$209,0)</f>
        <v>0</v>
      </c>
      <c r="BN14" s="66" t="n">
        <f aca="false">IF(60='Assumption Setting'!$C$209,'Assumption Setting'!$D$209,0)</f>
        <v>0</v>
      </c>
    </row>
    <row r="15" customFormat="false" ht="15" hidden="false" customHeight="false" outlineLevel="0" collapsed="false">
      <c r="A15" s="12" t="s">
        <v>502</v>
      </c>
      <c r="B15" s="65" t="n">
        <f aca="false">SUM(C15:N15)</f>
        <v>0</v>
      </c>
      <c r="C15" s="66" t="n">
        <f aca="false">IF(1='Assumption Setting'!$C$210,'Assumption Setting'!$D$210,0)</f>
        <v>0</v>
      </c>
      <c r="D15" s="66" t="n">
        <f aca="false">IF(2='Assumption Setting'!$C$210,'Assumption Setting'!$D$210,0)</f>
        <v>0</v>
      </c>
      <c r="E15" s="66" t="n">
        <f aca="false">IF(3='Assumption Setting'!$C$210,'Assumption Setting'!$D$210,0)</f>
        <v>0</v>
      </c>
      <c r="F15" s="66" t="n">
        <f aca="false">IF(4='Assumption Setting'!$C$210,'Assumption Setting'!$D$210,0)</f>
        <v>0</v>
      </c>
      <c r="G15" s="66" t="n">
        <f aca="false">IF(5='Assumption Setting'!$C$210,'Assumption Setting'!$D$210,0)</f>
        <v>0</v>
      </c>
      <c r="H15" s="66" t="n">
        <f aca="false">IF(6='Assumption Setting'!$C$210,'Assumption Setting'!$D$210,0)</f>
        <v>0</v>
      </c>
      <c r="I15" s="66" t="n">
        <f aca="false">IF(7='Assumption Setting'!$C$210,'Assumption Setting'!$D$210,0)</f>
        <v>0</v>
      </c>
      <c r="J15" s="66" t="n">
        <f aca="false">IF(8='Assumption Setting'!$C$210,'Assumption Setting'!$D$210,0)</f>
        <v>0</v>
      </c>
      <c r="K15" s="66" t="n">
        <f aca="false">IF(9='Assumption Setting'!$C$210,'Assumption Setting'!$D$210,0)</f>
        <v>0</v>
      </c>
      <c r="L15" s="66" t="n">
        <f aca="false">IF(10='Assumption Setting'!$C$210,'Assumption Setting'!$D$210,0)</f>
        <v>0</v>
      </c>
      <c r="M15" s="66" t="n">
        <f aca="false">IF(11='Assumption Setting'!$C$210,'Assumption Setting'!$D$210,0)</f>
        <v>0</v>
      </c>
      <c r="N15" s="66" t="n">
        <f aca="false">IF(12='Assumption Setting'!$C$210,'Assumption Setting'!$D$210,0)</f>
        <v>0</v>
      </c>
      <c r="O15" s="65" t="n">
        <f aca="false">SUM(P15:AA15)</f>
        <v>0</v>
      </c>
      <c r="P15" s="66" t="n">
        <f aca="false">IF(13='Assumption Setting'!$C$210,'Assumption Setting'!$D$210,0)</f>
        <v>0</v>
      </c>
      <c r="Q15" s="66" t="n">
        <f aca="false">IF(14='Assumption Setting'!$C$210,'Assumption Setting'!$D$210,0)</f>
        <v>0</v>
      </c>
      <c r="R15" s="66" t="n">
        <f aca="false">IF(15='Assumption Setting'!$C$210,'Assumption Setting'!$D$210,0)</f>
        <v>0</v>
      </c>
      <c r="S15" s="66" t="n">
        <f aca="false">IF(16='Assumption Setting'!$C$210,'Assumption Setting'!$D$210,0)</f>
        <v>0</v>
      </c>
      <c r="T15" s="66" t="n">
        <f aca="false">IF(17='Assumption Setting'!$C$210,'Assumption Setting'!$D$210,0)</f>
        <v>0</v>
      </c>
      <c r="U15" s="66" t="n">
        <f aca="false">IF(18='Assumption Setting'!$C$210,'Assumption Setting'!$D$210,0)</f>
        <v>0</v>
      </c>
      <c r="V15" s="66" t="n">
        <f aca="false">IF(19='Assumption Setting'!$C$210,'Assumption Setting'!$D$210,0)</f>
        <v>0</v>
      </c>
      <c r="W15" s="66" t="n">
        <f aca="false">IF(20='Assumption Setting'!$C$210,'Assumption Setting'!$D$210,0)</f>
        <v>0</v>
      </c>
      <c r="X15" s="66" t="n">
        <f aca="false">IF(21='Assumption Setting'!$C$210,'Assumption Setting'!$D$210,0)</f>
        <v>0</v>
      </c>
      <c r="Y15" s="66" t="n">
        <f aca="false">IF(22='Assumption Setting'!$C$210,'Assumption Setting'!$D$210,0)</f>
        <v>0</v>
      </c>
      <c r="Z15" s="66" t="n">
        <f aca="false">IF(23='Assumption Setting'!$C$210,'Assumption Setting'!$D$210,0)</f>
        <v>0</v>
      </c>
      <c r="AA15" s="66" t="n">
        <f aca="false">IF(24='Assumption Setting'!$C$210,'Assumption Setting'!$D$210,0)</f>
        <v>0</v>
      </c>
      <c r="AB15" s="65" t="n">
        <f aca="false">SUM(AC15:AN15)</f>
        <v>9000</v>
      </c>
      <c r="AC15" s="66" t="n">
        <f aca="false">IF(25='Assumption Setting'!$C$210,'Assumption Setting'!$D$210,0)</f>
        <v>9000</v>
      </c>
      <c r="AD15" s="66" t="n">
        <f aca="false">IF(26='Assumption Setting'!$C$210,'Assumption Setting'!$D$210,0)</f>
        <v>0</v>
      </c>
      <c r="AE15" s="66" t="n">
        <f aca="false">IF(27='Assumption Setting'!$C$210,'Assumption Setting'!$D$210,0)</f>
        <v>0</v>
      </c>
      <c r="AF15" s="66" t="n">
        <f aca="false">IF(28='Assumption Setting'!$C$210,'Assumption Setting'!$D$210,0)</f>
        <v>0</v>
      </c>
      <c r="AG15" s="66" t="n">
        <f aca="false">IF(29='Assumption Setting'!$C$210,'Assumption Setting'!$D$210,0)</f>
        <v>0</v>
      </c>
      <c r="AH15" s="66" t="n">
        <f aca="false">IF(30='Assumption Setting'!$C$210,'Assumption Setting'!$D$210,0)</f>
        <v>0</v>
      </c>
      <c r="AI15" s="66" t="n">
        <f aca="false">IF(31='Assumption Setting'!$C$210,'Assumption Setting'!$D$210,0)</f>
        <v>0</v>
      </c>
      <c r="AJ15" s="66" t="n">
        <f aca="false">IF(32='Assumption Setting'!$C$210,'Assumption Setting'!$D$210,0)</f>
        <v>0</v>
      </c>
      <c r="AK15" s="66" t="n">
        <f aca="false">IF(33='Assumption Setting'!$C$210,'Assumption Setting'!$D$210,0)</f>
        <v>0</v>
      </c>
      <c r="AL15" s="66" t="n">
        <f aca="false">IF(34='Assumption Setting'!$C$210,'Assumption Setting'!$D$210,0)</f>
        <v>0</v>
      </c>
      <c r="AM15" s="66" t="n">
        <f aca="false">IF(35='Assumption Setting'!$C$210,'Assumption Setting'!$D$210,0)</f>
        <v>0</v>
      </c>
      <c r="AN15" s="66" t="n">
        <f aca="false">IF(36='Assumption Setting'!$C$210,'Assumption Setting'!$D$210,0)</f>
        <v>0</v>
      </c>
      <c r="AO15" s="65" t="n">
        <f aca="false">SUM(AP15:BA15)</f>
        <v>0</v>
      </c>
      <c r="AP15" s="66" t="n">
        <f aca="false">IF(37='Assumption Setting'!$C$210,'Assumption Setting'!$D$210,0)</f>
        <v>0</v>
      </c>
      <c r="AQ15" s="66" t="n">
        <f aca="false">IF(38='Assumption Setting'!$C$210,'Assumption Setting'!$D$210,0)</f>
        <v>0</v>
      </c>
      <c r="AR15" s="66" t="n">
        <f aca="false">IF(39='Assumption Setting'!$C$210,'Assumption Setting'!$D$210,0)</f>
        <v>0</v>
      </c>
      <c r="AS15" s="66" t="n">
        <f aca="false">IF(40='Assumption Setting'!$C$210,'Assumption Setting'!$D$210,0)</f>
        <v>0</v>
      </c>
      <c r="AT15" s="66" t="n">
        <f aca="false">IF(41='Assumption Setting'!$C$210,'Assumption Setting'!$D$210,0)</f>
        <v>0</v>
      </c>
      <c r="AU15" s="66" t="n">
        <f aca="false">IF(42='Assumption Setting'!$C$210,'Assumption Setting'!$D$210,0)</f>
        <v>0</v>
      </c>
      <c r="AV15" s="66" t="n">
        <f aca="false">IF(43='Assumption Setting'!$C$210,'Assumption Setting'!$D$210,0)</f>
        <v>0</v>
      </c>
      <c r="AW15" s="66" t="n">
        <f aca="false">IF(44='Assumption Setting'!$C$210,'Assumption Setting'!$D$210,0)</f>
        <v>0</v>
      </c>
      <c r="AX15" s="66" t="n">
        <f aca="false">IF(45='Assumption Setting'!$C$210,'Assumption Setting'!$D$210,0)</f>
        <v>0</v>
      </c>
      <c r="AY15" s="66" t="n">
        <f aca="false">IF(46='Assumption Setting'!$C$210,'Assumption Setting'!$D$210,0)</f>
        <v>0</v>
      </c>
      <c r="AZ15" s="66" t="n">
        <f aca="false">IF(47='Assumption Setting'!$C$210,'Assumption Setting'!$D$210,0)</f>
        <v>0</v>
      </c>
      <c r="BA15" s="66" t="n">
        <f aca="false">IF(48='Assumption Setting'!$C$210,'Assumption Setting'!$D$210,0)</f>
        <v>0</v>
      </c>
      <c r="BB15" s="65" t="n">
        <f aca="false">SUM(BC15:BN15)</f>
        <v>0</v>
      </c>
      <c r="BC15" s="66" t="n">
        <f aca="false">IF(49='Assumption Setting'!$C$210,'Assumption Setting'!$D$210,0)</f>
        <v>0</v>
      </c>
      <c r="BD15" s="66" t="n">
        <f aca="false">IF(50='Assumption Setting'!$C$210,'Assumption Setting'!$D$210,0)</f>
        <v>0</v>
      </c>
      <c r="BE15" s="66" t="n">
        <f aca="false">IF(51='Assumption Setting'!$C$210,'Assumption Setting'!$D$210,0)</f>
        <v>0</v>
      </c>
      <c r="BF15" s="66" t="n">
        <f aca="false">IF(52='Assumption Setting'!$C$210,'Assumption Setting'!$D$210,0)</f>
        <v>0</v>
      </c>
      <c r="BG15" s="66" t="n">
        <f aca="false">IF(53='Assumption Setting'!$C$210,'Assumption Setting'!$D$210,0)</f>
        <v>0</v>
      </c>
      <c r="BH15" s="66" t="n">
        <f aca="false">IF(54='Assumption Setting'!$C$210,'Assumption Setting'!$D$210,0)</f>
        <v>0</v>
      </c>
      <c r="BI15" s="66" t="n">
        <f aca="false">IF(55='Assumption Setting'!$C$210,'Assumption Setting'!$D$210,0)</f>
        <v>0</v>
      </c>
      <c r="BJ15" s="66" t="n">
        <f aca="false">IF(56='Assumption Setting'!$C$210,'Assumption Setting'!$D$210,0)</f>
        <v>0</v>
      </c>
      <c r="BK15" s="66" t="n">
        <f aca="false">IF(57='Assumption Setting'!$C$210,'Assumption Setting'!$D$210,0)</f>
        <v>0</v>
      </c>
      <c r="BL15" s="66" t="n">
        <f aca="false">IF(58='Assumption Setting'!$C$210,'Assumption Setting'!$D$210,0)</f>
        <v>0</v>
      </c>
      <c r="BM15" s="66" t="n">
        <f aca="false">IF(59='Assumption Setting'!$C$210,'Assumption Setting'!$D$210,0)</f>
        <v>0</v>
      </c>
      <c r="BN15" s="66" t="n">
        <f aca="false">IF(60='Assumption Setting'!$C$210,'Assumption Setting'!$D$210,0)</f>
        <v>0</v>
      </c>
    </row>
    <row r="16" customFormat="false" ht="15" hidden="false" customHeight="false" outlineLevel="0" collapsed="false">
      <c r="A16" s="67" t="s">
        <v>566</v>
      </c>
      <c r="B16" s="68" t="n">
        <f aca="false">SUM(C16:N16)</f>
        <v>13700</v>
      </c>
      <c r="C16" s="69" t="n">
        <f aca="false">SUM(C7:C15)</f>
        <v>10200</v>
      </c>
      <c r="D16" s="69" t="n">
        <f aca="false">SUM(D7:D15)</f>
        <v>3500</v>
      </c>
      <c r="E16" s="69" t="n">
        <f aca="false">SUM(E7:E15)</f>
        <v>0</v>
      </c>
      <c r="F16" s="69" t="n">
        <f aca="false">SUM(F7:F15)</f>
        <v>0</v>
      </c>
      <c r="G16" s="69" t="n">
        <f aca="false">SUM(G7:G15)</f>
        <v>0</v>
      </c>
      <c r="H16" s="69" t="n">
        <f aca="false">SUM(H7:H15)</f>
        <v>0</v>
      </c>
      <c r="I16" s="69" t="n">
        <f aca="false">SUM(I7:I15)</f>
        <v>0</v>
      </c>
      <c r="J16" s="69" t="n">
        <f aca="false">SUM(J7:J15)</f>
        <v>0</v>
      </c>
      <c r="K16" s="69" t="n">
        <f aca="false">SUM(K7:K15)</f>
        <v>0</v>
      </c>
      <c r="L16" s="69" t="n">
        <f aca="false">SUM(L7:L15)</f>
        <v>0</v>
      </c>
      <c r="M16" s="69" t="n">
        <f aca="false">SUM(M7:M15)</f>
        <v>0</v>
      </c>
      <c r="N16" s="69" t="n">
        <f aca="false">SUM(N7:N15)</f>
        <v>0</v>
      </c>
      <c r="O16" s="68" t="n">
        <f aca="false">SUM(P16:AA16)</f>
        <v>4050</v>
      </c>
      <c r="P16" s="69" t="n">
        <f aca="false">SUM(P7:P15)</f>
        <v>4050</v>
      </c>
      <c r="Q16" s="69" t="n">
        <f aca="false">SUM(Q7:Q15)</f>
        <v>0</v>
      </c>
      <c r="R16" s="69" t="n">
        <f aca="false">SUM(R7:R15)</f>
        <v>0</v>
      </c>
      <c r="S16" s="69" t="n">
        <f aca="false">SUM(S7:S15)</f>
        <v>0</v>
      </c>
      <c r="T16" s="69" t="n">
        <f aca="false">SUM(T7:T15)</f>
        <v>0</v>
      </c>
      <c r="U16" s="69" t="n">
        <f aca="false">SUM(U7:U15)</f>
        <v>0</v>
      </c>
      <c r="V16" s="69" t="n">
        <f aca="false">SUM(V7:V15)</f>
        <v>0</v>
      </c>
      <c r="W16" s="69" t="n">
        <f aca="false">SUM(W7:W15)</f>
        <v>0</v>
      </c>
      <c r="X16" s="69" t="n">
        <f aca="false">SUM(X7:X15)</f>
        <v>0</v>
      </c>
      <c r="Y16" s="69" t="n">
        <f aca="false">SUM(Y7:Y15)</f>
        <v>0</v>
      </c>
      <c r="Z16" s="69" t="n">
        <f aca="false">SUM(Z7:Z15)</f>
        <v>0</v>
      </c>
      <c r="AA16" s="69" t="n">
        <f aca="false">SUM(AA7:AA15)</f>
        <v>0</v>
      </c>
      <c r="AB16" s="68" t="n">
        <f aca="false">SUM(AC16:AN16)</f>
        <v>21750</v>
      </c>
      <c r="AC16" s="69" t="n">
        <f aca="false">SUM(AC7:AC15)</f>
        <v>21750</v>
      </c>
      <c r="AD16" s="69" t="n">
        <f aca="false">SUM(AD7:AD15)</f>
        <v>0</v>
      </c>
      <c r="AE16" s="69" t="n">
        <f aca="false">SUM(AE7:AE15)</f>
        <v>0</v>
      </c>
      <c r="AF16" s="69" t="n">
        <f aca="false">SUM(AF7:AF15)</f>
        <v>0</v>
      </c>
      <c r="AG16" s="69" t="n">
        <f aca="false">SUM(AG7:AG15)</f>
        <v>0</v>
      </c>
      <c r="AH16" s="69" t="n">
        <f aca="false">SUM(AH7:AH15)</f>
        <v>0</v>
      </c>
      <c r="AI16" s="69" t="n">
        <f aca="false">SUM(AI7:AI15)</f>
        <v>0</v>
      </c>
      <c r="AJ16" s="69" t="n">
        <f aca="false">SUM(AJ7:AJ15)</f>
        <v>0</v>
      </c>
      <c r="AK16" s="69" t="n">
        <f aca="false">SUM(AK7:AK15)</f>
        <v>0</v>
      </c>
      <c r="AL16" s="69" t="n">
        <f aca="false">SUM(AL7:AL15)</f>
        <v>0</v>
      </c>
      <c r="AM16" s="69" t="n">
        <f aca="false">SUM(AM7:AM15)</f>
        <v>0</v>
      </c>
      <c r="AN16" s="69" t="n">
        <f aca="false">SUM(AN7:AN15)</f>
        <v>0</v>
      </c>
      <c r="AO16" s="68" t="n">
        <f aca="false">SUM(AP16:BA16)</f>
        <v>5400</v>
      </c>
      <c r="AP16" s="69" t="n">
        <f aca="false">SUM(AP7:AP15)</f>
        <v>5400</v>
      </c>
      <c r="AQ16" s="69" t="n">
        <f aca="false">SUM(AQ7:AQ15)</f>
        <v>0</v>
      </c>
      <c r="AR16" s="69" t="n">
        <f aca="false">SUM(AR7:AR15)</f>
        <v>0</v>
      </c>
      <c r="AS16" s="69" t="n">
        <f aca="false">SUM(AS7:AS15)</f>
        <v>0</v>
      </c>
      <c r="AT16" s="69" t="n">
        <f aca="false">SUM(AT7:AT15)</f>
        <v>0</v>
      </c>
      <c r="AU16" s="69" t="n">
        <f aca="false">SUM(AU7:AU15)</f>
        <v>0</v>
      </c>
      <c r="AV16" s="69" t="n">
        <f aca="false">SUM(AV7:AV15)</f>
        <v>0</v>
      </c>
      <c r="AW16" s="69" t="n">
        <f aca="false">SUM(AW7:AW15)</f>
        <v>0</v>
      </c>
      <c r="AX16" s="69" t="n">
        <f aca="false">SUM(AX7:AX15)</f>
        <v>0</v>
      </c>
      <c r="AY16" s="69" t="n">
        <f aca="false">SUM(AY7:AY15)</f>
        <v>0</v>
      </c>
      <c r="AZ16" s="69" t="n">
        <f aca="false">SUM(AZ7:AZ15)</f>
        <v>0</v>
      </c>
      <c r="BA16" s="69" t="n">
        <f aca="false">SUM(BA7:BA15)</f>
        <v>0</v>
      </c>
      <c r="BB16" s="68" t="n">
        <f aca="false">SUM(BC16:BN16)</f>
        <v>5400</v>
      </c>
      <c r="BC16" s="69" t="n">
        <f aca="false">SUM(BC7:BC15)</f>
        <v>5400</v>
      </c>
      <c r="BD16" s="69" t="n">
        <f aca="false">SUM(BD7:BD15)</f>
        <v>0</v>
      </c>
      <c r="BE16" s="69" t="n">
        <f aca="false">SUM(BE7:BE15)</f>
        <v>0</v>
      </c>
      <c r="BF16" s="69" t="n">
        <f aca="false">SUM(BF7:BF15)</f>
        <v>0</v>
      </c>
      <c r="BG16" s="69" t="n">
        <f aca="false">SUM(BG7:BG15)</f>
        <v>0</v>
      </c>
      <c r="BH16" s="69" t="n">
        <f aca="false">SUM(BH7:BH15)</f>
        <v>0</v>
      </c>
      <c r="BI16" s="69" t="n">
        <f aca="false">SUM(BI7:BI15)</f>
        <v>0</v>
      </c>
      <c r="BJ16" s="69" t="n">
        <f aca="false">SUM(BJ7:BJ15)</f>
        <v>0</v>
      </c>
      <c r="BK16" s="69" t="n">
        <f aca="false">SUM(BK7:BK15)</f>
        <v>0</v>
      </c>
      <c r="BL16" s="69" t="n">
        <f aca="false">SUM(BL7:BL15)</f>
        <v>0</v>
      </c>
      <c r="BM16" s="69" t="n">
        <f aca="false">SUM(BM7:BM15)</f>
        <v>0</v>
      </c>
      <c r="BN16" s="69" t="n">
        <f aca="false">SUM(BN7:BN15)</f>
        <v>0</v>
      </c>
    </row>
    <row r="18" customFormat="false" ht="16.5" hidden="false" customHeight="true" outlineLevel="0" collapsed="false">
      <c r="A18" s="15" t="s">
        <v>567</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505</v>
      </c>
      <c r="B19" s="62" t="s">
        <v>80</v>
      </c>
      <c r="C19" s="63" t="s">
        <v>506</v>
      </c>
      <c r="D19" s="63" t="s">
        <v>507</v>
      </c>
      <c r="E19" s="63" t="s">
        <v>508</v>
      </c>
      <c r="F19" s="63" t="s">
        <v>509</v>
      </c>
      <c r="G19" s="63" t="s">
        <v>510</v>
      </c>
      <c r="H19" s="63" t="s">
        <v>511</v>
      </c>
      <c r="I19" s="63" t="s">
        <v>512</v>
      </c>
      <c r="J19" s="63" t="s">
        <v>513</v>
      </c>
      <c r="K19" s="63" t="s">
        <v>514</v>
      </c>
      <c r="L19" s="63" t="s">
        <v>515</v>
      </c>
      <c r="M19" s="63" t="s">
        <v>516</v>
      </c>
      <c r="N19" s="63" t="s">
        <v>517</v>
      </c>
      <c r="O19" s="62" t="s">
        <v>81</v>
      </c>
      <c r="P19" s="64" t="s">
        <v>518</v>
      </c>
      <c r="Q19" s="64" t="s">
        <v>519</v>
      </c>
      <c r="R19" s="64" t="s">
        <v>520</v>
      </c>
      <c r="S19" s="64" t="s">
        <v>521</v>
      </c>
      <c r="T19" s="64" t="s">
        <v>522</v>
      </c>
      <c r="U19" s="64" t="s">
        <v>523</v>
      </c>
      <c r="V19" s="64" t="s">
        <v>524</v>
      </c>
      <c r="W19" s="64" t="s">
        <v>525</v>
      </c>
      <c r="X19" s="64" t="s">
        <v>526</v>
      </c>
      <c r="Y19" s="64" t="s">
        <v>527</v>
      </c>
      <c r="Z19" s="64" t="s">
        <v>528</v>
      </c>
      <c r="AA19" s="64" t="s">
        <v>529</v>
      </c>
      <c r="AB19" s="62" t="s">
        <v>82</v>
      </c>
      <c r="AC19" s="63" t="s">
        <v>530</v>
      </c>
      <c r="AD19" s="63" t="s">
        <v>531</v>
      </c>
      <c r="AE19" s="63" t="s">
        <v>532</v>
      </c>
      <c r="AF19" s="63" t="s">
        <v>533</v>
      </c>
      <c r="AG19" s="63" t="s">
        <v>534</v>
      </c>
      <c r="AH19" s="63" t="s">
        <v>535</v>
      </c>
      <c r="AI19" s="63" t="s">
        <v>536</v>
      </c>
      <c r="AJ19" s="63" t="s">
        <v>537</v>
      </c>
      <c r="AK19" s="63" t="s">
        <v>538</v>
      </c>
      <c r="AL19" s="63" t="s">
        <v>539</v>
      </c>
      <c r="AM19" s="63" t="s">
        <v>540</v>
      </c>
      <c r="AN19" s="63" t="s">
        <v>541</v>
      </c>
      <c r="AO19" s="62" t="s">
        <v>83</v>
      </c>
      <c r="AP19" s="64" t="s">
        <v>542</v>
      </c>
      <c r="AQ19" s="64" t="s">
        <v>543</v>
      </c>
      <c r="AR19" s="64" t="s">
        <v>544</v>
      </c>
      <c r="AS19" s="64" t="s">
        <v>545</v>
      </c>
      <c r="AT19" s="64" t="s">
        <v>546</v>
      </c>
      <c r="AU19" s="64" t="s">
        <v>547</v>
      </c>
      <c r="AV19" s="64" t="s">
        <v>548</v>
      </c>
      <c r="AW19" s="64" t="s">
        <v>549</v>
      </c>
      <c r="AX19" s="64" t="s">
        <v>550</v>
      </c>
      <c r="AY19" s="64" t="s">
        <v>551</v>
      </c>
      <c r="AZ19" s="64" t="s">
        <v>552</v>
      </c>
      <c r="BA19" s="64" t="s">
        <v>553</v>
      </c>
      <c r="BB19" s="62" t="s">
        <v>84</v>
      </c>
      <c r="BC19" s="63" t="s">
        <v>554</v>
      </c>
      <c r="BD19" s="63" t="s">
        <v>555</v>
      </c>
      <c r="BE19" s="63" t="s">
        <v>556</v>
      </c>
      <c r="BF19" s="63" t="s">
        <v>557</v>
      </c>
      <c r="BG19" s="63" t="s">
        <v>558</v>
      </c>
      <c r="BH19" s="63" t="s">
        <v>559</v>
      </c>
      <c r="BI19" s="63" t="s">
        <v>560</v>
      </c>
      <c r="BJ19" s="63" t="s">
        <v>561</v>
      </c>
      <c r="BK19" s="63" t="s">
        <v>562</v>
      </c>
      <c r="BL19" s="63" t="s">
        <v>563</v>
      </c>
      <c r="BM19" s="63" t="s">
        <v>564</v>
      </c>
      <c r="BN19" s="63" t="s">
        <v>565</v>
      </c>
    </row>
    <row r="20" customFormat="false" ht="15" hidden="false" customHeight="false" outlineLevel="0" collapsed="false">
      <c r="A20" s="12" t="s">
        <v>491</v>
      </c>
      <c r="B20" s="65" t="n">
        <f aca="false">N20</f>
        <v>3600</v>
      </c>
      <c r="C20" s="66" t="n">
        <f aca="false">C7</f>
        <v>3600</v>
      </c>
      <c r="D20" s="66" t="n">
        <f aca="false">C20+D7</f>
        <v>3600</v>
      </c>
      <c r="E20" s="66" t="n">
        <f aca="false">D20+E7</f>
        <v>3600</v>
      </c>
      <c r="F20" s="66" t="n">
        <f aca="false">E20+F7</f>
        <v>3600</v>
      </c>
      <c r="G20" s="66" t="n">
        <f aca="false">F20+G7</f>
        <v>3600</v>
      </c>
      <c r="H20" s="66" t="n">
        <f aca="false">G20+H7</f>
        <v>3600</v>
      </c>
      <c r="I20" s="66" t="n">
        <f aca="false">H20+I7</f>
        <v>3600</v>
      </c>
      <c r="J20" s="66" t="n">
        <f aca="false">I20+J7</f>
        <v>3600</v>
      </c>
      <c r="K20" s="66" t="n">
        <f aca="false">J20+K7</f>
        <v>3600</v>
      </c>
      <c r="L20" s="66" t="n">
        <f aca="false">K20+L7</f>
        <v>3600</v>
      </c>
      <c r="M20" s="66" t="n">
        <f aca="false">L20+M7</f>
        <v>3600</v>
      </c>
      <c r="N20" s="66" t="n">
        <f aca="false">M20+N7</f>
        <v>3600</v>
      </c>
      <c r="O20" s="65" t="n">
        <f aca="false">AA20</f>
        <v>6300</v>
      </c>
      <c r="P20" s="66" t="n">
        <f aca="false">N20+P7</f>
        <v>6300</v>
      </c>
      <c r="Q20" s="66" t="n">
        <f aca="false">P20+Q7</f>
        <v>6300</v>
      </c>
      <c r="R20" s="66" t="n">
        <f aca="false">Q20+R7</f>
        <v>6300</v>
      </c>
      <c r="S20" s="66" t="n">
        <f aca="false">R20+S7</f>
        <v>6300</v>
      </c>
      <c r="T20" s="66" t="n">
        <f aca="false">S20+T7</f>
        <v>6300</v>
      </c>
      <c r="U20" s="66" t="n">
        <f aca="false">T20+U7</f>
        <v>6300</v>
      </c>
      <c r="V20" s="66" t="n">
        <f aca="false">U20+V7</f>
        <v>6300</v>
      </c>
      <c r="W20" s="66" t="n">
        <f aca="false">V20+W7</f>
        <v>6300</v>
      </c>
      <c r="X20" s="66" t="n">
        <f aca="false">W20+X7</f>
        <v>6300</v>
      </c>
      <c r="Y20" s="66" t="n">
        <f aca="false">X20+Y7</f>
        <v>6300</v>
      </c>
      <c r="Z20" s="66" t="n">
        <f aca="false">Y20+Z7</f>
        <v>6300</v>
      </c>
      <c r="AA20" s="66" t="n">
        <f aca="false">Z20+AA7</f>
        <v>6300</v>
      </c>
      <c r="AB20" s="65" t="n">
        <f aca="false">AN20</f>
        <v>10800</v>
      </c>
      <c r="AC20" s="66" t="n">
        <f aca="false">AA20+AC7</f>
        <v>10800</v>
      </c>
      <c r="AD20" s="66" t="n">
        <f aca="false">AC20+AD7</f>
        <v>10800</v>
      </c>
      <c r="AE20" s="66" t="n">
        <f aca="false">AD20+AE7</f>
        <v>10800</v>
      </c>
      <c r="AF20" s="66" t="n">
        <f aca="false">AE20+AF7</f>
        <v>10800</v>
      </c>
      <c r="AG20" s="66" t="n">
        <f aca="false">AF20+AG7</f>
        <v>10800</v>
      </c>
      <c r="AH20" s="66" t="n">
        <f aca="false">AG20+AH7</f>
        <v>10800</v>
      </c>
      <c r="AI20" s="66" t="n">
        <f aca="false">AH20+AI7</f>
        <v>10800</v>
      </c>
      <c r="AJ20" s="66" t="n">
        <f aca="false">AI20+AJ7</f>
        <v>10800</v>
      </c>
      <c r="AK20" s="66" t="n">
        <f aca="false">AJ20+AK7</f>
        <v>10800</v>
      </c>
      <c r="AL20" s="66" t="n">
        <f aca="false">AK20+AL7</f>
        <v>10800</v>
      </c>
      <c r="AM20" s="66" t="n">
        <f aca="false">AL20+AM7</f>
        <v>10800</v>
      </c>
      <c r="AN20" s="66" t="n">
        <f aca="false">AM20+AN7</f>
        <v>10800</v>
      </c>
      <c r="AO20" s="65" t="n">
        <f aca="false">BA20</f>
        <v>14400</v>
      </c>
      <c r="AP20" s="66" t="n">
        <f aca="false">AN20+AP7</f>
        <v>14400</v>
      </c>
      <c r="AQ20" s="66" t="n">
        <f aca="false">AP20+AQ7</f>
        <v>14400</v>
      </c>
      <c r="AR20" s="66" t="n">
        <f aca="false">AQ20+AR7</f>
        <v>14400</v>
      </c>
      <c r="AS20" s="66" t="n">
        <f aca="false">AR20+AS7</f>
        <v>14400</v>
      </c>
      <c r="AT20" s="66" t="n">
        <f aca="false">AS20+AT7</f>
        <v>14400</v>
      </c>
      <c r="AU20" s="66" t="n">
        <f aca="false">AT20+AU7</f>
        <v>14400</v>
      </c>
      <c r="AV20" s="66" t="n">
        <f aca="false">AU20+AV7</f>
        <v>14400</v>
      </c>
      <c r="AW20" s="66" t="n">
        <f aca="false">AV20+AW7</f>
        <v>14400</v>
      </c>
      <c r="AX20" s="66" t="n">
        <f aca="false">AW20+AX7</f>
        <v>14400</v>
      </c>
      <c r="AY20" s="66" t="n">
        <f aca="false">AX20+AY7</f>
        <v>14400</v>
      </c>
      <c r="AZ20" s="66" t="n">
        <f aca="false">AY20+AZ7</f>
        <v>14400</v>
      </c>
      <c r="BA20" s="66" t="n">
        <f aca="false">AZ20+BA7</f>
        <v>14400</v>
      </c>
      <c r="BB20" s="65" t="n">
        <f aca="false">BN20</f>
        <v>18000</v>
      </c>
      <c r="BC20" s="66" t="n">
        <f aca="false">BA20+BC7</f>
        <v>18000</v>
      </c>
      <c r="BD20" s="66" t="n">
        <f aca="false">BC20+BD7</f>
        <v>18000</v>
      </c>
      <c r="BE20" s="66" t="n">
        <f aca="false">BD20+BE7</f>
        <v>18000</v>
      </c>
      <c r="BF20" s="66" t="n">
        <f aca="false">BE20+BF7</f>
        <v>18000</v>
      </c>
      <c r="BG20" s="66" t="n">
        <f aca="false">BF20+BG7</f>
        <v>18000</v>
      </c>
      <c r="BH20" s="66" t="n">
        <f aca="false">BG20+BH7</f>
        <v>18000</v>
      </c>
      <c r="BI20" s="66" t="n">
        <f aca="false">BH20+BI7</f>
        <v>18000</v>
      </c>
      <c r="BJ20" s="66" t="n">
        <f aca="false">BI20+BJ7</f>
        <v>18000</v>
      </c>
      <c r="BK20" s="66" t="n">
        <f aca="false">BJ20+BK7</f>
        <v>18000</v>
      </c>
      <c r="BL20" s="66" t="n">
        <f aca="false">BK20+BL7</f>
        <v>18000</v>
      </c>
      <c r="BM20" s="66" t="n">
        <f aca="false">BL20+BM7</f>
        <v>18000</v>
      </c>
      <c r="BN20" s="66" t="n">
        <f aca="false">BM20+BN7</f>
        <v>18000</v>
      </c>
    </row>
    <row r="21" customFormat="false" ht="15" hidden="false" customHeight="false" outlineLevel="0" collapsed="false">
      <c r="A21" s="12" t="s">
        <v>492</v>
      </c>
      <c r="B21" s="65" t="n">
        <f aca="false">N21</f>
        <v>800</v>
      </c>
      <c r="C21" s="66" t="n">
        <f aca="false">C8</f>
        <v>800</v>
      </c>
      <c r="D21" s="66" t="n">
        <f aca="false">C21+D8</f>
        <v>800</v>
      </c>
      <c r="E21" s="66" t="n">
        <f aca="false">D21+E8</f>
        <v>800</v>
      </c>
      <c r="F21" s="66" t="n">
        <f aca="false">E21+F8</f>
        <v>800</v>
      </c>
      <c r="G21" s="66" t="n">
        <f aca="false">F21+G8</f>
        <v>800</v>
      </c>
      <c r="H21" s="66" t="n">
        <f aca="false">G21+H8</f>
        <v>800</v>
      </c>
      <c r="I21" s="66" t="n">
        <f aca="false">H21+I8</f>
        <v>800</v>
      </c>
      <c r="J21" s="66" t="n">
        <f aca="false">I21+J8</f>
        <v>800</v>
      </c>
      <c r="K21" s="66" t="n">
        <f aca="false">J21+K8</f>
        <v>800</v>
      </c>
      <c r="L21" s="66" t="n">
        <f aca="false">K21+L8</f>
        <v>800</v>
      </c>
      <c r="M21" s="66" t="n">
        <f aca="false">L21+M8</f>
        <v>800</v>
      </c>
      <c r="N21" s="66" t="n">
        <f aca="false">M21+N8</f>
        <v>800</v>
      </c>
      <c r="O21" s="65" t="n">
        <f aca="false">AA21</f>
        <v>1400</v>
      </c>
      <c r="P21" s="66" t="n">
        <f aca="false">N21+P8</f>
        <v>1400</v>
      </c>
      <c r="Q21" s="66" t="n">
        <f aca="false">P21+Q8</f>
        <v>1400</v>
      </c>
      <c r="R21" s="66" t="n">
        <f aca="false">Q21+R8</f>
        <v>1400</v>
      </c>
      <c r="S21" s="66" t="n">
        <f aca="false">R21+S8</f>
        <v>1400</v>
      </c>
      <c r="T21" s="66" t="n">
        <f aca="false">S21+T8</f>
        <v>1400</v>
      </c>
      <c r="U21" s="66" t="n">
        <f aca="false">T21+U8</f>
        <v>1400</v>
      </c>
      <c r="V21" s="66" t="n">
        <f aca="false">U21+V8</f>
        <v>1400</v>
      </c>
      <c r="W21" s="66" t="n">
        <f aca="false">V21+W8</f>
        <v>1400</v>
      </c>
      <c r="X21" s="66" t="n">
        <f aca="false">W21+X8</f>
        <v>1400</v>
      </c>
      <c r="Y21" s="66" t="n">
        <f aca="false">X21+Y8</f>
        <v>1400</v>
      </c>
      <c r="Z21" s="66" t="n">
        <f aca="false">Y21+Z8</f>
        <v>1400</v>
      </c>
      <c r="AA21" s="66" t="n">
        <f aca="false">Z21+AA8</f>
        <v>1400</v>
      </c>
      <c r="AB21" s="65" t="n">
        <f aca="false">AN21</f>
        <v>2400</v>
      </c>
      <c r="AC21" s="66" t="n">
        <f aca="false">AA21+AC8</f>
        <v>2400</v>
      </c>
      <c r="AD21" s="66" t="n">
        <f aca="false">AC21+AD8</f>
        <v>2400</v>
      </c>
      <c r="AE21" s="66" t="n">
        <f aca="false">AD21+AE8</f>
        <v>2400</v>
      </c>
      <c r="AF21" s="66" t="n">
        <f aca="false">AE21+AF8</f>
        <v>2400</v>
      </c>
      <c r="AG21" s="66" t="n">
        <f aca="false">AF21+AG8</f>
        <v>2400</v>
      </c>
      <c r="AH21" s="66" t="n">
        <f aca="false">AG21+AH8</f>
        <v>2400</v>
      </c>
      <c r="AI21" s="66" t="n">
        <f aca="false">AH21+AI8</f>
        <v>2400</v>
      </c>
      <c r="AJ21" s="66" t="n">
        <f aca="false">AI21+AJ8</f>
        <v>2400</v>
      </c>
      <c r="AK21" s="66" t="n">
        <f aca="false">AJ21+AK8</f>
        <v>2400</v>
      </c>
      <c r="AL21" s="66" t="n">
        <f aca="false">AK21+AL8</f>
        <v>2400</v>
      </c>
      <c r="AM21" s="66" t="n">
        <f aca="false">AL21+AM8</f>
        <v>2400</v>
      </c>
      <c r="AN21" s="66" t="n">
        <f aca="false">AM21+AN8</f>
        <v>2400</v>
      </c>
      <c r="AO21" s="65" t="n">
        <f aca="false">BA21</f>
        <v>3200</v>
      </c>
      <c r="AP21" s="66" t="n">
        <f aca="false">AN21+AP8</f>
        <v>3200</v>
      </c>
      <c r="AQ21" s="66" t="n">
        <f aca="false">AP21+AQ8</f>
        <v>3200</v>
      </c>
      <c r="AR21" s="66" t="n">
        <f aca="false">AQ21+AR8</f>
        <v>3200</v>
      </c>
      <c r="AS21" s="66" t="n">
        <f aca="false">AR21+AS8</f>
        <v>3200</v>
      </c>
      <c r="AT21" s="66" t="n">
        <f aca="false">AS21+AT8</f>
        <v>3200</v>
      </c>
      <c r="AU21" s="66" t="n">
        <f aca="false">AT21+AU8</f>
        <v>3200</v>
      </c>
      <c r="AV21" s="66" t="n">
        <f aca="false">AU21+AV8</f>
        <v>3200</v>
      </c>
      <c r="AW21" s="66" t="n">
        <f aca="false">AV21+AW8</f>
        <v>3200</v>
      </c>
      <c r="AX21" s="66" t="n">
        <f aca="false">AW21+AX8</f>
        <v>3200</v>
      </c>
      <c r="AY21" s="66" t="n">
        <f aca="false">AX21+AY8</f>
        <v>3200</v>
      </c>
      <c r="AZ21" s="66" t="n">
        <f aca="false">AY21+AZ8</f>
        <v>3200</v>
      </c>
      <c r="BA21" s="66" t="n">
        <f aca="false">AZ21+BA8</f>
        <v>3200</v>
      </c>
      <c r="BB21" s="65" t="n">
        <f aca="false">BN21</f>
        <v>4000</v>
      </c>
      <c r="BC21" s="66" t="n">
        <f aca="false">BA21+BC8</f>
        <v>4000</v>
      </c>
      <c r="BD21" s="66" t="n">
        <f aca="false">BC21+BD8</f>
        <v>4000</v>
      </c>
      <c r="BE21" s="66" t="n">
        <f aca="false">BD21+BE8</f>
        <v>4000</v>
      </c>
      <c r="BF21" s="66" t="n">
        <f aca="false">BE21+BF8</f>
        <v>4000</v>
      </c>
      <c r="BG21" s="66" t="n">
        <f aca="false">BF21+BG8</f>
        <v>4000</v>
      </c>
      <c r="BH21" s="66" t="n">
        <f aca="false">BG21+BH8</f>
        <v>4000</v>
      </c>
      <c r="BI21" s="66" t="n">
        <f aca="false">BH21+BI8</f>
        <v>4000</v>
      </c>
      <c r="BJ21" s="66" t="n">
        <f aca="false">BI21+BJ8</f>
        <v>4000</v>
      </c>
      <c r="BK21" s="66" t="n">
        <f aca="false">BJ21+BK8</f>
        <v>4000</v>
      </c>
      <c r="BL21" s="66" t="n">
        <f aca="false">BK21+BL8</f>
        <v>4000</v>
      </c>
      <c r="BM21" s="66" t="n">
        <f aca="false">BL21+BM8</f>
        <v>4000</v>
      </c>
      <c r="BN21" s="66" t="n">
        <f aca="false">BM21+BN8</f>
        <v>4000</v>
      </c>
    </row>
    <row r="22" customFormat="false" ht="15" hidden="false" customHeight="false" outlineLevel="0" collapsed="false">
      <c r="A22" s="12" t="s">
        <v>493</v>
      </c>
      <c r="B22" s="65" t="n">
        <f aca="false">N22</f>
        <v>1000</v>
      </c>
      <c r="C22" s="66" t="n">
        <f aca="false">C9</f>
        <v>1000</v>
      </c>
      <c r="D22" s="66" t="n">
        <f aca="false">C22+D9</f>
        <v>1000</v>
      </c>
      <c r="E22" s="66" t="n">
        <f aca="false">D22+E9</f>
        <v>1000</v>
      </c>
      <c r="F22" s="66" t="n">
        <f aca="false">E22+F9</f>
        <v>1000</v>
      </c>
      <c r="G22" s="66" t="n">
        <f aca="false">F22+G9</f>
        <v>1000</v>
      </c>
      <c r="H22" s="66" t="n">
        <f aca="false">G22+H9</f>
        <v>1000</v>
      </c>
      <c r="I22" s="66" t="n">
        <f aca="false">H22+I9</f>
        <v>1000</v>
      </c>
      <c r="J22" s="66" t="n">
        <f aca="false">I22+J9</f>
        <v>1000</v>
      </c>
      <c r="K22" s="66" t="n">
        <f aca="false">J22+K9</f>
        <v>1000</v>
      </c>
      <c r="L22" s="66" t="n">
        <f aca="false">K22+L9</f>
        <v>1000</v>
      </c>
      <c r="M22" s="66" t="n">
        <f aca="false">L22+M9</f>
        <v>1000</v>
      </c>
      <c r="N22" s="66" t="n">
        <f aca="false">M22+N9</f>
        <v>1000</v>
      </c>
      <c r="O22" s="65" t="n">
        <f aca="false">AA22</f>
        <v>1750</v>
      </c>
      <c r="P22" s="66" t="n">
        <f aca="false">N22+P9</f>
        <v>1750</v>
      </c>
      <c r="Q22" s="66" t="n">
        <f aca="false">P22+Q9</f>
        <v>1750</v>
      </c>
      <c r="R22" s="66" t="n">
        <f aca="false">Q22+R9</f>
        <v>1750</v>
      </c>
      <c r="S22" s="66" t="n">
        <f aca="false">R22+S9</f>
        <v>1750</v>
      </c>
      <c r="T22" s="66" t="n">
        <f aca="false">S22+T9</f>
        <v>1750</v>
      </c>
      <c r="U22" s="66" t="n">
        <f aca="false">T22+U9</f>
        <v>1750</v>
      </c>
      <c r="V22" s="66" t="n">
        <f aca="false">U22+V9</f>
        <v>1750</v>
      </c>
      <c r="W22" s="66" t="n">
        <f aca="false">V22+W9</f>
        <v>1750</v>
      </c>
      <c r="X22" s="66" t="n">
        <f aca="false">W22+X9</f>
        <v>1750</v>
      </c>
      <c r="Y22" s="66" t="n">
        <f aca="false">X22+Y9</f>
        <v>1750</v>
      </c>
      <c r="Z22" s="66" t="n">
        <f aca="false">Y22+Z9</f>
        <v>1750</v>
      </c>
      <c r="AA22" s="66" t="n">
        <f aca="false">Z22+AA9</f>
        <v>1750</v>
      </c>
      <c r="AB22" s="65" t="n">
        <f aca="false">AN22</f>
        <v>3000</v>
      </c>
      <c r="AC22" s="66" t="n">
        <f aca="false">AA22+AC9</f>
        <v>3000</v>
      </c>
      <c r="AD22" s="66" t="n">
        <f aca="false">AC22+AD9</f>
        <v>3000</v>
      </c>
      <c r="AE22" s="66" t="n">
        <f aca="false">AD22+AE9</f>
        <v>3000</v>
      </c>
      <c r="AF22" s="66" t="n">
        <f aca="false">AE22+AF9</f>
        <v>3000</v>
      </c>
      <c r="AG22" s="66" t="n">
        <f aca="false">AF22+AG9</f>
        <v>3000</v>
      </c>
      <c r="AH22" s="66" t="n">
        <f aca="false">AG22+AH9</f>
        <v>3000</v>
      </c>
      <c r="AI22" s="66" t="n">
        <f aca="false">AH22+AI9</f>
        <v>3000</v>
      </c>
      <c r="AJ22" s="66" t="n">
        <f aca="false">AI22+AJ9</f>
        <v>3000</v>
      </c>
      <c r="AK22" s="66" t="n">
        <f aca="false">AJ22+AK9</f>
        <v>3000</v>
      </c>
      <c r="AL22" s="66" t="n">
        <f aca="false">AK22+AL9</f>
        <v>3000</v>
      </c>
      <c r="AM22" s="66" t="n">
        <f aca="false">AL22+AM9</f>
        <v>3000</v>
      </c>
      <c r="AN22" s="66" t="n">
        <f aca="false">AM22+AN9</f>
        <v>3000</v>
      </c>
      <c r="AO22" s="65" t="n">
        <f aca="false">BA22</f>
        <v>4000</v>
      </c>
      <c r="AP22" s="66" t="n">
        <f aca="false">AN22+AP9</f>
        <v>4000</v>
      </c>
      <c r="AQ22" s="66" t="n">
        <f aca="false">AP22+AQ9</f>
        <v>4000</v>
      </c>
      <c r="AR22" s="66" t="n">
        <f aca="false">AQ22+AR9</f>
        <v>4000</v>
      </c>
      <c r="AS22" s="66" t="n">
        <f aca="false">AR22+AS9</f>
        <v>4000</v>
      </c>
      <c r="AT22" s="66" t="n">
        <f aca="false">AS22+AT9</f>
        <v>4000</v>
      </c>
      <c r="AU22" s="66" t="n">
        <f aca="false">AT22+AU9</f>
        <v>4000</v>
      </c>
      <c r="AV22" s="66" t="n">
        <f aca="false">AU22+AV9</f>
        <v>4000</v>
      </c>
      <c r="AW22" s="66" t="n">
        <f aca="false">AV22+AW9</f>
        <v>4000</v>
      </c>
      <c r="AX22" s="66" t="n">
        <f aca="false">AW22+AX9</f>
        <v>4000</v>
      </c>
      <c r="AY22" s="66" t="n">
        <f aca="false">AX22+AY9</f>
        <v>4000</v>
      </c>
      <c r="AZ22" s="66" t="n">
        <f aca="false">AY22+AZ9</f>
        <v>4000</v>
      </c>
      <c r="BA22" s="66" t="n">
        <f aca="false">AZ22+BA9</f>
        <v>4000</v>
      </c>
      <c r="BB22" s="65" t="n">
        <f aca="false">BN22</f>
        <v>5000</v>
      </c>
      <c r="BC22" s="66" t="n">
        <f aca="false">BA22+BC9</f>
        <v>5000</v>
      </c>
      <c r="BD22" s="66" t="n">
        <f aca="false">BC22+BD9</f>
        <v>5000</v>
      </c>
      <c r="BE22" s="66" t="n">
        <f aca="false">BD22+BE9</f>
        <v>5000</v>
      </c>
      <c r="BF22" s="66" t="n">
        <f aca="false">BE22+BF9</f>
        <v>5000</v>
      </c>
      <c r="BG22" s="66" t="n">
        <f aca="false">BF22+BG9</f>
        <v>5000</v>
      </c>
      <c r="BH22" s="66" t="n">
        <f aca="false">BG22+BH9</f>
        <v>5000</v>
      </c>
      <c r="BI22" s="66" t="n">
        <f aca="false">BH22+BI9</f>
        <v>5000</v>
      </c>
      <c r="BJ22" s="66" t="n">
        <f aca="false">BI22+BJ9</f>
        <v>5000</v>
      </c>
      <c r="BK22" s="66" t="n">
        <f aca="false">BJ22+BK9</f>
        <v>5000</v>
      </c>
      <c r="BL22" s="66" t="n">
        <f aca="false">BK22+BL9</f>
        <v>5000</v>
      </c>
      <c r="BM22" s="66" t="n">
        <f aca="false">BL22+BM9</f>
        <v>5000</v>
      </c>
      <c r="BN22" s="66" t="n">
        <f aca="false">BM22+BN9</f>
        <v>5000</v>
      </c>
    </row>
    <row r="23" customFormat="false" ht="15" hidden="false" customHeight="false" outlineLevel="0" collapsed="false">
      <c r="A23" s="12" t="s">
        <v>494</v>
      </c>
      <c r="B23" s="65" t="n">
        <f aca="false">N23</f>
        <v>0</v>
      </c>
      <c r="C23" s="66" t="n">
        <f aca="false">C10</f>
        <v>0</v>
      </c>
      <c r="D23" s="66" t="n">
        <f aca="false">C23+D10</f>
        <v>0</v>
      </c>
      <c r="E23" s="66" t="n">
        <f aca="false">D23+E10</f>
        <v>0</v>
      </c>
      <c r="F23" s="66" t="n">
        <f aca="false">E23+F10</f>
        <v>0</v>
      </c>
      <c r="G23" s="66" t="n">
        <f aca="false">F23+G10</f>
        <v>0</v>
      </c>
      <c r="H23" s="66" t="n">
        <f aca="false">G23+H10</f>
        <v>0</v>
      </c>
      <c r="I23" s="66" t="n">
        <f aca="false">H23+I10</f>
        <v>0</v>
      </c>
      <c r="J23" s="66" t="n">
        <f aca="false">I23+J10</f>
        <v>0</v>
      </c>
      <c r="K23" s="66" t="n">
        <f aca="false">J23+K10</f>
        <v>0</v>
      </c>
      <c r="L23" s="66" t="n">
        <f aca="false">K23+L10</f>
        <v>0</v>
      </c>
      <c r="M23" s="66" t="n">
        <f aca="false">L23+M10</f>
        <v>0</v>
      </c>
      <c r="N23" s="66" t="n">
        <f aca="false">M23+N10</f>
        <v>0</v>
      </c>
      <c r="O23" s="65" t="n">
        <f aca="false">AA23</f>
        <v>0</v>
      </c>
      <c r="P23" s="66" t="n">
        <f aca="false">N23+P10</f>
        <v>0</v>
      </c>
      <c r="Q23" s="66" t="n">
        <f aca="false">P23+Q10</f>
        <v>0</v>
      </c>
      <c r="R23" s="66" t="n">
        <f aca="false">Q23+R10</f>
        <v>0</v>
      </c>
      <c r="S23" s="66" t="n">
        <f aca="false">R23+S10</f>
        <v>0</v>
      </c>
      <c r="T23" s="66" t="n">
        <f aca="false">S23+T10</f>
        <v>0</v>
      </c>
      <c r="U23" s="66" t="n">
        <f aca="false">T23+U10</f>
        <v>0</v>
      </c>
      <c r="V23" s="66" t="n">
        <f aca="false">U23+V10</f>
        <v>0</v>
      </c>
      <c r="W23" s="66" t="n">
        <f aca="false">V23+W10</f>
        <v>0</v>
      </c>
      <c r="X23" s="66" t="n">
        <f aca="false">W23+X10</f>
        <v>0</v>
      </c>
      <c r="Y23" s="66" t="n">
        <f aca="false">X23+Y10</f>
        <v>0</v>
      </c>
      <c r="Z23" s="66" t="n">
        <f aca="false">Y23+Z10</f>
        <v>0</v>
      </c>
      <c r="AA23" s="66" t="n">
        <f aca="false">Z23+AA10</f>
        <v>0</v>
      </c>
      <c r="AB23" s="65" t="n">
        <f aca="false">AN23</f>
        <v>0</v>
      </c>
      <c r="AC23" s="66" t="n">
        <f aca="false">AA23+AC10</f>
        <v>0</v>
      </c>
      <c r="AD23" s="66" t="n">
        <f aca="false">AC23+AD10</f>
        <v>0</v>
      </c>
      <c r="AE23" s="66" t="n">
        <f aca="false">AD23+AE10</f>
        <v>0</v>
      </c>
      <c r="AF23" s="66" t="n">
        <f aca="false">AE23+AF10</f>
        <v>0</v>
      </c>
      <c r="AG23" s="66" t="n">
        <f aca="false">AF23+AG10</f>
        <v>0</v>
      </c>
      <c r="AH23" s="66" t="n">
        <f aca="false">AG23+AH10</f>
        <v>0</v>
      </c>
      <c r="AI23" s="66" t="n">
        <f aca="false">AH23+AI10</f>
        <v>0</v>
      </c>
      <c r="AJ23" s="66" t="n">
        <f aca="false">AI23+AJ10</f>
        <v>0</v>
      </c>
      <c r="AK23" s="66" t="n">
        <f aca="false">AJ23+AK10</f>
        <v>0</v>
      </c>
      <c r="AL23" s="66" t="n">
        <f aca="false">AK23+AL10</f>
        <v>0</v>
      </c>
      <c r="AM23" s="66" t="n">
        <f aca="false">AL23+AM10</f>
        <v>0</v>
      </c>
      <c r="AN23" s="66" t="n">
        <f aca="false">AM23+AN10</f>
        <v>0</v>
      </c>
      <c r="AO23" s="65" t="n">
        <f aca="false">BA23</f>
        <v>0</v>
      </c>
      <c r="AP23" s="66" t="n">
        <f aca="false">AN23+AP10</f>
        <v>0</v>
      </c>
      <c r="AQ23" s="66" t="n">
        <f aca="false">AP23+AQ10</f>
        <v>0</v>
      </c>
      <c r="AR23" s="66" t="n">
        <f aca="false">AQ23+AR10</f>
        <v>0</v>
      </c>
      <c r="AS23" s="66" t="n">
        <f aca="false">AR23+AS10</f>
        <v>0</v>
      </c>
      <c r="AT23" s="66" t="n">
        <f aca="false">AS23+AT10</f>
        <v>0</v>
      </c>
      <c r="AU23" s="66" t="n">
        <f aca="false">AT23+AU10</f>
        <v>0</v>
      </c>
      <c r="AV23" s="66" t="n">
        <f aca="false">AU23+AV10</f>
        <v>0</v>
      </c>
      <c r="AW23" s="66" t="n">
        <f aca="false">AV23+AW10</f>
        <v>0</v>
      </c>
      <c r="AX23" s="66" t="n">
        <f aca="false">AW23+AX10</f>
        <v>0</v>
      </c>
      <c r="AY23" s="66" t="n">
        <f aca="false">AX23+AY10</f>
        <v>0</v>
      </c>
      <c r="AZ23" s="66" t="n">
        <f aca="false">AY23+AZ10</f>
        <v>0</v>
      </c>
      <c r="BA23" s="66" t="n">
        <f aca="false">AZ23+BA10</f>
        <v>0</v>
      </c>
      <c r="BB23" s="65" t="n">
        <f aca="false">BN23</f>
        <v>0</v>
      </c>
      <c r="BC23" s="66" t="n">
        <f aca="false">BA23+BC10</f>
        <v>0</v>
      </c>
      <c r="BD23" s="66" t="n">
        <f aca="false">BC23+BD10</f>
        <v>0</v>
      </c>
      <c r="BE23" s="66" t="n">
        <f aca="false">BD23+BE10</f>
        <v>0</v>
      </c>
      <c r="BF23" s="66" t="n">
        <f aca="false">BE23+BF10</f>
        <v>0</v>
      </c>
      <c r="BG23" s="66" t="n">
        <f aca="false">BF23+BG10</f>
        <v>0</v>
      </c>
      <c r="BH23" s="66" t="n">
        <f aca="false">BG23+BH10</f>
        <v>0</v>
      </c>
      <c r="BI23" s="66" t="n">
        <f aca="false">BH23+BI10</f>
        <v>0</v>
      </c>
      <c r="BJ23" s="66" t="n">
        <f aca="false">BI23+BJ10</f>
        <v>0</v>
      </c>
      <c r="BK23" s="66" t="n">
        <f aca="false">BJ23+BK10</f>
        <v>0</v>
      </c>
      <c r="BL23" s="66" t="n">
        <f aca="false">BK23+BL10</f>
        <v>0</v>
      </c>
      <c r="BM23" s="66" t="n">
        <f aca="false">BL23+BM10</f>
        <v>0</v>
      </c>
      <c r="BN23" s="66" t="n">
        <f aca="false">BM23+BN10</f>
        <v>0</v>
      </c>
    </row>
    <row r="24" customFormat="false" ht="15" hidden="false" customHeight="false" outlineLevel="0" collapsed="false">
      <c r="A24" s="12" t="s">
        <v>498</v>
      </c>
      <c r="B24" s="65" t="n">
        <f aca="false">N24</f>
        <v>3500</v>
      </c>
      <c r="C24" s="66" t="n">
        <f aca="false">C11</f>
        <v>0</v>
      </c>
      <c r="D24" s="66" t="n">
        <f aca="false">C24+D11</f>
        <v>3500</v>
      </c>
      <c r="E24" s="66" t="n">
        <f aca="false">D24+E11</f>
        <v>3500</v>
      </c>
      <c r="F24" s="66" t="n">
        <f aca="false">E24+F11</f>
        <v>3500</v>
      </c>
      <c r="G24" s="66" t="n">
        <f aca="false">F24+G11</f>
        <v>3500</v>
      </c>
      <c r="H24" s="66" t="n">
        <f aca="false">G24+H11</f>
        <v>3500</v>
      </c>
      <c r="I24" s="66" t="n">
        <f aca="false">H24+I11</f>
        <v>3500</v>
      </c>
      <c r="J24" s="66" t="n">
        <f aca="false">I24+J11</f>
        <v>3500</v>
      </c>
      <c r="K24" s="66" t="n">
        <f aca="false">J24+K11</f>
        <v>3500</v>
      </c>
      <c r="L24" s="66" t="n">
        <f aca="false">K24+L11</f>
        <v>3500</v>
      </c>
      <c r="M24" s="66" t="n">
        <f aca="false">L24+M11</f>
        <v>3500</v>
      </c>
      <c r="N24" s="66" t="n">
        <f aca="false">M24+N11</f>
        <v>3500</v>
      </c>
      <c r="O24" s="65" t="n">
        <f aca="false">AA24</f>
        <v>3500</v>
      </c>
      <c r="P24" s="66" t="n">
        <f aca="false">N24+P11</f>
        <v>3500</v>
      </c>
      <c r="Q24" s="66" t="n">
        <f aca="false">P24+Q11</f>
        <v>3500</v>
      </c>
      <c r="R24" s="66" t="n">
        <f aca="false">Q24+R11</f>
        <v>3500</v>
      </c>
      <c r="S24" s="66" t="n">
        <f aca="false">R24+S11</f>
        <v>3500</v>
      </c>
      <c r="T24" s="66" t="n">
        <f aca="false">S24+T11</f>
        <v>3500</v>
      </c>
      <c r="U24" s="66" t="n">
        <f aca="false">T24+U11</f>
        <v>3500</v>
      </c>
      <c r="V24" s="66" t="n">
        <f aca="false">U24+V11</f>
        <v>3500</v>
      </c>
      <c r="W24" s="66" t="n">
        <f aca="false">V24+W11</f>
        <v>3500</v>
      </c>
      <c r="X24" s="66" t="n">
        <f aca="false">W24+X11</f>
        <v>3500</v>
      </c>
      <c r="Y24" s="66" t="n">
        <f aca="false">X24+Y11</f>
        <v>3500</v>
      </c>
      <c r="Z24" s="66" t="n">
        <f aca="false">Y24+Z11</f>
        <v>3500</v>
      </c>
      <c r="AA24" s="66" t="n">
        <f aca="false">Z24+AA11</f>
        <v>3500</v>
      </c>
      <c r="AB24" s="65" t="n">
        <f aca="false">AN24</f>
        <v>3500</v>
      </c>
      <c r="AC24" s="66" t="n">
        <f aca="false">AA24+AC11</f>
        <v>3500</v>
      </c>
      <c r="AD24" s="66" t="n">
        <f aca="false">AC24+AD11</f>
        <v>3500</v>
      </c>
      <c r="AE24" s="66" t="n">
        <f aca="false">AD24+AE11</f>
        <v>3500</v>
      </c>
      <c r="AF24" s="66" t="n">
        <f aca="false">AE24+AF11</f>
        <v>3500</v>
      </c>
      <c r="AG24" s="66" t="n">
        <f aca="false">AF24+AG11</f>
        <v>3500</v>
      </c>
      <c r="AH24" s="66" t="n">
        <f aca="false">AG24+AH11</f>
        <v>3500</v>
      </c>
      <c r="AI24" s="66" t="n">
        <f aca="false">AH24+AI11</f>
        <v>3500</v>
      </c>
      <c r="AJ24" s="66" t="n">
        <f aca="false">AI24+AJ11</f>
        <v>3500</v>
      </c>
      <c r="AK24" s="66" t="n">
        <f aca="false">AJ24+AK11</f>
        <v>3500</v>
      </c>
      <c r="AL24" s="66" t="n">
        <f aca="false">AK24+AL11</f>
        <v>3500</v>
      </c>
      <c r="AM24" s="66" t="n">
        <f aca="false">AL24+AM11</f>
        <v>3500</v>
      </c>
      <c r="AN24" s="66" t="n">
        <f aca="false">AM24+AN11</f>
        <v>3500</v>
      </c>
      <c r="AO24" s="65" t="n">
        <f aca="false">BA24</f>
        <v>3500</v>
      </c>
      <c r="AP24" s="66" t="n">
        <f aca="false">AN24+AP11</f>
        <v>3500</v>
      </c>
      <c r="AQ24" s="66" t="n">
        <f aca="false">AP24+AQ11</f>
        <v>3500</v>
      </c>
      <c r="AR24" s="66" t="n">
        <f aca="false">AQ24+AR11</f>
        <v>3500</v>
      </c>
      <c r="AS24" s="66" t="n">
        <f aca="false">AR24+AS11</f>
        <v>3500</v>
      </c>
      <c r="AT24" s="66" t="n">
        <f aca="false">AS24+AT11</f>
        <v>3500</v>
      </c>
      <c r="AU24" s="66" t="n">
        <f aca="false">AT24+AU11</f>
        <v>3500</v>
      </c>
      <c r="AV24" s="66" t="n">
        <f aca="false">AU24+AV11</f>
        <v>3500</v>
      </c>
      <c r="AW24" s="66" t="n">
        <f aca="false">AV24+AW11</f>
        <v>3500</v>
      </c>
      <c r="AX24" s="66" t="n">
        <f aca="false">AW24+AX11</f>
        <v>3500</v>
      </c>
      <c r="AY24" s="66" t="n">
        <f aca="false">AX24+AY11</f>
        <v>3500</v>
      </c>
      <c r="AZ24" s="66" t="n">
        <f aca="false">AY24+AZ11</f>
        <v>3500</v>
      </c>
      <c r="BA24" s="66" t="n">
        <f aca="false">AZ24+BA11</f>
        <v>3500</v>
      </c>
      <c r="BB24" s="65" t="n">
        <f aca="false">BN24</f>
        <v>3500</v>
      </c>
      <c r="BC24" s="66" t="n">
        <f aca="false">BA24+BC11</f>
        <v>3500</v>
      </c>
      <c r="BD24" s="66" t="n">
        <f aca="false">BC24+BD11</f>
        <v>3500</v>
      </c>
      <c r="BE24" s="66" t="n">
        <f aca="false">BD24+BE11</f>
        <v>3500</v>
      </c>
      <c r="BF24" s="66" t="n">
        <f aca="false">BE24+BF11</f>
        <v>3500</v>
      </c>
      <c r="BG24" s="66" t="n">
        <f aca="false">BF24+BG11</f>
        <v>3500</v>
      </c>
      <c r="BH24" s="66" t="n">
        <f aca="false">BG24+BH11</f>
        <v>3500</v>
      </c>
      <c r="BI24" s="66" t="n">
        <f aca="false">BH24+BI11</f>
        <v>3500</v>
      </c>
      <c r="BJ24" s="66" t="n">
        <f aca="false">BI24+BJ11</f>
        <v>3500</v>
      </c>
      <c r="BK24" s="66" t="n">
        <f aca="false">BJ24+BK11</f>
        <v>3500</v>
      </c>
      <c r="BL24" s="66" t="n">
        <f aca="false">BK24+BL11</f>
        <v>3500</v>
      </c>
      <c r="BM24" s="66" t="n">
        <f aca="false">BL24+BM11</f>
        <v>3500</v>
      </c>
      <c r="BN24" s="66" t="n">
        <f aca="false">BM24+BN11</f>
        <v>3500</v>
      </c>
    </row>
    <row r="25" customFormat="false" ht="15" hidden="false" customHeight="false" outlineLevel="0" collapsed="false">
      <c r="A25" s="12" t="s">
        <v>499</v>
      </c>
      <c r="B25" s="65" t="n">
        <f aca="false">N25</f>
        <v>800</v>
      </c>
      <c r="C25" s="66" t="n">
        <f aca="false">C12</f>
        <v>800</v>
      </c>
      <c r="D25" s="66" t="n">
        <f aca="false">C25+D12</f>
        <v>800</v>
      </c>
      <c r="E25" s="66" t="n">
        <f aca="false">D25+E12</f>
        <v>800</v>
      </c>
      <c r="F25" s="66" t="n">
        <f aca="false">E25+F12</f>
        <v>800</v>
      </c>
      <c r="G25" s="66" t="n">
        <f aca="false">F25+G12</f>
        <v>800</v>
      </c>
      <c r="H25" s="66" t="n">
        <f aca="false">G25+H12</f>
        <v>800</v>
      </c>
      <c r="I25" s="66" t="n">
        <f aca="false">H25+I12</f>
        <v>800</v>
      </c>
      <c r="J25" s="66" t="n">
        <f aca="false">I25+J12</f>
        <v>800</v>
      </c>
      <c r="K25" s="66" t="n">
        <f aca="false">J25+K12</f>
        <v>800</v>
      </c>
      <c r="L25" s="66" t="n">
        <f aca="false">K25+L12</f>
        <v>800</v>
      </c>
      <c r="M25" s="66" t="n">
        <f aca="false">L25+M12</f>
        <v>800</v>
      </c>
      <c r="N25" s="66" t="n">
        <f aca="false">M25+N12</f>
        <v>800</v>
      </c>
      <c r="O25" s="65" t="n">
        <f aca="false">AA25</f>
        <v>800</v>
      </c>
      <c r="P25" s="66" t="n">
        <f aca="false">N25+P12</f>
        <v>800</v>
      </c>
      <c r="Q25" s="66" t="n">
        <f aca="false">P25+Q12</f>
        <v>800</v>
      </c>
      <c r="R25" s="66" t="n">
        <f aca="false">Q25+R12</f>
        <v>800</v>
      </c>
      <c r="S25" s="66" t="n">
        <f aca="false">R25+S12</f>
        <v>800</v>
      </c>
      <c r="T25" s="66" t="n">
        <f aca="false">S25+T12</f>
        <v>800</v>
      </c>
      <c r="U25" s="66" t="n">
        <f aca="false">T25+U12</f>
        <v>800</v>
      </c>
      <c r="V25" s="66" t="n">
        <f aca="false">U25+V12</f>
        <v>800</v>
      </c>
      <c r="W25" s="66" t="n">
        <f aca="false">V25+W12</f>
        <v>800</v>
      </c>
      <c r="X25" s="66" t="n">
        <f aca="false">W25+X12</f>
        <v>800</v>
      </c>
      <c r="Y25" s="66" t="n">
        <f aca="false">X25+Y12</f>
        <v>800</v>
      </c>
      <c r="Z25" s="66" t="n">
        <f aca="false">Y25+Z12</f>
        <v>800</v>
      </c>
      <c r="AA25" s="66" t="n">
        <f aca="false">Z25+AA12</f>
        <v>800</v>
      </c>
      <c r="AB25" s="65" t="n">
        <f aca="false">AN25</f>
        <v>800</v>
      </c>
      <c r="AC25" s="66" t="n">
        <f aca="false">AA25+AC12</f>
        <v>800</v>
      </c>
      <c r="AD25" s="66" t="n">
        <f aca="false">AC25+AD12</f>
        <v>800</v>
      </c>
      <c r="AE25" s="66" t="n">
        <f aca="false">AD25+AE12</f>
        <v>800</v>
      </c>
      <c r="AF25" s="66" t="n">
        <f aca="false">AE25+AF12</f>
        <v>800</v>
      </c>
      <c r="AG25" s="66" t="n">
        <f aca="false">AF25+AG12</f>
        <v>800</v>
      </c>
      <c r="AH25" s="66" t="n">
        <f aca="false">AG25+AH12</f>
        <v>800</v>
      </c>
      <c r="AI25" s="66" t="n">
        <f aca="false">AH25+AI12</f>
        <v>800</v>
      </c>
      <c r="AJ25" s="66" t="n">
        <f aca="false">AI25+AJ12</f>
        <v>800</v>
      </c>
      <c r="AK25" s="66" t="n">
        <f aca="false">AJ25+AK12</f>
        <v>800</v>
      </c>
      <c r="AL25" s="66" t="n">
        <f aca="false">AK25+AL12</f>
        <v>800</v>
      </c>
      <c r="AM25" s="66" t="n">
        <f aca="false">AL25+AM12</f>
        <v>800</v>
      </c>
      <c r="AN25" s="66" t="n">
        <f aca="false">AM25+AN12</f>
        <v>800</v>
      </c>
      <c r="AO25" s="65" t="n">
        <f aca="false">BA25</f>
        <v>800</v>
      </c>
      <c r="AP25" s="66" t="n">
        <f aca="false">AN25+AP12</f>
        <v>800</v>
      </c>
      <c r="AQ25" s="66" t="n">
        <f aca="false">AP25+AQ12</f>
        <v>800</v>
      </c>
      <c r="AR25" s="66" t="n">
        <f aca="false">AQ25+AR12</f>
        <v>800</v>
      </c>
      <c r="AS25" s="66" t="n">
        <f aca="false">AR25+AS12</f>
        <v>800</v>
      </c>
      <c r="AT25" s="66" t="n">
        <f aca="false">AS25+AT12</f>
        <v>800</v>
      </c>
      <c r="AU25" s="66" t="n">
        <f aca="false">AT25+AU12</f>
        <v>800</v>
      </c>
      <c r="AV25" s="66" t="n">
        <f aca="false">AU25+AV12</f>
        <v>800</v>
      </c>
      <c r="AW25" s="66" t="n">
        <f aca="false">AV25+AW12</f>
        <v>800</v>
      </c>
      <c r="AX25" s="66" t="n">
        <f aca="false">AW25+AX12</f>
        <v>800</v>
      </c>
      <c r="AY25" s="66" t="n">
        <f aca="false">AX25+AY12</f>
        <v>800</v>
      </c>
      <c r="AZ25" s="66" t="n">
        <f aca="false">AY25+AZ12</f>
        <v>800</v>
      </c>
      <c r="BA25" s="66" t="n">
        <f aca="false">AZ25+BA12</f>
        <v>800</v>
      </c>
      <c r="BB25" s="65" t="n">
        <f aca="false">BN25</f>
        <v>800</v>
      </c>
      <c r="BC25" s="66" t="n">
        <f aca="false">BA25+BC12</f>
        <v>800</v>
      </c>
      <c r="BD25" s="66" t="n">
        <f aca="false">BC25+BD12</f>
        <v>800</v>
      </c>
      <c r="BE25" s="66" t="n">
        <f aca="false">BD25+BE12</f>
        <v>800</v>
      </c>
      <c r="BF25" s="66" t="n">
        <f aca="false">BE25+BF12</f>
        <v>800</v>
      </c>
      <c r="BG25" s="66" t="n">
        <f aca="false">BF25+BG12</f>
        <v>800</v>
      </c>
      <c r="BH25" s="66" t="n">
        <f aca="false">BG25+BH12</f>
        <v>800</v>
      </c>
      <c r="BI25" s="66" t="n">
        <f aca="false">BH25+BI12</f>
        <v>800</v>
      </c>
      <c r="BJ25" s="66" t="n">
        <f aca="false">BI25+BJ12</f>
        <v>800</v>
      </c>
      <c r="BK25" s="66" t="n">
        <f aca="false">BJ25+BK12</f>
        <v>800</v>
      </c>
      <c r="BL25" s="66" t="n">
        <f aca="false">BK25+BL12</f>
        <v>800</v>
      </c>
      <c r="BM25" s="66" t="n">
        <f aca="false">BL25+BM12</f>
        <v>800</v>
      </c>
      <c r="BN25" s="66" t="n">
        <f aca="false">BM25+BN12</f>
        <v>800</v>
      </c>
    </row>
    <row r="26" customFormat="false" ht="15" hidden="false" customHeight="false" outlineLevel="0" collapsed="false">
      <c r="A26" s="12" t="s">
        <v>500</v>
      </c>
      <c r="B26" s="65" t="n">
        <f aca="false">N26</f>
        <v>4000</v>
      </c>
      <c r="C26" s="66" t="n">
        <f aca="false">C13</f>
        <v>4000</v>
      </c>
      <c r="D26" s="66" t="n">
        <f aca="false">C26+D13</f>
        <v>4000</v>
      </c>
      <c r="E26" s="66" t="n">
        <f aca="false">D26+E13</f>
        <v>4000</v>
      </c>
      <c r="F26" s="66" t="n">
        <f aca="false">E26+F13</f>
        <v>4000</v>
      </c>
      <c r="G26" s="66" t="n">
        <f aca="false">F26+G13</f>
        <v>4000</v>
      </c>
      <c r="H26" s="66" t="n">
        <f aca="false">G26+H13</f>
        <v>4000</v>
      </c>
      <c r="I26" s="66" t="n">
        <f aca="false">H26+I13</f>
        <v>4000</v>
      </c>
      <c r="J26" s="66" t="n">
        <f aca="false">I26+J13</f>
        <v>4000</v>
      </c>
      <c r="K26" s="66" t="n">
        <f aca="false">J26+K13</f>
        <v>4000</v>
      </c>
      <c r="L26" s="66" t="n">
        <f aca="false">K26+L13</f>
        <v>4000</v>
      </c>
      <c r="M26" s="66" t="n">
        <f aca="false">L26+M13</f>
        <v>4000</v>
      </c>
      <c r="N26" s="66" t="n">
        <f aca="false">M26+N13</f>
        <v>4000</v>
      </c>
      <c r="O26" s="65" t="n">
        <f aca="false">AA26</f>
        <v>4000</v>
      </c>
      <c r="P26" s="66" t="n">
        <f aca="false">N26+P13</f>
        <v>4000</v>
      </c>
      <c r="Q26" s="66" t="n">
        <f aca="false">P26+Q13</f>
        <v>4000</v>
      </c>
      <c r="R26" s="66" t="n">
        <f aca="false">Q26+R13</f>
        <v>4000</v>
      </c>
      <c r="S26" s="66" t="n">
        <f aca="false">R26+S13</f>
        <v>4000</v>
      </c>
      <c r="T26" s="66" t="n">
        <f aca="false">S26+T13</f>
        <v>4000</v>
      </c>
      <c r="U26" s="66" t="n">
        <f aca="false">T26+U13</f>
        <v>4000</v>
      </c>
      <c r="V26" s="66" t="n">
        <f aca="false">U26+V13</f>
        <v>4000</v>
      </c>
      <c r="W26" s="66" t="n">
        <f aca="false">V26+W13</f>
        <v>4000</v>
      </c>
      <c r="X26" s="66" t="n">
        <f aca="false">W26+X13</f>
        <v>4000</v>
      </c>
      <c r="Y26" s="66" t="n">
        <f aca="false">X26+Y13</f>
        <v>4000</v>
      </c>
      <c r="Z26" s="66" t="n">
        <f aca="false">Y26+Z13</f>
        <v>4000</v>
      </c>
      <c r="AA26" s="66" t="n">
        <f aca="false">Z26+AA13</f>
        <v>4000</v>
      </c>
      <c r="AB26" s="65" t="n">
        <f aca="false">AN26</f>
        <v>4000</v>
      </c>
      <c r="AC26" s="66" t="n">
        <f aca="false">AA26+AC13</f>
        <v>4000</v>
      </c>
      <c r="AD26" s="66" t="n">
        <f aca="false">AC26+AD13</f>
        <v>4000</v>
      </c>
      <c r="AE26" s="66" t="n">
        <f aca="false">AD26+AE13</f>
        <v>4000</v>
      </c>
      <c r="AF26" s="66" t="n">
        <f aca="false">AE26+AF13</f>
        <v>4000</v>
      </c>
      <c r="AG26" s="66" t="n">
        <f aca="false">AF26+AG13</f>
        <v>4000</v>
      </c>
      <c r="AH26" s="66" t="n">
        <f aca="false">AG26+AH13</f>
        <v>4000</v>
      </c>
      <c r="AI26" s="66" t="n">
        <f aca="false">AH26+AI13</f>
        <v>4000</v>
      </c>
      <c r="AJ26" s="66" t="n">
        <f aca="false">AI26+AJ13</f>
        <v>4000</v>
      </c>
      <c r="AK26" s="66" t="n">
        <f aca="false">AJ26+AK13</f>
        <v>4000</v>
      </c>
      <c r="AL26" s="66" t="n">
        <f aca="false">AK26+AL13</f>
        <v>4000</v>
      </c>
      <c r="AM26" s="66" t="n">
        <f aca="false">AL26+AM13</f>
        <v>4000</v>
      </c>
      <c r="AN26" s="66" t="n">
        <f aca="false">AM26+AN13</f>
        <v>4000</v>
      </c>
      <c r="AO26" s="65" t="n">
        <f aca="false">BA26</f>
        <v>4000</v>
      </c>
      <c r="AP26" s="66" t="n">
        <f aca="false">AN26+AP13</f>
        <v>4000</v>
      </c>
      <c r="AQ26" s="66" t="n">
        <f aca="false">AP26+AQ13</f>
        <v>4000</v>
      </c>
      <c r="AR26" s="66" t="n">
        <f aca="false">AQ26+AR13</f>
        <v>4000</v>
      </c>
      <c r="AS26" s="66" t="n">
        <f aca="false">AR26+AS13</f>
        <v>4000</v>
      </c>
      <c r="AT26" s="66" t="n">
        <f aca="false">AS26+AT13</f>
        <v>4000</v>
      </c>
      <c r="AU26" s="66" t="n">
        <f aca="false">AT26+AU13</f>
        <v>4000</v>
      </c>
      <c r="AV26" s="66" t="n">
        <f aca="false">AU26+AV13</f>
        <v>4000</v>
      </c>
      <c r="AW26" s="66" t="n">
        <f aca="false">AV26+AW13</f>
        <v>4000</v>
      </c>
      <c r="AX26" s="66" t="n">
        <f aca="false">AW26+AX13</f>
        <v>4000</v>
      </c>
      <c r="AY26" s="66" t="n">
        <f aca="false">AX26+AY13</f>
        <v>4000</v>
      </c>
      <c r="AZ26" s="66" t="n">
        <f aca="false">AY26+AZ13</f>
        <v>4000</v>
      </c>
      <c r="BA26" s="66" t="n">
        <f aca="false">AZ26+BA13</f>
        <v>4000</v>
      </c>
      <c r="BB26" s="65" t="n">
        <f aca="false">BN26</f>
        <v>4000</v>
      </c>
      <c r="BC26" s="66" t="n">
        <f aca="false">BA26+BC13</f>
        <v>4000</v>
      </c>
      <c r="BD26" s="66" t="n">
        <f aca="false">BC26+BD13</f>
        <v>4000</v>
      </c>
      <c r="BE26" s="66" t="n">
        <f aca="false">BD26+BE13</f>
        <v>4000</v>
      </c>
      <c r="BF26" s="66" t="n">
        <f aca="false">BE26+BF13</f>
        <v>4000</v>
      </c>
      <c r="BG26" s="66" t="n">
        <f aca="false">BF26+BG13</f>
        <v>4000</v>
      </c>
      <c r="BH26" s="66" t="n">
        <f aca="false">BG26+BH13</f>
        <v>4000</v>
      </c>
      <c r="BI26" s="66" t="n">
        <f aca="false">BH26+BI13</f>
        <v>4000</v>
      </c>
      <c r="BJ26" s="66" t="n">
        <f aca="false">BI26+BJ13</f>
        <v>4000</v>
      </c>
      <c r="BK26" s="66" t="n">
        <f aca="false">BJ26+BK13</f>
        <v>4000</v>
      </c>
      <c r="BL26" s="66" t="n">
        <f aca="false">BK26+BL13</f>
        <v>4000</v>
      </c>
      <c r="BM26" s="66" t="n">
        <f aca="false">BL26+BM13</f>
        <v>4000</v>
      </c>
      <c r="BN26" s="66" t="n">
        <f aca="false">BM26+BN13</f>
        <v>4000</v>
      </c>
    </row>
    <row r="27" customFormat="false" ht="15" hidden="false" customHeight="false" outlineLevel="0" collapsed="false">
      <c r="A27" s="12" t="s">
        <v>501</v>
      </c>
      <c r="B27" s="65" t="n">
        <f aca="false">N27</f>
        <v>0</v>
      </c>
      <c r="C27" s="66" t="n">
        <f aca="false">C14</f>
        <v>0</v>
      </c>
      <c r="D27" s="66" t="n">
        <f aca="false">C27+D14</f>
        <v>0</v>
      </c>
      <c r="E27" s="66" t="n">
        <f aca="false">D27+E14</f>
        <v>0</v>
      </c>
      <c r="F27" s="66" t="n">
        <f aca="false">E27+F14</f>
        <v>0</v>
      </c>
      <c r="G27" s="66" t="n">
        <f aca="false">F27+G14</f>
        <v>0</v>
      </c>
      <c r="H27" s="66" t="n">
        <f aca="false">G27+H14</f>
        <v>0</v>
      </c>
      <c r="I27" s="66" t="n">
        <f aca="false">H27+I14</f>
        <v>0</v>
      </c>
      <c r="J27" s="66" t="n">
        <f aca="false">I27+J14</f>
        <v>0</v>
      </c>
      <c r="K27" s="66" t="n">
        <f aca="false">J27+K14</f>
        <v>0</v>
      </c>
      <c r="L27" s="66" t="n">
        <f aca="false">K27+L14</f>
        <v>0</v>
      </c>
      <c r="M27" s="66" t="n">
        <f aca="false">L27+M14</f>
        <v>0</v>
      </c>
      <c r="N27" s="66" t="n">
        <f aca="false">M27+N14</f>
        <v>0</v>
      </c>
      <c r="O27" s="65" t="n">
        <f aca="false">AA27</f>
        <v>0</v>
      </c>
      <c r="P27" s="66" t="n">
        <f aca="false">N27+P14</f>
        <v>0</v>
      </c>
      <c r="Q27" s="66" t="n">
        <f aca="false">P27+Q14</f>
        <v>0</v>
      </c>
      <c r="R27" s="66" t="n">
        <f aca="false">Q27+R14</f>
        <v>0</v>
      </c>
      <c r="S27" s="66" t="n">
        <f aca="false">R27+S14</f>
        <v>0</v>
      </c>
      <c r="T27" s="66" t="n">
        <f aca="false">S27+T14</f>
        <v>0</v>
      </c>
      <c r="U27" s="66" t="n">
        <f aca="false">T27+U14</f>
        <v>0</v>
      </c>
      <c r="V27" s="66" t="n">
        <f aca="false">U27+V14</f>
        <v>0</v>
      </c>
      <c r="W27" s="66" t="n">
        <f aca="false">V27+W14</f>
        <v>0</v>
      </c>
      <c r="X27" s="66" t="n">
        <f aca="false">W27+X14</f>
        <v>0</v>
      </c>
      <c r="Y27" s="66" t="n">
        <f aca="false">X27+Y14</f>
        <v>0</v>
      </c>
      <c r="Z27" s="66" t="n">
        <f aca="false">Y27+Z14</f>
        <v>0</v>
      </c>
      <c r="AA27" s="66" t="n">
        <f aca="false">Z27+AA14</f>
        <v>0</v>
      </c>
      <c r="AB27" s="65" t="n">
        <f aca="false">AN27</f>
        <v>6000</v>
      </c>
      <c r="AC27" s="66" t="n">
        <f aca="false">AA27+AC14</f>
        <v>6000</v>
      </c>
      <c r="AD27" s="66" t="n">
        <f aca="false">AC27+AD14</f>
        <v>6000</v>
      </c>
      <c r="AE27" s="66" t="n">
        <f aca="false">AD27+AE14</f>
        <v>6000</v>
      </c>
      <c r="AF27" s="66" t="n">
        <f aca="false">AE27+AF14</f>
        <v>6000</v>
      </c>
      <c r="AG27" s="66" t="n">
        <f aca="false">AF27+AG14</f>
        <v>6000</v>
      </c>
      <c r="AH27" s="66" t="n">
        <f aca="false">AG27+AH14</f>
        <v>6000</v>
      </c>
      <c r="AI27" s="66" t="n">
        <f aca="false">AH27+AI14</f>
        <v>6000</v>
      </c>
      <c r="AJ27" s="66" t="n">
        <f aca="false">AI27+AJ14</f>
        <v>6000</v>
      </c>
      <c r="AK27" s="66" t="n">
        <f aca="false">AJ27+AK14</f>
        <v>6000</v>
      </c>
      <c r="AL27" s="66" t="n">
        <f aca="false">AK27+AL14</f>
        <v>6000</v>
      </c>
      <c r="AM27" s="66" t="n">
        <f aca="false">AL27+AM14</f>
        <v>6000</v>
      </c>
      <c r="AN27" s="66" t="n">
        <f aca="false">AM27+AN14</f>
        <v>6000</v>
      </c>
      <c r="AO27" s="65" t="n">
        <f aca="false">BA27</f>
        <v>6000</v>
      </c>
      <c r="AP27" s="66" t="n">
        <f aca="false">AN27+AP14</f>
        <v>6000</v>
      </c>
      <c r="AQ27" s="66" t="n">
        <f aca="false">AP27+AQ14</f>
        <v>6000</v>
      </c>
      <c r="AR27" s="66" t="n">
        <f aca="false">AQ27+AR14</f>
        <v>6000</v>
      </c>
      <c r="AS27" s="66" t="n">
        <f aca="false">AR27+AS14</f>
        <v>6000</v>
      </c>
      <c r="AT27" s="66" t="n">
        <f aca="false">AS27+AT14</f>
        <v>6000</v>
      </c>
      <c r="AU27" s="66" t="n">
        <f aca="false">AT27+AU14</f>
        <v>6000</v>
      </c>
      <c r="AV27" s="66" t="n">
        <f aca="false">AU27+AV14</f>
        <v>6000</v>
      </c>
      <c r="AW27" s="66" t="n">
        <f aca="false">AV27+AW14</f>
        <v>6000</v>
      </c>
      <c r="AX27" s="66" t="n">
        <f aca="false">AW27+AX14</f>
        <v>6000</v>
      </c>
      <c r="AY27" s="66" t="n">
        <f aca="false">AX27+AY14</f>
        <v>6000</v>
      </c>
      <c r="AZ27" s="66" t="n">
        <f aca="false">AY27+AZ14</f>
        <v>6000</v>
      </c>
      <c r="BA27" s="66" t="n">
        <f aca="false">AZ27+BA14</f>
        <v>6000</v>
      </c>
      <c r="BB27" s="65" t="n">
        <f aca="false">BN27</f>
        <v>6000</v>
      </c>
      <c r="BC27" s="66" t="n">
        <f aca="false">BA27+BC14</f>
        <v>6000</v>
      </c>
      <c r="BD27" s="66" t="n">
        <f aca="false">BC27+BD14</f>
        <v>6000</v>
      </c>
      <c r="BE27" s="66" t="n">
        <f aca="false">BD27+BE14</f>
        <v>6000</v>
      </c>
      <c r="BF27" s="66" t="n">
        <f aca="false">BE27+BF14</f>
        <v>6000</v>
      </c>
      <c r="BG27" s="66" t="n">
        <f aca="false">BF27+BG14</f>
        <v>6000</v>
      </c>
      <c r="BH27" s="66" t="n">
        <f aca="false">BG27+BH14</f>
        <v>6000</v>
      </c>
      <c r="BI27" s="66" t="n">
        <f aca="false">BH27+BI14</f>
        <v>6000</v>
      </c>
      <c r="BJ27" s="66" t="n">
        <f aca="false">BI27+BJ14</f>
        <v>6000</v>
      </c>
      <c r="BK27" s="66" t="n">
        <f aca="false">BJ27+BK14</f>
        <v>6000</v>
      </c>
      <c r="BL27" s="66" t="n">
        <f aca="false">BK27+BL14</f>
        <v>6000</v>
      </c>
      <c r="BM27" s="66" t="n">
        <f aca="false">BL27+BM14</f>
        <v>6000</v>
      </c>
      <c r="BN27" s="66" t="n">
        <f aca="false">BM27+BN14</f>
        <v>6000</v>
      </c>
    </row>
    <row r="28" customFormat="false" ht="15" hidden="false" customHeight="false" outlineLevel="0" collapsed="false">
      <c r="A28" s="12" t="s">
        <v>502</v>
      </c>
      <c r="B28" s="65" t="n">
        <f aca="false">N28</f>
        <v>0</v>
      </c>
      <c r="C28" s="66" t="n">
        <f aca="false">C15</f>
        <v>0</v>
      </c>
      <c r="D28" s="66" t="n">
        <f aca="false">C28+D15</f>
        <v>0</v>
      </c>
      <c r="E28" s="66" t="n">
        <f aca="false">D28+E15</f>
        <v>0</v>
      </c>
      <c r="F28" s="66" t="n">
        <f aca="false">E28+F15</f>
        <v>0</v>
      </c>
      <c r="G28" s="66" t="n">
        <f aca="false">F28+G15</f>
        <v>0</v>
      </c>
      <c r="H28" s="66" t="n">
        <f aca="false">G28+H15</f>
        <v>0</v>
      </c>
      <c r="I28" s="66" t="n">
        <f aca="false">H28+I15</f>
        <v>0</v>
      </c>
      <c r="J28" s="66" t="n">
        <f aca="false">I28+J15</f>
        <v>0</v>
      </c>
      <c r="K28" s="66" t="n">
        <f aca="false">J28+K15</f>
        <v>0</v>
      </c>
      <c r="L28" s="66" t="n">
        <f aca="false">K28+L15</f>
        <v>0</v>
      </c>
      <c r="M28" s="66" t="n">
        <f aca="false">L28+M15</f>
        <v>0</v>
      </c>
      <c r="N28" s="66" t="n">
        <f aca="false">M28+N15</f>
        <v>0</v>
      </c>
      <c r="O28" s="65" t="n">
        <f aca="false">AA28</f>
        <v>0</v>
      </c>
      <c r="P28" s="66" t="n">
        <f aca="false">N28+P15</f>
        <v>0</v>
      </c>
      <c r="Q28" s="66" t="n">
        <f aca="false">P28+Q15</f>
        <v>0</v>
      </c>
      <c r="R28" s="66" t="n">
        <f aca="false">Q28+R15</f>
        <v>0</v>
      </c>
      <c r="S28" s="66" t="n">
        <f aca="false">R28+S15</f>
        <v>0</v>
      </c>
      <c r="T28" s="66" t="n">
        <f aca="false">S28+T15</f>
        <v>0</v>
      </c>
      <c r="U28" s="66" t="n">
        <f aca="false">T28+U15</f>
        <v>0</v>
      </c>
      <c r="V28" s="66" t="n">
        <f aca="false">U28+V15</f>
        <v>0</v>
      </c>
      <c r="W28" s="66" t="n">
        <f aca="false">V28+W15</f>
        <v>0</v>
      </c>
      <c r="X28" s="66" t="n">
        <f aca="false">W28+X15</f>
        <v>0</v>
      </c>
      <c r="Y28" s="66" t="n">
        <f aca="false">X28+Y15</f>
        <v>0</v>
      </c>
      <c r="Z28" s="66" t="n">
        <f aca="false">Y28+Z15</f>
        <v>0</v>
      </c>
      <c r="AA28" s="66" t="n">
        <f aca="false">Z28+AA15</f>
        <v>0</v>
      </c>
      <c r="AB28" s="65" t="n">
        <f aca="false">AN28</f>
        <v>9000</v>
      </c>
      <c r="AC28" s="66" t="n">
        <f aca="false">AA28+AC15</f>
        <v>9000</v>
      </c>
      <c r="AD28" s="66" t="n">
        <f aca="false">AC28+AD15</f>
        <v>9000</v>
      </c>
      <c r="AE28" s="66" t="n">
        <f aca="false">AD28+AE15</f>
        <v>9000</v>
      </c>
      <c r="AF28" s="66" t="n">
        <f aca="false">AE28+AF15</f>
        <v>9000</v>
      </c>
      <c r="AG28" s="66" t="n">
        <f aca="false">AF28+AG15</f>
        <v>9000</v>
      </c>
      <c r="AH28" s="66" t="n">
        <f aca="false">AG28+AH15</f>
        <v>9000</v>
      </c>
      <c r="AI28" s="66" t="n">
        <f aca="false">AH28+AI15</f>
        <v>9000</v>
      </c>
      <c r="AJ28" s="66" t="n">
        <f aca="false">AI28+AJ15</f>
        <v>9000</v>
      </c>
      <c r="AK28" s="66" t="n">
        <f aca="false">AJ28+AK15</f>
        <v>9000</v>
      </c>
      <c r="AL28" s="66" t="n">
        <f aca="false">AK28+AL15</f>
        <v>9000</v>
      </c>
      <c r="AM28" s="66" t="n">
        <f aca="false">AL28+AM15</f>
        <v>9000</v>
      </c>
      <c r="AN28" s="66" t="n">
        <f aca="false">AM28+AN15</f>
        <v>9000</v>
      </c>
      <c r="AO28" s="65" t="n">
        <f aca="false">BA28</f>
        <v>9000</v>
      </c>
      <c r="AP28" s="66" t="n">
        <f aca="false">AN28+AP15</f>
        <v>9000</v>
      </c>
      <c r="AQ28" s="66" t="n">
        <f aca="false">AP28+AQ15</f>
        <v>9000</v>
      </c>
      <c r="AR28" s="66" t="n">
        <f aca="false">AQ28+AR15</f>
        <v>9000</v>
      </c>
      <c r="AS28" s="66" t="n">
        <f aca="false">AR28+AS15</f>
        <v>9000</v>
      </c>
      <c r="AT28" s="66" t="n">
        <f aca="false">AS28+AT15</f>
        <v>9000</v>
      </c>
      <c r="AU28" s="66" t="n">
        <f aca="false">AT28+AU15</f>
        <v>9000</v>
      </c>
      <c r="AV28" s="66" t="n">
        <f aca="false">AU28+AV15</f>
        <v>9000</v>
      </c>
      <c r="AW28" s="66" t="n">
        <f aca="false">AV28+AW15</f>
        <v>9000</v>
      </c>
      <c r="AX28" s="66" t="n">
        <f aca="false">AW28+AX15</f>
        <v>9000</v>
      </c>
      <c r="AY28" s="66" t="n">
        <f aca="false">AX28+AY15</f>
        <v>9000</v>
      </c>
      <c r="AZ28" s="66" t="n">
        <f aca="false">AY28+AZ15</f>
        <v>9000</v>
      </c>
      <c r="BA28" s="66" t="n">
        <f aca="false">AZ28+BA15</f>
        <v>9000</v>
      </c>
      <c r="BB28" s="65" t="n">
        <f aca="false">BN28</f>
        <v>9000</v>
      </c>
      <c r="BC28" s="66" t="n">
        <f aca="false">BA28+BC15</f>
        <v>9000</v>
      </c>
      <c r="BD28" s="66" t="n">
        <f aca="false">BC28+BD15</f>
        <v>9000</v>
      </c>
      <c r="BE28" s="66" t="n">
        <f aca="false">BD28+BE15</f>
        <v>9000</v>
      </c>
      <c r="BF28" s="66" t="n">
        <f aca="false">BE28+BF15</f>
        <v>9000</v>
      </c>
      <c r="BG28" s="66" t="n">
        <f aca="false">BF28+BG15</f>
        <v>9000</v>
      </c>
      <c r="BH28" s="66" t="n">
        <f aca="false">BG28+BH15</f>
        <v>9000</v>
      </c>
      <c r="BI28" s="66" t="n">
        <f aca="false">BH28+BI15</f>
        <v>9000</v>
      </c>
      <c r="BJ28" s="66" t="n">
        <f aca="false">BI28+BJ15</f>
        <v>9000</v>
      </c>
      <c r="BK28" s="66" t="n">
        <f aca="false">BJ28+BK15</f>
        <v>9000</v>
      </c>
      <c r="BL28" s="66" t="n">
        <f aca="false">BK28+BL15</f>
        <v>9000</v>
      </c>
      <c r="BM28" s="66" t="n">
        <f aca="false">BL28+BM15</f>
        <v>9000</v>
      </c>
      <c r="BN28" s="66" t="n">
        <f aca="false">BM28+BN15</f>
        <v>9000</v>
      </c>
    </row>
    <row r="29" customFormat="false" ht="15" hidden="false" customHeight="false" outlineLevel="0" collapsed="false">
      <c r="A29" s="70" t="s">
        <v>568</v>
      </c>
      <c r="B29" s="65" t="n">
        <f aca="false">N29</f>
        <v>13700</v>
      </c>
      <c r="C29" s="71" t="n">
        <f aca="false">SUM(C20:C28)</f>
        <v>10200</v>
      </c>
      <c r="D29" s="71" t="n">
        <f aca="false">SUM(D20:D28)</f>
        <v>13700</v>
      </c>
      <c r="E29" s="71" t="n">
        <f aca="false">SUM(E20:E28)</f>
        <v>13700</v>
      </c>
      <c r="F29" s="71" t="n">
        <f aca="false">SUM(F20:F28)</f>
        <v>13700</v>
      </c>
      <c r="G29" s="71" t="n">
        <f aca="false">SUM(G20:G28)</f>
        <v>13700</v>
      </c>
      <c r="H29" s="71" t="n">
        <f aca="false">SUM(H20:H28)</f>
        <v>13700</v>
      </c>
      <c r="I29" s="71" t="n">
        <f aca="false">SUM(I20:I28)</f>
        <v>13700</v>
      </c>
      <c r="J29" s="71" t="n">
        <f aca="false">SUM(J20:J28)</f>
        <v>13700</v>
      </c>
      <c r="K29" s="71" t="n">
        <f aca="false">SUM(K20:K28)</f>
        <v>13700</v>
      </c>
      <c r="L29" s="71" t="n">
        <f aca="false">SUM(L20:L28)</f>
        <v>13700</v>
      </c>
      <c r="M29" s="71" t="n">
        <f aca="false">SUM(M20:M28)</f>
        <v>13700</v>
      </c>
      <c r="N29" s="71" t="n">
        <f aca="false">SUM(N20:N28)</f>
        <v>13700</v>
      </c>
      <c r="O29" s="65" t="n">
        <f aca="false">AA29</f>
        <v>17750</v>
      </c>
      <c r="P29" s="71" t="n">
        <f aca="false">SUM(P20:P28)</f>
        <v>17750</v>
      </c>
      <c r="Q29" s="71" t="n">
        <f aca="false">SUM(Q20:Q28)</f>
        <v>17750</v>
      </c>
      <c r="R29" s="71" t="n">
        <f aca="false">SUM(R20:R28)</f>
        <v>17750</v>
      </c>
      <c r="S29" s="71" t="n">
        <f aca="false">SUM(S20:S28)</f>
        <v>17750</v>
      </c>
      <c r="T29" s="71" t="n">
        <f aca="false">SUM(T20:T28)</f>
        <v>17750</v>
      </c>
      <c r="U29" s="71" t="n">
        <f aca="false">SUM(U20:U28)</f>
        <v>17750</v>
      </c>
      <c r="V29" s="71" t="n">
        <f aca="false">SUM(V20:V28)</f>
        <v>17750</v>
      </c>
      <c r="W29" s="71" t="n">
        <f aca="false">SUM(W20:W28)</f>
        <v>17750</v>
      </c>
      <c r="X29" s="71" t="n">
        <f aca="false">SUM(X20:X28)</f>
        <v>17750</v>
      </c>
      <c r="Y29" s="71" t="n">
        <f aca="false">SUM(Y20:Y28)</f>
        <v>17750</v>
      </c>
      <c r="Z29" s="71" t="n">
        <f aca="false">SUM(Z20:Z28)</f>
        <v>17750</v>
      </c>
      <c r="AA29" s="71" t="n">
        <f aca="false">SUM(AA20:AA28)</f>
        <v>17750</v>
      </c>
      <c r="AB29" s="65" t="n">
        <f aca="false">AN29</f>
        <v>39500</v>
      </c>
      <c r="AC29" s="71" t="n">
        <f aca="false">SUM(AC20:AC28)</f>
        <v>39500</v>
      </c>
      <c r="AD29" s="71" t="n">
        <f aca="false">SUM(AD20:AD28)</f>
        <v>39500</v>
      </c>
      <c r="AE29" s="71" t="n">
        <f aca="false">SUM(AE20:AE28)</f>
        <v>39500</v>
      </c>
      <c r="AF29" s="71" t="n">
        <f aca="false">SUM(AF20:AF28)</f>
        <v>39500</v>
      </c>
      <c r="AG29" s="71" t="n">
        <f aca="false">SUM(AG20:AG28)</f>
        <v>39500</v>
      </c>
      <c r="AH29" s="71" t="n">
        <f aca="false">SUM(AH20:AH28)</f>
        <v>39500</v>
      </c>
      <c r="AI29" s="71" t="n">
        <f aca="false">SUM(AI20:AI28)</f>
        <v>39500</v>
      </c>
      <c r="AJ29" s="71" t="n">
        <f aca="false">SUM(AJ20:AJ28)</f>
        <v>39500</v>
      </c>
      <c r="AK29" s="71" t="n">
        <f aca="false">SUM(AK20:AK28)</f>
        <v>39500</v>
      </c>
      <c r="AL29" s="71" t="n">
        <f aca="false">SUM(AL20:AL28)</f>
        <v>39500</v>
      </c>
      <c r="AM29" s="71" t="n">
        <f aca="false">SUM(AM20:AM28)</f>
        <v>39500</v>
      </c>
      <c r="AN29" s="71" t="n">
        <f aca="false">SUM(AN20:AN28)</f>
        <v>39500</v>
      </c>
      <c r="AO29" s="65" t="n">
        <f aca="false">BA29</f>
        <v>44900</v>
      </c>
      <c r="AP29" s="71" t="n">
        <f aca="false">SUM(AP20:AP28)</f>
        <v>44900</v>
      </c>
      <c r="AQ29" s="71" t="n">
        <f aca="false">SUM(AQ20:AQ28)</f>
        <v>44900</v>
      </c>
      <c r="AR29" s="71" t="n">
        <f aca="false">SUM(AR20:AR28)</f>
        <v>44900</v>
      </c>
      <c r="AS29" s="71" t="n">
        <f aca="false">SUM(AS20:AS28)</f>
        <v>44900</v>
      </c>
      <c r="AT29" s="71" t="n">
        <f aca="false">SUM(AT20:AT28)</f>
        <v>44900</v>
      </c>
      <c r="AU29" s="71" t="n">
        <f aca="false">SUM(AU20:AU28)</f>
        <v>44900</v>
      </c>
      <c r="AV29" s="71" t="n">
        <f aca="false">SUM(AV20:AV28)</f>
        <v>44900</v>
      </c>
      <c r="AW29" s="71" t="n">
        <f aca="false">SUM(AW20:AW28)</f>
        <v>44900</v>
      </c>
      <c r="AX29" s="71" t="n">
        <f aca="false">SUM(AX20:AX28)</f>
        <v>44900</v>
      </c>
      <c r="AY29" s="71" t="n">
        <f aca="false">SUM(AY20:AY28)</f>
        <v>44900</v>
      </c>
      <c r="AZ29" s="71" t="n">
        <f aca="false">SUM(AZ20:AZ28)</f>
        <v>44900</v>
      </c>
      <c r="BA29" s="71" t="n">
        <f aca="false">SUM(BA20:BA28)</f>
        <v>44900</v>
      </c>
      <c r="BB29" s="65" t="n">
        <f aca="false">BN29</f>
        <v>50300</v>
      </c>
      <c r="BC29" s="71" t="n">
        <f aca="false">SUM(BC20:BC28)</f>
        <v>50300</v>
      </c>
      <c r="BD29" s="71" t="n">
        <f aca="false">SUM(BD20:BD28)</f>
        <v>50300</v>
      </c>
      <c r="BE29" s="71" t="n">
        <f aca="false">SUM(BE20:BE28)</f>
        <v>50300</v>
      </c>
      <c r="BF29" s="71" t="n">
        <f aca="false">SUM(BF20:BF28)</f>
        <v>50300</v>
      </c>
      <c r="BG29" s="71" t="n">
        <f aca="false">SUM(BG20:BG28)</f>
        <v>50300</v>
      </c>
      <c r="BH29" s="71" t="n">
        <f aca="false">SUM(BH20:BH28)</f>
        <v>50300</v>
      </c>
      <c r="BI29" s="71" t="n">
        <f aca="false">SUM(BI20:BI28)</f>
        <v>50300</v>
      </c>
      <c r="BJ29" s="71" t="n">
        <f aca="false">SUM(BJ20:BJ28)</f>
        <v>50300</v>
      </c>
      <c r="BK29" s="71" t="n">
        <f aca="false">SUM(BK20:BK28)</f>
        <v>50300</v>
      </c>
      <c r="BL29" s="71" t="n">
        <f aca="false">SUM(BL20:BL28)</f>
        <v>50300</v>
      </c>
      <c r="BM29" s="71" t="n">
        <f aca="false">SUM(BM20:BM28)</f>
        <v>50300</v>
      </c>
      <c r="BN29" s="71" t="n">
        <f aca="false">SUM(BN20:BN28)</f>
        <v>50300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194</v>
      </c>
    </row>
    <row r="2" customFormat="false" ht="13.5" hidden="false" customHeight="true" outlineLevel="0" collapsed="false">
      <c r="A2" s="6" t="s">
        <v>569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570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false" outlineLevel="0" collapsed="false">
      <c r="A6" s="12" t="s">
        <v>571</v>
      </c>
      <c r="B6" s="22" t="s">
        <v>115</v>
      </c>
      <c r="C6" s="20" t="n">
        <f aca="false">'Assumption Setting'!$C$20</f>
        <v>50000</v>
      </c>
    </row>
    <row r="7" customFormat="false" ht="15" hidden="false" customHeight="false" outlineLevel="0" collapsed="false">
      <c r="A7" s="12" t="s">
        <v>572</v>
      </c>
      <c r="B7" s="22" t="s">
        <v>573</v>
      </c>
      <c r="C7" s="44" t="n">
        <v>0</v>
      </c>
    </row>
    <row r="8" customFormat="false" ht="15" hidden="false" customHeight="false" outlineLevel="0" collapsed="false">
      <c r="A8" s="12" t="s">
        <v>574</v>
      </c>
      <c r="B8" s="22" t="s">
        <v>575</v>
      </c>
      <c r="C8" s="44" t="n">
        <v>0</v>
      </c>
    </row>
    <row r="9" customFormat="false" ht="15" hidden="false" customHeight="false" outlineLevel="0" collapsed="false">
      <c r="A9" s="12" t="s">
        <v>576</v>
      </c>
      <c r="B9" s="22" t="s">
        <v>577</v>
      </c>
      <c r="C9" s="44" t="n">
        <v>0</v>
      </c>
    </row>
    <row r="10" customFormat="false" ht="15" hidden="false" customHeight="false" outlineLevel="0" collapsed="false">
      <c r="A10" s="18" t="s">
        <v>578</v>
      </c>
      <c r="C10" s="19" t="n">
        <f aca="false">SUM(C6:C9)</f>
        <v>50000</v>
      </c>
    </row>
    <row r="12" customFormat="false" ht="15" hidden="false" customHeight="false" outlineLevel="0" collapsed="false">
      <c r="A12" s="12" t="s">
        <v>579</v>
      </c>
      <c r="B12" s="22" t="s">
        <v>580</v>
      </c>
      <c r="C12" s="44" t="n">
        <v>0</v>
      </c>
    </row>
    <row r="13" customFormat="false" ht="15" hidden="false" customHeight="false" outlineLevel="0" collapsed="false">
      <c r="A13" s="12" t="s">
        <v>581</v>
      </c>
      <c r="B13" s="22" t="s">
        <v>582</v>
      </c>
      <c r="C13" s="44" t="n">
        <v>0</v>
      </c>
    </row>
    <row r="14" customFormat="false" ht="15" hidden="false" customHeight="false" outlineLevel="0" collapsed="false">
      <c r="A14" s="12" t="s">
        <v>583</v>
      </c>
      <c r="B14" s="22" t="s">
        <v>584</v>
      </c>
      <c r="C14" s="44" t="n">
        <v>0</v>
      </c>
    </row>
    <row r="15" customFormat="false" ht="15" hidden="false" customHeight="false" outlineLevel="0" collapsed="false">
      <c r="A15" s="12" t="s">
        <v>585</v>
      </c>
      <c r="B15" s="22" t="s">
        <v>586</v>
      </c>
      <c r="C15" s="44" t="n">
        <v>0</v>
      </c>
    </row>
    <row r="16" customFormat="false" ht="15" hidden="false" customHeight="false" outlineLevel="0" collapsed="false">
      <c r="A16" s="12" t="s">
        <v>587</v>
      </c>
      <c r="B16" s="22" t="s">
        <v>588</v>
      </c>
      <c r="C16" s="20" t="n">
        <f aca="false">'Assumption Setting'!$C$20</f>
        <v>50000</v>
      </c>
    </row>
    <row r="17" customFormat="false" ht="15" hidden="false" customHeight="false" outlineLevel="0" collapsed="false">
      <c r="A17" s="12" t="s">
        <v>589</v>
      </c>
      <c r="B17" s="22" t="s">
        <v>590</v>
      </c>
      <c r="C17" s="44" t="n">
        <v>0</v>
      </c>
    </row>
    <row r="18" customFormat="false" ht="15" hidden="false" customHeight="false" outlineLevel="0" collapsed="false">
      <c r="A18" s="18" t="s">
        <v>591</v>
      </c>
      <c r="C18" s="19" t="n">
        <f aca="false">SUM(C12:C17)</f>
        <v>50000</v>
      </c>
    </row>
    <row r="19" customFormat="false" ht="15" hidden="false" customHeight="false" outlineLevel="0" collapsed="false">
      <c r="A19" s="18" t="s">
        <v>592</v>
      </c>
      <c r="C19" s="23" t="n">
        <f aca="false">C10-C18</f>
        <v>0</v>
      </c>
    </row>
    <row r="21" customFormat="false" ht="16.5" hidden="false" customHeight="true" outlineLevel="0" collapsed="false">
      <c r="A21" s="15" t="s">
        <v>593</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false" outlineLevel="0" collapsed="false">
      <c r="A22" s="12" t="s">
        <v>102</v>
      </c>
      <c r="B22" s="22" t="s">
        <v>103</v>
      </c>
      <c r="C22" s="24" t="n">
        <f aca="false">'Assumption Setting'!$C$14</f>
        <v>300</v>
      </c>
    </row>
    <row r="23" customFormat="false" ht="15" hidden="false" customHeight="false" outlineLevel="0" collapsed="false">
      <c r="A23" s="12" t="s">
        <v>104</v>
      </c>
      <c r="B23" s="22" t="s">
        <v>105</v>
      </c>
      <c r="C23" s="24" t="n">
        <f aca="false">'Assumption Setting'!$C$15</f>
        <v>2</v>
      </c>
    </row>
    <row r="24" customFormat="false" ht="15" hidden="false" customHeight="false" outlineLevel="0" collapsed="false">
      <c r="A24" s="12" t="s">
        <v>106</v>
      </c>
      <c r="B24" s="22" t="s">
        <v>107</v>
      </c>
      <c r="C24" s="24" t="n">
        <f aca="false">'Assumption Setting'!$C$16</f>
        <v>100</v>
      </c>
    </row>
    <row r="25" customFormat="false" ht="15" hidden="false" customHeight="false" outlineLevel="0" collapsed="false">
      <c r="A25" s="12" t="s">
        <v>108</v>
      </c>
      <c r="B25" s="22" t="s">
        <v>109</v>
      </c>
      <c r="C25" s="25" t="n">
        <f aca="false">'Assumption Setting'!$C$17</f>
        <v>100000</v>
      </c>
    </row>
    <row r="26" customFormat="false" ht="15" hidden="false" customHeight="false" outlineLevel="0" collapsed="false">
      <c r="A26" s="12" t="s">
        <v>110</v>
      </c>
      <c r="B26" s="22" t="s">
        <v>111</v>
      </c>
      <c r="C26" s="24" t="n">
        <f aca="false">'Assumption Setting'!$C$18</f>
        <v>5</v>
      </c>
    </row>
    <row r="27" customFormat="false" ht="15" hidden="false" customHeight="false" outlineLevel="0" collapsed="false">
      <c r="A27" s="12" t="s">
        <v>112</v>
      </c>
      <c r="B27" s="22" t="s">
        <v>113</v>
      </c>
      <c r="C27" s="24" t="n">
        <f aca="false">'Assumption Setting'!$C$19</f>
        <v>1</v>
      </c>
    </row>
    <row r="28" customFormat="false" ht="15" hidden="false" customHeight="false" outlineLevel="0" collapsed="false">
      <c r="A28" s="12" t="s">
        <v>114</v>
      </c>
      <c r="B28" s="22" t="s">
        <v>115</v>
      </c>
      <c r="C28" s="25" t="n">
        <f aca="false">'Assumption Setting'!$C$20</f>
        <v>50000</v>
      </c>
    </row>
    <row r="30" customFormat="false" ht="16.5" hidden="false" customHeight="true" outlineLevel="0" collapsed="false">
      <c r="A30" s="15" t="s">
        <v>594</v>
      </c>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row>
    <row r="31" customFormat="false" ht="15" hidden="false" customHeight="false" outlineLevel="0" collapsed="false">
      <c r="A31" s="72" t="s">
        <v>595</v>
      </c>
    </row>
    <row r="32" customFormat="false" ht="15" hidden="false" customHeight="true" outlineLevel="0" collapsed="false">
      <c r="A32" s="26" t="s">
        <v>505</v>
      </c>
      <c r="B32" s="62" t="s">
        <v>80</v>
      </c>
      <c r="C32" s="63" t="s">
        <v>506</v>
      </c>
      <c r="D32" s="63" t="s">
        <v>507</v>
      </c>
      <c r="E32" s="63" t="s">
        <v>508</v>
      </c>
      <c r="F32" s="63" t="s">
        <v>509</v>
      </c>
      <c r="G32" s="63" t="s">
        <v>510</v>
      </c>
      <c r="H32" s="63" t="s">
        <v>511</v>
      </c>
      <c r="I32" s="63" t="s">
        <v>512</v>
      </c>
      <c r="J32" s="63" t="s">
        <v>513</v>
      </c>
      <c r="K32" s="63" t="s">
        <v>514</v>
      </c>
      <c r="L32" s="63" t="s">
        <v>515</v>
      </c>
      <c r="M32" s="63" t="s">
        <v>516</v>
      </c>
      <c r="N32" s="63" t="s">
        <v>517</v>
      </c>
      <c r="O32" s="62" t="s">
        <v>81</v>
      </c>
      <c r="P32" s="64" t="s">
        <v>518</v>
      </c>
      <c r="Q32" s="64" t="s">
        <v>519</v>
      </c>
      <c r="R32" s="64" t="s">
        <v>520</v>
      </c>
      <c r="S32" s="64" t="s">
        <v>521</v>
      </c>
      <c r="T32" s="64" t="s">
        <v>522</v>
      </c>
      <c r="U32" s="64" t="s">
        <v>523</v>
      </c>
      <c r="V32" s="64" t="s">
        <v>524</v>
      </c>
      <c r="W32" s="64" t="s">
        <v>525</v>
      </c>
      <c r="X32" s="64" t="s">
        <v>526</v>
      </c>
      <c r="Y32" s="64" t="s">
        <v>527</v>
      </c>
      <c r="Z32" s="64" t="s">
        <v>528</v>
      </c>
      <c r="AA32" s="64" t="s">
        <v>529</v>
      </c>
      <c r="AB32" s="62" t="s">
        <v>82</v>
      </c>
      <c r="AC32" s="63" t="s">
        <v>530</v>
      </c>
      <c r="AD32" s="63" t="s">
        <v>531</v>
      </c>
      <c r="AE32" s="63" t="s">
        <v>532</v>
      </c>
      <c r="AF32" s="63" t="s">
        <v>533</v>
      </c>
      <c r="AG32" s="63" t="s">
        <v>534</v>
      </c>
      <c r="AH32" s="63" t="s">
        <v>535</v>
      </c>
      <c r="AI32" s="63" t="s">
        <v>536</v>
      </c>
      <c r="AJ32" s="63" t="s">
        <v>537</v>
      </c>
      <c r="AK32" s="63" t="s">
        <v>538</v>
      </c>
      <c r="AL32" s="63" t="s">
        <v>539</v>
      </c>
      <c r="AM32" s="63" t="s">
        <v>540</v>
      </c>
      <c r="AN32" s="63" t="s">
        <v>541</v>
      </c>
      <c r="AO32" s="62" t="s">
        <v>83</v>
      </c>
      <c r="AP32" s="64" t="s">
        <v>542</v>
      </c>
      <c r="AQ32" s="64" t="s">
        <v>543</v>
      </c>
      <c r="AR32" s="64" t="s">
        <v>544</v>
      </c>
      <c r="AS32" s="64" t="s">
        <v>545</v>
      </c>
      <c r="AT32" s="64" t="s">
        <v>546</v>
      </c>
      <c r="AU32" s="64" t="s">
        <v>547</v>
      </c>
      <c r="AV32" s="64" t="s">
        <v>548</v>
      </c>
      <c r="AW32" s="64" t="s">
        <v>549</v>
      </c>
      <c r="AX32" s="64" t="s">
        <v>550</v>
      </c>
      <c r="AY32" s="64" t="s">
        <v>551</v>
      </c>
      <c r="AZ32" s="64" t="s">
        <v>552</v>
      </c>
      <c r="BA32" s="64" t="s">
        <v>553</v>
      </c>
      <c r="BB32" s="62" t="s">
        <v>84</v>
      </c>
      <c r="BC32" s="63" t="s">
        <v>554</v>
      </c>
      <c r="BD32" s="63" t="s">
        <v>555</v>
      </c>
      <c r="BE32" s="63" t="s">
        <v>556</v>
      </c>
      <c r="BF32" s="63" t="s">
        <v>557</v>
      </c>
      <c r="BG32" s="63" t="s">
        <v>558</v>
      </c>
      <c r="BH32" s="63" t="s">
        <v>559</v>
      </c>
      <c r="BI32" s="63" t="s">
        <v>560</v>
      </c>
      <c r="BJ32" s="63" t="s">
        <v>561</v>
      </c>
      <c r="BK32" s="63" t="s">
        <v>562</v>
      </c>
      <c r="BL32" s="63" t="s">
        <v>563</v>
      </c>
      <c r="BM32" s="63" t="s">
        <v>564</v>
      </c>
      <c r="BN32" s="63" t="s">
        <v>565</v>
      </c>
    </row>
    <row r="33" customFormat="false" ht="15" hidden="false" customHeight="false" outlineLevel="0" collapsed="false">
      <c r="A33" s="12" t="s">
        <v>596</v>
      </c>
      <c r="B33" s="73" t="n">
        <f aca="false">SUM(C33:N33)</f>
        <v>0</v>
      </c>
      <c r="C33" s="74"/>
      <c r="D33" s="74"/>
      <c r="E33" s="74"/>
      <c r="F33" s="74"/>
      <c r="G33" s="74"/>
      <c r="H33" s="74"/>
      <c r="I33" s="74"/>
      <c r="J33" s="74"/>
      <c r="K33" s="74"/>
      <c r="L33" s="74"/>
      <c r="M33" s="74"/>
      <c r="N33" s="74"/>
      <c r="O33" s="73" t="n">
        <f aca="false">SUM(P33:AA33)</f>
        <v>0</v>
      </c>
      <c r="P33" s="74"/>
      <c r="Q33" s="74"/>
      <c r="R33" s="74"/>
      <c r="S33" s="74"/>
      <c r="T33" s="74"/>
      <c r="U33" s="74"/>
      <c r="V33" s="74"/>
      <c r="W33" s="74"/>
      <c r="X33" s="74"/>
      <c r="Y33" s="74"/>
      <c r="Z33" s="74"/>
      <c r="AA33" s="74"/>
      <c r="AB33" s="73" t="n">
        <f aca="false">SUM(AC33:AN33)</f>
        <v>0</v>
      </c>
      <c r="AC33" s="74"/>
      <c r="AD33" s="74"/>
      <c r="AE33" s="74"/>
      <c r="AF33" s="74"/>
      <c r="AG33" s="74"/>
      <c r="AH33" s="74"/>
      <c r="AI33" s="74"/>
      <c r="AJ33" s="74"/>
      <c r="AK33" s="74"/>
      <c r="AL33" s="74"/>
      <c r="AM33" s="74"/>
      <c r="AN33" s="74"/>
      <c r="AO33" s="73" t="n">
        <f aca="false">SUM(AP33:BA33)</f>
        <v>0</v>
      </c>
      <c r="AP33" s="74"/>
      <c r="AQ33" s="74"/>
      <c r="AR33" s="74"/>
      <c r="AS33" s="74"/>
      <c r="AT33" s="74"/>
      <c r="AU33" s="74"/>
      <c r="AV33" s="74"/>
      <c r="AW33" s="74"/>
      <c r="AX33" s="74"/>
      <c r="AY33" s="74"/>
      <c r="AZ33" s="74"/>
      <c r="BA33" s="74"/>
      <c r="BB33" s="73" t="n">
        <f aca="false">SUM(BC33:BN33)</f>
        <v>0</v>
      </c>
      <c r="BC33" s="74"/>
      <c r="BD33" s="74"/>
      <c r="BE33" s="74"/>
      <c r="BF33" s="74"/>
      <c r="BG33" s="74"/>
      <c r="BH33" s="74"/>
      <c r="BI33" s="74"/>
      <c r="BJ33" s="74"/>
      <c r="BK33" s="74"/>
      <c r="BL33" s="74"/>
      <c r="BM33" s="74"/>
      <c r="BN33" s="74"/>
    </row>
    <row r="34" customFormat="false" ht="15" hidden="false" customHeight="false" outlineLevel="0" collapsed="false">
      <c r="A34" s="12" t="s">
        <v>597</v>
      </c>
      <c r="B34" s="73" t="n">
        <f aca="false">SUM(C34:N34)</f>
        <v>0</v>
      </c>
      <c r="C34" s="74"/>
      <c r="D34" s="74"/>
      <c r="E34" s="74"/>
      <c r="F34" s="74"/>
      <c r="G34" s="74"/>
      <c r="H34" s="74"/>
      <c r="I34" s="74"/>
      <c r="J34" s="74"/>
      <c r="K34" s="74"/>
      <c r="L34" s="74"/>
      <c r="M34" s="74"/>
      <c r="N34" s="74"/>
      <c r="O34" s="73" t="n">
        <f aca="false">SUM(P34:AA34)</f>
        <v>0</v>
      </c>
      <c r="P34" s="74"/>
      <c r="Q34" s="74"/>
      <c r="R34" s="74"/>
      <c r="S34" s="74"/>
      <c r="T34" s="74"/>
      <c r="U34" s="74"/>
      <c r="V34" s="74"/>
      <c r="W34" s="74"/>
      <c r="X34" s="74"/>
      <c r="Y34" s="74"/>
      <c r="Z34" s="74"/>
      <c r="AA34" s="74"/>
      <c r="AB34" s="73" t="n">
        <f aca="false">SUM(AC34:AN34)</f>
        <v>0</v>
      </c>
      <c r="AC34" s="74"/>
      <c r="AD34" s="74"/>
      <c r="AE34" s="74"/>
      <c r="AF34" s="74"/>
      <c r="AG34" s="74"/>
      <c r="AH34" s="74"/>
      <c r="AI34" s="74"/>
      <c r="AJ34" s="74"/>
      <c r="AK34" s="74"/>
      <c r="AL34" s="74"/>
      <c r="AM34" s="74"/>
      <c r="AN34" s="74"/>
      <c r="AO34" s="73" t="n">
        <f aca="false">SUM(AP34:BA34)</f>
        <v>0</v>
      </c>
      <c r="AP34" s="74"/>
      <c r="AQ34" s="74"/>
      <c r="AR34" s="74"/>
      <c r="AS34" s="74"/>
      <c r="AT34" s="74"/>
      <c r="AU34" s="74"/>
      <c r="AV34" s="74"/>
      <c r="AW34" s="74"/>
      <c r="AX34" s="74"/>
      <c r="AY34" s="74"/>
      <c r="AZ34" s="74"/>
      <c r="BA34" s="74"/>
      <c r="BB34" s="73" t="n">
        <f aca="false">SUM(BC34:BN34)</f>
        <v>0</v>
      </c>
      <c r="BC34" s="74"/>
      <c r="BD34" s="74"/>
      <c r="BE34" s="74"/>
      <c r="BF34" s="74"/>
      <c r="BG34" s="74"/>
      <c r="BH34" s="74"/>
      <c r="BI34" s="74"/>
      <c r="BJ34" s="74"/>
      <c r="BK34" s="74"/>
      <c r="BL34" s="74"/>
      <c r="BM34" s="74"/>
      <c r="BN34" s="74"/>
    </row>
    <row r="35" customFormat="false" ht="15" hidden="false" customHeight="false" outlineLevel="0" collapsed="false">
      <c r="A35" s="12" t="s">
        <v>598</v>
      </c>
      <c r="B35" s="73" t="n">
        <f aca="false">SUM(C35:N35)</f>
        <v>0</v>
      </c>
      <c r="C35" s="74"/>
      <c r="D35" s="74"/>
      <c r="E35" s="74"/>
      <c r="F35" s="74"/>
      <c r="G35" s="74"/>
      <c r="H35" s="74"/>
      <c r="I35" s="74"/>
      <c r="J35" s="74"/>
      <c r="K35" s="74"/>
      <c r="L35" s="74"/>
      <c r="M35" s="74"/>
      <c r="N35" s="74"/>
      <c r="O35" s="73" t="n">
        <f aca="false">SUM(P35:AA35)</f>
        <v>0</v>
      </c>
      <c r="P35" s="74"/>
      <c r="Q35" s="74"/>
      <c r="R35" s="74"/>
      <c r="S35" s="74"/>
      <c r="T35" s="74"/>
      <c r="U35" s="74"/>
      <c r="V35" s="74"/>
      <c r="W35" s="74"/>
      <c r="X35" s="74"/>
      <c r="Y35" s="74"/>
      <c r="Z35" s="74"/>
      <c r="AA35" s="74"/>
      <c r="AB35" s="73" t="n">
        <f aca="false">SUM(AC35:AN35)</f>
        <v>0</v>
      </c>
      <c r="AC35" s="74"/>
      <c r="AD35" s="74"/>
      <c r="AE35" s="74"/>
      <c r="AF35" s="74"/>
      <c r="AG35" s="74"/>
      <c r="AH35" s="74"/>
      <c r="AI35" s="74"/>
      <c r="AJ35" s="74"/>
      <c r="AK35" s="74"/>
      <c r="AL35" s="74"/>
      <c r="AM35" s="74"/>
      <c r="AN35" s="74"/>
      <c r="AO35" s="73" t="n">
        <f aca="false">SUM(AP35:BA35)</f>
        <v>0</v>
      </c>
      <c r="AP35" s="74"/>
      <c r="AQ35" s="74"/>
      <c r="AR35" s="74"/>
      <c r="AS35" s="74"/>
      <c r="AT35" s="74"/>
      <c r="AU35" s="74"/>
      <c r="AV35" s="74"/>
      <c r="AW35" s="74"/>
      <c r="AX35" s="74"/>
      <c r="AY35" s="74"/>
      <c r="AZ35" s="74"/>
      <c r="BA35" s="74"/>
      <c r="BB35" s="73" t="n">
        <f aca="false">SUM(BC35:BN35)</f>
        <v>0</v>
      </c>
      <c r="BC35" s="74"/>
      <c r="BD35" s="74"/>
      <c r="BE35" s="74"/>
      <c r="BF35" s="74"/>
      <c r="BG35" s="74"/>
      <c r="BH35" s="74"/>
      <c r="BI35" s="74"/>
      <c r="BJ35" s="74"/>
      <c r="BK35" s="74"/>
      <c r="BL35" s="74"/>
      <c r="BM35" s="74"/>
      <c r="BN35" s="74"/>
    </row>
    <row r="36" customFormat="false" ht="15" hidden="false" customHeight="false" outlineLevel="0" collapsed="false">
      <c r="A36" s="12" t="s">
        <v>599</v>
      </c>
      <c r="B36" s="73" t="n">
        <f aca="false">SUM(C36:N36)</f>
        <v>0</v>
      </c>
      <c r="C36" s="74"/>
      <c r="D36" s="74"/>
      <c r="E36" s="74"/>
      <c r="F36" s="74"/>
      <c r="G36" s="74"/>
      <c r="H36" s="74"/>
      <c r="I36" s="74"/>
      <c r="J36" s="74"/>
      <c r="K36" s="74"/>
      <c r="L36" s="74"/>
      <c r="M36" s="74"/>
      <c r="N36" s="74"/>
      <c r="O36" s="73" t="n">
        <f aca="false">SUM(P36:AA36)</f>
        <v>0</v>
      </c>
      <c r="P36" s="74"/>
      <c r="Q36" s="74"/>
      <c r="R36" s="74"/>
      <c r="S36" s="74"/>
      <c r="T36" s="74"/>
      <c r="U36" s="74"/>
      <c r="V36" s="74"/>
      <c r="W36" s="74"/>
      <c r="X36" s="74"/>
      <c r="Y36" s="74"/>
      <c r="Z36" s="74"/>
      <c r="AA36" s="74"/>
      <c r="AB36" s="73" t="n">
        <f aca="false">SUM(AC36:AN36)</f>
        <v>0</v>
      </c>
      <c r="AC36" s="74"/>
      <c r="AD36" s="74"/>
      <c r="AE36" s="74"/>
      <c r="AF36" s="74"/>
      <c r="AG36" s="74"/>
      <c r="AH36" s="74"/>
      <c r="AI36" s="74"/>
      <c r="AJ36" s="74"/>
      <c r="AK36" s="74"/>
      <c r="AL36" s="74"/>
      <c r="AM36" s="74"/>
      <c r="AN36" s="74"/>
      <c r="AO36" s="73" t="n">
        <f aca="false">SUM(AP36:BA36)</f>
        <v>0</v>
      </c>
      <c r="AP36" s="74"/>
      <c r="AQ36" s="74"/>
      <c r="AR36" s="74"/>
      <c r="AS36" s="74"/>
      <c r="AT36" s="74"/>
      <c r="AU36" s="74"/>
      <c r="AV36" s="74"/>
      <c r="AW36" s="74"/>
      <c r="AX36" s="74"/>
      <c r="AY36" s="74"/>
      <c r="AZ36" s="74"/>
      <c r="BA36" s="74"/>
      <c r="BB36" s="73" t="n">
        <f aca="false">SUM(BC36:BN36)</f>
        <v>0</v>
      </c>
      <c r="BC36" s="74"/>
      <c r="BD36" s="74"/>
      <c r="BE36" s="74"/>
      <c r="BF36" s="74"/>
      <c r="BG36" s="74"/>
      <c r="BH36" s="74"/>
      <c r="BI36" s="74"/>
      <c r="BJ36" s="74"/>
      <c r="BK36" s="74"/>
      <c r="BL36" s="74"/>
      <c r="BM36" s="74"/>
      <c r="BN36" s="74"/>
    </row>
    <row r="37" customFormat="false" ht="15" hidden="false" customHeight="false" outlineLevel="0" collapsed="false">
      <c r="A37" s="12" t="s">
        <v>600</v>
      </c>
      <c r="B37" s="75" t="n">
        <f aca="false">N37</f>
        <v>0</v>
      </c>
      <c r="C37" s="76"/>
      <c r="D37" s="76"/>
      <c r="E37" s="76"/>
      <c r="F37" s="76"/>
      <c r="G37" s="76"/>
      <c r="H37" s="76"/>
      <c r="I37" s="76"/>
      <c r="J37" s="76"/>
      <c r="K37" s="76"/>
      <c r="L37" s="76"/>
      <c r="M37" s="76"/>
      <c r="N37" s="76"/>
      <c r="O37" s="75" t="n">
        <f aca="false">AA37</f>
        <v>0</v>
      </c>
      <c r="P37" s="76"/>
      <c r="Q37" s="76"/>
      <c r="R37" s="76"/>
      <c r="S37" s="76"/>
      <c r="T37" s="76"/>
      <c r="U37" s="76"/>
      <c r="V37" s="76"/>
      <c r="W37" s="76"/>
      <c r="X37" s="76"/>
      <c r="Y37" s="76"/>
      <c r="Z37" s="76"/>
      <c r="AA37" s="76"/>
      <c r="AB37" s="75" t="n">
        <f aca="false">AN37</f>
        <v>0</v>
      </c>
      <c r="AC37" s="76"/>
      <c r="AD37" s="76"/>
      <c r="AE37" s="76"/>
      <c r="AF37" s="76"/>
      <c r="AG37" s="76"/>
      <c r="AH37" s="76"/>
      <c r="AI37" s="76"/>
      <c r="AJ37" s="76"/>
      <c r="AK37" s="76"/>
      <c r="AL37" s="76"/>
      <c r="AM37" s="76"/>
      <c r="AN37" s="76"/>
      <c r="AO37" s="75" t="n">
        <f aca="false">BA37</f>
        <v>0</v>
      </c>
      <c r="AP37" s="76"/>
      <c r="AQ37" s="76"/>
      <c r="AR37" s="76"/>
      <c r="AS37" s="76"/>
      <c r="AT37" s="76"/>
      <c r="AU37" s="76"/>
      <c r="AV37" s="76"/>
      <c r="AW37" s="76"/>
      <c r="AX37" s="76"/>
      <c r="AY37" s="76"/>
      <c r="AZ37" s="76"/>
      <c r="BA37" s="76"/>
      <c r="BB37" s="75" t="n">
        <f aca="false">BN37</f>
        <v>0</v>
      </c>
      <c r="BC37" s="76"/>
      <c r="BD37" s="76"/>
      <c r="BE37" s="76"/>
      <c r="BF37" s="76"/>
      <c r="BG37" s="76"/>
      <c r="BH37" s="76"/>
      <c r="BI37" s="76"/>
      <c r="BJ37" s="76"/>
      <c r="BK37" s="76"/>
      <c r="BL37" s="76"/>
      <c r="BM37" s="76"/>
      <c r="BN37" s="76"/>
    </row>
    <row r="38" customFormat="false" ht="15" hidden="false" customHeight="false" outlineLevel="0" collapsed="false">
      <c r="A38" s="12" t="s">
        <v>601</v>
      </c>
      <c r="B38" s="75" t="n">
        <f aca="false">N38</f>
        <v>0</v>
      </c>
      <c r="C38" s="76"/>
      <c r="D38" s="76"/>
      <c r="E38" s="76"/>
      <c r="F38" s="76"/>
      <c r="G38" s="76"/>
      <c r="H38" s="76"/>
      <c r="I38" s="76"/>
      <c r="J38" s="76"/>
      <c r="K38" s="76"/>
      <c r="L38" s="76"/>
      <c r="M38" s="76"/>
      <c r="N38" s="76"/>
      <c r="O38" s="75" t="n">
        <f aca="false">AA38</f>
        <v>0</v>
      </c>
      <c r="P38" s="76"/>
      <c r="Q38" s="76"/>
      <c r="R38" s="76"/>
      <c r="S38" s="76"/>
      <c r="T38" s="76"/>
      <c r="U38" s="76"/>
      <c r="V38" s="76"/>
      <c r="W38" s="76"/>
      <c r="X38" s="76"/>
      <c r="Y38" s="76"/>
      <c r="Z38" s="76"/>
      <c r="AA38" s="76"/>
      <c r="AB38" s="75" t="n">
        <f aca="false">AN38</f>
        <v>0</v>
      </c>
      <c r="AC38" s="76"/>
      <c r="AD38" s="76"/>
      <c r="AE38" s="76"/>
      <c r="AF38" s="76"/>
      <c r="AG38" s="76"/>
      <c r="AH38" s="76"/>
      <c r="AI38" s="76"/>
      <c r="AJ38" s="76"/>
      <c r="AK38" s="76"/>
      <c r="AL38" s="76"/>
      <c r="AM38" s="76"/>
      <c r="AN38" s="76"/>
      <c r="AO38" s="75" t="n">
        <f aca="false">BA38</f>
        <v>0</v>
      </c>
      <c r="AP38" s="76"/>
      <c r="AQ38" s="76"/>
      <c r="AR38" s="76"/>
      <c r="AS38" s="76"/>
      <c r="AT38" s="76"/>
      <c r="AU38" s="76"/>
      <c r="AV38" s="76"/>
      <c r="AW38" s="76"/>
      <c r="AX38" s="76"/>
      <c r="AY38" s="76"/>
      <c r="AZ38" s="76"/>
      <c r="BA38" s="76"/>
      <c r="BB38" s="75" t="n">
        <f aca="false">BN38</f>
        <v>0</v>
      </c>
      <c r="BC38" s="76"/>
      <c r="BD38" s="76"/>
      <c r="BE38" s="76"/>
      <c r="BF38" s="76"/>
      <c r="BG38" s="76"/>
      <c r="BH38" s="76"/>
      <c r="BI38" s="76"/>
      <c r="BJ38" s="76"/>
      <c r="BK38" s="76"/>
      <c r="BL38" s="76"/>
      <c r="BM38" s="76"/>
      <c r="BN38" s="76"/>
    </row>
    <row r="40" customFormat="false" ht="16.5" hidden="false" customHeight="true" outlineLevel="0" collapsed="false">
      <c r="A40" s="15" t="s">
        <v>602</v>
      </c>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row>
    <row r="41" customFormat="false" ht="15" hidden="false" customHeight="true" outlineLevel="0" collapsed="false">
      <c r="A41" s="26" t="s">
        <v>505</v>
      </c>
      <c r="B41" s="62" t="s">
        <v>80</v>
      </c>
      <c r="C41" s="63" t="s">
        <v>506</v>
      </c>
      <c r="D41" s="63" t="s">
        <v>507</v>
      </c>
      <c r="E41" s="63" t="s">
        <v>508</v>
      </c>
      <c r="F41" s="63" t="s">
        <v>509</v>
      </c>
      <c r="G41" s="63" t="s">
        <v>510</v>
      </c>
      <c r="H41" s="63" t="s">
        <v>511</v>
      </c>
      <c r="I41" s="63" t="s">
        <v>512</v>
      </c>
      <c r="J41" s="63" t="s">
        <v>513</v>
      </c>
      <c r="K41" s="63" t="s">
        <v>514</v>
      </c>
      <c r="L41" s="63" t="s">
        <v>515</v>
      </c>
      <c r="M41" s="63" t="s">
        <v>516</v>
      </c>
      <c r="N41" s="63" t="s">
        <v>517</v>
      </c>
      <c r="O41" s="62" t="s">
        <v>81</v>
      </c>
      <c r="P41" s="64" t="s">
        <v>518</v>
      </c>
      <c r="Q41" s="64" t="s">
        <v>519</v>
      </c>
      <c r="R41" s="64" t="s">
        <v>520</v>
      </c>
      <c r="S41" s="64" t="s">
        <v>521</v>
      </c>
      <c r="T41" s="64" t="s">
        <v>522</v>
      </c>
      <c r="U41" s="64" t="s">
        <v>523</v>
      </c>
      <c r="V41" s="64" t="s">
        <v>524</v>
      </c>
      <c r="W41" s="64" t="s">
        <v>525</v>
      </c>
      <c r="X41" s="64" t="s">
        <v>526</v>
      </c>
      <c r="Y41" s="64" t="s">
        <v>527</v>
      </c>
      <c r="Z41" s="64" t="s">
        <v>528</v>
      </c>
      <c r="AA41" s="64" t="s">
        <v>529</v>
      </c>
      <c r="AB41" s="62" t="s">
        <v>82</v>
      </c>
      <c r="AC41" s="63" t="s">
        <v>530</v>
      </c>
      <c r="AD41" s="63" t="s">
        <v>531</v>
      </c>
      <c r="AE41" s="63" t="s">
        <v>532</v>
      </c>
      <c r="AF41" s="63" t="s">
        <v>533</v>
      </c>
      <c r="AG41" s="63" t="s">
        <v>534</v>
      </c>
      <c r="AH41" s="63" t="s">
        <v>535</v>
      </c>
      <c r="AI41" s="63" t="s">
        <v>536</v>
      </c>
      <c r="AJ41" s="63" t="s">
        <v>537</v>
      </c>
      <c r="AK41" s="63" t="s">
        <v>538</v>
      </c>
      <c r="AL41" s="63" t="s">
        <v>539</v>
      </c>
      <c r="AM41" s="63" t="s">
        <v>540</v>
      </c>
      <c r="AN41" s="63" t="s">
        <v>541</v>
      </c>
      <c r="AO41" s="62" t="s">
        <v>83</v>
      </c>
      <c r="AP41" s="64" t="s">
        <v>542</v>
      </c>
      <c r="AQ41" s="64" t="s">
        <v>543</v>
      </c>
      <c r="AR41" s="64" t="s">
        <v>544</v>
      </c>
      <c r="AS41" s="64" t="s">
        <v>545</v>
      </c>
      <c r="AT41" s="64" t="s">
        <v>546</v>
      </c>
      <c r="AU41" s="64" t="s">
        <v>547</v>
      </c>
      <c r="AV41" s="64" t="s">
        <v>548</v>
      </c>
      <c r="AW41" s="64" t="s">
        <v>549</v>
      </c>
      <c r="AX41" s="64" t="s">
        <v>550</v>
      </c>
      <c r="AY41" s="64" t="s">
        <v>551</v>
      </c>
      <c r="AZ41" s="64" t="s">
        <v>552</v>
      </c>
      <c r="BA41" s="64" t="s">
        <v>553</v>
      </c>
      <c r="BB41" s="62" t="s">
        <v>84</v>
      </c>
      <c r="BC41" s="63" t="s">
        <v>554</v>
      </c>
      <c r="BD41" s="63" t="s">
        <v>555</v>
      </c>
      <c r="BE41" s="63" t="s">
        <v>556</v>
      </c>
      <c r="BF41" s="63" t="s">
        <v>557</v>
      </c>
      <c r="BG41" s="63" t="s">
        <v>558</v>
      </c>
      <c r="BH41" s="63" t="s">
        <v>559</v>
      </c>
      <c r="BI41" s="63" t="s">
        <v>560</v>
      </c>
      <c r="BJ41" s="63" t="s">
        <v>561</v>
      </c>
      <c r="BK41" s="63" t="s">
        <v>562</v>
      </c>
      <c r="BL41" s="63" t="s">
        <v>563</v>
      </c>
      <c r="BM41" s="63" t="s">
        <v>564</v>
      </c>
      <c r="BN41" s="63" t="s">
        <v>565</v>
      </c>
    </row>
    <row r="42" customFormat="false" ht="15" hidden="false" customHeight="false" outlineLevel="0" collapsed="false">
      <c r="A42" s="12" t="s">
        <v>603</v>
      </c>
      <c r="B42" s="65" t="n">
        <f aca="false">SUM(C42:N42)</f>
        <v>111092.203503409</v>
      </c>
      <c r="C42" s="77" t="n">
        <f aca="false">'Total Revenue'!C$25</f>
        <v>1925.02138465909</v>
      </c>
      <c r="D42" s="77" t="n">
        <f aca="false">'Total Revenue'!D$25</f>
        <v>2368.79901931818</v>
      </c>
      <c r="E42" s="77" t="n">
        <f aca="false">'Total Revenue'!E$25</f>
        <v>2894.08415397727</v>
      </c>
      <c r="F42" s="77" t="n">
        <f aca="false">'Total Revenue'!F$25</f>
        <v>4645.28953863636</v>
      </c>
      <c r="G42" s="77" t="n">
        <f aca="false">'Total Revenue'!G$25</f>
        <v>5447.09117329546</v>
      </c>
      <c r="H42" s="77" t="n">
        <f aca="false">'Total Revenue'!H$25</f>
        <v>6403.36830795455</v>
      </c>
      <c r="I42" s="77" t="n">
        <f aca="false">'Total Revenue'!I$25</f>
        <v>6599.65869261364</v>
      </c>
      <c r="J42" s="77" t="n">
        <f aca="false">'Total Revenue'!J$25</f>
        <v>7729.38907727273</v>
      </c>
      <c r="K42" s="77" t="n">
        <f aca="false">'Total Revenue'!K$25</f>
        <v>9079.12746193182</v>
      </c>
      <c r="L42" s="77" t="n">
        <f aca="false">'Total Revenue'!L$25</f>
        <v>17920.7618465909</v>
      </c>
      <c r="M42" s="77" t="n">
        <f aca="false">'Total Revenue'!M$25</f>
        <v>21122.52623125</v>
      </c>
      <c r="N42" s="77" t="n">
        <f aca="false">'Total Revenue'!N$25</f>
        <v>24957.0866159091</v>
      </c>
      <c r="O42" s="65" t="n">
        <f aca="false">SUM(P42:AA42)</f>
        <v>897001.554313258</v>
      </c>
      <c r="P42" s="77" t="n">
        <f aca="false">'Total Revenue'!P$25</f>
        <v>24884.9474931187</v>
      </c>
      <c r="Q42" s="77" t="n">
        <f aca="false">'Total Revenue'!Q$25</f>
        <v>29323.8029536616</v>
      </c>
      <c r="R42" s="77" t="n">
        <f aca="false">'Total Revenue'!R$25</f>
        <v>34616.4919142046</v>
      </c>
      <c r="S42" s="77" t="n">
        <f aca="false">'Total Revenue'!S$25</f>
        <v>42331.8781247475</v>
      </c>
      <c r="T42" s="77" t="n">
        <f aca="false">'Total Revenue'!T$25</f>
        <v>49869.4455852904</v>
      </c>
      <c r="U42" s="77" t="n">
        <f aca="false">'Total Revenue'!U$25</f>
        <v>58878.4305458333</v>
      </c>
      <c r="V42" s="77" t="n">
        <f aca="false">'Total Revenue'!V$25</f>
        <v>70422.1557563763</v>
      </c>
      <c r="W42" s="77" t="n">
        <f aca="false">'Total Revenue'!W$25</f>
        <v>82986.4084669192</v>
      </c>
      <c r="X42" s="77" t="n">
        <f aca="false">'Total Revenue'!X$25</f>
        <v>98023.2941774621</v>
      </c>
      <c r="Y42" s="77" t="n">
        <f aca="false">'Total Revenue'!Y$25</f>
        <v>113732.686054672</v>
      </c>
      <c r="Z42" s="77" t="n">
        <f aca="false">'Total Revenue'!Z$25</f>
        <v>133892.188765215</v>
      </c>
      <c r="AA42" s="77" t="n">
        <f aca="false">'Total Revenue'!AA$25</f>
        <v>158039.824475758</v>
      </c>
      <c r="AB42" s="65" t="n">
        <f aca="false">SUM(AC42:AN42)</f>
        <v>3342076.96762152</v>
      </c>
      <c r="AC42" s="77" t="n">
        <f aca="false">'Total Revenue'!AC$25</f>
        <v>168229.208705404</v>
      </c>
      <c r="AD42" s="77" t="n">
        <f aca="false">'Total Revenue'!AD$25</f>
        <v>198178.998768384</v>
      </c>
      <c r="AE42" s="77" t="n">
        <f aca="false">'Total Revenue'!AE$25</f>
        <v>234026.595831364</v>
      </c>
      <c r="AF42" s="77" t="n">
        <f aca="false">'Total Revenue'!AF$25</f>
        <v>205045.962727677</v>
      </c>
      <c r="AG42" s="77" t="n">
        <f aca="false">'Total Revenue'!AG$25</f>
        <v>241137.553790657</v>
      </c>
      <c r="AH42" s="77" t="n">
        <f aca="false">'Total Revenue'!AH$25</f>
        <v>284349.333853636</v>
      </c>
      <c r="AI42" s="77" t="n">
        <f aca="false">'Total Revenue'!AI$25</f>
        <v>266723.539416616</v>
      </c>
      <c r="AJ42" s="77" t="n">
        <f aca="false">'Total Revenue'!AJ$25</f>
        <v>313142.897479596</v>
      </c>
      <c r="AK42" s="77" t="n">
        <f aca="false">'Total Revenue'!AK$25</f>
        <v>368743.638542576</v>
      </c>
      <c r="AL42" s="77" t="n">
        <f aca="false">'Total Revenue'!AL$25</f>
        <v>299459.125438889</v>
      </c>
      <c r="AM42" s="77" t="n">
        <f aca="false">'Total Revenue'!AM$25</f>
        <v>350779.736501869</v>
      </c>
      <c r="AN42" s="77" t="n">
        <f aca="false">'Total Revenue'!AN$25</f>
        <v>412260.376564848</v>
      </c>
      <c r="AO42" s="65" t="n">
        <f aca="false">SUM(AP42:BA42)</f>
        <v>6651975.79649727</v>
      </c>
      <c r="AP42" s="77" t="n">
        <f aca="false">'Total Revenue'!AP$25</f>
        <v>375417.438335606</v>
      </c>
      <c r="AQ42" s="77" t="n">
        <f aca="false">'Total Revenue'!AQ$25</f>
        <v>439829.14827303</v>
      </c>
      <c r="AR42" s="77" t="n">
        <f aca="false">'Total Revenue'!AR$25</f>
        <v>516984.276010455</v>
      </c>
      <c r="AS42" s="77" t="n">
        <f aca="false">'Total Revenue'!AS$25</f>
        <v>445982.860447879</v>
      </c>
      <c r="AT42" s="77" t="n">
        <f aca="false">'Total Revenue'!AT$25</f>
        <v>521837.086385303</v>
      </c>
      <c r="AU42" s="77" t="n">
        <f aca="false">'Total Revenue'!AU$25</f>
        <v>612717.042122727</v>
      </c>
      <c r="AV42" s="77" t="n">
        <f aca="false">'Total Revenue'!AV$25</f>
        <v>496646.770560152</v>
      </c>
      <c r="AW42" s="77" t="n">
        <f aca="false">'Total Revenue'!AW$25</f>
        <v>579992.030497576</v>
      </c>
      <c r="AX42" s="77" t="n">
        <f aca="false">'Total Revenue'!AX$25</f>
        <v>679859.608235</v>
      </c>
      <c r="AY42" s="77" t="n">
        <f aca="false">'Total Revenue'!AY$25</f>
        <v>561233.859339091</v>
      </c>
      <c r="AZ42" s="77" t="n">
        <f aca="false">'Total Revenue'!AZ$25</f>
        <v>654721.635276515</v>
      </c>
      <c r="BA42" s="77" t="n">
        <f aca="false">'Total Revenue'!BA$25</f>
        <v>766754.041013939</v>
      </c>
      <c r="BB42" s="65" t="n">
        <f aca="false">SUM(BC42:BN42)</f>
        <v>10320927.9251864</v>
      </c>
      <c r="BC42" s="77" t="n">
        <f aca="false">'Total Revenue'!BC$25</f>
        <v>645090.466799121</v>
      </c>
      <c r="BD42" s="77" t="n">
        <f aca="false">'Total Revenue'!BD$25</f>
        <v>751874.781084301</v>
      </c>
      <c r="BE42" s="77" t="n">
        <f aca="false">'Total Revenue'!BE$25</f>
        <v>879830.081569482</v>
      </c>
      <c r="BF42" s="77" t="n">
        <f aca="false">'Total Revenue'!BF$25</f>
        <v>694729.409104663</v>
      </c>
      <c r="BG42" s="77" t="n">
        <f aca="false">'Total Revenue'!BG$25</f>
        <v>808322.400452344</v>
      </c>
      <c r="BH42" s="77" t="n">
        <f aca="false">'Total Revenue'!BH$25</f>
        <v>944449.628375025</v>
      </c>
      <c r="BI42" s="77" t="n">
        <f aca="false">'Total Revenue'!BI$25</f>
        <v>774724.643326873</v>
      </c>
      <c r="BJ42" s="77" t="n">
        <f aca="false">'Total Revenue'!BJ$25</f>
        <v>900820.951987054</v>
      </c>
      <c r="BK42" s="77" t="n">
        <f aca="false">'Total Revenue'!BK$25</f>
        <v>1051948.77309723</v>
      </c>
      <c r="BL42" s="77" t="n">
        <f aca="false">'Total Revenue'!BL$25</f>
        <v>816275.689799083</v>
      </c>
      <c r="BM42" s="77" t="n">
        <f aca="false">'Total Revenue'!BM$25</f>
        <v>947680.675521764</v>
      </c>
      <c r="BN42" s="77" t="n">
        <f aca="false">'Total Revenue'!BN$25</f>
        <v>1105180.42406944</v>
      </c>
    </row>
    <row r="43" customFormat="false" ht="15" hidden="false" customHeight="false" outlineLevel="0" collapsed="false">
      <c r="A43" s="18" t="s">
        <v>604</v>
      </c>
      <c r="B43" s="65" t="n">
        <f aca="false">SUM(C43:N43)</f>
        <v>0</v>
      </c>
      <c r="C43" s="78" t="n">
        <f aca="false">IF(C33=0,0,C33-C42)</f>
        <v>0</v>
      </c>
      <c r="D43" s="78" t="n">
        <f aca="false">IF(D33=0,0,D33-D42)</f>
        <v>0</v>
      </c>
      <c r="E43" s="78" t="n">
        <f aca="false">IF(E33=0,0,E33-E42)</f>
        <v>0</v>
      </c>
      <c r="F43" s="78" t="n">
        <f aca="false">IF(F33=0,0,F33-F42)</f>
        <v>0</v>
      </c>
      <c r="G43" s="78" t="n">
        <f aca="false">IF(G33=0,0,G33-G42)</f>
        <v>0</v>
      </c>
      <c r="H43" s="78" t="n">
        <f aca="false">IF(H33=0,0,H33-H42)</f>
        <v>0</v>
      </c>
      <c r="I43" s="78" t="n">
        <f aca="false">IF(I33=0,0,I33-I42)</f>
        <v>0</v>
      </c>
      <c r="J43" s="78" t="n">
        <f aca="false">IF(J33=0,0,J33-J42)</f>
        <v>0</v>
      </c>
      <c r="K43" s="78" t="n">
        <f aca="false">IF(K33=0,0,K33-K42)</f>
        <v>0</v>
      </c>
      <c r="L43" s="78" t="n">
        <f aca="false">IF(L33=0,0,L33-L42)</f>
        <v>0</v>
      </c>
      <c r="M43" s="78" t="n">
        <f aca="false">IF(M33=0,0,M33-M42)</f>
        <v>0</v>
      </c>
      <c r="N43" s="78" t="n">
        <f aca="false">IF(N33=0,0,N33-N42)</f>
        <v>0</v>
      </c>
      <c r="O43" s="65" t="n">
        <f aca="false">SUM(P43:AA43)</f>
        <v>0</v>
      </c>
      <c r="P43" s="78" t="n">
        <f aca="false">IF(P33=0,0,P33-P42)</f>
        <v>0</v>
      </c>
      <c r="Q43" s="78" t="n">
        <f aca="false">IF(Q33=0,0,Q33-Q42)</f>
        <v>0</v>
      </c>
      <c r="R43" s="78" t="n">
        <f aca="false">IF(R33=0,0,R33-R42)</f>
        <v>0</v>
      </c>
      <c r="S43" s="78" t="n">
        <f aca="false">IF(S33=0,0,S33-S42)</f>
        <v>0</v>
      </c>
      <c r="T43" s="78" t="n">
        <f aca="false">IF(T33=0,0,T33-T42)</f>
        <v>0</v>
      </c>
      <c r="U43" s="78" t="n">
        <f aca="false">IF(U33=0,0,U33-U42)</f>
        <v>0</v>
      </c>
      <c r="V43" s="78" t="n">
        <f aca="false">IF(V33=0,0,V33-V42)</f>
        <v>0</v>
      </c>
      <c r="W43" s="78" t="n">
        <f aca="false">IF(W33=0,0,W33-W42)</f>
        <v>0</v>
      </c>
      <c r="X43" s="78" t="n">
        <f aca="false">IF(X33=0,0,X33-X42)</f>
        <v>0</v>
      </c>
      <c r="Y43" s="78" t="n">
        <f aca="false">IF(Y33=0,0,Y33-Y42)</f>
        <v>0</v>
      </c>
      <c r="Z43" s="78" t="n">
        <f aca="false">IF(Z33=0,0,Z33-Z42)</f>
        <v>0</v>
      </c>
      <c r="AA43" s="78" t="n">
        <f aca="false">IF(AA33=0,0,AA33-AA42)</f>
        <v>0</v>
      </c>
      <c r="AB43" s="65" t="n">
        <f aca="false">SUM(AC43:AN43)</f>
        <v>0</v>
      </c>
      <c r="AC43" s="78" t="n">
        <f aca="false">IF(AC33=0,0,AC33-AC42)</f>
        <v>0</v>
      </c>
      <c r="AD43" s="78" t="n">
        <f aca="false">IF(AD33=0,0,AD33-AD42)</f>
        <v>0</v>
      </c>
      <c r="AE43" s="78" t="n">
        <f aca="false">IF(AE33=0,0,AE33-AE42)</f>
        <v>0</v>
      </c>
      <c r="AF43" s="78" t="n">
        <f aca="false">IF(AF33=0,0,AF33-AF42)</f>
        <v>0</v>
      </c>
      <c r="AG43" s="78" t="n">
        <f aca="false">IF(AG33=0,0,AG33-AG42)</f>
        <v>0</v>
      </c>
      <c r="AH43" s="78" t="n">
        <f aca="false">IF(AH33=0,0,AH33-AH42)</f>
        <v>0</v>
      </c>
      <c r="AI43" s="78" t="n">
        <f aca="false">IF(AI33=0,0,AI33-AI42)</f>
        <v>0</v>
      </c>
      <c r="AJ43" s="78" t="n">
        <f aca="false">IF(AJ33=0,0,AJ33-AJ42)</f>
        <v>0</v>
      </c>
      <c r="AK43" s="78" t="n">
        <f aca="false">IF(AK33=0,0,AK33-AK42)</f>
        <v>0</v>
      </c>
      <c r="AL43" s="78" t="n">
        <f aca="false">IF(AL33=0,0,AL33-AL42)</f>
        <v>0</v>
      </c>
      <c r="AM43" s="78" t="n">
        <f aca="false">IF(AM33=0,0,AM33-AM42)</f>
        <v>0</v>
      </c>
      <c r="AN43" s="78" t="n">
        <f aca="false">IF(AN33=0,0,AN33-AN42)</f>
        <v>0</v>
      </c>
      <c r="AO43" s="65" t="n">
        <f aca="false">SUM(AP43:BA43)</f>
        <v>0</v>
      </c>
      <c r="AP43" s="78" t="n">
        <f aca="false">IF(AP33=0,0,AP33-AP42)</f>
        <v>0</v>
      </c>
      <c r="AQ43" s="78" t="n">
        <f aca="false">IF(AQ33=0,0,AQ33-AQ42)</f>
        <v>0</v>
      </c>
      <c r="AR43" s="78" t="n">
        <f aca="false">IF(AR33=0,0,AR33-AR42)</f>
        <v>0</v>
      </c>
      <c r="AS43" s="78" t="n">
        <f aca="false">IF(AS33=0,0,AS33-AS42)</f>
        <v>0</v>
      </c>
      <c r="AT43" s="78" t="n">
        <f aca="false">IF(AT33=0,0,AT33-AT42)</f>
        <v>0</v>
      </c>
      <c r="AU43" s="78" t="n">
        <f aca="false">IF(AU33=0,0,AU33-AU42)</f>
        <v>0</v>
      </c>
      <c r="AV43" s="78" t="n">
        <f aca="false">IF(AV33=0,0,AV33-AV42)</f>
        <v>0</v>
      </c>
      <c r="AW43" s="78" t="n">
        <f aca="false">IF(AW33=0,0,AW33-AW42)</f>
        <v>0</v>
      </c>
      <c r="AX43" s="78" t="n">
        <f aca="false">IF(AX33=0,0,AX33-AX42)</f>
        <v>0</v>
      </c>
      <c r="AY43" s="78" t="n">
        <f aca="false">IF(AY33=0,0,AY33-AY42)</f>
        <v>0</v>
      </c>
      <c r="AZ43" s="78" t="n">
        <f aca="false">IF(AZ33=0,0,AZ33-AZ42)</f>
        <v>0</v>
      </c>
      <c r="BA43" s="78" t="n">
        <f aca="false">IF(BA33=0,0,BA33-BA42)</f>
        <v>0</v>
      </c>
      <c r="BB43" s="65" t="n">
        <f aca="false">SUM(BC43:BN43)</f>
        <v>0</v>
      </c>
      <c r="BC43" s="78" t="n">
        <f aca="false">IF(BC33=0,0,BC33-BC42)</f>
        <v>0</v>
      </c>
      <c r="BD43" s="78" t="n">
        <f aca="false">IF(BD33=0,0,BD33-BD42)</f>
        <v>0</v>
      </c>
      <c r="BE43" s="78" t="n">
        <f aca="false">IF(BE33=0,0,BE33-BE42)</f>
        <v>0</v>
      </c>
      <c r="BF43" s="78" t="n">
        <f aca="false">IF(BF33=0,0,BF33-BF42)</f>
        <v>0</v>
      </c>
      <c r="BG43" s="78" t="n">
        <f aca="false">IF(BG33=0,0,BG33-BG42)</f>
        <v>0</v>
      </c>
      <c r="BH43" s="78" t="n">
        <f aca="false">IF(BH33=0,0,BH33-BH42)</f>
        <v>0</v>
      </c>
      <c r="BI43" s="78" t="n">
        <f aca="false">IF(BI33=0,0,BI33-BI42)</f>
        <v>0</v>
      </c>
      <c r="BJ43" s="78" t="n">
        <f aca="false">IF(BJ33=0,0,BJ33-BJ42)</f>
        <v>0</v>
      </c>
      <c r="BK43" s="78" t="n">
        <f aca="false">IF(BK33=0,0,BK33-BK42)</f>
        <v>0</v>
      </c>
      <c r="BL43" s="78" t="n">
        <f aca="false">IF(BL33=0,0,BL33-BL42)</f>
        <v>0</v>
      </c>
      <c r="BM43" s="78" t="n">
        <f aca="false">IF(BM33=0,0,BM33-BM42)</f>
        <v>0</v>
      </c>
      <c r="BN43" s="78" t="n">
        <f aca="false">IF(BN33=0,0,BN33-BN42)</f>
        <v>0</v>
      </c>
    </row>
    <row r="44" customFormat="false" ht="15" hidden="false" customHeight="false" outlineLevel="0" collapsed="false">
      <c r="A44" s="12" t="s">
        <v>605</v>
      </c>
      <c r="B44" s="65" t="n">
        <f aca="false">SUM(C44:N44)</f>
        <v>42151.25897458</v>
      </c>
      <c r="C44" s="77" t="n">
        <f aca="false">Expenses!C$23</f>
        <v>2847.96622999345</v>
      </c>
      <c r="D44" s="77" t="n">
        <f aca="false">Expenses!D$23</f>
        <v>3310.62316325144</v>
      </c>
      <c r="E44" s="77" t="n">
        <f aca="false">Expenses!E$23</f>
        <v>3864.26956908348</v>
      </c>
      <c r="F44" s="77" t="n">
        <f aca="false">Expenses!F$23</f>
        <v>1885.68157782349</v>
      </c>
      <c r="G44" s="77" t="n">
        <f aca="false">Expenses!G$23</f>
        <v>2157.25409007285</v>
      </c>
      <c r="H44" s="77" t="n">
        <f aca="false">Expenses!H$23</f>
        <v>2482.56617207039</v>
      </c>
      <c r="I44" s="77" t="n">
        <f aca="false">Expenses!I$23</f>
        <v>2352.1086487037</v>
      </c>
      <c r="J44" s="77" t="n">
        <f aca="false">Expenses!J$23</f>
        <v>2704.69920967851</v>
      </c>
      <c r="K44" s="77" t="n">
        <f aca="false">Expenses!K$23</f>
        <v>3127.31070077773</v>
      </c>
      <c r="L44" s="77" t="n">
        <f aca="false">Expenses!L$23</f>
        <v>4930.87551949514</v>
      </c>
      <c r="M44" s="77" t="n">
        <f aca="false">Expenses!M$23</f>
        <v>5751.86765744983</v>
      </c>
      <c r="N44" s="77" t="n">
        <f aca="false">Expenses!N$23</f>
        <v>6736.03643617995</v>
      </c>
      <c r="O44" s="65" t="n">
        <f aca="false">SUM(P44:AA44)</f>
        <v>243117.577940353</v>
      </c>
      <c r="P44" s="77" t="n">
        <f aca="false">Expenses!P$23</f>
        <v>7908.15966649961</v>
      </c>
      <c r="Q44" s="77" t="n">
        <f aca="false">Expenses!Q$23</f>
        <v>9151.13636892174</v>
      </c>
      <c r="R44" s="77" t="n">
        <f aca="false">Expenses!R$23</f>
        <v>10636.6477057787</v>
      </c>
      <c r="S44" s="77" t="n">
        <f aca="false">Expenses!S$23</f>
        <v>12240.9145852238</v>
      </c>
      <c r="T44" s="77" t="n">
        <f aca="false">Expenses!T$23</f>
        <v>14240.5493903151</v>
      </c>
      <c r="U44" s="77" t="n">
        <f aca="false">Expenses!U$23</f>
        <v>16634.8102107077</v>
      </c>
      <c r="V44" s="77" t="n">
        <f aca="false">Expenses!V$23</f>
        <v>18359.0119225117</v>
      </c>
      <c r="W44" s="77" t="n">
        <f aca="false">Expenses!W$23</f>
        <v>21451.4110303439</v>
      </c>
      <c r="X44" s="77" t="n">
        <f aca="false">Expenses!X$23</f>
        <v>25156.511080028</v>
      </c>
      <c r="Y44" s="77" t="n">
        <f aca="false">Expenses!Y$23</f>
        <v>30234.7872930546</v>
      </c>
      <c r="Z44" s="77" t="n">
        <f aca="false">Expenses!Z$23</f>
        <v>35434.7680103817</v>
      </c>
      <c r="AA44" s="77" t="n">
        <f aca="false">Expenses!AA$23</f>
        <v>41668.8706765859</v>
      </c>
      <c r="AB44" s="65" t="n">
        <f aca="false">SUM(AC44:AN44)</f>
        <v>917455.815718746</v>
      </c>
      <c r="AC44" s="77" t="n">
        <f aca="false">Expenses!AC$23</f>
        <v>45732.2515319905</v>
      </c>
      <c r="AD44" s="77" t="n">
        <f aca="false">Expenses!AD$23</f>
        <v>53540.8031711933</v>
      </c>
      <c r="AE44" s="77" t="n">
        <f aca="false">Expenses!AE$23</f>
        <v>62893.9127560463</v>
      </c>
      <c r="AF44" s="77" t="n">
        <f aca="false">Expenses!AF$23</f>
        <v>56723.3072006834</v>
      </c>
      <c r="AG44" s="77" t="n">
        <f aca="false">Expenses!AG$23</f>
        <v>66418.7786109906</v>
      </c>
      <c r="AH44" s="77" t="n">
        <f aca="false">Expenses!AH$23</f>
        <v>78038.7459501427</v>
      </c>
      <c r="AI44" s="77" t="n">
        <f aca="false">Expenses!AI$23</f>
        <v>72513.8622299474</v>
      </c>
      <c r="AJ44" s="77" t="n">
        <f aca="false">Expenses!AJ$23</f>
        <v>84940.612892997</v>
      </c>
      <c r="AK44" s="77" t="n">
        <f aca="false">Expenses!AK$23</f>
        <v>99840.7915045044</v>
      </c>
      <c r="AL44" s="77" t="n">
        <f aca="false">Expenses!AL$23</f>
        <v>83688.1137864633</v>
      </c>
      <c r="AM44" s="77" t="n">
        <f aca="false">Expenses!AM$23</f>
        <v>97986.8632022261</v>
      </c>
      <c r="AN44" s="77" t="n">
        <f aca="false">Expenses!AN$23</f>
        <v>115137.772881561</v>
      </c>
      <c r="AO44" s="65" t="n">
        <f aca="false">SUM(AP44:BA44)</f>
        <v>1858177.23848915</v>
      </c>
      <c r="AP44" s="77" t="n">
        <f aca="false">Expenses!AP$23</f>
        <v>104017.288025993</v>
      </c>
      <c r="AQ44" s="77" t="n">
        <f aca="false">Expenses!AQ$23</f>
        <v>121881.420307136</v>
      </c>
      <c r="AR44" s="77" t="n">
        <f aca="false">Expenses!AR$23</f>
        <v>143297.687279613</v>
      </c>
      <c r="AS44" s="77" t="n">
        <f aca="false">Expenses!AS$23</f>
        <v>124777.316921506</v>
      </c>
      <c r="AT44" s="77" t="n">
        <f aca="false">Expenses!AT$23</f>
        <v>146157.703106569</v>
      </c>
      <c r="AU44" s="77" t="n">
        <f aca="false">Expenses!AU$23</f>
        <v>171800.423160771</v>
      </c>
      <c r="AV44" s="77" t="n">
        <f aca="false">Expenses!AV$23</f>
        <v>137138.796839302</v>
      </c>
      <c r="AW44" s="77" t="n">
        <f aca="false">Expenses!AW$23</f>
        <v>160489.246461173</v>
      </c>
      <c r="AX44" s="77" t="n">
        <f aca="false">Expenses!AX$23</f>
        <v>188505.15941984</v>
      </c>
      <c r="AY44" s="77" t="n">
        <f aca="false">Expenses!AY$23</f>
        <v>158050.701919448</v>
      </c>
      <c r="AZ44" s="77" t="n">
        <f aca="false">Expenses!AZ$23</f>
        <v>184912.089552674</v>
      </c>
      <c r="BA44" s="77" t="n">
        <f aca="false">Expenses!BA$23</f>
        <v>217149.40549513</v>
      </c>
      <c r="BB44" s="65" t="n">
        <f aca="false">SUM(BC44:BN44)</f>
        <v>2930693.6187283</v>
      </c>
      <c r="BC44" s="77" t="n">
        <f aca="false">Expenses!BC$23</f>
        <v>181423.90147449</v>
      </c>
      <c r="BD44" s="77" t="n">
        <f aca="false">Expenses!BD$23</f>
        <v>212249.686697506</v>
      </c>
      <c r="BE44" s="77" t="n">
        <f aca="false">Expenses!BE$23</f>
        <v>249233.338326371</v>
      </c>
      <c r="BF44" s="77" t="n">
        <f aca="false">Expenses!BF$23</f>
        <v>196647.126046392</v>
      </c>
      <c r="BG44" s="77" t="n">
        <f aca="false">Expenses!BG$23</f>
        <v>229842.013899535</v>
      </c>
      <c r="BH44" s="77" t="n">
        <f aca="false">Expenses!BH$23</f>
        <v>269682.877950005</v>
      </c>
      <c r="BI44" s="77" t="n">
        <f aca="false">Expenses!BI$23</f>
        <v>217370.393005337</v>
      </c>
      <c r="BJ44" s="77" t="n">
        <f aca="false">Expenses!BJ$23</f>
        <v>253940.291338859</v>
      </c>
      <c r="BK44" s="77" t="n">
        <f aca="false">Expenses!BK$23</f>
        <v>297844.340131611</v>
      </c>
      <c r="BL44" s="77" t="n">
        <f aca="false">Expenses!BL$23</f>
        <v>232606.912142377</v>
      </c>
      <c r="BM44" s="77" t="n">
        <f aca="false">Expenses!BM$23</f>
        <v>271545.794560061</v>
      </c>
      <c r="BN44" s="77" t="n">
        <f aca="false">Expenses!BN$23</f>
        <v>318306.943155751</v>
      </c>
    </row>
    <row r="45" customFormat="false" ht="15" hidden="false" customHeight="false" outlineLevel="0" collapsed="false">
      <c r="A45" s="18" t="s">
        <v>606</v>
      </c>
      <c r="B45" s="65" t="n">
        <f aca="false">SUM(C45:N45)</f>
        <v>0</v>
      </c>
      <c r="C45" s="78" t="n">
        <f aca="false">IF(C34=0,0,C34-C44)</f>
        <v>0</v>
      </c>
      <c r="D45" s="78" t="n">
        <f aca="false">IF(D34=0,0,D34-D44)</f>
        <v>0</v>
      </c>
      <c r="E45" s="78" t="n">
        <f aca="false">IF(E34=0,0,E34-E44)</f>
        <v>0</v>
      </c>
      <c r="F45" s="78" t="n">
        <f aca="false">IF(F34=0,0,F34-F44)</f>
        <v>0</v>
      </c>
      <c r="G45" s="78" t="n">
        <f aca="false">IF(G34=0,0,G34-G44)</f>
        <v>0</v>
      </c>
      <c r="H45" s="78" t="n">
        <f aca="false">IF(H34=0,0,H34-H44)</f>
        <v>0</v>
      </c>
      <c r="I45" s="78" t="n">
        <f aca="false">IF(I34=0,0,I34-I44)</f>
        <v>0</v>
      </c>
      <c r="J45" s="78" t="n">
        <f aca="false">IF(J34=0,0,J34-J44)</f>
        <v>0</v>
      </c>
      <c r="K45" s="78" t="n">
        <f aca="false">IF(K34=0,0,K34-K44)</f>
        <v>0</v>
      </c>
      <c r="L45" s="78" t="n">
        <f aca="false">IF(L34=0,0,L34-L44)</f>
        <v>0</v>
      </c>
      <c r="M45" s="78" t="n">
        <f aca="false">IF(M34=0,0,M34-M44)</f>
        <v>0</v>
      </c>
      <c r="N45" s="78" t="n">
        <f aca="false">IF(N34=0,0,N34-N44)</f>
        <v>0</v>
      </c>
      <c r="O45" s="65" t="n">
        <f aca="false">SUM(P45:AA45)</f>
        <v>0</v>
      </c>
      <c r="P45" s="78" t="n">
        <f aca="false">IF(P34=0,0,P34-P44)</f>
        <v>0</v>
      </c>
      <c r="Q45" s="78" t="n">
        <f aca="false">IF(Q34=0,0,Q34-Q44)</f>
        <v>0</v>
      </c>
      <c r="R45" s="78" t="n">
        <f aca="false">IF(R34=0,0,R34-R44)</f>
        <v>0</v>
      </c>
      <c r="S45" s="78" t="n">
        <f aca="false">IF(S34=0,0,S34-S44)</f>
        <v>0</v>
      </c>
      <c r="T45" s="78" t="n">
        <f aca="false">IF(T34=0,0,T34-T44)</f>
        <v>0</v>
      </c>
      <c r="U45" s="78" t="n">
        <f aca="false">IF(U34=0,0,U34-U44)</f>
        <v>0</v>
      </c>
      <c r="V45" s="78" t="n">
        <f aca="false">IF(V34=0,0,V34-V44)</f>
        <v>0</v>
      </c>
      <c r="W45" s="78" t="n">
        <f aca="false">IF(W34=0,0,W34-W44)</f>
        <v>0</v>
      </c>
      <c r="X45" s="78" t="n">
        <f aca="false">IF(X34=0,0,X34-X44)</f>
        <v>0</v>
      </c>
      <c r="Y45" s="78" t="n">
        <f aca="false">IF(Y34=0,0,Y34-Y44)</f>
        <v>0</v>
      </c>
      <c r="Z45" s="78" t="n">
        <f aca="false">IF(Z34=0,0,Z34-Z44)</f>
        <v>0</v>
      </c>
      <c r="AA45" s="78" t="n">
        <f aca="false">IF(AA34=0,0,AA34-AA44)</f>
        <v>0</v>
      </c>
      <c r="AB45" s="65" t="n">
        <f aca="false">SUM(AC45:AN45)</f>
        <v>0</v>
      </c>
      <c r="AC45" s="78" t="n">
        <f aca="false">IF(AC34=0,0,AC34-AC44)</f>
        <v>0</v>
      </c>
      <c r="AD45" s="78" t="n">
        <f aca="false">IF(AD34=0,0,AD34-AD44)</f>
        <v>0</v>
      </c>
      <c r="AE45" s="78" t="n">
        <f aca="false">IF(AE34=0,0,AE34-AE44)</f>
        <v>0</v>
      </c>
      <c r="AF45" s="78" t="n">
        <f aca="false">IF(AF34=0,0,AF34-AF44)</f>
        <v>0</v>
      </c>
      <c r="AG45" s="78" t="n">
        <f aca="false">IF(AG34=0,0,AG34-AG44)</f>
        <v>0</v>
      </c>
      <c r="AH45" s="78" t="n">
        <f aca="false">IF(AH34=0,0,AH34-AH44)</f>
        <v>0</v>
      </c>
      <c r="AI45" s="78" t="n">
        <f aca="false">IF(AI34=0,0,AI34-AI44)</f>
        <v>0</v>
      </c>
      <c r="AJ45" s="78" t="n">
        <f aca="false">IF(AJ34=0,0,AJ34-AJ44)</f>
        <v>0</v>
      </c>
      <c r="AK45" s="78" t="n">
        <f aca="false">IF(AK34=0,0,AK34-AK44)</f>
        <v>0</v>
      </c>
      <c r="AL45" s="78" t="n">
        <f aca="false">IF(AL34=0,0,AL34-AL44)</f>
        <v>0</v>
      </c>
      <c r="AM45" s="78" t="n">
        <f aca="false">IF(AM34=0,0,AM34-AM44)</f>
        <v>0</v>
      </c>
      <c r="AN45" s="78" t="n">
        <f aca="false">IF(AN34=0,0,AN34-AN44)</f>
        <v>0</v>
      </c>
      <c r="AO45" s="65" t="n">
        <f aca="false">SUM(AP45:BA45)</f>
        <v>0</v>
      </c>
      <c r="AP45" s="78" t="n">
        <f aca="false">IF(AP34=0,0,AP34-AP44)</f>
        <v>0</v>
      </c>
      <c r="AQ45" s="78" t="n">
        <f aca="false">IF(AQ34=0,0,AQ34-AQ44)</f>
        <v>0</v>
      </c>
      <c r="AR45" s="78" t="n">
        <f aca="false">IF(AR34=0,0,AR34-AR44)</f>
        <v>0</v>
      </c>
      <c r="AS45" s="78" t="n">
        <f aca="false">IF(AS34=0,0,AS34-AS44)</f>
        <v>0</v>
      </c>
      <c r="AT45" s="78" t="n">
        <f aca="false">IF(AT34=0,0,AT34-AT44)</f>
        <v>0</v>
      </c>
      <c r="AU45" s="78" t="n">
        <f aca="false">IF(AU34=0,0,AU34-AU44)</f>
        <v>0</v>
      </c>
      <c r="AV45" s="78" t="n">
        <f aca="false">IF(AV34=0,0,AV34-AV44)</f>
        <v>0</v>
      </c>
      <c r="AW45" s="78" t="n">
        <f aca="false">IF(AW34=0,0,AW34-AW44)</f>
        <v>0</v>
      </c>
      <c r="AX45" s="78" t="n">
        <f aca="false">IF(AX34=0,0,AX34-AX44)</f>
        <v>0</v>
      </c>
      <c r="AY45" s="78" t="n">
        <f aca="false">IF(AY34=0,0,AY34-AY44)</f>
        <v>0</v>
      </c>
      <c r="AZ45" s="78" t="n">
        <f aca="false">IF(AZ34=0,0,AZ34-AZ44)</f>
        <v>0</v>
      </c>
      <c r="BA45" s="78" t="n">
        <f aca="false">IF(BA34=0,0,BA34-BA44)</f>
        <v>0</v>
      </c>
      <c r="BB45" s="65" t="n">
        <f aca="false">SUM(BC45:BN45)</f>
        <v>0</v>
      </c>
      <c r="BC45" s="78" t="n">
        <f aca="false">IF(BC34=0,0,BC34-BC44)</f>
        <v>0</v>
      </c>
      <c r="BD45" s="78" t="n">
        <f aca="false">IF(BD34=0,0,BD34-BD44)</f>
        <v>0</v>
      </c>
      <c r="BE45" s="78" t="n">
        <f aca="false">IF(BE34=0,0,BE34-BE44)</f>
        <v>0</v>
      </c>
      <c r="BF45" s="78" t="n">
        <f aca="false">IF(BF34=0,0,BF34-BF44)</f>
        <v>0</v>
      </c>
      <c r="BG45" s="78" t="n">
        <f aca="false">IF(BG34=0,0,BG34-BG44)</f>
        <v>0</v>
      </c>
      <c r="BH45" s="78" t="n">
        <f aca="false">IF(BH34=0,0,BH34-BH44)</f>
        <v>0</v>
      </c>
      <c r="BI45" s="78" t="n">
        <f aca="false">IF(BI34=0,0,BI34-BI44)</f>
        <v>0</v>
      </c>
      <c r="BJ45" s="78" t="n">
        <f aca="false">IF(BJ34=0,0,BJ34-BJ44)</f>
        <v>0</v>
      </c>
      <c r="BK45" s="78" t="n">
        <f aca="false">IF(BK34=0,0,BK34-BK44)</f>
        <v>0</v>
      </c>
      <c r="BL45" s="78" t="n">
        <f aca="false">IF(BL34=0,0,BL34-BL44)</f>
        <v>0</v>
      </c>
      <c r="BM45" s="78" t="n">
        <f aca="false">IF(BM34=0,0,BM34-BM44)</f>
        <v>0</v>
      </c>
      <c r="BN45" s="78" t="n">
        <f aca="false">IF(BN34=0,0,BN34-BN44)</f>
        <v>0</v>
      </c>
    </row>
    <row r="46" customFormat="false" ht="15" hidden="false" customHeight="false" outlineLevel="0" collapsed="false">
      <c r="A46" s="12" t="s">
        <v>607</v>
      </c>
      <c r="B46" s="65" t="n">
        <f aca="false">SUM(C46:N46)</f>
        <v>101679.995482626</v>
      </c>
      <c r="C46" s="77" t="n">
        <f aca="false">Expenses!C$44</f>
        <v>8107.31750187046</v>
      </c>
      <c r="D46" s="77" t="n">
        <f aca="false">Expenses!D$44</f>
        <v>8127.60789406216</v>
      </c>
      <c r="E46" s="77" t="n">
        <f aca="false">Expenses!E$44</f>
        <v>8151.85132414428</v>
      </c>
      <c r="F46" s="77" t="n">
        <f aca="false">Expenses!F$44</f>
        <v>8228.66740672229</v>
      </c>
      <c r="G46" s="77" t="n">
        <f aca="false">Expenses!G$44</f>
        <v>8269.4225276714</v>
      </c>
      <c r="H46" s="77" t="n">
        <f aca="false">Expenses!H$44</f>
        <v>8318.29858807306</v>
      </c>
      <c r="I46" s="77" t="n">
        <f aca="false">Expenses!I$44</f>
        <v>8326.16083745464</v>
      </c>
      <c r="J46" s="77" t="n">
        <f aca="false">Expenses!J$44</f>
        <v>8384.20032186713</v>
      </c>
      <c r="K46" s="77" t="n">
        <f aca="false">Expenses!K$44</f>
        <v>8453.824110059</v>
      </c>
      <c r="L46" s="77" t="n">
        <f aca="false">Expenses!L$44</f>
        <v>8927.29142484128</v>
      </c>
      <c r="M46" s="77" t="n">
        <f aca="false">Expenses!M$44</f>
        <v>9093.17656388444</v>
      </c>
      <c r="N46" s="77" t="n">
        <f aca="false">Expenses!N$44</f>
        <v>9292.17698197545</v>
      </c>
      <c r="O46" s="65" t="n">
        <f aca="false">SUM(P46:AA46)</f>
        <v>395323.913613072</v>
      </c>
      <c r="P46" s="77" t="n">
        <f aca="false">Expenses!P$44</f>
        <v>30364.7895073854</v>
      </c>
      <c r="Q46" s="77" t="n">
        <f aca="false">Expenses!Q$44</f>
        <v>30593.791643307</v>
      </c>
      <c r="R46" s="77" t="n">
        <f aca="false">Expenses!R$44</f>
        <v>30868.1968784326</v>
      </c>
      <c r="S46" s="77" t="n">
        <f aca="false">Expenses!S$44</f>
        <v>31261.5880218019</v>
      </c>
      <c r="T46" s="77" t="n">
        <f aca="false">Expenses!T$44</f>
        <v>31649.3906480027</v>
      </c>
      <c r="U46" s="77" t="n">
        <f aca="false">Expenses!U$44</f>
        <v>32114.4245808935</v>
      </c>
      <c r="V46" s="77" t="n">
        <f aca="false">Expenses!V$44</f>
        <v>32720.2016431397</v>
      </c>
      <c r="W46" s="77" t="n">
        <f aca="false">Expenses!W$44</f>
        <v>33368.4609722736</v>
      </c>
      <c r="X46" s="77" t="n">
        <f aca="false">Expenses!X$44</f>
        <v>34146.0157409509</v>
      </c>
      <c r="Y46" s="77" t="n">
        <f aca="false">Expenses!Y$44</f>
        <v>34961.4678291942</v>
      </c>
      <c r="Z46" s="77" t="n">
        <f aca="false">Expenses!Z$44</f>
        <v>36009.2817530254</v>
      </c>
      <c r="AA46" s="77" t="n">
        <f aca="false">Expenses!AA$44</f>
        <v>37266.3043946651</v>
      </c>
      <c r="AB46" s="65" t="n">
        <f aca="false">SUM(AC46:AN46)</f>
        <v>970242.872491358</v>
      </c>
      <c r="AC46" s="77" t="n">
        <f aca="false">Expenses!AC$44</f>
        <v>75324.4262622809</v>
      </c>
      <c r="AD46" s="77" t="n">
        <f aca="false">Expenses!AD$44</f>
        <v>76871.9748104516</v>
      </c>
      <c r="AE46" s="77" t="n">
        <f aca="false">Expenses!AE$44</f>
        <v>78727.8974742137</v>
      </c>
      <c r="AF46" s="77" t="n">
        <f aca="false">Expenses!AF$44</f>
        <v>77121.3453787877</v>
      </c>
      <c r="AG46" s="77" t="n">
        <f aca="false">Expenses!AG$44</f>
        <v>78984.828903133</v>
      </c>
      <c r="AH46" s="77" t="n">
        <f aca="false">Expenses!AH$44</f>
        <v>81220.098850761</v>
      </c>
      <c r="AI46" s="77" t="n">
        <f aca="false">Expenses!AI$44</f>
        <v>80201.4442800077</v>
      </c>
      <c r="AJ46" s="77" t="n">
        <f aca="false">Expenses!AJ$44</f>
        <v>82609.690335292</v>
      </c>
      <c r="AK46" s="77" t="n">
        <f aca="false">Expenses!AK$44</f>
        <v>85498.9059718121</v>
      </c>
      <c r="AL46" s="77" t="n">
        <f aca="false">Expenses!AL$44</f>
        <v>81712.1663945062</v>
      </c>
      <c r="AM46" s="77" t="n">
        <f aca="false">Expenses!AM$44</f>
        <v>84382.8172760656</v>
      </c>
      <c r="AN46" s="77" t="n">
        <f aca="false">Expenses!AN$44</f>
        <v>87587.276554047</v>
      </c>
      <c r="AO46" s="65" t="n">
        <f aca="false">SUM(AP46:BA46)</f>
        <v>1506928.52717035</v>
      </c>
      <c r="AP46" s="77" t="n">
        <f aca="false">Expenses!AP$44</f>
        <v>116657.899297754</v>
      </c>
      <c r="AQ46" s="77" t="n">
        <f aca="false">Expenses!AQ$44</f>
        <v>120006.645584626</v>
      </c>
      <c r="AR46" s="77" t="n">
        <f aca="false">Expenses!AR$44</f>
        <v>124023.850422454</v>
      </c>
      <c r="AS46" s="77" t="n">
        <f aca="false">Expenses!AS$44</f>
        <v>120096.137404591</v>
      </c>
      <c r="AT46" s="77" t="n">
        <f aca="false">Expenses!AT$44</f>
        <v>124046.595614121</v>
      </c>
      <c r="AU46" s="77" t="n">
        <f aca="false">Expenses!AU$44</f>
        <v>128786.438989475</v>
      </c>
      <c r="AV46" s="77" t="n">
        <f aca="false">Expenses!AV$44</f>
        <v>122428.40444826</v>
      </c>
      <c r="AW46" s="77" t="n">
        <f aca="false">Expenses!AW$44</f>
        <v>126780.427125607</v>
      </c>
      <c r="AX46" s="77" t="n">
        <f aca="false">Expenses!AX$44</f>
        <v>132002.895850386</v>
      </c>
      <c r="AY46" s="77" t="n">
        <f aca="false">Expenses!AY$44</f>
        <v>125489.471549126</v>
      </c>
      <c r="AZ46" s="77" t="n">
        <f aca="false">Expenses!AZ$44</f>
        <v>130373.872699429</v>
      </c>
      <c r="BA46" s="77" t="n">
        <f aca="false">Expenses!BA$44</f>
        <v>136235.888184517</v>
      </c>
      <c r="BB46" s="65" t="n">
        <f aca="false">SUM(BC46:BN46)</f>
        <v>1993851.02223257</v>
      </c>
      <c r="BC46" s="77" t="n">
        <f aca="false">Expenses!BC$44</f>
        <v>155425.637570079</v>
      </c>
      <c r="BD46" s="77" t="n">
        <f aca="false">Expenses!BD$44</f>
        <v>161021.600514419</v>
      </c>
      <c r="BE46" s="77" t="n">
        <f aca="false">Expenses!BE$44</f>
        <v>167736.692043542</v>
      </c>
      <c r="BF46" s="77" t="n">
        <f aca="false">Expenses!BF$44</f>
        <v>157645.197955209</v>
      </c>
      <c r="BG46" s="77" t="n">
        <f aca="false">Expenses!BG$44</f>
        <v>163614.892962542</v>
      </c>
      <c r="BH46" s="77" t="n">
        <f aca="false">Expenses!BH$44</f>
        <v>170779.623768509</v>
      </c>
      <c r="BI46" s="77" t="n">
        <f aca="false">Expenses!BI$44</f>
        <v>161483.550563427</v>
      </c>
      <c r="BJ46" s="77" t="n">
        <f aca="false">Expenses!BJ$44</f>
        <v>168117.203223599</v>
      </c>
      <c r="BK46" s="77" t="n">
        <f aca="false">Expenses!BK$44</f>
        <v>176079.766918763</v>
      </c>
      <c r="BL46" s="77" t="n">
        <f aca="false">Expenses!BL$44</f>
        <v>163258.104269669</v>
      </c>
      <c r="BM46" s="77" t="n">
        <f aca="false">Expenses!BM$44</f>
        <v>170185.979326779</v>
      </c>
      <c r="BN46" s="77" t="n">
        <f aca="false">Expenses!BN$44</f>
        <v>178502.773116034</v>
      </c>
    </row>
    <row r="47" customFormat="false" ht="15" hidden="false" customHeight="false" outlineLevel="0" collapsed="false">
      <c r="A47" s="18" t="s">
        <v>608</v>
      </c>
      <c r="B47" s="65" t="n">
        <f aca="false">SUM(C47:N47)</f>
        <v>0</v>
      </c>
      <c r="C47" s="78" t="n">
        <f aca="false">IF(C35=0,0,C35-C46)</f>
        <v>0</v>
      </c>
      <c r="D47" s="78" t="n">
        <f aca="false">IF(D35=0,0,D35-D46)</f>
        <v>0</v>
      </c>
      <c r="E47" s="78" t="n">
        <f aca="false">IF(E35=0,0,E35-E46)</f>
        <v>0</v>
      </c>
      <c r="F47" s="78" t="n">
        <f aca="false">IF(F35=0,0,F35-F46)</f>
        <v>0</v>
      </c>
      <c r="G47" s="78" t="n">
        <f aca="false">IF(G35=0,0,G35-G46)</f>
        <v>0</v>
      </c>
      <c r="H47" s="78" t="n">
        <f aca="false">IF(H35=0,0,H35-H46)</f>
        <v>0</v>
      </c>
      <c r="I47" s="78" t="n">
        <f aca="false">IF(I35=0,0,I35-I46)</f>
        <v>0</v>
      </c>
      <c r="J47" s="78" t="n">
        <f aca="false">IF(J35=0,0,J35-J46)</f>
        <v>0</v>
      </c>
      <c r="K47" s="78" t="n">
        <f aca="false">IF(K35=0,0,K35-K46)</f>
        <v>0</v>
      </c>
      <c r="L47" s="78" t="n">
        <f aca="false">IF(L35=0,0,L35-L46)</f>
        <v>0</v>
      </c>
      <c r="M47" s="78" t="n">
        <f aca="false">IF(M35=0,0,M35-M46)</f>
        <v>0</v>
      </c>
      <c r="N47" s="78" t="n">
        <f aca="false">IF(N35=0,0,N35-N46)</f>
        <v>0</v>
      </c>
      <c r="O47" s="65" t="n">
        <f aca="false">SUM(P47:AA47)</f>
        <v>0</v>
      </c>
      <c r="P47" s="78" t="n">
        <f aca="false">IF(P35=0,0,P35-P46)</f>
        <v>0</v>
      </c>
      <c r="Q47" s="78" t="n">
        <f aca="false">IF(Q35=0,0,Q35-Q46)</f>
        <v>0</v>
      </c>
      <c r="R47" s="78" t="n">
        <f aca="false">IF(R35=0,0,R35-R46)</f>
        <v>0</v>
      </c>
      <c r="S47" s="78" t="n">
        <f aca="false">IF(S35=0,0,S35-S46)</f>
        <v>0</v>
      </c>
      <c r="T47" s="78" t="n">
        <f aca="false">IF(T35=0,0,T35-T46)</f>
        <v>0</v>
      </c>
      <c r="U47" s="78" t="n">
        <f aca="false">IF(U35=0,0,U35-U46)</f>
        <v>0</v>
      </c>
      <c r="V47" s="78" t="n">
        <f aca="false">IF(V35=0,0,V35-V46)</f>
        <v>0</v>
      </c>
      <c r="W47" s="78" t="n">
        <f aca="false">IF(W35=0,0,W35-W46)</f>
        <v>0</v>
      </c>
      <c r="X47" s="78" t="n">
        <f aca="false">IF(X35=0,0,X35-X46)</f>
        <v>0</v>
      </c>
      <c r="Y47" s="78" t="n">
        <f aca="false">IF(Y35=0,0,Y35-Y46)</f>
        <v>0</v>
      </c>
      <c r="Z47" s="78" t="n">
        <f aca="false">IF(Z35=0,0,Z35-Z46)</f>
        <v>0</v>
      </c>
      <c r="AA47" s="78" t="n">
        <f aca="false">IF(AA35=0,0,AA35-AA46)</f>
        <v>0</v>
      </c>
      <c r="AB47" s="65" t="n">
        <f aca="false">SUM(AC47:AN47)</f>
        <v>0</v>
      </c>
      <c r="AC47" s="78" t="n">
        <f aca="false">IF(AC35=0,0,AC35-AC46)</f>
        <v>0</v>
      </c>
      <c r="AD47" s="78" t="n">
        <f aca="false">IF(AD35=0,0,AD35-AD46)</f>
        <v>0</v>
      </c>
      <c r="AE47" s="78" t="n">
        <f aca="false">IF(AE35=0,0,AE35-AE46)</f>
        <v>0</v>
      </c>
      <c r="AF47" s="78" t="n">
        <f aca="false">IF(AF35=0,0,AF35-AF46)</f>
        <v>0</v>
      </c>
      <c r="AG47" s="78" t="n">
        <f aca="false">IF(AG35=0,0,AG35-AG46)</f>
        <v>0</v>
      </c>
      <c r="AH47" s="78" t="n">
        <f aca="false">IF(AH35=0,0,AH35-AH46)</f>
        <v>0</v>
      </c>
      <c r="AI47" s="78" t="n">
        <f aca="false">IF(AI35=0,0,AI35-AI46)</f>
        <v>0</v>
      </c>
      <c r="AJ47" s="78" t="n">
        <f aca="false">IF(AJ35=0,0,AJ35-AJ46)</f>
        <v>0</v>
      </c>
      <c r="AK47" s="78" t="n">
        <f aca="false">IF(AK35=0,0,AK35-AK46)</f>
        <v>0</v>
      </c>
      <c r="AL47" s="78" t="n">
        <f aca="false">IF(AL35=0,0,AL35-AL46)</f>
        <v>0</v>
      </c>
      <c r="AM47" s="78" t="n">
        <f aca="false">IF(AM35=0,0,AM35-AM46)</f>
        <v>0</v>
      </c>
      <c r="AN47" s="78" t="n">
        <f aca="false">IF(AN35=0,0,AN35-AN46)</f>
        <v>0</v>
      </c>
      <c r="AO47" s="65" t="n">
        <f aca="false">SUM(AP47:BA47)</f>
        <v>0</v>
      </c>
      <c r="AP47" s="78" t="n">
        <f aca="false">IF(AP35=0,0,AP35-AP46)</f>
        <v>0</v>
      </c>
      <c r="AQ47" s="78" t="n">
        <f aca="false">IF(AQ35=0,0,AQ35-AQ46)</f>
        <v>0</v>
      </c>
      <c r="AR47" s="78" t="n">
        <f aca="false">IF(AR35=0,0,AR35-AR46)</f>
        <v>0</v>
      </c>
      <c r="AS47" s="78" t="n">
        <f aca="false">IF(AS35=0,0,AS35-AS46)</f>
        <v>0</v>
      </c>
      <c r="AT47" s="78" t="n">
        <f aca="false">IF(AT35=0,0,AT35-AT46)</f>
        <v>0</v>
      </c>
      <c r="AU47" s="78" t="n">
        <f aca="false">IF(AU35=0,0,AU35-AU46)</f>
        <v>0</v>
      </c>
      <c r="AV47" s="78" t="n">
        <f aca="false">IF(AV35=0,0,AV35-AV46)</f>
        <v>0</v>
      </c>
      <c r="AW47" s="78" t="n">
        <f aca="false">IF(AW35=0,0,AW35-AW46)</f>
        <v>0</v>
      </c>
      <c r="AX47" s="78" t="n">
        <f aca="false">IF(AX35=0,0,AX35-AX46)</f>
        <v>0</v>
      </c>
      <c r="AY47" s="78" t="n">
        <f aca="false">IF(AY35=0,0,AY35-AY46)</f>
        <v>0</v>
      </c>
      <c r="AZ47" s="78" t="n">
        <f aca="false">IF(AZ35=0,0,AZ35-AZ46)</f>
        <v>0</v>
      </c>
      <c r="BA47" s="78" t="n">
        <f aca="false">IF(BA35=0,0,BA35-BA46)</f>
        <v>0</v>
      </c>
      <c r="BB47" s="65" t="n">
        <f aca="false">SUM(BC47:BN47)</f>
        <v>0</v>
      </c>
      <c r="BC47" s="78" t="n">
        <f aca="false">IF(BC35=0,0,BC35-BC46)</f>
        <v>0</v>
      </c>
      <c r="BD47" s="78" t="n">
        <f aca="false">IF(BD35=0,0,BD35-BD46)</f>
        <v>0</v>
      </c>
      <c r="BE47" s="78" t="n">
        <f aca="false">IF(BE35=0,0,BE35-BE46)</f>
        <v>0</v>
      </c>
      <c r="BF47" s="78" t="n">
        <f aca="false">IF(BF35=0,0,BF35-BF46)</f>
        <v>0</v>
      </c>
      <c r="BG47" s="78" t="n">
        <f aca="false">IF(BG35=0,0,BG35-BG46)</f>
        <v>0</v>
      </c>
      <c r="BH47" s="78" t="n">
        <f aca="false">IF(BH35=0,0,BH35-BH46)</f>
        <v>0</v>
      </c>
      <c r="BI47" s="78" t="n">
        <f aca="false">IF(BI35=0,0,BI35-BI46)</f>
        <v>0</v>
      </c>
      <c r="BJ47" s="78" t="n">
        <f aca="false">IF(BJ35=0,0,BJ35-BJ46)</f>
        <v>0</v>
      </c>
      <c r="BK47" s="78" t="n">
        <f aca="false">IF(BK35=0,0,BK35-BK46)</f>
        <v>0</v>
      </c>
      <c r="BL47" s="78" t="n">
        <f aca="false">IF(BL35=0,0,BL35-BL46)</f>
        <v>0</v>
      </c>
      <c r="BM47" s="78" t="n">
        <f aca="false">IF(BM35=0,0,BM35-BM46)</f>
        <v>0</v>
      </c>
      <c r="BN47" s="78" t="n">
        <f aca="false">IF(BN35=0,0,BN35-BN46)</f>
        <v>0</v>
      </c>
    </row>
    <row r="48" customFormat="false" ht="15" hidden="false" customHeight="false" outlineLevel="0" collapsed="false">
      <c r="A48" s="12" t="s">
        <v>609</v>
      </c>
      <c r="B48" s="65" t="n">
        <f aca="false">SUM(C48:N48)</f>
        <v>2447738.30635993</v>
      </c>
      <c r="C48" s="77" t="n">
        <f aca="false">'Cash Flow Statement'!C$35</f>
        <v>37567.0108122425</v>
      </c>
      <c r="D48" s="77" t="n">
        <f aca="false">'Cash Flow Statement'!D$35</f>
        <v>26039.6314082187</v>
      </c>
      <c r="E48" s="77" t="n">
        <f aca="false">'Cash Flow Statement'!E$35</f>
        <v>267989.117930489</v>
      </c>
      <c r="F48" s="77" t="n">
        <f aca="false">'Cash Flow Statement'!F$35</f>
        <v>256633.379309413</v>
      </c>
      <c r="G48" s="77" t="n">
        <f aca="false">'Cash Flow Statement'!G$35</f>
        <v>250428.984437332</v>
      </c>
      <c r="H48" s="77" t="n">
        <f aca="false">'Cash Flow Statement'!H$35</f>
        <v>244532.96631692</v>
      </c>
      <c r="I48" s="77" t="n">
        <f aca="false">'Cash Flow Statement'!I$35</f>
        <v>239964.947601377</v>
      </c>
      <c r="J48" s="77" t="n">
        <f aca="false">'Cash Flow Statement'!J$35</f>
        <v>234677.965713048</v>
      </c>
      <c r="K48" s="77" t="n">
        <f aca="false">'Cash Flow Statement'!K$35</f>
        <v>229857.70345165</v>
      </c>
      <c r="L48" s="77" t="n">
        <f aca="false">'Cash Flow Statement'!L$35</f>
        <v>218062.084319995</v>
      </c>
      <c r="M48" s="77" t="n">
        <f aca="false">'Cash Flow Statement'!M$35</f>
        <v>219478.918578757</v>
      </c>
      <c r="N48" s="77" t="n">
        <f aca="false">'Cash Flow Statement'!N$35</f>
        <v>222505.596480491</v>
      </c>
      <c r="O48" s="65" t="n">
        <f aca="false">SUM(P48:AA48)</f>
        <v>2514096.15680836</v>
      </c>
      <c r="P48" s="77" t="n">
        <f aca="false">'Cash Flow Statement'!P$35</f>
        <v>225548.767105567</v>
      </c>
      <c r="Q48" s="77" t="n">
        <f aca="false">'Cash Flow Statement'!Q$35</f>
        <v>210126.154516461</v>
      </c>
      <c r="R48" s="77" t="n">
        <f aca="false">'Cash Flow Statement'!R$35</f>
        <v>196802.189144617</v>
      </c>
      <c r="S48" s="77" t="n">
        <f aca="false">'Cash Flow Statement'!S$35</f>
        <v>183874.22762593</v>
      </c>
      <c r="T48" s="77" t="n">
        <f aca="false">'Cash Flow Statement'!T$35</f>
        <v>177003.555902508</v>
      </c>
      <c r="U48" s="77" t="n">
        <f aca="false">'Cash Flow Statement'!U$35</f>
        <v>173705.511134792</v>
      </c>
      <c r="V48" s="77" t="n">
        <f aca="false">'Cash Flow Statement'!V$35</f>
        <v>174794.411600587</v>
      </c>
      <c r="W48" s="77" t="n">
        <f aca="false">'Cash Flow Statement'!W$35</f>
        <v>184432.821402818</v>
      </c>
      <c r="X48" s="77" t="n">
        <f aca="false">'Cash Flow Statement'!X$35</f>
        <v>200481.888631649</v>
      </c>
      <c r="Y48" s="77" t="n">
        <f aca="false">'Cash Flow Statement'!Y$35</f>
        <v>227134.938878159</v>
      </c>
      <c r="Z48" s="77" t="n">
        <f aca="false">'Cash Flow Statement'!Z$35</f>
        <v>259032.554491158</v>
      </c>
      <c r="AA48" s="77" t="n">
        <f aca="false">'Cash Flow Statement'!AA$35</f>
        <v>301159.136374112</v>
      </c>
      <c r="AB48" s="65" t="n">
        <f aca="false">SUM(AC48:AN48)</f>
        <v>9327670.52476904</v>
      </c>
      <c r="AC48" s="77" t="n">
        <f aca="false">'Cash Flow Statement'!AC$35</f>
        <v>349743.35403957</v>
      </c>
      <c r="AD48" s="77" t="n">
        <f aca="false">'Cash Flow Statement'!AD$35</f>
        <v>376011.584837178</v>
      </c>
      <c r="AE48" s="77" t="n">
        <f aca="false">'Cash Flow Statement'!AE$35</f>
        <v>417356.032990952</v>
      </c>
      <c r="AF48" s="77" t="n">
        <f aca="false">'Cash Flow Statement'!AF$35</f>
        <v>506971.768350963</v>
      </c>
      <c r="AG48" s="77" t="n">
        <f aca="false">'Cash Flow Statement'!AG$35</f>
        <v>550844.890754584</v>
      </c>
      <c r="AH48" s="77" t="n">
        <f aca="false">'Cash Flow Statement'!AH$35</f>
        <v>612891.970015573</v>
      </c>
      <c r="AI48" s="77" t="n">
        <f aca="false">'Cash Flow Statement'!AI$35</f>
        <v>770705.842360161</v>
      </c>
      <c r="AJ48" s="77" t="n">
        <f aca="false">'Cash Flow Statement'!AJ$35</f>
        <v>846258.105330579</v>
      </c>
      <c r="AK48" s="77" t="n">
        <f aca="false">'Cash Flow Statement'!AK$35</f>
        <v>945506.046970944</v>
      </c>
      <c r="AL48" s="77" t="n">
        <f aca="false">'Cash Flow Statement'!AL$35</f>
        <v>1219561.2520505</v>
      </c>
      <c r="AM48" s="77" t="n">
        <f aca="false">'Cash Flow Statement'!AM$35</f>
        <v>1308426.0357464</v>
      </c>
      <c r="AN48" s="77" t="n">
        <f aca="false">'Cash Flow Statement'!AN$35</f>
        <v>1423393.64132164</v>
      </c>
      <c r="AO48" s="65" t="n">
        <f aca="false">SUM(AP48:BA48)</f>
        <v>32012239.3816816</v>
      </c>
      <c r="AP48" s="77" t="n">
        <f aca="false">'Cash Flow Statement'!AP$35</f>
        <v>1685184.41489661</v>
      </c>
      <c r="AQ48" s="77" t="n">
        <f aca="false">'Cash Flow Statement'!AQ$35</f>
        <v>1791520.45715231</v>
      </c>
      <c r="AR48" s="77" t="n">
        <f aca="false">'Cash Flow Statement'!AR$35</f>
        <v>1931376.49479371</v>
      </c>
      <c r="AS48" s="77" t="n">
        <f aca="false">'Cash Flow Statement'!AS$35</f>
        <v>1958401.99359619</v>
      </c>
      <c r="AT48" s="77" t="n">
        <f aca="false">'Cash Flow Statement'!AT$35</f>
        <v>2098608.83142064</v>
      </c>
      <c r="AU48" s="77" t="n">
        <f aca="false">'Cash Flow Statement'!AU$35</f>
        <v>2278345.36430299</v>
      </c>
      <c r="AV48" s="77" t="n">
        <f aca="false">'Cash Flow Statement'!AV$35</f>
        <v>2740416.31859374</v>
      </c>
      <c r="AW48" s="77" t="n">
        <f aca="false">'Cash Flow Statement'!AW$35</f>
        <v>2905588.52517416</v>
      </c>
      <c r="AX48" s="77" t="n">
        <f aca="false">'Cash Flow Statement'!AX$35</f>
        <v>3114842.2980994</v>
      </c>
      <c r="AY48" s="77" t="n">
        <f aca="false">'Cash Flow Statement'!AY$35</f>
        <v>3626057.15026923</v>
      </c>
      <c r="AZ48" s="77" t="n">
        <f aca="false">'Cash Flow Statement'!AZ$35</f>
        <v>3819593.00568269</v>
      </c>
      <c r="BA48" s="77" t="n">
        <f aca="false">'Cash Flow Statement'!BA$35</f>
        <v>4062304.52769995</v>
      </c>
      <c r="BB48" s="65" t="n">
        <f aca="false">SUM(BC48:BN48)</f>
        <v>74946701.6890606</v>
      </c>
      <c r="BC48" s="77" t="n">
        <f aca="false">'Cash Flow Statement'!BC$35</f>
        <v>4630216.92343156</v>
      </c>
      <c r="BD48" s="77" t="n">
        <f aca="false">'Cash Flow Statement'!BD$35</f>
        <v>4849002.09003198</v>
      </c>
      <c r="BE48" s="77" t="n">
        <f aca="false">'Cash Flow Statement'!BE$35</f>
        <v>5124632.76588349</v>
      </c>
      <c r="BF48" s="77" t="n">
        <f aca="false">'Cash Flow Statement'!BF$35</f>
        <v>5081324.63291412</v>
      </c>
      <c r="BG48" s="77" t="n">
        <f aca="false">'Cash Flow Statement'!BG$35</f>
        <v>5321011.26928553</v>
      </c>
      <c r="BH48" s="77" t="n">
        <f aca="false">'Cash Flow Statement'!BH$35</f>
        <v>5621507.46952413</v>
      </c>
      <c r="BI48" s="77" t="n">
        <f aca="false">'Cash Flow Statement'!BI$35</f>
        <v>6334887.60835331</v>
      </c>
      <c r="BJ48" s="77" t="n">
        <f aca="false">'Cash Flow Statement'!BJ$35</f>
        <v>6613804.95310893</v>
      </c>
      <c r="BK48" s="77" t="n">
        <f aca="false">'Cash Flow Statement'!BK$35</f>
        <v>6960613.43395656</v>
      </c>
      <c r="BL48" s="77" t="n">
        <f aca="false">'Cash Flow Statement'!BL$35</f>
        <v>7819332.20225578</v>
      </c>
      <c r="BM48" s="77" t="n">
        <f aca="false">'Cash Flow Statement'!BM$35</f>
        <v>8112969.45752747</v>
      </c>
      <c r="BN48" s="77" t="n">
        <f aca="false">'Cash Flow Statement'!BN$35</f>
        <v>8477398.88278772</v>
      </c>
    </row>
    <row r="49" customFormat="false" ht="15" hidden="false" customHeight="false" outlineLevel="0" collapsed="false">
      <c r="A49" s="18" t="s">
        <v>610</v>
      </c>
      <c r="B49" s="65" t="n">
        <f aca="false">SUM(C49:N49)</f>
        <v>0</v>
      </c>
      <c r="C49" s="78" t="n">
        <f aca="false">IF(C36=0,0,C36-C48)</f>
        <v>0</v>
      </c>
      <c r="D49" s="78" t="n">
        <f aca="false">IF(D36=0,0,D36-D48)</f>
        <v>0</v>
      </c>
      <c r="E49" s="78" t="n">
        <f aca="false">IF(E36=0,0,E36-E48)</f>
        <v>0</v>
      </c>
      <c r="F49" s="78" t="n">
        <f aca="false">IF(F36=0,0,F36-F48)</f>
        <v>0</v>
      </c>
      <c r="G49" s="78" t="n">
        <f aca="false">IF(G36=0,0,G36-G48)</f>
        <v>0</v>
      </c>
      <c r="H49" s="78" t="n">
        <f aca="false">IF(H36=0,0,H36-H48)</f>
        <v>0</v>
      </c>
      <c r="I49" s="78" t="n">
        <f aca="false">IF(I36=0,0,I36-I48)</f>
        <v>0</v>
      </c>
      <c r="J49" s="78" t="n">
        <f aca="false">IF(J36=0,0,J36-J48)</f>
        <v>0</v>
      </c>
      <c r="K49" s="78" t="n">
        <f aca="false">IF(K36=0,0,K36-K48)</f>
        <v>0</v>
      </c>
      <c r="L49" s="78" t="n">
        <f aca="false">IF(L36=0,0,L36-L48)</f>
        <v>0</v>
      </c>
      <c r="M49" s="78" t="n">
        <f aca="false">IF(M36=0,0,M36-M48)</f>
        <v>0</v>
      </c>
      <c r="N49" s="78" t="n">
        <f aca="false">IF(N36=0,0,N36-N48)</f>
        <v>0</v>
      </c>
      <c r="O49" s="65" t="n">
        <f aca="false">SUM(P49:AA49)</f>
        <v>0</v>
      </c>
      <c r="P49" s="78" t="n">
        <f aca="false">IF(P36=0,0,P36-P48)</f>
        <v>0</v>
      </c>
      <c r="Q49" s="78" t="n">
        <f aca="false">IF(Q36=0,0,Q36-Q48)</f>
        <v>0</v>
      </c>
      <c r="R49" s="78" t="n">
        <f aca="false">IF(R36=0,0,R36-R48)</f>
        <v>0</v>
      </c>
      <c r="S49" s="78" t="n">
        <f aca="false">IF(S36=0,0,S36-S48)</f>
        <v>0</v>
      </c>
      <c r="T49" s="78" t="n">
        <f aca="false">IF(T36=0,0,T36-T48)</f>
        <v>0</v>
      </c>
      <c r="U49" s="78" t="n">
        <f aca="false">IF(U36=0,0,U36-U48)</f>
        <v>0</v>
      </c>
      <c r="V49" s="78" t="n">
        <f aca="false">IF(V36=0,0,V36-V48)</f>
        <v>0</v>
      </c>
      <c r="W49" s="78" t="n">
        <f aca="false">IF(W36=0,0,W36-W48)</f>
        <v>0</v>
      </c>
      <c r="X49" s="78" t="n">
        <f aca="false">IF(X36=0,0,X36-X48)</f>
        <v>0</v>
      </c>
      <c r="Y49" s="78" t="n">
        <f aca="false">IF(Y36=0,0,Y36-Y48)</f>
        <v>0</v>
      </c>
      <c r="Z49" s="78" t="n">
        <f aca="false">IF(Z36=0,0,Z36-Z48)</f>
        <v>0</v>
      </c>
      <c r="AA49" s="78" t="n">
        <f aca="false">IF(AA36=0,0,AA36-AA48)</f>
        <v>0</v>
      </c>
      <c r="AB49" s="65" t="n">
        <f aca="false">SUM(AC49:AN49)</f>
        <v>0</v>
      </c>
      <c r="AC49" s="78" t="n">
        <f aca="false">IF(AC36=0,0,AC36-AC48)</f>
        <v>0</v>
      </c>
      <c r="AD49" s="78" t="n">
        <f aca="false">IF(AD36=0,0,AD36-AD48)</f>
        <v>0</v>
      </c>
      <c r="AE49" s="78" t="n">
        <f aca="false">IF(AE36=0,0,AE36-AE48)</f>
        <v>0</v>
      </c>
      <c r="AF49" s="78" t="n">
        <f aca="false">IF(AF36=0,0,AF36-AF48)</f>
        <v>0</v>
      </c>
      <c r="AG49" s="78" t="n">
        <f aca="false">IF(AG36=0,0,AG36-AG48)</f>
        <v>0</v>
      </c>
      <c r="AH49" s="78" t="n">
        <f aca="false">IF(AH36=0,0,AH36-AH48)</f>
        <v>0</v>
      </c>
      <c r="AI49" s="78" t="n">
        <f aca="false">IF(AI36=0,0,AI36-AI48)</f>
        <v>0</v>
      </c>
      <c r="AJ49" s="78" t="n">
        <f aca="false">IF(AJ36=0,0,AJ36-AJ48)</f>
        <v>0</v>
      </c>
      <c r="AK49" s="78" t="n">
        <f aca="false">IF(AK36=0,0,AK36-AK48)</f>
        <v>0</v>
      </c>
      <c r="AL49" s="78" t="n">
        <f aca="false">IF(AL36=0,0,AL36-AL48)</f>
        <v>0</v>
      </c>
      <c r="AM49" s="78" t="n">
        <f aca="false">IF(AM36=0,0,AM36-AM48)</f>
        <v>0</v>
      </c>
      <c r="AN49" s="78" t="n">
        <f aca="false">IF(AN36=0,0,AN36-AN48)</f>
        <v>0</v>
      </c>
      <c r="AO49" s="65" t="n">
        <f aca="false">SUM(AP49:BA49)</f>
        <v>0</v>
      </c>
      <c r="AP49" s="78" t="n">
        <f aca="false">IF(AP36=0,0,AP36-AP48)</f>
        <v>0</v>
      </c>
      <c r="AQ49" s="78" t="n">
        <f aca="false">IF(AQ36=0,0,AQ36-AQ48)</f>
        <v>0</v>
      </c>
      <c r="AR49" s="78" t="n">
        <f aca="false">IF(AR36=0,0,AR36-AR48)</f>
        <v>0</v>
      </c>
      <c r="AS49" s="78" t="n">
        <f aca="false">IF(AS36=0,0,AS36-AS48)</f>
        <v>0</v>
      </c>
      <c r="AT49" s="78" t="n">
        <f aca="false">IF(AT36=0,0,AT36-AT48)</f>
        <v>0</v>
      </c>
      <c r="AU49" s="78" t="n">
        <f aca="false">IF(AU36=0,0,AU36-AU48)</f>
        <v>0</v>
      </c>
      <c r="AV49" s="78" t="n">
        <f aca="false">IF(AV36=0,0,AV36-AV48)</f>
        <v>0</v>
      </c>
      <c r="AW49" s="78" t="n">
        <f aca="false">IF(AW36=0,0,AW36-AW48)</f>
        <v>0</v>
      </c>
      <c r="AX49" s="78" t="n">
        <f aca="false">IF(AX36=0,0,AX36-AX48)</f>
        <v>0</v>
      </c>
      <c r="AY49" s="78" t="n">
        <f aca="false">IF(AY36=0,0,AY36-AY48)</f>
        <v>0</v>
      </c>
      <c r="AZ49" s="78" t="n">
        <f aca="false">IF(AZ36=0,0,AZ36-AZ48)</f>
        <v>0</v>
      </c>
      <c r="BA49" s="78" t="n">
        <f aca="false">IF(BA36=0,0,BA36-BA48)</f>
        <v>0</v>
      </c>
      <c r="BB49" s="65" t="n">
        <f aca="false">SUM(BC49:BN49)</f>
        <v>0</v>
      </c>
      <c r="BC49" s="78" t="n">
        <f aca="false">IF(BC36=0,0,BC36-BC48)</f>
        <v>0</v>
      </c>
      <c r="BD49" s="78" t="n">
        <f aca="false">IF(BD36=0,0,BD36-BD48)</f>
        <v>0</v>
      </c>
      <c r="BE49" s="78" t="n">
        <f aca="false">IF(BE36=0,0,BE36-BE48)</f>
        <v>0</v>
      </c>
      <c r="BF49" s="78" t="n">
        <f aca="false">IF(BF36=0,0,BF36-BF48)</f>
        <v>0</v>
      </c>
      <c r="BG49" s="78" t="n">
        <f aca="false">IF(BG36=0,0,BG36-BG48)</f>
        <v>0</v>
      </c>
      <c r="BH49" s="78" t="n">
        <f aca="false">IF(BH36=0,0,BH36-BH48)</f>
        <v>0</v>
      </c>
      <c r="BI49" s="78" t="n">
        <f aca="false">IF(BI36=0,0,BI36-BI48)</f>
        <v>0</v>
      </c>
      <c r="BJ49" s="78" t="n">
        <f aca="false">IF(BJ36=0,0,BJ36-BJ48)</f>
        <v>0</v>
      </c>
      <c r="BK49" s="78" t="n">
        <f aca="false">IF(BK36=0,0,BK36-BK48)</f>
        <v>0</v>
      </c>
      <c r="BL49" s="78" t="n">
        <f aca="false">IF(BL36=0,0,BL36-BL48)</f>
        <v>0</v>
      </c>
      <c r="BM49" s="78" t="n">
        <f aca="false">IF(BM36=0,0,BM36-BM48)</f>
        <v>0</v>
      </c>
      <c r="BN49" s="78" t="n">
        <f aca="false">IF(BN36=0,0,BN36-BN48)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39</v>
      </c>
    </row>
    <row r="3" customFormat="false" ht="15" hidden="false" customHeight="false" outlineLevel="0" collapsed="false">
      <c r="B3" s="3"/>
      <c r="C3" s="3"/>
    </row>
    <row r="5" customFormat="false" ht="30" hidden="false" customHeight="true" outlineLevel="0" collapsed="false">
      <c r="B5" s="35" t="s">
        <v>611</v>
      </c>
      <c r="C5" s="36" t="s">
        <v>42</v>
      </c>
    </row>
    <row r="6" customFormat="false" ht="30" hidden="false" customHeight="true" outlineLevel="0" collapsed="false">
      <c r="B6" s="35" t="s">
        <v>612</v>
      </c>
      <c r="C6" s="36" t="s">
        <v>44</v>
      </c>
    </row>
    <row r="7" customFormat="false" ht="30" hidden="false" customHeight="true" outlineLevel="0" collapsed="false">
      <c r="B7" s="35" t="s">
        <v>613</v>
      </c>
      <c r="C7" s="36" t="s">
        <v>46</v>
      </c>
    </row>
    <row r="8" customFormat="false" ht="30" hidden="false" customHeight="true" outlineLevel="0" collapsed="false">
      <c r="B8" s="35" t="s">
        <v>614</v>
      </c>
      <c r="C8" s="36" t="s">
        <v>48</v>
      </c>
    </row>
    <row r="9" customFormat="false" ht="30" hidden="false" customHeight="true" outlineLevel="0" collapsed="false">
      <c r="B9" s="35" t="s">
        <v>615</v>
      </c>
      <c r="C9" s="36" t="s">
        <v>50</v>
      </c>
    </row>
    <row r="10" customFormat="false" ht="30" hidden="false" customHeight="true" outlineLevel="0" collapsed="false">
      <c r="B10" s="35" t="s">
        <v>616</v>
      </c>
      <c r="C10" s="36" t="s">
        <v>52</v>
      </c>
    </row>
    <row r="11" customFormat="false" ht="30" hidden="false" customHeight="true" outlineLevel="0" collapsed="false">
      <c r="B11" s="35" t="s">
        <v>617</v>
      </c>
      <c r="C11" s="36" t="s">
        <v>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611</v>
      </c>
    </row>
    <row r="2" customFormat="false" ht="13.5" hidden="false" customHeight="true" outlineLevel="0" collapsed="false">
      <c r="A2" s="6" t="s">
        <v>618</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619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341</v>
      </c>
      <c r="B7" s="65" t="n">
        <f aca="false">SUM(C7:N7)</f>
        <v>2400</v>
      </c>
      <c r="C7" s="66" t="n">
        <f aca="false">'Assumption Setting'!$C$84</f>
        <v>200</v>
      </c>
      <c r="D7" s="66" t="n">
        <f aca="false">'Assumption Setting'!$C$84</f>
        <v>200</v>
      </c>
      <c r="E7" s="66" t="n">
        <f aca="false">'Assumption Setting'!$C$84</f>
        <v>200</v>
      </c>
      <c r="F7" s="66" t="n">
        <f aca="false">'Assumption Setting'!$C$84</f>
        <v>200</v>
      </c>
      <c r="G7" s="66" t="n">
        <f aca="false">'Assumption Setting'!$C$84</f>
        <v>200</v>
      </c>
      <c r="H7" s="66" t="n">
        <f aca="false">'Assumption Setting'!$C$84</f>
        <v>200</v>
      </c>
      <c r="I7" s="66" t="n">
        <f aca="false">'Assumption Setting'!$C$84</f>
        <v>200</v>
      </c>
      <c r="J7" s="66" t="n">
        <f aca="false">'Assumption Setting'!$C$84</f>
        <v>200</v>
      </c>
      <c r="K7" s="66" t="n">
        <f aca="false">'Assumption Setting'!$C$84</f>
        <v>200</v>
      </c>
      <c r="L7" s="66" t="n">
        <f aca="false">'Assumption Setting'!$C$84</f>
        <v>200</v>
      </c>
      <c r="M7" s="66" t="n">
        <f aca="false">'Assumption Setting'!$C$84</f>
        <v>200</v>
      </c>
      <c r="N7" s="66" t="n">
        <f aca="false">'Assumption Setting'!$C$84</f>
        <v>200</v>
      </c>
      <c r="O7" s="65" t="n">
        <f aca="false">SUM(P7:AA7)</f>
        <v>10800</v>
      </c>
      <c r="P7" s="66" t="n">
        <f aca="false">'Assumption Setting'!$D$84</f>
        <v>900</v>
      </c>
      <c r="Q7" s="66" t="n">
        <f aca="false">'Assumption Setting'!$D$84</f>
        <v>900</v>
      </c>
      <c r="R7" s="66" t="n">
        <f aca="false">'Assumption Setting'!$D$84</f>
        <v>900</v>
      </c>
      <c r="S7" s="66" t="n">
        <f aca="false">'Assumption Setting'!$D$84</f>
        <v>900</v>
      </c>
      <c r="T7" s="66" t="n">
        <f aca="false">'Assumption Setting'!$D$84</f>
        <v>900</v>
      </c>
      <c r="U7" s="66" t="n">
        <f aca="false">'Assumption Setting'!$D$84</f>
        <v>900</v>
      </c>
      <c r="V7" s="66" t="n">
        <f aca="false">'Assumption Setting'!$D$84</f>
        <v>900</v>
      </c>
      <c r="W7" s="66" t="n">
        <f aca="false">'Assumption Setting'!$D$84</f>
        <v>900</v>
      </c>
      <c r="X7" s="66" t="n">
        <f aca="false">'Assumption Setting'!$D$84</f>
        <v>900</v>
      </c>
      <c r="Y7" s="66" t="n">
        <f aca="false">'Assumption Setting'!$D$84</f>
        <v>900</v>
      </c>
      <c r="Z7" s="66" t="n">
        <f aca="false">'Assumption Setting'!$D$84</f>
        <v>900</v>
      </c>
      <c r="AA7" s="66" t="n">
        <f aca="false">'Assumption Setting'!$D$84</f>
        <v>900</v>
      </c>
      <c r="AB7" s="65" t="n">
        <f aca="false">SUM(AC7:AN7)</f>
        <v>24000</v>
      </c>
      <c r="AC7" s="66" t="n">
        <f aca="false">'Assumption Setting'!$E$84</f>
        <v>2000</v>
      </c>
      <c r="AD7" s="66" t="n">
        <f aca="false">'Assumption Setting'!$E$84</f>
        <v>2000</v>
      </c>
      <c r="AE7" s="66" t="n">
        <f aca="false">'Assumption Setting'!$E$84</f>
        <v>2000</v>
      </c>
      <c r="AF7" s="66" t="n">
        <f aca="false">'Assumption Setting'!$E$84</f>
        <v>2000</v>
      </c>
      <c r="AG7" s="66" t="n">
        <f aca="false">'Assumption Setting'!$E$84</f>
        <v>2000</v>
      </c>
      <c r="AH7" s="66" t="n">
        <f aca="false">'Assumption Setting'!$E$84</f>
        <v>2000</v>
      </c>
      <c r="AI7" s="66" t="n">
        <f aca="false">'Assumption Setting'!$E$84</f>
        <v>2000</v>
      </c>
      <c r="AJ7" s="66" t="n">
        <f aca="false">'Assumption Setting'!$E$84</f>
        <v>2000</v>
      </c>
      <c r="AK7" s="66" t="n">
        <f aca="false">'Assumption Setting'!$E$84</f>
        <v>2000</v>
      </c>
      <c r="AL7" s="66" t="n">
        <f aca="false">'Assumption Setting'!$E$84</f>
        <v>2000</v>
      </c>
      <c r="AM7" s="66" t="n">
        <f aca="false">'Assumption Setting'!$E$84</f>
        <v>2000</v>
      </c>
      <c r="AN7" s="66" t="n">
        <f aca="false">'Assumption Setting'!$E$84</f>
        <v>2000</v>
      </c>
      <c r="AO7" s="65" t="n">
        <f aca="false">SUM(AP7:BA7)</f>
        <v>38400</v>
      </c>
      <c r="AP7" s="66" t="n">
        <f aca="false">'Assumption Setting'!$F$84</f>
        <v>3200</v>
      </c>
      <c r="AQ7" s="66" t="n">
        <f aca="false">'Assumption Setting'!$F$84</f>
        <v>3200</v>
      </c>
      <c r="AR7" s="66" t="n">
        <f aca="false">'Assumption Setting'!$F$84</f>
        <v>3200</v>
      </c>
      <c r="AS7" s="66" t="n">
        <f aca="false">'Assumption Setting'!$F$84</f>
        <v>3200</v>
      </c>
      <c r="AT7" s="66" t="n">
        <f aca="false">'Assumption Setting'!$F$84</f>
        <v>3200</v>
      </c>
      <c r="AU7" s="66" t="n">
        <f aca="false">'Assumption Setting'!$F$84</f>
        <v>3200</v>
      </c>
      <c r="AV7" s="66" t="n">
        <f aca="false">'Assumption Setting'!$F$84</f>
        <v>3200</v>
      </c>
      <c r="AW7" s="66" t="n">
        <f aca="false">'Assumption Setting'!$F$84</f>
        <v>3200</v>
      </c>
      <c r="AX7" s="66" t="n">
        <f aca="false">'Assumption Setting'!$F$84</f>
        <v>3200</v>
      </c>
      <c r="AY7" s="66" t="n">
        <f aca="false">'Assumption Setting'!$F$84</f>
        <v>3200</v>
      </c>
      <c r="AZ7" s="66" t="n">
        <f aca="false">'Assumption Setting'!$F$84</f>
        <v>3200</v>
      </c>
      <c r="BA7" s="66" t="n">
        <f aca="false">'Assumption Setting'!$F$84</f>
        <v>3200</v>
      </c>
      <c r="BB7" s="65" t="n">
        <f aca="false">SUM(BC7:BN7)</f>
        <v>54000</v>
      </c>
      <c r="BC7" s="66" t="n">
        <f aca="false">'Assumption Setting'!$G$84</f>
        <v>4500</v>
      </c>
      <c r="BD7" s="66" t="n">
        <f aca="false">'Assumption Setting'!$G$84</f>
        <v>4500</v>
      </c>
      <c r="BE7" s="66" t="n">
        <f aca="false">'Assumption Setting'!$G$84</f>
        <v>4500</v>
      </c>
      <c r="BF7" s="66" t="n">
        <f aca="false">'Assumption Setting'!$G$84</f>
        <v>4500</v>
      </c>
      <c r="BG7" s="66" t="n">
        <f aca="false">'Assumption Setting'!$G$84</f>
        <v>4500</v>
      </c>
      <c r="BH7" s="66" t="n">
        <f aca="false">'Assumption Setting'!$G$84</f>
        <v>4500</v>
      </c>
      <c r="BI7" s="66" t="n">
        <f aca="false">'Assumption Setting'!$G$84</f>
        <v>4500</v>
      </c>
      <c r="BJ7" s="66" t="n">
        <f aca="false">'Assumption Setting'!$G$84</f>
        <v>4500</v>
      </c>
      <c r="BK7" s="66" t="n">
        <f aca="false">'Assumption Setting'!$G$84</f>
        <v>4500</v>
      </c>
      <c r="BL7" s="66" t="n">
        <f aca="false">'Assumption Setting'!$G$84</f>
        <v>4500</v>
      </c>
      <c r="BM7" s="66" t="n">
        <f aca="false">'Assumption Setting'!$G$84</f>
        <v>4500</v>
      </c>
      <c r="BN7" s="66" t="n">
        <f aca="false">'Assumption Setting'!$G$84</f>
        <v>4500</v>
      </c>
    </row>
    <row r="8" customFormat="false" ht="15" hidden="false" customHeight="false" outlineLevel="0" collapsed="false">
      <c r="A8" s="12" t="s">
        <v>620</v>
      </c>
      <c r="B8" s="79" t="n">
        <f aca="false">SUM(C8:N8)</f>
        <v>30000</v>
      </c>
      <c r="C8" s="80" t="n">
        <f aca="false">IFERROR(C7/'Assumption Setting'!$H$84,0)</f>
        <v>2500</v>
      </c>
      <c r="D8" s="80" t="n">
        <f aca="false">IFERROR(D7/'Assumption Setting'!$H$84,0)</f>
        <v>2500</v>
      </c>
      <c r="E8" s="80" t="n">
        <f aca="false">IFERROR(E7/'Assumption Setting'!$H$84,0)</f>
        <v>2500</v>
      </c>
      <c r="F8" s="80" t="n">
        <f aca="false">IFERROR(F7/'Assumption Setting'!$H$84,0)</f>
        <v>2500</v>
      </c>
      <c r="G8" s="80" t="n">
        <f aca="false">IFERROR(G7/'Assumption Setting'!$H$84,0)</f>
        <v>2500</v>
      </c>
      <c r="H8" s="80" t="n">
        <f aca="false">IFERROR(H7/'Assumption Setting'!$H$84,0)</f>
        <v>2500</v>
      </c>
      <c r="I8" s="80" t="n">
        <f aca="false">IFERROR(I7/'Assumption Setting'!$H$84,0)</f>
        <v>2500</v>
      </c>
      <c r="J8" s="80" t="n">
        <f aca="false">IFERROR(J7/'Assumption Setting'!$H$84,0)</f>
        <v>2500</v>
      </c>
      <c r="K8" s="80" t="n">
        <f aca="false">IFERROR(K7/'Assumption Setting'!$H$84,0)</f>
        <v>2500</v>
      </c>
      <c r="L8" s="80" t="n">
        <f aca="false">IFERROR(L7/'Assumption Setting'!$H$84,0)</f>
        <v>2500</v>
      </c>
      <c r="M8" s="80" t="n">
        <f aca="false">IFERROR(M7/'Assumption Setting'!$H$84,0)</f>
        <v>2500</v>
      </c>
      <c r="N8" s="80" t="n">
        <f aca="false">IFERROR(N7/'Assumption Setting'!$H$84,0)</f>
        <v>2500</v>
      </c>
      <c r="O8" s="79" t="n">
        <f aca="false">SUM(P8:AA8)</f>
        <v>135000</v>
      </c>
      <c r="P8" s="80" t="n">
        <f aca="false">IFERROR(P7/'Assumption Setting'!$H$84,0)</f>
        <v>11250</v>
      </c>
      <c r="Q8" s="80" t="n">
        <f aca="false">IFERROR(Q7/'Assumption Setting'!$H$84,0)</f>
        <v>11250</v>
      </c>
      <c r="R8" s="80" t="n">
        <f aca="false">IFERROR(R7/'Assumption Setting'!$H$84,0)</f>
        <v>11250</v>
      </c>
      <c r="S8" s="80" t="n">
        <f aca="false">IFERROR(S7/'Assumption Setting'!$H$84,0)</f>
        <v>11250</v>
      </c>
      <c r="T8" s="80" t="n">
        <f aca="false">IFERROR(T7/'Assumption Setting'!$H$84,0)</f>
        <v>11250</v>
      </c>
      <c r="U8" s="80" t="n">
        <f aca="false">IFERROR(U7/'Assumption Setting'!$H$84,0)</f>
        <v>11250</v>
      </c>
      <c r="V8" s="80" t="n">
        <f aca="false">IFERROR(V7/'Assumption Setting'!$H$84,0)</f>
        <v>11250</v>
      </c>
      <c r="W8" s="80" t="n">
        <f aca="false">IFERROR(W7/'Assumption Setting'!$H$84,0)</f>
        <v>11250</v>
      </c>
      <c r="X8" s="80" t="n">
        <f aca="false">IFERROR(X7/'Assumption Setting'!$H$84,0)</f>
        <v>11250</v>
      </c>
      <c r="Y8" s="80" t="n">
        <f aca="false">IFERROR(Y7/'Assumption Setting'!$H$84,0)</f>
        <v>11250</v>
      </c>
      <c r="Z8" s="80" t="n">
        <f aca="false">IFERROR(Z7/'Assumption Setting'!$H$84,0)</f>
        <v>11250</v>
      </c>
      <c r="AA8" s="80" t="n">
        <f aca="false">IFERROR(AA7/'Assumption Setting'!$H$84,0)</f>
        <v>11250</v>
      </c>
      <c r="AB8" s="79" t="n">
        <f aca="false">SUM(AC8:AN8)</f>
        <v>300000</v>
      </c>
      <c r="AC8" s="80" t="n">
        <f aca="false">IFERROR(AC7/'Assumption Setting'!$H$84,0)</f>
        <v>25000</v>
      </c>
      <c r="AD8" s="80" t="n">
        <f aca="false">IFERROR(AD7/'Assumption Setting'!$H$84,0)</f>
        <v>25000</v>
      </c>
      <c r="AE8" s="80" t="n">
        <f aca="false">IFERROR(AE7/'Assumption Setting'!$H$84,0)</f>
        <v>25000</v>
      </c>
      <c r="AF8" s="80" t="n">
        <f aca="false">IFERROR(AF7/'Assumption Setting'!$H$84,0)</f>
        <v>25000</v>
      </c>
      <c r="AG8" s="80" t="n">
        <f aca="false">IFERROR(AG7/'Assumption Setting'!$H$84,0)</f>
        <v>25000</v>
      </c>
      <c r="AH8" s="80" t="n">
        <f aca="false">IFERROR(AH7/'Assumption Setting'!$H$84,0)</f>
        <v>25000</v>
      </c>
      <c r="AI8" s="80" t="n">
        <f aca="false">IFERROR(AI7/'Assumption Setting'!$H$84,0)</f>
        <v>25000</v>
      </c>
      <c r="AJ8" s="80" t="n">
        <f aca="false">IFERROR(AJ7/'Assumption Setting'!$H$84,0)</f>
        <v>25000</v>
      </c>
      <c r="AK8" s="80" t="n">
        <f aca="false">IFERROR(AK7/'Assumption Setting'!$H$84,0)</f>
        <v>25000</v>
      </c>
      <c r="AL8" s="80" t="n">
        <f aca="false">IFERROR(AL7/'Assumption Setting'!$H$84,0)</f>
        <v>25000</v>
      </c>
      <c r="AM8" s="80" t="n">
        <f aca="false">IFERROR(AM7/'Assumption Setting'!$H$84,0)</f>
        <v>25000</v>
      </c>
      <c r="AN8" s="80" t="n">
        <f aca="false">IFERROR(AN7/'Assumption Setting'!$H$84,0)</f>
        <v>25000</v>
      </c>
      <c r="AO8" s="79" t="n">
        <f aca="false">SUM(AP8:BA8)</f>
        <v>480000</v>
      </c>
      <c r="AP8" s="80" t="n">
        <f aca="false">IFERROR(AP7/'Assumption Setting'!$H$84,0)</f>
        <v>40000</v>
      </c>
      <c r="AQ8" s="80" t="n">
        <f aca="false">IFERROR(AQ7/'Assumption Setting'!$H$84,0)</f>
        <v>40000</v>
      </c>
      <c r="AR8" s="80" t="n">
        <f aca="false">IFERROR(AR7/'Assumption Setting'!$H$84,0)</f>
        <v>40000</v>
      </c>
      <c r="AS8" s="80" t="n">
        <f aca="false">IFERROR(AS7/'Assumption Setting'!$H$84,0)</f>
        <v>40000</v>
      </c>
      <c r="AT8" s="80" t="n">
        <f aca="false">IFERROR(AT7/'Assumption Setting'!$H$84,0)</f>
        <v>40000</v>
      </c>
      <c r="AU8" s="80" t="n">
        <f aca="false">IFERROR(AU7/'Assumption Setting'!$H$84,0)</f>
        <v>40000</v>
      </c>
      <c r="AV8" s="80" t="n">
        <f aca="false">IFERROR(AV7/'Assumption Setting'!$H$84,0)</f>
        <v>40000</v>
      </c>
      <c r="AW8" s="80" t="n">
        <f aca="false">IFERROR(AW7/'Assumption Setting'!$H$84,0)</f>
        <v>40000</v>
      </c>
      <c r="AX8" s="80" t="n">
        <f aca="false">IFERROR(AX7/'Assumption Setting'!$H$84,0)</f>
        <v>40000</v>
      </c>
      <c r="AY8" s="80" t="n">
        <f aca="false">IFERROR(AY7/'Assumption Setting'!$H$84,0)</f>
        <v>40000</v>
      </c>
      <c r="AZ8" s="80" t="n">
        <f aca="false">IFERROR(AZ7/'Assumption Setting'!$H$84,0)</f>
        <v>40000</v>
      </c>
      <c r="BA8" s="80" t="n">
        <f aca="false">IFERROR(BA7/'Assumption Setting'!$H$84,0)</f>
        <v>40000</v>
      </c>
      <c r="BB8" s="79" t="n">
        <f aca="false">SUM(BC8:BN8)</f>
        <v>675000</v>
      </c>
      <c r="BC8" s="80" t="n">
        <f aca="false">IFERROR(BC7/'Assumption Setting'!$H$84,0)</f>
        <v>56250</v>
      </c>
      <c r="BD8" s="80" t="n">
        <f aca="false">IFERROR(BD7/'Assumption Setting'!$H$84,0)</f>
        <v>56250</v>
      </c>
      <c r="BE8" s="80" t="n">
        <f aca="false">IFERROR(BE7/'Assumption Setting'!$H$84,0)</f>
        <v>56250</v>
      </c>
      <c r="BF8" s="80" t="n">
        <f aca="false">IFERROR(BF7/'Assumption Setting'!$H$84,0)</f>
        <v>56250</v>
      </c>
      <c r="BG8" s="80" t="n">
        <f aca="false">IFERROR(BG7/'Assumption Setting'!$H$84,0)</f>
        <v>56250</v>
      </c>
      <c r="BH8" s="80" t="n">
        <f aca="false">IFERROR(BH7/'Assumption Setting'!$H$84,0)</f>
        <v>56250</v>
      </c>
      <c r="BI8" s="80" t="n">
        <f aca="false">IFERROR(BI7/'Assumption Setting'!$H$84,0)</f>
        <v>56250</v>
      </c>
      <c r="BJ8" s="80" t="n">
        <f aca="false">IFERROR(BJ7/'Assumption Setting'!$H$84,0)</f>
        <v>56250</v>
      </c>
      <c r="BK8" s="80" t="n">
        <f aca="false">IFERROR(BK7/'Assumption Setting'!$H$84,0)</f>
        <v>56250</v>
      </c>
      <c r="BL8" s="80" t="n">
        <f aca="false">IFERROR(BL7/'Assumption Setting'!$H$84,0)</f>
        <v>56250</v>
      </c>
      <c r="BM8" s="80" t="n">
        <f aca="false">IFERROR(BM7/'Assumption Setting'!$H$84,0)</f>
        <v>56250</v>
      </c>
      <c r="BN8" s="80" t="n">
        <f aca="false">IFERROR(BN7/'Assumption Setting'!$H$84,0)</f>
        <v>56250</v>
      </c>
    </row>
    <row r="9" customFormat="false" ht="15" hidden="false" customHeight="false" outlineLevel="0" collapsed="false">
      <c r="A9" s="12" t="s">
        <v>621</v>
      </c>
      <c r="B9" s="79" t="n">
        <f aca="false">SUM(C9:N9)</f>
        <v>39900</v>
      </c>
      <c r="C9" s="80" t="n">
        <f aca="false">C8*(1+'Assumption Setting'!$I$84+'Assumption Setting'!$J$84)</f>
        <v>3325</v>
      </c>
      <c r="D9" s="80" t="n">
        <f aca="false">D8*(1+'Assumption Setting'!$I$84+'Assumption Setting'!$J$84)</f>
        <v>3325</v>
      </c>
      <c r="E9" s="80" t="n">
        <f aca="false">E8*(1+'Assumption Setting'!$I$84+'Assumption Setting'!$J$84)</f>
        <v>3325</v>
      </c>
      <c r="F9" s="80" t="n">
        <f aca="false">F8*(1+'Assumption Setting'!$I$84+'Assumption Setting'!$J$84)</f>
        <v>3325</v>
      </c>
      <c r="G9" s="80" t="n">
        <f aca="false">G8*(1+'Assumption Setting'!$I$84+'Assumption Setting'!$J$84)</f>
        <v>3325</v>
      </c>
      <c r="H9" s="80" t="n">
        <f aca="false">H8*(1+'Assumption Setting'!$I$84+'Assumption Setting'!$J$84)</f>
        <v>3325</v>
      </c>
      <c r="I9" s="80" t="n">
        <f aca="false">I8*(1+'Assumption Setting'!$I$84+'Assumption Setting'!$J$84)</f>
        <v>3325</v>
      </c>
      <c r="J9" s="80" t="n">
        <f aca="false">J8*(1+'Assumption Setting'!$I$84+'Assumption Setting'!$J$84)</f>
        <v>3325</v>
      </c>
      <c r="K9" s="80" t="n">
        <f aca="false">K8*(1+'Assumption Setting'!$I$84+'Assumption Setting'!$J$84)</f>
        <v>3325</v>
      </c>
      <c r="L9" s="80" t="n">
        <f aca="false">L8*(1+'Assumption Setting'!$I$84+'Assumption Setting'!$J$84)</f>
        <v>3325</v>
      </c>
      <c r="M9" s="80" t="n">
        <f aca="false">M8*(1+'Assumption Setting'!$I$84+'Assumption Setting'!$J$84)</f>
        <v>3325</v>
      </c>
      <c r="N9" s="80" t="n">
        <f aca="false">N8*(1+'Assumption Setting'!$I$84+'Assumption Setting'!$J$84)</f>
        <v>3325</v>
      </c>
      <c r="O9" s="79" t="n">
        <f aca="false">SUM(P9:AA9)</f>
        <v>179550</v>
      </c>
      <c r="P9" s="80" t="n">
        <f aca="false">P8*(1+'Assumption Setting'!$I$84+'Assumption Setting'!$J$84)</f>
        <v>14962.5</v>
      </c>
      <c r="Q9" s="80" t="n">
        <f aca="false">Q8*(1+'Assumption Setting'!$I$84+'Assumption Setting'!$J$84)</f>
        <v>14962.5</v>
      </c>
      <c r="R9" s="80" t="n">
        <f aca="false">R8*(1+'Assumption Setting'!$I$84+'Assumption Setting'!$J$84)</f>
        <v>14962.5</v>
      </c>
      <c r="S9" s="80" t="n">
        <f aca="false">S8*(1+'Assumption Setting'!$I$84+'Assumption Setting'!$J$84)</f>
        <v>14962.5</v>
      </c>
      <c r="T9" s="80" t="n">
        <f aca="false">T8*(1+'Assumption Setting'!$I$84+'Assumption Setting'!$J$84)</f>
        <v>14962.5</v>
      </c>
      <c r="U9" s="80" t="n">
        <f aca="false">U8*(1+'Assumption Setting'!$I$84+'Assumption Setting'!$J$84)</f>
        <v>14962.5</v>
      </c>
      <c r="V9" s="80" t="n">
        <f aca="false">V8*(1+'Assumption Setting'!$I$84+'Assumption Setting'!$J$84)</f>
        <v>14962.5</v>
      </c>
      <c r="W9" s="80" t="n">
        <f aca="false">W8*(1+'Assumption Setting'!$I$84+'Assumption Setting'!$J$84)</f>
        <v>14962.5</v>
      </c>
      <c r="X9" s="80" t="n">
        <f aca="false">X8*(1+'Assumption Setting'!$I$84+'Assumption Setting'!$J$84)</f>
        <v>14962.5</v>
      </c>
      <c r="Y9" s="80" t="n">
        <f aca="false">Y8*(1+'Assumption Setting'!$I$84+'Assumption Setting'!$J$84)</f>
        <v>14962.5</v>
      </c>
      <c r="Z9" s="80" t="n">
        <f aca="false">Z8*(1+'Assumption Setting'!$I$84+'Assumption Setting'!$J$84)</f>
        <v>14962.5</v>
      </c>
      <c r="AA9" s="80" t="n">
        <f aca="false">AA8*(1+'Assumption Setting'!$I$84+'Assumption Setting'!$J$84)</f>
        <v>14962.5</v>
      </c>
      <c r="AB9" s="79" t="n">
        <f aca="false">SUM(AC9:AN9)</f>
        <v>399000</v>
      </c>
      <c r="AC9" s="80" t="n">
        <f aca="false">AC8*(1+'Assumption Setting'!$I$84+'Assumption Setting'!$J$84)</f>
        <v>33250</v>
      </c>
      <c r="AD9" s="80" t="n">
        <f aca="false">AD8*(1+'Assumption Setting'!$I$84+'Assumption Setting'!$J$84)</f>
        <v>33250</v>
      </c>
      <c r="AE9" s="80" t="n">
        <f aca="false">AE8*(1+'Assumption Setting'!$I$84+'Assumption Setting'!$J$84)</f>
        <v>33250</v>
      </c>
      <c r="AF9" s="80" t="n">
        <f aca="false">AF8*(1+'Assumption Setting'!$I$84+'Assumption Setting'!$J$84)</f>
        <v>33250</v>
      </c>
      <c r="AG9" s="80" t="n">
        <f aca="false">AG8*(1+'Assumption Setting'!$I$84+'Assumption Setting'!$J$84)</f>
        <v>33250</v>
      </c>
      <c r="AH9" s="80" t="n">
        <f aca="false">AH8*(1+'Assumption Setting'!$I$84+'Assumption Setting'!$J$84)</f>
        <v>33250</v>
      </c>
      <c r="AI9" s="80" t="n">
        <f aca="false">AI8*(1+'Assumption Setting'!$I$84+'Assumption Setting'!$J$84)</f>
        <v>33250</v>
      </c>
      <c r="AJ9" s="80" t="n">
        <f aca="false">AJ8*(1+'Assumption Setting'!$I$84+'Assumption Setting'!$J$84)</f>
        <v>33250</v>
      </c>
      <c r="AK9" s="80" t="n">
        <f aca="false">AK8*(1+'Assumption Setting'!$I$84+'Assumption Setting'!$J$84)</f>
        <v>33250</v>
      </c>
      <c r="AL9" s="80" t="n">
        <f aca="false">AL8*(1+'Assumption Setting'!$I$84+'Assumption Setting'!$J$84)</f>
        <v>33250</v>
      </c>
      <c r="AM9" s="80" t="n">
        <f aca="false">AM8*(1+'Assumption Setting'!$I$84+'Assumption Setting'!$J$84)</f>
        <v>33250</v>
      </c>
      <c r="AN9" s="80" t="n">
        <f aca="false">AN8*(1+'Assumption Setting'!$I$84+'Assumption Setting'!$J$84)</f>
        <v>33250</v>
      </c>
      <c r="AO9" s="79" t="n">
        <f aca="false">SUM(AP9:BA9)</f>
        <v>638400</v>
      </c>
      <c r="AP9" s="80" t="n">
        <f aca="false">AP8*(1+'Assumption Setting'!$I$84+'Assumption Setting'!$J$84)</f>
        <v>53200</v>
      </c>
      <c r="AQ9" s="80" t="n">
        <f aca="false">AQ8*(1+'Assumption Setting'!$I$84+'Assumption Setting'!$J$84)</f>
        <v>53200</v>
      </c>
      <c r="AR9" s="80" t="n">
        <f aca="false">AR8*(1+'Assumption Setting'!$I$84+'Assumption Setting'!$J$84)</f>
        <v>53200</v>
      </c>
      <c r="AS9" s="80" t="n">
        <f aca="false">AS8*(1+'Assumption Setting'!$I$84+'Assumption Setting'!$J$84)</f>
        <v>53200</v>
      </c>
      <c r="AT9" s="80" t="n">
        <f aca="false">AT8*(1+'Assumption Setting'!$I$84+'Assumption Setting'!$J$84)</f>
        <v>53200</v>
      </c>
      <c r="AU9" s="80" t="n">
        <f aca="false">AU8*(1+'Assumption Setting'!$I$84+'Assumption Setting'!$J$84)</f>
        <v>53200</v>
      </c>
      <c r="AV9" s="80" t="n">
        <f aca="false">AV8*(1+'Assumption Setting'!$I$84+'Assumption Setting'!$J$84)</f>
        <v>53200</v>
      </c>
      <c r="AW9" s="80" t="n">
        <f aca="false">AW8*(1+'Assumption Setting'!$I$84+'Assumption Setting'!$J$84)</f>
        <v>53200</v>
      </c>
      <c r="AX9" s="80" t="n">
        <f aca="false">AX8*(1+'Assumption Setting'!$I$84+'Assumption Setting'!$J$84)</f>
        <v>53200</v>
      </c>
      <c r="AY9" s="80" t="n">
        <f aca="false">AY8*(1+'Assumption Setting'!$I$84+'Assumption Setting'!$J$84)</f>
        <v>53200</v>
      </c>
      <c r="AZ9" s="80" t="n">
        <f aca="false">AZ8*(1+'Assumption Setting'!$I$84+'Assumption Setting'!$J$84)</f>
        <v>53200</v>
      </c>
      <c r="BA9" s="80" t="n">
        <f aca="false">BA8*(1+'Assumption Setting'!$I$84+'Assumption Setting'!$J$84)</f>
        <v>53200</v>
      </c>
      <c r="BB9" s="79" t="n">
        <f aca="false">SUM(BC9:BN9)</f>
        <v>897750</v>
      </c>
      <c r="BC9" s="80" t="n">
        <f aca="false">BC8*(1+'Assumption Setting'!$I$84+'Assumption Setting'!$J$84)</f>
        <v>74812.5</v>
      </c>
      <c r="BD9" s="80" t="n">
        <f aca="false">BD8*(1+'Assumption Setting'!$I$84+'Assumption Setting'!$J$84)</f>
        <v>74812.5</v>
      </c>
      <c r="BE9" s="80" t="n">
        <f aca="false">BE8*(1+'Assumption Setting'!$I$84+'Assumption Setting'!$J$84)</f>
        <v>74812.5</v>
      </c>
      <c r="BF9" s="80" t="n">
        <f aca="false">BF8*(1+'Assumption Setting'!$I$84+'Assumption Setting'!$J$84)</f>
        <v>74812.5</v>
      </c>
      <c r="BG9" s="80" t="n">
        <f aca="false">BG8*(1+'Assumption Setting'!$I$84+'Assumption Setting'!$J$84)</f>
        <v>74812.5</v>
      </c>
      <c r="BH9" s="80" t="n">
        <f aca="false">BH8*(1+'Assumption Setting'!$I$84+'Assumption Setting'!$J$84)</f>
        <v>74812.5</v>
      </c>
      <c r="BI9" s="80" t="n">
        <f aca="false">BI8*(1+'Assumption Setting'!$I$84+'Assumption Setting'!$J$84)</f>
        <v>74812.5</v>
      </c>
      <c r="BJ9" s="80" t="n">
        <f aca="false">BJ8*(1+'Assumption Setting'!$I$84+'Assumption Setting'!$J$84)</f>
        <v>74812.5</v>
      </c>
      <c r="BK9" s="80" t="n">
        <f aca="false">BK8*(1+'Assumption Setting'!$I$84+'Assumption Setting'!$J$84)</f>
        <v>74812.5</v>
      </c>
      <c r="BL9" s="80" t="n">
        <f aca="false">BL8*(1+'Assumption Setting'!$I$84+'Assumption Setting'!$J$84)</f>
        <v>74812.5</v>
      </c>
      <c r="BM9" s="80" t="n">
        <f aca="false">BM8*(1+'Assumption Setting'!$I$84+'Assumption Setting'!$J$84)</f>
        <v>74812.5</v>
      </c>
      <c r="BN9" s="80" t="n">
        <f aca="false">BN8*(1+'Assumption Setting'!$I$84+'Assumption Setting'!$J$84)</f>
        <v>74812.5</v>
      </c>
    </row>
    <row r="10" customFormat="false" ht="15" hidden="false" customHeight="false" outlineLevel="0" collapsed="false">
      <c r="A10" s="12" t="s">
        <v>622</v>
      </c>
      <c r="B10" s="81" t="n">
        <f aca="false">SUM(C10:N10)</f>
        <v>997.5</v>
      </c>
      <c r="C10" s="82" t="n">
        <f aca="false">C9*'Assumption Setting'!$K$84</f>
        <v>83.125</v>
      </c>
      <c r="D10" s="82" t="n">
        <f aca="false">D9*'Assumption Setting'!$K$84</f>
        <v>83.125</v>
      </c>
      <c r="E10" s="82" t="n">
        <f aca="false">E9*'Assumption Setting'!$K$84</f>
        <v>83.125</v>
      </c>
      <c r="F10" s="82" t="n">
        <f aca="false">F9*'Assumption Setting'!$K$84</f>
        <v>83.125</v>
      </c>
      <c r="G10" s="82" t="n">
        <f aca="false">G9*'Assumption Setting'!$K$84</f>
        <v>83.125</v>
      </c>
      <c r="H10" s="82" t="n">
        <f aca="false">H9*'Assumption Setting'!$K$84</f>
        <v>83.125</v>
      </c>
      <c r="I10" s="82" t="n">
        <f aca="false">I9*'Assumption Setting'!$K$84</f>
        <v>83.125</v>
      </c>
      <c r="J10" s="82" t="n">
        <f aca="false">J9*'Assumption Setting'!$K$84</f>
        <v>83.125</v>
      </c>
      <c r="K10" s="82" t="n">
        <f aca="false">K9*'Assumption Setting'!$K$84</f>
        <v>83.125</v>
      </c>
      <c r="L10" s="82" t="n">
        <f aca="false">L9*'Assumption Setting'!$K$84</f>
        <v>83.125</v>
      </c>
      <c r="M10" s="82" t="n">
        <f aca="false">M9*'Assumption Setting'!$K$84</f>
        <v>83.125</v>
      </c>
      <c r="N10" s="82" t="n">
        <f aca="false">N9*'Assumption Setting'!$K$84</f>
        <v>83.125</v>
      </c>
      <c r="O10" s="81" t="n">
        <f aca="false">SUM(P10:AA10)</f>
        <v>4488.75</v>
      </c>
      <c r="P10" s="82" t="n">
        <f aca="false">P9*'Assumption Setting'!$K$84</f>
        <v>374.0625</v>
      </c>
      <c r="Q10" s="82" t="n">
        <f aca="false">Q9*'Assumption Setting'!$K$84</f>
        <v>374.0625</v>
      </c>
      <c r="R10" s="82" t="n">
        <f aca="false">R9*'Assumption Setting'!$K$84</f>
        <v>374.0625</v>
      </c>
      <c r="S10" s="82" t="n">
        <f aca="false">S9*'Assumption Setting'!$K$84</f>
        <v>374.0625</v>
      </c>
      <c r="T10" s="82" t="n">
        <f aca="false">T9*'Assumption Setting'!$K$84</f>
        <v>374.0625</v>
      </c>
      <c r="U10" s="82" t="n">
        <f aca="false">U9*'Assumption Setting'!$K$84</f>
        <v>374.0625</v>
      </c>
      <c r="V10" s="82" t="n">
        <f aca="false">V9*'Assumption Setting'!$K$84</f>
        <v>374.0625</v>
      </c>
      <c r="W10" s="82" t="n">
        <f aca="false">W9*'Assumption Setting'!$K$84</f>
        <v>374.0625</v>
      </c>
      <c r="X10" s="82" t="n">
        <f aca="false">X9*'Assumption Setting'!$K$84</f>
        <v>374.0625</v>
      </c>
      <c r="Y10" s="82" t="n">
        <f aca="false">Y9*'Assumption Setting'!$K$84</f>
        <v>374.0625</v>
      </c>
      <c r="Z10" s="82" t="n">
        <f aca="false">Z9*'Assumption Setting'!$K$84</f>
        <v>374.0625</v>
      </c>
      <c r="AA10" s="82" t="n">
        <f aca="false">AA9*'Assumption Setting'!$K$84</f>
        <v>374.0625</v>
      </c>
      <c r="AB10" s="81" t="n">
        <f aca="false">SUM(AC10:AN10)</f>
        <v>9975</v>
      </c>
      <c r="AC10" s="82" t="n">
        <f aca="false">AC9*'Assumption Setting'!$K$84</f>
        <v>831.25</v>
      </c>
      <c r="AD10" s="82" t="n">
        <f aca="false">AD9*'Assumption Setting'!$K$84</f>
        <v>831.25</v>
      </c>
      <c r="AE10" s="82" t="n">
        <f aca="false">AE9*'Assumption Setting'!$K$84</f>
        <v>831.25</v>
      </c>
      <c r="AF10" s="82" t="n">
        <f aca="false">AF9*'Assumption Setting'!$K$84</f>
        <v>831.25</v>
      </c>
      <c r="AG10" s="82" t="n">
        <f aca="false">AG9*'Assumption Setting'!$K$84</f>
        <v>831.25</v>
      </c>
      <c r="AH10" s="82" t="n">
        <f aca="false">AH9*'Assumption Setting'!$K$84</f>
        <v>831.25</v>
      </c>
      <c r="AI10" s="82" t="n">
        <f aca="false">AI9*'Assumption Setting'!$K$84</f>
        <v>831.25</v>
      </c>
      <c r="AJ10" s="82" t="n">
        <f aca="false">AJ9*'Assumption Setting'!$K$84</f>
        <v>831.25</v>
      </c>
      <c r="AK10" s="82" t="n">
        <f aca="false">AK9*'Assumption Setting'!$K$84</f>
        <v>831.25</v>
      </c>
      <c r="AL10" s="82" t="n">
        <f aca="false">AL9*'Assumption Setting'!$K$84</f>
        <v>831.25</v>
      </c>
      <c r="AM10" s="82" t="n">
        <f aca="false">AM9*'Assumption Setting'!$K$84</f>
        <v>831.25</v>
      </c>
      <c r="AN10" s="82" t="n">
        <f aca="false">AN9*'Assumption Setting'!$K$84</f>
        <v>831.25</v>
      </c>
      <c r="AO10" s="81" t="n">
        <f aca="false">SUM(AP10:BA10)</f>
        <v>15960</v>
      </c>
      <c r="AP10" s="82" t="n">
        <f aca="false">AP9*'Assumption Setting'!$K$84</f>
        <v>1330</v>
      </c>
      <c r="AQ10" s="82" t="n">
        <f aca="false">AQ9*'Assumption Setting'!$K$84</f>
        <v>1330</v>
      </c>
      <c r="AR10" s="82" t="n">
        <f aca="false">AR9*'Assumption Setting'!$K$84</f>
        <v>1330</v>
      </c>
      <c r="AS10" s="82" t="n">
        <f aca="false">AS9*'Assumption Setting'!$K$84</f>
        <v>1330</v>
      </c>
      <c r="AT10" s="82" t="n">
        <f aca="false">AT9*'Assumption Setting'!$K$84</f>
        <v>1330</v>
      </c>
      <c r="AU10" s="82" t="n">
        <f aca="false">AU9*'Assumption Setting'!$K$84</f>
        <v>1330</v>
      </c>
      <c r="AV10" s="82" t="n">
        <f aca="false">AV9*'Assumption Setting'!$K$84</f>
        <v>1330</v>
      </c>
      <c r="AW10" s="82" t="n">
        <f aca="false">AW9*'Assumption Setting'!$K$84</f>
        <v>1330</v>
      </c>
      <c r="AX10" s="82" t="n">
        <f aca="false">AX9*'Assumption Setting'!$K$84</f>
        <v>1330</v>
      </c>
      <c r="AY10" s="82" t="n">
        <f aca="false">AY9*'Assumption Setting'!$K$84</f>
        <v>1330</v>
      </c>
      <c r="AZ10" s="82" t="n">
        <f aca="false">AZ9*'Assumption Setting'!$K$84</f>
        <v>1330</v>
      </c>
      <c r="BA10" s="82" t="n">
        <f aca="false">BA9*'Assumption Setting'!$K$84</f>
        <v>1330</v>
      </c>
      <c r="BB10" s="81" t="n">
        <f aca="false">SUM(BC10:BN10)</f>
        <v>22443.75</v>
      </c>
      <c r="BC10" s="82" t="n">
        <f aca="false">BC9*'Assumption Setting'!$K$84</f>
        <v>1870.3125</v>
      </c>
      <c r="BD10" s="82" t="n">
        <f aca="false">BD9*'Assumption Setting'!$K$84</f>
        <v>1870.3125</v>
      </c>
      <c r="BE10" s="82" t="n">
        <f aca="false">BE9*'Assumption Setting'!$K$84</f>
        <v>1870.3125</v>
      </c>
      <c r="BF10" s="82" t="n">
        <f aca="false">BF9*'Assumption Setting'!$K$84</f>
        <v>1870.3125</v>
      </c>
      <c r="BG10" s="82" t="n">
        <f aca="false">BG9*'Assumption Setting'!$K$84</f>
        <v>1870.3125</v>
      </c>
      <c r="BH10" s="82" t="n">
        <f aca="false">BH9*'Assumption Setting'!$K$84</f>
        <v>1870.3125</v>
      </c>
      <c r="BI10" s="82" t="n">
        <f aca="false">BI9*'Assumption Setting'!$K$84</f>
        <v>1870.3125</v>
      </c>
      <c r="BJ10" s="82" t="n">
        <f aca="false">BJ9*'Assumption Setting'!$K$84</f>
        <v>1870.3125</v>
      </c>
      <c r="BK10" s="82" t="n">
        <f aca="false">BK9*'Assumption Setting'!$K$84</f>
        <v>1870.3125</v>
      </c>
      <c r="BL10" s="82" t="n">
        <f aca="false">BL9*'Assumption Setting'!$K$84</f>
        <v>1870.3125</v>
      </c>
      <c r="BM10" s="82" t="n">
        <f aca="false">BM9*'Assumption Setting'!$K$84</f>
        <v>1870.3125</v>
      </c>
      <c r="BN10" s="82" t="n">
        <f aca="false">BN9*'Assumption Setting'!$K$84</f>
        <v>1870.3125</v>
      </c>
    </row>
    <row r="11" customFormat="false" ht="15" hidden="false" customHeight="false" outlineLevel="0" collapsed="false">
      <c r="A11" s="12" t="s">
        <v>342</v>
      </c>
      <c r="B11" s="65" t="n">
        <f aca="false">SUM(C11:N11)</f>
        <v>1920</v>
      </c>
      <c r="C11" s="66" t="n">
        <f aca="false">'Assumption Setting'!$C$85</f>
        <v>160</v>
      </c>
      <c r="D11" s="66" t="n">
        <f aca="false">'Assumption Setting'!$C$85</f>
        <v>160</v>
      </c>
      <c r="E11" s="66" t="n">
        <f aca="false">'Assumption Setting'!$C$85</f>
        <v>160</v>
      </c>
      <c r="F11" s="66" t="n">
        <f aca="false">'Assumption Setting'!$C$85</f>
        <v>160</v>
      </c>
      <c r="G11" s="66" t="n">
        <f aca="false">'Assumption Setting'!$C$85</f>
        <v>160</v>
      </c>
      <c r="H11" s="66" t="n">
        <f aca="false">'Assumption Setting'!$C$85</f>
        <v>160</v>
      </c>
      <c r="I11" s="66" t="n">
        <f aca="false">'Assumption Setting'!$C$85</f>
        <v>160</v>
      </c>
      <c r="J11" s="66" t="n">
        <f aca="false">'Assumption Setting'!$C$85</f>
        <v>160</v>
      </c>
      <c r="K11" s="66" t="n">
        <f aca="false">'Assumption Setting'!$C$85</f>
        <v>160</v>
      </c>
      <c r="L11" s="66" t="n">
        <f aca="false">'Assumption Setting'!$C$85</f>
        <v>160</v>
      </c>
      <c r="M11" s="66" t="n">
        <f aca="false">'Assumption Setting'!$C$85</f>
        <v>160</v>
      </c>
      <c r="N11" s="66" t="n">
        <f aca="false">'Assumption Setting'!$C$85</f>
        <v>160</v>
      </c>
      <c r="O11" s="65" t="n">
        <f aca="false">SUM(P11:AA11)</f>
        <v>9600</v>
      </c>
      <c r="P11" s="66" t="n">
        <f aca="false">'Assumption Setting'!$D$85</f>
        <v>800</v>
      </c>
      <c r="Q11" s="66" t="n">
        <f aca="false">'Assumption Setting'!$D$85</f>
        <v>800</v>
      </c>
      <c r="R11" s="66" t="n">
        <f aca="false">'Assumption Setting'!$D$85</f>
        <v>800</v>
      </c>
      <c r="S11" s="66" t="n">
        <f aca="false">'Assumption Setting'!$D$85</f>
        <v>800</v>
      </c>
      <c r="T11" s="66" t="n">
        <f aca="false">'Assumption Setting'!$D$85</f>
        <v>800</v>
      </c>
      <c r="U11" s="66" t="n">
        <f aca="false">'Assumption Setting'!$D$85</f>
        <v>800</v>
      </c>
      <c r="V11" s="66" t="n">
        <f aca="false">'Assumption Setting'!$D$85</f>
        <v>800</v>
      </c>
      <c r="W11" s="66" t="n">
        <f aca="false">'Assumption Setting'!$D$85</f>
        <v>800</v>
      </c>
      <c r="X11" s="66" t="n">
        <f aca="false">'Assumption Setting'!$D$85</f>
        <v>800</v>
      </c>
      <c r="Y11" s="66" t="n">
        <f aca="false">'Assumption Setting'!$D$85</f>
        <v>800</v>
      </c>
      <c r="Z11" s="66" t="n">
        <f aca="false">'Assumption Setting'!$D$85</f>
        <v>800</v>
      </c>
      <c r="AA11" s="66" t="n">
        <f aca="false">'Assumption Setting'!$D$85</f>
        <v>800</v>
      </c>
      <c r="AB11" s="65" t="n">
        <f aca="false">SUM(AC11:AN11)</f>
        <v>21600</v>
      </c>
      <c r="AC11" s="66" t="n">
        <f aca="false">'Assumption Setting'!$E$85</f>
        <v>1800</v>
      </c>
      <c r="AD11" s="66" t="n">
        <f aca="false">'Assumption Setting'!$E$85</f>
        <v>1800</v>
      </c>
      <c r="AE11" s="66" t="n">
        <f aca="false">'Assumption Setting'!$E$85</f>
        <v>1800</v>
      </c>
      <c r="AF11" s="66" t="n">
        <f aca="false">'Assumption Setting'!$E$85</f>
        <v>1800</v>
      </c>
      <c r="AG11" s="66" t="n">
        <f aca="false">'Assumption Setting'!$E$85</f>
        <v>1800</v>
      </c>
      <c r="AH11" s="66" t="n">
        <f aca="false">'Assumption Setting'!$E$85</f>
        <v>1800</v>
      </c>
      <c r="AI11" s="66" t="n">
        <f aca="false">'Assumption Setting'!$E$85</f>
        <v>1800</v>
      </c>
      <c r="AJ11" s="66" t="n">
        <f aca="false">'Assumption Setting'!$E$85</f>
        <v>1800</v>
      </c>
      <c r="AK11" s="66" t="n">
        <f aca="false">'Assumption Setting'!$E$85</f>
        <v>1800</v>
      </c>
      <c r="AL11" s="66" t="n">
        <f aca="false">'Assumption Setting'!$E$85</f>
        <v>1800</v>
      </c>
      <c r="AM11" s="66" t="n">
        <f aca="false">'Assumption Setting'!$E$85</f>
        <v>1800</v>
      </c>
      <c r="AN11" s="66" t="n">
        <f aca="false">'Assumption Setting'!$E$85</f>
        <v>1800</v>
      </c>
      <c r="AO11" s="65" t="n">
        <f aca="false">SUM(AP11:BA11)</f>
        <v>36000</v>
      </c>
      <c r="AP11" s="66" t="n">
        <f aca="false">'Assumption Setting'!$F$85</f>
        <v>3000</v>
      </c>
      <c r="AQ11" s="66" t="n">
        <f aca="false">'Assumption Setting'!$F$85</f>
        <v>3000</v>
      </c>
      <c r="AR11" s="66" t="n">
        <f aca="false">'Assumption Setting'!$F$85</f>
        <v>3000</v>
      </c>
      <c r="AS11" s="66" t="n">
        <f aca="false">'Assumption Setting'!$F$85</f>
        <v>3000</v>
      </c>
      <c r="AT11" s="66" t="n">
        <f aca="false">'Assumption Setting'!$F$85</f>
        <v>3000</v>
      </c>
      <c r="AU11" s="66" t="n">
        <f aca="false">'Assumption Setting'!$F$85</f>
        <v>3000</v>
      </c>
      <c r="AV11" s="66" t="n">
        <f aca="false">'Assumption Setting'!$F$85</f>
        <v>3000</v>
      </c>
      <c r="AW11" s="66" t="n">
        <f aca="false">'Assumption Setting'!$F$85</f>
        <v>3000</v>
      </c>
      <c r="AX11" s="66" t="n">
        <f aca="false">'Assumption Setting'!$F$85</f>
        <v>3000</v>
      </c>
      <c r="AY11" s="66" t="n">
        <f aca="false">'Assumption Setting'!$F$85</f>
        <v>3000</v>
      </c>
      <c r="AZ11" s="66" t="n">
        <f aca="false">'Assumption Setting'!$F$85</f>
        <v>3000</v>
      </c>
      <c r="BA11" s="66" t="n">
        <f aca="false">'Assumption Setting'!$F$85</f>
        <v>3000</v>
      </c>
      <c r="BB11" s="65" t="n">
        <f aca="false">SUM(BC11:BN11)</f>
        <v>50400</v>
      </c>
      <c r="BC11" s="66" t="n">
        <f aca="false">'Assumption Setting'!$G$85</f>
        <v>4200</v>
      </c>
      <c r="BD11" s="66" t="n">
        <f aca="false">'Assumption Setting'!$G$85</f>
        <v>4200</v>
      </c>
      <c r="BE11" s="66" t="n">
        <f aca="false">'Assumption Setting'!$G$85</f>
        <v>4200</v>
      </c>
      <c r="BF11" s="66" t="n">
        <f aca="false">'Assumption Setting'!$G$85</f>
        <v>4200</v>
      </c>
      <c r="BG11" s="66" t="n">
        <f aca="false">'Assumption Setting'!$G$85</f>
        <v>4200</v>
      </c>
      <c r="BH11" s="66" t="n">
        <f aca="false">'Assumption Setting'!$G$85</f>
        <v>4200</v>
      </c>
      <c r="BI11" s="66" t="n">
        <f aca="false">'Assumption Setting'!$G$85</f>
        <v>4200</v>
      </c>
      <c r="BJ11" s="66" t="n">
        <f aca="false">'Assumption Setting'!$G$85</f>
        <v>4200</v>
      </c>
      <c r="BK11" s="66" t="n">
        <f aca="false">'Assumption Setting'!$G$85</f>
        <v>4200</v>
      </c>
      <c r="BL11" s="66" t="n">
        <f aca="false">'Assumption Setting'!$G$85</f>
        <v>4200</v>
      </c>
      <c r="BM11" s="66" t="n">
        <f aca="false">'Assumption Setting'!$G$85</f>
        <v>4200</v>
      </c>
      <c r="BN11" s="66" t="n">
        <f aca="false">'Assumption Setting'!$G$85</f>
        <v>4200</v>
      </c>
    </row>
    <row r="12" customFormat="false" ht="15" hidden="false" customHeight="false" outlineLevel="0" collapsed="false">
      <c r="A12" s="12" t="s">
        <v>620</v>
      </c>
      <c r="B12" s="79" t="n">
        <f aca="false">SUM(C12:N12)</f>
        <v>13714.2857142857</v>
      </c>
      <c r="C12" s="80" t="n">
        <f aca="false">IFERROR(C11/'Assumption Setting'!$H$85,0)</f>
        <v>1142.85714285714</v>
      </c>
      <c r="D12" s="80" t="n">
        <f aca="false">IFERROR(D11/'Assumption Setting'!$H$85,0)</f>
        <v>1142.85714285714</v>
      </c>
      <c r="E12" s="80" t="n">
        <f aca="false">IFERROR(E11/'Assumption Setting'!$H$85,0)</f>
        <v>1142.85714285714</v>
      </c>
      <c r="F12" s="80" t="n">
        <f aca="false">IFERROR(F11/'Assumption Setting'!$H$85,0)</f>
        <v>1142.85714285714</v>
      </c>
      <c r="G12" s="80" t="n">
        <f aca="false">IFERROR(G11/'Assumption Setting'!$H$85,0)</f>
        <v>1142.85714285714</v>
      </c>
      <c r="H12" s="80" t="n">
        <f aca="false">IFERROR(H11/'Assumption Setting'!$H$85,0)</f>
        <v>1142.85714285714</v>
      </c>
      <c r="I12" s="80" t="n">
        <f aca="false">IFERROR(I11/'Assumption Setting'!$H$85,0)</f>
        <v>1142.85714285714</v>
      </c>
      <c r="J12" s="80" t="n">
        <f aca="false">IFERROR(J11/'Assumption Setting'!$H$85,0)</f>
        <v>1142.85714285714</v>
      </c>
      <c r="K12" s="80" t="n">
        <f aca="false">IFERROR(K11/'Assumption Setting'!$H$85,0)</f>
        <v>1142.85714285714</v>
      </c>
      <c r="L12" s="80" t="n">
        <f aca="false">IFERROR(L11/'Assumption Setting'!$H$85,0)</f>
        <v>1142.85714285714</v>
      </c>
      <c r="M12" s="80" t="n">
        <f aca="false">IFERROR(M11/'Assumption Setting'!$H$85,0)</f>
        <v>1142.85714285714</v>
      </c>
      <c r="N12" s="80" t="n">
        <f aca="false">IFERROR(N11/'Assumption Setting'!$H$85,0)</f>
        <v>1142.85714285714</v>
      </c>
      <c r="O12" s="79" t="n">
        <f aca="false">SUM(P12:AA12)</f>
        <v>68571.4285714286</v>
      </c>
      <c r="P12" s="80" t="n">
        <f aca="false">IFERROR(P11/'Assumption Setting'!$H$85,0)</f>
        <v>5714.28571428571</v>
      </c>
      <c r="Q12" s="80" t="n">
        <f aca="false">IFERROR(Q11/'Assumption Setting'!$H$85,0)</f>
        <v>5714.28571428571</v>
      </c>
      <c r="R12" s="80" t="n">
        <f aca="false">IFERROR(R11/'Assumption Setting'!$H$85,0)</f>
        <v>5714.28571428571</v>
      </c>
      <c r="S12" s="80" t="n">
        <f aca="false">IFERROR(S11/'Assumption Setting'!$H$85,0)</f>
        <v>5714.28571428571</v>
      </c>
      <c r="T12" s="80" t="n">
        <f aca="false">IFERROR(T11/'Assumption Setting'!$H$85,0)</f>
        <v>5714.28571428571</v>
      </c>
      <c r="U12" s="80" t="n">
        <f aca="false">IFERROR(U11/'Assumption Setting'!$H$85,0)</f>
        <v>5714.28571428571</v>
      </c>
      <c r="V12" s="80" t="n">
        <f aca="false">IFERROR(V11/'Assumption Setting'!$H$85,0)</f>
        <v>5714.28571428571</v>
      </c>
      <c r="W12" s="80" t="n">
        <f aca="false">IFERROR(W11/'Assumption Setting'!$H$85,0)</f>
        <v>5714.28571428571</v>
      </c>
      <c r="X12" s="80" t="n">
        <f aca="false">IFERROR(X11/'Assumption Setting'!$H$85,0)</f>
        <v>5714.28571428571</v>
      </c>
      <c r="Y12" s="80" t="n">
        <f aca="false">IFERROR(Y11/'Assumption Setting'!$H$85,0)</f>
        <v>5714.28571428571</v>
      </c>
      <c r="Z12" s="80" t="n">
        <f aca="false">IFERROR(Z11/'Assumption Setting'!$H$85,0)</f>
        <v>5714.28571428571</v>
      </c>
      <c r="AA12" s="80" t="n">
        <f aca="false">IFERROR(AA11/'Assumption Setting'!$H$85,0)</f>
        <v>5714.28571428571</v>
      </c>
      <c r="AB12" s="79" t="n">
        <f aca="false">SUM(AC12:AN12)</f>
        <v>154285.714285714</v>
      </c>
      <c r="AC12" s="80" t="n">
        <f aca="false">IFERROR(AC11/'Assumption Setting'!$H$85,0)</f>
        <v>12857.1428571429</v>
      </c>
      <c r="AD12" s="80" t="n">
        <f aca="false">IFERROR(AD11/'Assumption Setting'!$H$85,0)</f>
        <v>12857.1428571429</v>
      </c>
      <c r="AE12" s="80" t="n">
        <f aca="false">IFERROR(AE11/'Assumption Setting'!$H$85,0)</f>
        <v>12857.1428571429</v>
      </c>
      <c r="AF12" s="80" t="n">
        <f aca="false">IFERROR(AF11/'Assumption Setting'!$H$85,0)</f>
        <v>12857.1428571429</v>
      </c>
      <c r="AG12" s="80" t="n">
        <f aca="false">IFERROR(AG11/'Assumption Setting'!$H$85,0)</f>
        <v>12857.1428571429</v>
      </c>
      <c r="AH12" s="80" t="n">
        <f aca="false">IFERROR(AH11/'Assumption Setting'!$H$85,0)</f>
        <v>12857.1428571429</v>
      </c>
      <c r="AI12" s="80" t="n">
        <f aca="false">IFERROR(AI11/'Assumption Setting'!$H$85,0)</f>
        <v>12857.1428571429</v>
      </c>
      <c r="AJ12" s="80" t="n">
        <f aca="false">IFERROR(AJ11/'Assumption Setting'!$H$85,0)</f>
        <v>12857.1428571429</v>
      </c>
      <c r="AK12" s="80" t="n">
        <f aca="false">IFERROR(AK11/'Assumption Setting'!$H$85,0)</f>
        <v>12857.1428571429</v>
      </c>
      <c r="AL12" s="80" t="n">
        <f aca="false">IFERROR(AL11/'Assumption Setting'!$H$85,0)</f>
        <v>12857.1428571429</v>
      </c>
      <c r="AM12" s="80" t="n">
        <f aca="false">IFERROR(AM11/'Assumption Setting'!$H$85,0)</f>
        <v>12857.1428571429</v>
      </c>
      <c r="AN12" s="80" t="n">
        <f aca="false">IFERROR(AN11/'Assumption Setting'!$H$85,0)</f>
        <v>12857.1428571429</v>
      </c>
      <c r="AO12" s="79" t="n">
        <f aca="false">SUM(AP12:BA12)</f>
        <v>257142.857142857</v>
      </c>
      <c r="AP12" s="80" t="n">
        <f aca="false">IFERROR(AP11/'Assumption Setting'!$H$85,0)</f>
        <v>21428.5714285714</v>
      </c>
      <c r="AQ12" s="80" t="n">
        <f aca="false">IFERROR(AQ11/'Assumption Setting'!$H$85,0)</f>
        <v>21428.5714285714</v>
      </c>
      <c r="AR12" s="80" t="n">
        <f aca="false">IFERROR(AR11/'Assumption Setting'!$H$85,0)</f>
        <v>21428.5714285714</v>
      </c>
      <c r="AS12" s="80" t="n">
        <f aca="false">IFERROR(AS11/'Assumption Setting'!$H$85,0)</f>
        <v>21428.5714285714</v>
      </c>
      <c r="AT12" s="80" t="n">
        <f aca="false">IFERROR(AT11/'Assumption Setting'!$H$85,0)</f>
        <v>21428.5714285714</v>
      </c>
      <c r="AU12" s="80" t="n">
        <f aca="false">IFERROR(AU11/'Assumption Setting'!$H$85,0)</f>
        <v>21428.5714285714</v>
      </c>
      <c r="AV12" s="80" t="n">
        <f aca="false">IFERROR(AV11/'Assumption Setting'!$H$85,0)</f>
        <v>21428.5714285714</v>
      </c>
      <c r="AW12" s="80" t="n">
        <f aca="false">IFERROR(AW11/'Assumption Setting'!$H$85,0)</f>
        <v>21428.5714285714</v>
      </c>
      <c r="AX12" s="80" t="n">
        <f aca="false">IFERROR(AX11/'Assumption Setting'!$H$85,0)</f>
        <v>21428.5714285714</v>
      </c>
      <c r="AY12" s="80" t="n">
        <f aca="false">IFERROR(AY11/'Assumption Setting'!$H$85,0)</f>
        <v>21428.5714285714</v>
      </c>
      <c r="AZ12" s="80" t="n">
        <f aca="false">IFERROR(AZ11/'Assumption Setting'!$H$85,0)</f>
        <v>21428.5714285714</v>
      </c>
      <c r="BA12" s="80" t="n">
        <f aca="false">IFERROR(BA11/'Assumption Setting'!$H$85,0)</f>
        <v>21428.5714285714</v>
      </c>
      <c r="BB12" s="79" t="n">
        <f aca="false">SUM(BC12:BN12)</f>
        <v>360000</v>
      </c>
      <c r="BC12" s="80" t="n">
        <f aca="false">IFERROR(BC11/'Assumption Setting'!$H$85,0)</f>
        <v>30000</v>
      </c>
      <c r="BD12" s="80" t="n">
        <f aca="false">IFERROR(BD11/'Assumption Setting'!$H$85,0)</f>
        <v>30000</v>
      </c>
      <c r="BE12" s="80" t="n">
        <f aca="false">IFERROR(BE11/'Assumption Setting'!$H$85,0)</f>
        <v>30000</v>
      </c>
      <c r="BF12" s="80" t="n">
        <f aca="false">IFERROR(BF11/'Assumption Setting'!$H$85,0)</f>
        <v>30000</v>
      </c>
      <c r="BG12" s="80" t="n">
        <f aca="false">IFERROR(BG11/'Assumption Setting'!$H$85,0)</f>
        <v>30000</v>
      </c>
      <c r="BH12" s="80" t="n">
        <f aca="false">IFERROR(BH11/'Assumption Setting'!$H$85,0)</f>
        <v>30000</v>
      </c>
      <c r="BI12" s="80" t="n">
        <f aca="false">IFERROR(BI11/'Assumption Setting'!$H$85,0)</f>
        <v>30000</v>
      </c>
      <c r="BJ12" s="80" t="n">
        <f aca="false">IFERROR(BJ11/'Assumption Setting'!$H$85,0)</f>
        <v>30000</v>
      </c>
      <c r="BK12" s="80" t="n">
        <f aca="false">IFERROR(BK11/'Assumption Setting'!$H$85,0)</f>
        <v>30000</v>
      </c>
      <c r="BL12" s="80" t="n">
        <f aca="false">IFERROR(BL11/'Assumption Setting'!$H$85,0)</f>
        <v>30000</v>
      </c>
      <c r="BM12" s="80" t="n">
        <f aca="false">IFERROR(BM11/'Assumption Setting'!$H$85,0)</f>
        <v>30000</v>
      </c>
      <c r="BN12" s="80" t="n">
        <f aca="false">IFERROR(BN11/'Assumption Setting'!$H$85,0)</f>
        <v>30000</v>
      </c>
    </row>
    <row r="13" customFormat="false" ht="15" hidden="false" customHeight="false" outlineLevel="0" collapsed="false">
      <c r="A13" s="12" t="s">
        <v>621</v>
      </c>
      <c r="B13" s="79" t="n">
        <f aca="false">SUM(C13:N13)</f>
        <v>16045.7142857143</v>
      </c>
      <c r="C13" s="80" t="n">
        <f aca="false">C12*(1+'Assumption Setting'!$I$85+'Assumption Setting'!$J$85)</f>
        <v>1337.14285714286</v>
      </c>
      <c r="D13" s="80" t="n">
        <f aca="false">D12*(1+'Assumption Setting'!$I$85+'Assumption Setting'!$J$85)</f>
        <v>1337.14285714286</v>
      </c>
      <c r="E13" s="80" t="n">
        <f aca="false">E12*(1+'Assumption Setting'!$I$85+'Assumption Setting'!$J$85)</f>
        <v>1337.14285714286</v>
      </c>
      <c r="F13" s="80" t="n">
        <f aca="false">F12*(1+'Assumption Setting'!$I$85+'Assumption Setting'!$J$85)</f>
        <v>1337.14285714286</v>
      </c>
      <c r="G13" s="80" t="n">
        <f aca="false">G12*(1+'Assumption Setting'!$I$85+'Assumption Setting'!$J$85)</f>
        <v>1337.14285714286</v>
      </c>
      <c r="H13" s="80" t="n">
        <f aca="false">H12*(1+'Assumption Setting'!$I$85+'Assumption Setting'!$J$85)</f>
        <v>1337.14285714286</v>
      </c>
      <c r="I13" s="80" t="n">
        <f aca="false">I12*(1+'Assumption Setting'!$I$85+'Assumption Setting'!$J$85)</f>
        <v>1337.14285714286</v>
      </c>
      <c r="J13" s="80" t="n">
        <f aca="false">J12*(1+'Assumption Setting'!$I$85+'Assumption Setting'!$J$85)</f>
        <v>1337.14285714286</v>
      </c>
      <c r="K13" s="80" t="n">
        <f aca="false">K12*(1+'Assumption Setting'!$I$85+'Assumption Setting'!$J$85)</f>
        <v>1337.14285714286</v>
      </c>
      <c r="L13" s="80" t="n">
        <f aca="false">L12*(1+'Assumption Setting'!$I$85+'Assumption Setting'!$J$85)</f>
        <v>1337.14285714286</v>
      </c>
      <c r="M13" s="80" t="n">
        <f aca="false">M12*(1+'Assumption Setting'!$I$85+'Assumption Setting'!$J$85)</f>
        <v>1337.14285714286</v>
      </c>
      <c r="N13" s="80" t="n">
        <f aca="false">N12*(1+'Assumption Setting'!$I$85+'Assumption Setting'!$J$85)</f>
        <v>1337.14285714286</v>
      </c>
      <c r="O13" s="79" t="n">
        <f aca="false">SUM(P13:AA13)</f>
        <v>80228.5714285714</v>
      </c>
      <c r="P13" s="80" t="n">
        <f aca="false">P12*(1+'Assumption Setting'!$I$85+'Assumption Setting'!$J$85)</f>
        <v>6685.71428571429</v>
      </c>
      <c r="Q13" s="80" t="n">
        <f aca="false">Q12*(1+'Assumption Setting'!$I$85+'Assumption Setting'!$J$85)</f>
        <v>6685.71428571429</v>
      </c>
      <c r="R13" s="80" t="n">
        <f aca="false">R12*(1+'Assumption Setting'!$I$85+'Assumption Setting'!$J$85)</f>
        <v>6685.71428571429</v>
      </c>
      <c r="S13" s="80" t="n">
        <f aca="false">S12*(1+'Assumption Setting'!$I$85+'Assumption Setting'!$J$85)</f>
        <v>6685.71428571429</v>
      </c>
      <c r="T13" s="80" t="n">
        <f aca="false">T12*(1+'Assumption Setting'!$I$85+'Assumption Setting'!$J$85)</f>
        <v>6685.71428571429</v>
      </c>
      <c r="U13" s="80" t="n">
        <f aca="false">U12*(1+'Assumption Setting'!$I$85+'Assumption Setting'!$J$85)</f>
        <v>6685.71428571429</v>
      </c>
      <c r="V13" s="80" t="n">
        <f aca="false">V12*(1+'Assumption Setting'!$I$85+'Assumption Setting'!$J$85)</f>
        <v>6685.71428571429</v>
      </c>
      <c r="W13" s="80" t="n">
        <f aca="false">W12*(1+'Assumption Setting'!$I$85+'Assumption Setting'!$J$85)</f>
        <v>6685.71428571429</v>
      </c>
      <c r="X13" s="80" t="n">
        <f aca="false">X12*(1+'Assumption Setting'!$I$85+'Assumption Setting'!$J$85)</f>
        <v>6685.71428571429</v>
      </c>
      <c r="Y13" s="80" t="n">
        <f aca="false">Y12*(1+'Assumption Setting'!$I$85+'Assumption Setting'!$J$85)</f>
        <v>6685.71428571429</v>
      </c>
      <c r="Z13" s="80" t="n">
        <f aca="false">Z12*(1+'Assumption Setting'!$I$85+'Assumption Setting'!$J$85)</f>
        <v>6685.71428571429</v>
      </c>
      <c r="AA13" s="80" t="n">
        <f aca="false">AA12*(1+'Assumption Setting'!$I$85+'Assumption Setting'!$J$85)</f>
        <v>6685.71428571429</v>
      </c>
      <c r="AB13" s="79" t="n">
        <f aca="false">SUM(AC13:AN13)</f>
        <v>180514.285714286</v>
      </c>
      <c r="AC13" s="80" t="n">
        <f aca="false">AC12*(1+'Assumption Setting'!$I$85+'Assumption Setting'!$J$85)</f>
        <v>15042.8571428571</v>
      </c>
      <c r="AD13" s="80" t="n">
        <f aca="false">AD12*(1+'Assumption Setting'!$I$85+'Assumption Setting'!$J$85)</f>
        <v>15042.8571428571</v>
      </c>
      <c r="AE13" s="80" t="n">
        <f aca="false">AE12*(1+'Assumption Setting'!$I$85+'Assumption Setting'!$J$85)</f>
        <v>15042.8571428571</v>
      </c>
      <c r="AF13" s="80" t="n">
        <f aca="false">AF12*(1+'Assumption Setting'!$I$85+'Assumption Setting'!$J$85)</f>
        <v>15042.8571428571</v>
      </c>
      <c r="AG13" s="80" t="n">
        <f aca="false">AG12*(1+'Assumption Setting'!$I$85+'Assumption Setting'!$J$85)</f>
        <v>15042.8571428571</v>
      </c>
      <c r="AH13" s="80" t="n">
        <f aca="false">AH12*(1+'Assumption Setting'!$I$85+'Assumption Setting'!$J$85)</f>
        <v>15042.8571428571</v>
      </c>
      <c r="AI13" s="80" t="n">
        <f aca="false">AI12*(1+'Assumption Setting'!$I$85+'Assumption Setting'!$J$85)</f>
        <v>15042.8571428571</v>
      </c>
      <c r="AJ13" s="80" t="n">
        <f aca="false">AJ12*(1+'Assumption Setting'!$I$85+'Assumption Setting'!$J$85)</f>
        <v>15042.8571428571</v>
      </c>
      <c r="AK13" s="80" t="n">
        <f aca="false">AK12*(1+'Assumption Setting'!$I$85+'Assumption Setting'!$J$85)</f>
        <v>15042.8571428571</v>
      </c>
      <c r="AL13" s="80" t="n">
        <f aca="false">AL12*(1+'Assumption Setting'!$I$85+'Assumption Setting'!$J$85)</f>
        <v>15042.8571428571</v>
      </c>
      <c r="AM13" s="80" t="n">
        <f aca="false">AM12*(1+'Assumption Setting'!$I$85+'Assumption Setting'!$J$85)</f>
        <v>15042.8571428571</v>
      </c>
      <c r="AN13" s="80" t="n">
        <f aca="false">AN12*(1+'Assumption Setting'!$I$85+'Assumption Setting'!$J$85)</f>
        <v>15042.8571428571</v>
      </c>
      <c r="AO13" s="79" t="n">
        <f aca="false">SUM(AP13:BA13)</f>
        <v>300857.142857143</v>
      </c>
      <c r="AP13" s="80" t="n">
        <f aca="false">AP12*(1+'Assumption Setting'!$I$85+'Assumption Setting'!$J$85)</f>
        <v>25071.4285714286</v>
      </c>
      <c r="AQ13" s="80" t="n">
        <f aca="false">AQ12*(1+'Assumption Setting'!$I$85+'Assumption Setting'!$J$85)</f>
        <v>25071.4285714286</v>
      </c>
      <c r="AR13" s="80" t="n">
        <f aca="false">AR12*(1+'Assumption Setting'!$I$85+'Assumption Setting'!$J$85)</f>
        <v>25071.4285714286</v>
      </c>
      <c r="AS13" s="80" t="n">
        <f aca="false">AS12*(1+'Assumption Setting'!$I$85+'Assumption Setting'!$J$85)</f>
        <v>25071.4285714286</v>
      </c>
      <c r="AT13" s="80" t="n">
        <f aca="false">AT12*(1+'Assumption Setting'!$I$85+'Assumption Setting'!$J$85)</f>
        <v>25071.4285714286</v>
      </c>
      <c r="AU13" s="80" t="n">
        <f aca="false">AU12*(1+'Assumption Setting'!$I$85+'Assumption Setting'!$J$85)</f>
        <v>25071.4285714286</v>
      </c>
      <c r="AV13" s="80" t="n">
        <f aca="false">AV12*(1+'Assumption Setting'!$I$85+'Assumption Setting'!$J$85)</f>
        <v>25071.4285714286</v>
      </c>
      <c r="AW13" s="80" t="n">
        <f aca="false">AW12*(1+'Assumption Setting'!$I$85+'Assumption Setting'!$J$85)</f>
        <v>25071.4285714286</v>
      </c>
      <c r="AX13" s="80" t="n">
        <f aca="false">AX12*(1+'Assumption Setting'!$I$85+'Assumption Setting'!$J$85)</f>
        <v>25071.4285714286</v>
      </c>
      <c r="AY13" s="80" t="n">
        <f aca="false">AY12*(1+'Assumption Setting'!$I$85+'Assumption Setting'!$J$85)</f>
        <v>25071.4285714286</v>
      </c>
      <c r="AZ13" s="80" t="n">
        <f aca="false">AZ12*(1+'Assumption Setting'!$I$85+'Assumption Setting'!$J$85)</f>
        <v>25071.4285714286</v>
      </c>
      <c r="BA13" s="80" t="n">
        <f aca="false">BA12*(1+'Assumption Setting'!$I$85+'Assumption Setting'!$J$85)</f>
        <v>25071.4285714286</v>
      </c>
      <c r="BB13" s="79" t="n">
        <f aca="false">SUM(BC13:BN13)</f>
        <v>421200</v>
      </c>
      <c r="BC13" s="80" t="n">
        <f aca="false">BC12*(1+'Assumption Setting'!$I$85+'Assumption Setting'!$J$85)</f>
        <v>35100</v>
      </c>
      <c r="BD13" s="80" t="n">
        <f aca="false">BD12*(1+'Assumption Setting'!$I$85+'Assumption Setting'!$J$85)</f>
        <v>35100</v>
      </c>
      <c r="BE13" s="80" t="n">
        <f aca="false">BE12*(1+'Assumption Setting'!$I$85+'Assumption Setting'!$J$85)</f>
        <v>35100</v>
      </c>
      <c r="BF13" s="80" t="n">
        <f aca="false">BF12*(1+'Assumption Setting'!$I$85+'Assumption Setting'!$J$85)</f>
        <v>35100</v>
      </c>
      <c r="BG13" s="80" t="n">
        <f aca="false">BG12*(1+'Assumption Setting'!$I$85+'Assumption Setting'!$J$85)</f>
        <v>35100</v>
      </c>
      <c r="BH13" s="80" t="n">
        <f aca="false">BH12*(1+'Assumption Setting'!$I$85+'Assumption Setting'!$J$85)</f>
        <v>35100</v>
      </c>
      <c r="BI13" s="80" t="n">
        <f aca="false">BI12*(1+'Assumption Setting'!$I$85+'Assumption Setting'!$J$85)</f>
        <v>35100</v>
      </c>
      <c r="BJ13" s="80" t="n">
        <f aca="false">BJ12*(1+'Assumption Setting'!$I$85+'Assumption Setting'!$J$85)</f>
        <v>35100</v>
      </c>
      <c r="BK13" s="80" t="n">
        <f aca="false">BK12*(1+'Assumption Setting'!$I$85+'Assumption Setting'!$J$85)</f>
        <v>35100</v>
      </c>
      <c r="BL13" s="80" t="n">
        <f aca="false">BL12*(1+'Assumption Setting'!$I$85+'Assumption Setting'!$J$85)</f>
        <v>35100</v>
      </c>
      <c r="BM13" s="80" t="n">
        <f aca="false">BM12*(1+'Assumption Setting'!$I$85+'Assumption Setting'!$J$85)</f>
        <v>35100</v>
      </c>
      <c r="BN13" s="80" t="n">
        <f aca="false">BN12*(1+'Assumption Setting'!$I$85+'Assumption Setting'!$J$85)</f>
        <v>35100</v>
      </c>
    </row>
    <row r="14" customFormat="false" ht="15" hidden="false" customHeight="false" outlineLevel="0" collapsed="false">
      <c r="A14" s="12" t="s">
        <v>622</v>
      </c>
      <c r="B14" s="81" t="n">
        <f aca="false">SUM(C14:N14)</f>
        <v>561.6</v>
      </c>
      <c r="C14" s="82" t="n">
        <f aca="false">C13*'Assumption Setting'!$K$85</f>
        <v>46.8</v>
      </c>
      <c r="D14" s="82" t="n">
        <f aca="false">D13*'Assumption Setting'!$K$85</f>
        <v>46.8</v>
      </c>
      <c r="E14" s="82" t="n">
        <f aca="false">E13*'Assumption Setting'!$K$85</f>
        <v>46.8</v>
      </c>
      <c r="F14" s="82" t="n">
        <f aca="false">F13*'Assumption Setting'!$K$85</f>
        <v>46.8</v>
      </c>
      <c r="G14" s="82" t="n">
        <f aca="false">G13*'Assumption Setting'!$K$85</f>
        <v>46.8</v>
      </c>
      <c r="H14" s="82" t="n">
        <f aca="false">H13*'Assumption Setting'!$K$85</f>
        <v>46.8</v>
      </c>
      <c r="I14" s="82" t="n">
        <f aca="false">I13*'Assumption Setting'!$K$85</f>
        <v>46.8</v>
      </c>
      <c r="J14" s="82" t="n">
        <f aca="false">J13*'Assumption Setting'!$K$85</f>
        <v>46.8</v>
      </c>
      <c r="K14" s="82" t="n">
        <f aca="false">K13*'Assumption Setting'!$K$85</f>
        <v>46.8</v>
      </c>
      <c r="L14" s="82" t="n">
        <f aca="false">L13*'Assumption Setting'!$K$85</f>
        <v>46.8</v>
      </c>
      <c r="M14" s="82" t="n">
        <f aca="false">M13*'Assumption Setting'!$K$85</f>
        <v>46.8</v>
      </c>
      <c r="N14" s="82" t="n">
        <f aca="false">N13*'Assumption Setting'!$K$85</f>
        <v>46.8</v>
      </c>
      <c r="O14" s="81" t="n">
        <f aca="false">SUM(P14:AA14)</f>
        <v>2808</v>
      </c>
      <c r="P14" s="82" t="n">
        <f aca="false">P13*'Assumption Setting'!$K$85</f>
        <v>234</v>
      </c>
      <c r="Q14" s="82" t="n">
        <f aca="false">Q13*'Assumption Setting'!$K$85</f>
        <v>234</v>
      </c>
      <c r="R14" s="82" t="n">
        <f aca="false">R13*'Assumption Setting'!$K$85</f>
        <v>234</v>
      </c>
      <c r="S14" s="82" t="n">
        <f aca="false">S13*'Assumption Setting'!$K$85</f>
        <v>234</v>
      </c>
      <c r="T14" s="82" t="n">
        <f aca="false">T13*'Assumption Setting'!$K$85</f>
        <v>234</v>
      </c>
      <c r="U14" s="82" t="n">
        <f aca="false">U13*'Assumption Setting'!$K$85</f>
        <v>234</v>
      </c>
      <c r="V14" s="82" t="n">
        <f aca="false">V13*'Assumption Setting'!$K$85</f>
        <v>234</v>
      </c>
      <c r="W14" s="82" t="n">
        <f aca="false">W13*'Assumption Setting'!$K$85</f>
        <v>234</v>
      </c>
      <c r="X14" s="82" t="n">
        <f aca="false">X13*'Assumption Setting'!$K$85</f>
        <v>234</v>
      </c>
      <c r="Y14" s="82" t="n">
        <f aca="false">Y13*'Assumption Setting'!$K$85</f>
        <v>234</v>
      </c>
      <c r="Z14" s="82" t="n">
        <f aca="false">Z13*'Assumption Setting'!$K$85</f>
        <v>234</v>
      </c>
      <c r="AA14" s="82" t="n">
        <f aca="false">AA13*'Assumption Setting'!$K$85</f>
        <v>234</v>
      </c>
      <c r="AB14" s="81" t="n">
        <f aca="false">SUM(AC14:AN14)</f>
        <v>6318</v>
      </c>
      <c r="AC14" s="82" t="n">
        <f aca="false">AC13*'Assumption Setting'!$K$85</f>
        <v>526.5</v>
      </c>
      <c r="AD14" s="82" t="n">
        <f aca="false">AD13*'Assumption Setting'!$K$85</f>
        <v>526.5</v>
      </c>
      <c r="AE14" s="82" t="n">
        <f aca="false">AE13*'Assumption Setting'!$K$85</f>
        <v>526.5</v>
      </c>
      <c r="AF14" s="82" t="n">
        <f aca="false">AF13*'Assumption Setting'!$K$85</f>
        <v>526.5</v>
      </c>
      <c r="AG14" s="82" t="n">
        <f aca="false">AG13*'Assumption Setting'!$K$85</f>
        <v>526.5</v>
      </c>
      <c r="AH14" s="82" t="n">
        <f aca="false">AH13*'Assumption Setting'!$K$85</f>
        <v>526.5</v>
      </c>
      <c r="AI14" s="82" t="n">
        <f aca="false">AI13*'Assumption Setting'!$K$85</f>
        <v>526.5</v>
      </c>
      <c r="AJ14" s="82" t="n">
        <f aca="false">AJ13*'Assumption Setting'!$K$85</f>
        <v>526.5</v>
      </c>
      <c r="AK14" s="82" t="n">
        <f aca="false">AK13*'Assumption Setting'!$K$85</f>
        <v>526.5</v>
      </c>
      <c r="AL14" s="82" t="n">
        <f aca="false">AL13*'Assumption Setting'!$K$85</f>
        <v>526.5</v>
      </c>
      <c r="AM14" s="82" t="n">
        <f aca="false">AM13*'Assumption Setting'!$K$85</f>
        <v>526.5</v>
      </c>
      <c r="AN14" s="82" t="n">
        <f aca="false">AN13*'Assumption Setting'!$K$85</f>
        <v>526.5</v>
      </c>
      <c r="AO14" s="81" t="n">
        <f aca="false">SUM(AP14:BA14)</f>
        <v>10530</v>
      </c>
      <c r="AP14" s="82" t="n">
        <f aca="false">AP13*'Assumption Setting'!$K$85</f>
        <v>877.5</v>
      </c>
      <c r="AQ14" s="82" t="n">
        <f aca="false">AQ13*'Assumption Setting'!$K$85</f>
        <v>877.5</v>
      </c>
      <c r="AR14" s="82" t="n">
        <f aca="false">AR13*'Assumption Setting'!$K$85</f>
        <v>877.5</v>
      </c>
      <c r="AS14" s="82" t="n">
        <f aca="false">AS13*'Assumption Setting'!$K$85</f>
        <v>877.5</v>
      </c>
      <c r="AT14" s="82" t="n">
        <f aca="false">AT13*'Assumption Setting'!$K$85</f>
        <v>877.5</v>
      </c>
      <c r="AU14" s="82" t="n">
        <f aca="false">AU13*'Assumption Setting'!$K$85</f>
        <v>877.5</v>
      </c>
      <c r="AV14" s="82" t="n">
        <f aca="false">AV13*'Assumption Setting'!$K$85</f>
        <v>877.5</v>
      </c>
      <c r="AW14" s="82" t="n">
        <f aca="false">AW13*'Assumption Setting'!$K$85</f>
        <v>877.5</v>
      </c>
      <c r="AX14" s="82" t="n">
        <f aca="false">AX13*'Assumption Setting'!$K$85</f>
        <v>877.5</v>
      </c>
      <c r="AY14" s="82" t="n">
        <f aca="false">AY13*'Assumption Setting'!$K$85</f>
        <v>877.5</v>
      </c>
      <c r="AZ14" s="82" t="n">
        <f aca="false">AZ13*'Assumption Setting'!$K$85</f>
        <v>877.5</v>
      </c>
      <c r="BA14" s="82" t="n">
        <f aca="false">BA13*'Assumption Setting'!$K$85</f>
        <v>877.5</v>
      </c>
      <c r="BB14" s="81" t="n">
        <f aca="false">SUM(BC14:BN14)</f>
        <v>14742</v>
      </c>
      <c r="BC14" s="82" t="n">
        <f aca="false">BC13*'Assumption Setting'!$K$85</f>
        <v>1228.5</v>
      </c>
      <c r="BD14" s="82" t="n">
        <f aca="false">BD13*'Assumption Setting'!$K$85</f>
        <v>1228.5</v>
      </c>
      <c r="BE14" s="82" t="n">
        <f aca="false">BE13*'Assumption Setting'!$K$85</f>
        <v>1228.5</v>
      </c>
      <c r="BF14" s="82" t="n">
        <f aca="false">BF13*'Assumption Setting'!$K$85</f>
        <v>1228.5</v>
      </c>
      <c r="BG14" s="82" t="n">
        <f aca="false">BG13*'Assumption Setting'!$K$85</f>
        <v>1228.5</v>
      </c>
      <c r="BH14" s="82" t="n">
        <f aca="false">BH13*'Assumption Setting'!$K$85</f>
        <v>1228.5</v>
      </c>
      <c r="BI14" s="82" t="n">
        <f aca="false">BI13*'Assumption Setting'!$K$85</f>
        <v>1228.5</v>
      </c>
      <c r="BJ14" s="82" t="n">
        <f aca="false">BJ13*'Assumption Setting'!$K$85</f>
        <v>1228.5</v>
      </c>
      <c r="BK14" s="82" t="n">
        <f aca="false">BK13*'Assumption Setting'!$K$85</f>
        <v>1228.5</v>
      </c>
      <c r="BL14" s="82" t="n">
        <f aca="false">BL13*'Assumption Setting'!$K$85</f>
        <v>1228.5</v>
      </c>
      <c r="BM14" s="82" t="n">
        <f aca="false">BM13*'Assumption Setting'!$K$85</f>
        <v>1228.5</v>
      </c>
      <c r="BN14" s="82" t="n">
        <f aca="false">BN13*'Assumption Setting'!$K$85</f>
        <v>1228.5</v>
      </c>
    </row>
    <row r="15" customFormat="false" ht="15" hidden="false" customHeight="false" outlineLevel="0" collapsed="false">
      <c r="A15" s="12" t="s">
        <v>343</v>
      </c>
      <c r="B15" s="65" t="n">
        <f aca="false">SUM(C15:N15)</f>
        <v>1200</v>
      </c>
      <c r="C15" s="66" t="n">
        <f aca="false">'Assumption Setting'!$C$86</f>
        <v>100</v>
      </c>
      <c r="D15" s="66" t="n">
        <f aca="false">'Assumption Setting'!$C$86</f>
        <v>100</v>
      </c>
      <c r="E15" s="66" t="n">
        <f aca="false">'Assumption Setting'!$C$86</f>
        <v>100</v>
      </c>
      <c r="F15" s="66" t="n">
        <f aca="false">'Assumption Setting'!$C$86</f>
        <v>100</v>
      </c>
      <c r="G15" s="66" t="n">
        <f aca="false">'Assumption Setting'!$C$86</f>
        <v>100</v>
      </c>
      <c r="H15" s="66" t="n">
        <f aca="false">'Assumption Setting'!$C$86</f>
        <v>100</v>
      </c>
      <c r="I15" s="66" t="n">
        <f aca="false">'Assumption Setting'!$C$86</f>
        <v>100</v>
      </c>
      <c r="J15" s="66" t="n">
        <f aca="false">'Assumption Setting'!$C$86</f>
        <v>100</v>
      </c>
      <c r="K15" s="66" t="n">
        <f aca="false">'Assumption Setting'!$C$86</f>
        <v>100</v>
      </c>
      <c r="L15" s="66" t="n">
        <f aca="false">'Assumption Setting'!$C$86</f>
        <v>100</v>
      </c>
      <c r="M15" s="66" t="n">
        <f aca="false">'Assumption Setting'!$C$86</f>
        <v>100</v>
      </c>
      <c r="N15" s="66" t="n">
        <f aca="false">'Assumption Setting'!$C$86</f>
        <v>100</v>
      </c>
      <c r="O15" s="65" t="n">
        <f aca="false">SUM(P15:AA15)</f>
        <v>7200</v>
      </c>
      <c r="P15" s="66" t="n">
        <f aca="false">'Assumption Setting'!$D$86</f>
        <v>600</v>
      </c>
      <c r="Q15" s="66" t="n">
        <f aca="false">'Assumption Setting'!$D$86</f>
        <v>600</v>
      </c>
      <c r="R15" s="66" t="n">
        <f aca="false">'Assumption Setting'!$D$86</f>
        <v>600</v>
      </c>
      <c r="S15" s="66" t="n">
        <f aca="false">'Assumption Setting'!$D$86</f>
        <v>600</v>
      </c>
      <c r="T15" s="66" t="n">
        <f aca="false">'Assumption Setting'!$D$86</f>
        <v>600</v>
      </c>
      <c r="U15" s="66" t="n">
        <f aca="false">'Assumption Setting'!$D$86</f>
        <v>600</v>
      </c>
      <c r="V15" s="66" t="n">
        <f aca="false">'Assumption Setting'!$D$86</f>
        <v>600</v>
      </c>
      <c r="W15" s="66" t="n">
        <f aca="false">'Assumption Setting'!$D$86</f>
        <v>600</v>
      </c>
      <c r="X15" s="66" t="n">
        <f aca="false">'Assumption Setting'!$D$86</f>
        <v>600</v>
      </c>
      <c r="Y15" s="66" t="n">
        <f aca="false">'Assumption Setting'!$D$86</f>
        <v>600</v>
      </c>
      <c r="Z15" s="66" t="n">
        <f aca="false">'Assumption Setting'!$D$86</f>
        <v>600</v>
      </c>
      <c r="AA15" s="66" t="n">
        <f aca="false">'Assumption Setting'!$D$86</f>
        <v>600</v>
      </c>
      <c r="AB15" s="65" t="n">
        <f aca="false">SUM(AC15:AN15)</f>
        <v>16800</v>
      </c>
      <c r="AC15" s="66" t="n">
        <f aca="false">'Assumption Setting'!$E$86</f>
        <v>1400</v>
      </c>
      <c r="AD15" s="66" t="n">
        <f aca="false">'Assumption Setting'!$E$86</f>
        <v>1400</v>
      </c>
      <c r="AE15" s="66" t="n">
        <f aca="false">'Assumption Setting'!$E$86</f>
        <v>1400</v>
      </c>
      <c r="AF15" s="66" t="n">
        <f aca="false">'Assumption Setting'!$E$86</f>
        <v>1400</v>
      </c>
      <c r="AG15" s="66" t="n">
        <f aca="false">'Assumption Setting'!$E$86</f>
        <v>1400</v>
      </c>
      <c r="AH15" s="66" t="n">
        <f aca="false">'Assumption Setting'!$E$86</f>
        <v>1400</v>
      </c>
      <c r="AI15" s="66" t="n">
        <f aca="false">'Assumption Setting'!$E$86</f>
        <v>1400</v>
      </c>
      <c r="AJ15" s="66" t="n">
        <f aca="false">'Assumption Setting'!$E$86</f>
        <v>1400</v>
      </c>
      <c r="AK15" s="66" t="n">
        <f aca="false">'Assumption Setting'!$E$86</f>
        <v>1400</v>
      </c>
      <c r="AL15" s="66" t="n">
        <f aca="false">'Assumption Setting'!$E$86</f>
        <v>1400</v>
      </c>
      <c r="AM15" s="66" t="n">
        <f aca="false">'Assumption Setting'!$E$86</f>
        <v>1400</v>
      </c>
      <c r="AN15" s="66" t="n">
        <f aca="false">'Assumption Setting'!$E$86</f>
        <v>1400</v>
      </c>
      <c r="AO15" s="65" t="n">
        <f aca="false">SUM(AP15:BA15)</f>
        <v>28800</v>
      </c>
      <c r="AP15" s="66" t="n">
        <f aca="false">'Assumption Setting'!$F$86</f>
        <v>2400</v>
      </c>
      <c r="AQ15" s="66" t="n">
        <f aca="false">'Assumption Setting'!$F$86</f>
        <v>2400</v>
      </c>
      <c r="AR15" s="66" t="n">
        <f aca="false">'Assumption Setting'!$F$86</f>
        <v>2400</v>
      </c>
      <c r="AS15" s="66" t="n">
        <f aca="false">'Assumption Setting'!$F$86</f>
        <v>2400</v>
      </c>
      <c r="AT15" s="66" t="n">
        <f aca="false">'Assumption Setting'!$F$86</f>
        <v>2400</v>
      </c>
      <c r="AU15" s="66" t="n">
        <f aca="false">'Assumption Setting'!$F$86</f>
        <v>2400</v>
      </c>
      <c r="AV15" s="66" t="n">
        <f aca="false">'Assumption Setting'!$F$86</f>
        <v>2400</v>
      </c>
      <c r="AW15" s="66" t="n">
        <f aca="false">'Assumption Setting'!$F$86</f>
        <v>2400</v>
      </c>
      <c r="AX15" s="66" t="n">
        <f aca="false">'Assumption Setting'!$F$86</f>
        <v>2400</v>
      </c>
      <c r="AY15" s="66" t="n">
        <f aca="false">'Assumption Setting'!$F$86</f>
        <v>2400</v>
      </c>
      <c r="AZ15" s="66" t="n">
        <f aca="false">'Assumption Setting'!$F$86</f>
        <v>2400</v>
      </c>
      <c r="BA15" s="66" t="n">
        <f aca="false">'Assumption Setting'!$F$86</f>
        <v>2400</v>
      </c>
      <c r="BB15" s="65" t="n">
        <f aca="false">SUM(BC15:BN15)</f>
        <v>40800</v>
      </c>
      <c r="BC15" s="66" t="n">
        <f aca="false">'Assumption Setting'!$G$86</f>
        <v>3400</v>
      </c>
      <c r="BD15" s="66" t="n">
        <f aca="false">'Assumption Setting'!$G$86</f>
        <v>3400</v>
      </c>
      <c r="BE15" s="66" t="n">
        <f aca="false">'Assumption Setting'!$G$86</f>
        <v>3400</v>
      </c>
      <c r="BF15" s="66" t="n">
        <f aca="false">'Assumption Setting'!$G$86</f>
        <v>3400</v>
      </c>
      <c r="BG15" s="66" t="n">
        <f aca="false">'Assumption Setting'!$G$86</f>
        <v>3400</v>
      </c>
      <c r="BH15" s="66" t="n">
        <f aca="false">'Assumption Setting'!$G$86</f>
        <v>3400</v>
      </c>
      <c r="BI15" s="66" t="n">
        <f aca="false">'Assumption Setting'!$G$86</f>
        <v>3400</v>
      </c>
      <c r="BJ15" s="66" t="n">
        <f aca="false">'Assumption Setting'!$G$86</f>
        <v>3400</v>
      </c>
      <c r="BK15" s="66" t="n">
        <f aca="false">'Assumption Setting'!$G$86</f>
        <v>3400</v>
      </c>
      <c r="BL15" s="66" t="n">
        <f aca="false">'Assumption Setting'!$G$86</f>
        <v>3400</v>
      </c>
      <c r="BM15" s="66" t="n">
        <f aca="false">'Assumption Setting'!$G$86</f>
        <v>3400</v>
      </c>
      <c r="BN15" s="66" t="n">
        <f aca="false">'Assumption Setting'!$G$86</f>
        <v>3400</v>
      </c>
    </row>
    <row r="16" customFormat="false" ht="15" hidden="false" customHeight="false" outlineLevel="0" collapsed="false">
      <c r="A16" s="12" t="s">
        <v>620</v>
      </c>
      <c r="B16" s="79" t="n">
        <f aca="false">SUM(C16:N16)</f>
        <v>10909.0909090909</v>
      </c>
      <c r="C16" s="80" t="n">
        <f aca="false">IFERROR(C15/'Assumption Setting'!$H$86,0)</f>
        <v>909.090909090909</v>
      </c>
      <c r="D16" s="80" t="n">
        <f aca="false">IFERROR(D15/'Assumption Setting'!$H$86,0)</f>
        <v>909.090909090909</v>
      </c>
      <c r="E16" s="80" t="n">
        <f aca="false">IFERROR(E15/'Assumption Setting'!$H$86,0)</f>
        <v>909.090909090909</v>
      </c>
      <c r="F16" s="80" t="n">
        <f aca="false">IFERROR(F15/'Assumption Setting'!$H$86,0)</f>
        <v>909.090909090909</v>
      </c>
      <c r="G16" s="80" t="n">
        <f aca="false">IFERROR(G15/'Assumption Setting'!$H$86,0)</f>
        <v>909.090909090909</v>
      </c>
      <c r="H16" s="80" t="n">
        <f aca="false">IFERROR(H15/'Assumption Setting'!$H$86,0)</f>
        <v>909.090909090909</v>
      </c>
      <c r="I16" s="80" t="n">
        <f aca="false">IFERROR(I15/'Assumption Setting'!$H$86,0)</f>
        <v>909.090909090909</v>
      </c>
      <c r="J16" s="80" t="n">
        <f aca="false">IFERROR(J15/'Assumption Setting'!$H$86,0)</f>
        <v>909.090909090909</v>
      </c>
      <c r="K16" s="80" t="n">
        <f aca="false">IFERROR(K15/'Assumption Setting'!$H$86,0)</f>
        <v>909.090909090909</v>
      </c>
      <c r="L16" s="80" t="n">
        <f aca="false">IFERROR(L15/'Assumption Setting'!$H$86,0)</f>
        <v>909.090909090909</v>
      </c>
      <c r="M16" s="80" t="n">
        <f aca="false">IFERROR(M15/'Assumption Setting'!$H$86,0)</f>
        <v>909.090909090909</v>
      </c>
      <c r="N16" s="80" t="n">
        <f aca="false">IFERROR(N15/'Assumption Setting'!$H$86,0)</f>
        <v>909.090909090909</v>
      </c>
      <c r="O16" s="79" t="n">
        <f aca="false">SUM(P16:AA16)</f>
        <v>65454.5454545455</v>
      </c>
      <c r="P16" s="80" t="n">
        <f aca="false">IFERROR(P15/'Assumption Setting'!$H$86,0)</f>
        <v>5454.54545454546</v>
      </c>
      <c r="Q16" s="80" t="n">
        <f aca="false">IFERROR(Q15/'Assumption Setting'!$H$86,0)</f>
        <v>5454.54545454546</v>
      </c>
      <c r="R16" s="80" t="n">
        <f aca="false">IFERROR(R15/'Assumption Setting'!$H$86,0)</f>
        <v>5454.54545454546</v>
      </c>
      <c r="S16" s="80" t="n">
        <f aca="false">IFERROR(S15/'Assumption Setting'!$H$86,0)</f>
        <v>5454.54545454546</v>
      </c>
      <c r="T16" s="80" t="n">
        <f aca="false">IFERROR(T15/'Assumption Setting'!$H$86,0)</f>
        <v>5454.54545454546</v>
      </c>
      <c r="U16" s="80" t="n">
        <f aca="false">IFERROR(U15/'Assumption Setting'!$H$86,0)</f>
        <v>5454.54545454546</v>
      </c>
      <c r="V16" s="80" t="n">
        <f aca="false">IFERROR(V15/'Assumption Setting'!$H$86,0)</f>
        <v>5454.54545454546</v>
      </c>
      <c r="W16" s="80" t="n">
        <f aca="false">IFERROR(W15/'Assumption Setting'!$H$86,0)</f>
        <v>5454.54545454546</v>
      </c>
      <c r="X16" s="80" t="n">
        <f aca="false">IFERROR(X15/'Assumption Setting'!$H$86,0)</f>
        <v>5454.54545454546</v>
      </c>
      <c r="Y16" s="80" t="n">
        <f aca="false">IFERROR(Y15/'Assumption Setting'!$H$86,0)</f>
        <v>5454.54545454546</v>
      </c>
      <c r="Z16" s="80" t="n">
        <f aca="false">IFERROR(Z15/'Assumption Setting'!$H$86,0)</f>
        <v>5454.54545454546</v>
      </c>
      <c r="AA16" s="80" t="n">
        <f aca="false">IFERROR(AA15/'Assumption Setting'!$H$86,0)</f>
        <v>5454.54545454546</v>
      </c>
      <c r="AB16" s="79" t="n">
        <f aca="false">SUM(AC16:AN16)</f>
        <v>152727.272727273</v>
      </c>
      <c r="AC16" s="80" t="n">
        <f aca="false">IFERROR(AC15/'Assumption Setting'!$H$86,0)</f>
        <v>12727.2727272727</v>
      </c>
      <c r="AD16" s="80" t="n">
        <f aca="false">IFERROR(AD15/'Assumption Setting'!$H$86,0)</f>
        <v>12727.2727272727</v>
      </c>
      <c r="AE16" s="80" t="n">
        <f aca="false">IFERROR(AE15/'Assumption Setting'!$H$86,0)</f>
        <v>12727.2727272727</v>
      </c>
      <c r="AF16" s="80" t="n">
        <f aca="false">IFERROR(AF15/'Assumption Setting'!$H$86,0)</f>
        <v>12727.2727272727</v>
      </c>
      <c r="AG16" s="80" t="n">
        <f aca="false">IFERROR(AG15/'Assumption Setting'!$H$86,0)</f>
        <v>12727.2727272727</v>
      </c>
      <c r="AH16" s="80" t="n">
        <f aca="false">IFERROR(AH15/'Assumption Setting'!$H$86,0)</f>
        <v>12727.2727272727</v>
      </c>
      <c r="AI16" s="80" t="n">
        <f aca="false">IFERROR(AI15/'Assumption Setting'!$H$86,0)</f>
        <v>12727.2727272727</v>
      </c>
      <c r="AJ16" s="80" t="n">
        <f aca="false">IFERROR(AJ15/'Assumption Setting'!$H$86,0)</f>
        <v>12727.2727272727</v>
      </c>
      <c r="AK16" s="80" t="n">
        <f aca="false">IFERROR(AK15/'Assumption Setting'!$H$86,0)</f>
        <v>12727.2727272727</v>
      </c>
      <c r="AL16" s="80" t="n">
        <f aca="false">IFERROR(AL15/'Assumption Setting'!$H$86,0)</f>
        <v>12727.2727272727</v>
      </c>
      <c r="AM16" s="80" t="n">
        <f aca="false">IFERROR(AM15/'Assumption Setting'!$H$86,0)</f>
        <v>12727.2727272727</v>
      </c>
      <c r="AN16" s="80" t="n">
        <f aca="false">IFERROR(AN15/'Assumption Setting'!$H$86,0)</f>
        <v>12727.2727272727</v>
      </c>
      <c r="AO16" s="79" t="n">
        <f aca="false">SUM(AP16:BA16)</f>
        <v>261818.181818182</v>
      </c>
      <c r="AP16" s="80" t="n">
        <f aca="false">IFERROR(AP15/'Assumption Setting'!$H$86,0)</f>
        <v>21818.1818181818</v>
      </c>
      <c r="AQ16" s="80" t="n">
        <f aca="false">IFERROR(AQ15/'Assumption Setting'!$H$86,0)</f>
        <v>21818.1818181818</v>
      </c>
      <c r="AR16" s="80" t="n">
        <f aca="false">IFERROR(AR15/'Assumption Setting'!$H$86,0)</f>
        <v>21818.1818181818</v>
      </c>
      <c r="AS16" s="80" t="n">
        <f aca="false">IFERROR(AS15/'Assumption Setting'!$H$86,0)</f>
        <v>21818.1818181818</v>
      </c>
      <c r="AT16" s="80" t="n">
        <f aca="false">IFERROR(AT15/'Assumption Setting'!$H$86,0)</f>
        <v>21818.1818181818</v>
      </c>
      <c r="AU16" s="80" t="n">
        <f aca="false">IFERROR(AU15/'Assumption Setting'!$H$86,0)</f>
        <v>21818.1818181818</v>
      </c>
      <c r="AV16" s="80" t="n">
        <f aca="false">IFERROR(AV15/'Assumption Setting'!$H$86,0)</f>
        <v>21818.1818181818</v>
      </c>
      <c r="AW16" s="80" t="n">
        <f aca="false">IFERROR(AW15/'Assumption Setting'!$H$86,0)</f>
        <v>21818.1818181818</v>
      </c>
      <c r="AX16" s="80" t="n">
        <f aca="false">IFERROR(AX15/'Assumption Setting'!$H$86,0)</f>
        <v>21818.1818181818</v>
      </c>
      <c r="AY16" s="80" t="n">
        <f aca="false">IFERROR(AY15/'Assumption Setting'!$H$86,0)</f>
        <v>21818.1818181818</v>
      </c>
      <c r="AZ16" s="80" t="n">
        <f aca="false">IFERROR(AZ15/'Assumption Setting'!$H$86,0)</f>
        <v>21818.1818181818</v>
      </c>
      <c r="BA16" s="80" t="n">
        <f aca="false">IFERROR(BA15/'Assumption Setting'!$H$86,0)</f>
        <v>21818.1818181818</v>
      </c>
      <c r="BB16" s="79" t="n">
        <f aca="false">SUM(BC16:BN16)</f>
        <v>370909.090909091</v>
      </c>
      <c r="BC16" s="80" t="n">
        <f aca="false">IFERROR(BC15/'Assumption Setting'!$H$86,0)</f>
        <v>30909.0909090909</v>
      </c>
      <c r="BD16" s="80" t="n">
        <f aca="false">IFERROR(BD15/'Assumption Setting'!$H$86,0)</f>
        <v>30909.0909090909</v>
      </c>
      <c r="BE16" s="80" t="n">
        <f aca="false">IFERROR(BE15/'Assumption Setting'!$H$86,0)</f>
        <v>30909.0909090909</v>
      </c>
      <c r="BF16" s="80" t="n">
        <f aca="false">IFERROR(BF15/'Assumption Setting'!$H$86,0)</f>
        <v>30909.0909090909</v>
      </c>
      <c r="BG16" s="80" t="n">
        <f aca="false">IFERROR(BG15/'Assumption Setting'!$H$86,0)</f>
        <v>30909.0909090909</v>
      </c>
      <c r="BH16" s="80" t="n">
        <f aca="false">IFERROR(BH15/'Assumption Setting'!$H$86,0)</f>
        <v>30909.0909090909</v>
      </c>
      <c r="BI16" s="80" t="n">
        <f aca="false">IFERROR(BI15/'Assumption Setting'!$H$86,0)</f>
        <v>30909.0909090909</v>
      </c>
      <c r="BJ16" s="80" t="n">
        <f aca="false">IFERROR(BJ15/'Assumption Setting'!$H$86,0)</f>
        <v>30909.0909090909</v>
      </c>
      <c r="BK16" s="80" t="n">
        <f aca="false">IFERROR(BK15/'Assumption Setting'!$H$86,0)</f>
        <v>30909.0909090909</v>
      </c>
      <c r="BL16" s="80" t="n">
        <f aca="false">IFERROR(BL15/'Assumption Setting'!$H$86,0)</f>
        <v>30909.0909090909</v>
      </c>
      <c r="BM16" s="80" t="n">
        <f aca="false">IFERROR(BM15/'Assumption Setting'!$H$86,0)</f>
        <v>30909.0909090909</v>
      </c>
      <c r="BN16" s="80" t="n">
        <f aca="false">IFERROR(BN15/'Assumption Setting'!$H$86,0)</f>
        <v>30909.0909090909</v>
      </c>
    </row>
    <row r="17" customFormat="false" ht="15" hidden="false" customHeight="false" outlineLevel="0" collapsed="false">
      <c r="A17" s="12" t="s">
        <v>621</v>
      </c>
      <c r="B17" s="79" t="n">
        <f aca="false">SUM(C17:N17)</f>
        <v>13854.5454545455</v>
      </c>
      <c r="C17" s="80" t="n">
        <f aca="false">C16*(1+'Assumption Setting'!$I$86+'Assumption Setting'!$J$86)</f>
        <v>1154.54545454545</v>
      </c>
      <c r="D17" s="80" t="n">
        <f aca="false">D16*(1+'Assumption Setting'!$I$86+'Assumption Setting'!$J$86)</f>
        <v>1154.54545454545</v>
      </c>
      <c r="E17" s="80" t="n">
        <f aca="false">E16*(1+'Assumption Setting'!$I$86+'Assumption Setting'!$J$86)</f>
        <v>1154.54545454545</v>
      </c>
      <c r="F17" s="80" t="n">
        <f aca="false">F16*(1+'Assumption Setting'!$I$86+'Assumption Setting'!$J$86)</f>
        <v>1154.54545454545</v>
      </c>
      <c r="G17" s="80" t="n">
        <f aca="false">G16*(1+'Assumption Setting'!$I$86+'Assumption Setting'!$J$86)</f>
        <v>1154.54545454545</v>
      </c>
      <c r="H17" s="80" t="n">
        <f aca="false">H16*(1+'Assumption Setting'!$I$86+'Assumption Setting'!$J$86)</f>
        <v>1154.54545454545</v>
      </c>
      <c r="I17" s="80" t="n">
        <f aca="false">I16*(1+'Assumption Setting'!$I$86+'Assumption Setting'!$J$86)</f>
        <v>1154.54545454545</v>
      </c>
      <c r="J17" s="80" t="n">
        <f aca="false">J16*(1+'Assumption Setting'!$I$86+'Assumption Setting'!$J$86)</f>
        <v>1154.54545454545</v>
      </c>
      <c r="K17" s="80" t="n">
        <f aca="false">K16*(1+'Assumption Setting'!$I$86+'Assumption Setting'!$J$86)</f>
        <v>1154.54545454545</v>
      </c>
      <c r="L17" s="80" t="n">
        <f aca="false">L16*(1+'Assumption Setting'!$I$86+'Assumption Setting'!$J$86)</f>
        <v>1154.54545454545</v>
      </c>
      <c r="M17" s="80" t="n">
        <f aca="false">M16*(1+'Assumption Setting'!$I$86+'Assumption Setting'!$J$86)</f>
        <v>1154.54545454545</v>
      </c>
      <c r="N17" s="80" t="n">
        <f aca="false">N16*(1+'Assumption Setting'!$I$86+'Assumption Setting'!$J$86)</f>
        <v>1154.54545454545</v>
      </c>
      <c r="O17" s="79" t="n">
        <f aca="false">SUM(P17:AA17)</f>
        <v>83127.2727272727</v>
      </c>
      <c r="P17" s="80" t="n">
        <f aca="false">P16*(1+'Assumption Setting'!$I$86+'Assumption Setting'!$J$86)</f>
        <v>6927.27272727273</v>
      </c>
      <c r="Q17" s="80" t="n">
        <f aca="false">Q16*(1+'Assumption Setting'!$I$86+'Assumption Setting'!$J$86)</f>
        <v>6927.27272727273</v>
      </c>
      <c r="R17" s="80" t="n">
        <f aca="false">R16*(1+'Assumption Setting'!$I$86+'Assumption Setting'!$J$86)</f>
        <v>6927.27272727273</v>
      </c>
      <c r="S17" s="80" t="n">
        <f aca="false">S16*(1+'Assumption Setting'!$I$86+'Assumption Setting'!$J$86)</f>
        <v>6927.27272727273</v>
      </c>
      <c r="T17" s="80" t="n">
        <f aca="false">T16*(1+'Assumption Setting'!$I$86+'Assumption Setting'!$J$86)</f>
        <v>6927.27272727273</v>
      </c>
      <c r="U17" s="80" t="n">
        <f aca="false">U16*(1+'Assumption Setting'!$I$86+'Assumption Setting'!$J$86)</f>
        <v>6927.27272727273</v>
      </c>
      <c r="V17" s="80" t="n">
        <f aca="false">V16*(1+'Assumption Setting'!$I$86+'Assumption Setting'!$J$86)</f>
        <v>6927.27272727273</v>
      </c>
      <c r="W17" s="80" t="n">
        <f aca="false">W16*(1+'Assumption Setting'!$I$86+'Assumption Setting'!$J$86)</f>
        <v>6927.27272727273</v>
      </c>
      <c r="X17" s="80" t="n">
        <f aca="false">X16*(1+'Assumption Setting'!$I$86+'Assumption Setting'!$J$86)</f>
        <v>6927.27272727273</v>
      </c>
      <c r="Y17" s="80" t="n">
        <f aca="false">Y16*(1+'Assumption Setting'!$I$86+'Assumption Setting'!$J$86)</f>
        <v>6927.27272727273</v>
      </c>
      <c r="Z17" s="80" t="n">
        <f aca="false">Z16*(1+'Assumption Setting'!$I$86+'Assumption Setting'!$J$86)</f>
        <v>6927.27272727273</v>
      </c>
      <c r="AA17" s="80" t="n">
        <f aca="false">AA16*(1+'Assumption Setting'!$I$86+'Assumption Setting'!$J$86)</f>
        <v>6927.27272727273</v>
      </c>
      <c r="AB17" s="79" t="n">
        <f aca="false">SUM(AC17:AN17)</f>
        <v>193963.636363636</v>
      </c>
      <c r="AC17" s="80" t="n">
        <f aca="false">AC16*(1+'Assumption Setting'!$I$86+'Assumption Setting'!$J$86)</f>
        <v>16163.6363636364</v>
      </c>
      <c r="AD17" s="80" t="n">
        <f aca="false">AD16*(1+'Assumption Setting'!$I$86+'Assumption Setting'!$J$86)</f>
        <v>16163.6363636364</v>
      </c>
      <c r="AE17" s="80" t="n">
        <f aca="false">AE16*(1+'Assumption Setting'!$I$86+'Assumption Setting'!$J$86)</f>
        <v>16163.6363636364</v>
      </c>
      <c r="AF17" s="80" t="n">
        <f aca="false">AF16*(1+'Assumption Setting'!$I$86+'Assumption Setting'!$J$86)</f>
        <v>16163.6363636364</v>
      </c>
      <c r="AG17" s="80" t="n">
        <f aca="false">AG16*(1+'Assumption Setting'!$I$86+'Assumption Setting'!$J$86)</f>
        <v>16163.6363636364</v>
      </c>
      <c r="AH17" s="80" t="n">
        <f aca="false">AH16*(1+'Assumption Setting'!$I$86+'Assumption Setting'!$J$86)</f>
        <v>16163.6363636364</v>
      </c>
      <c r="AI17" s="80" t="n">
        <f aca="false">AI16*(1+'Assumption Setting'!$I$86+'Assumption Setting'!$J$86)</f>
        <v>16163.6363636364</v>
      </c>
      <c r="AJ17" s="80" t="n">
        <f aca="false">AJ16*(1+'Assumption Setting'!$I$86+'Assumption Setting'!$J$86)</f>
        <v>16163.6363636364</v>
      </c>
      <c r="AK17" s="80" t="n">
        <f aca="false">AK16*(1+'Assumption Setting'!$I$86+'Assumption Setting'!$J$86)</f>
        <v>16163.6363636364</v>
      </c>
      <c r="AL17" s="80" t="n">
        <f aca="false">AL16*(1+'Assumption Setting'!$I$86+'Assumption Setting'!$J$86)</f>
        <v>16163.6363636364</v>
      </c>
      <c r="AM17" s="80" t="n">
        <f aca="false">AM16*(1+'Assumption Setting'!$I$86+'Assumption Setting'!$J$86)</f>
        <v>16163.6363636364</v>
      </c>
      <c r="AN17" s="80" t="n">
        <f aca="false">AN16*(1+'Assumption Setting'!$I$86+'Assumption Setting'!$J$86)</f>
        <v>16163.6363636364</v>
      </c>
      <c r="AO17" s="79" t="n">
        <f aca="false">SUM(AP17:BA17)</f>
        <v>332509.090909091</v>
      </c>
      <c r="AP17" s="80" t="n">
        <f aca="false">AP16*(1+'Assumption Setting'!$I$86+'Assumption Setting'!$J$86)</f>
        <v>27709.0909090909</v>
      </c>
      <c r="AQ17" s="80" t="n">
        <f aca="false">AQ16*(1+'Assumption Setting'!$I$86+'Assumption Setting'!$J$86)</f>
        <v>27709.0909090909</v>
      </c>
      <c r="AR17" s="80" t="n">
        <f aca="false">AR16*(1+'Assumption Setting'!$I$86+'Assumption Setting'!$J$86)</f>
        <v>27709.0909090909</v>
      </c>
      <c r="AS17" s="80" t="n">
        <f aca="false">AS16*(1+'Assumption Setting'!$I$86+'Assumption Setting'!$J$86)</f>
        <v>27709.0909090909</v>
      </c>
      <c r="AT17" s="80" t="n">
        <f aca="false">AT16*(1+'Assumption Setting'!$I$86+'Assumption Setting'!$J$86)</f>
        <v>27709.0909090909</v>
      </c>
      <c r="AU17" s="80" t="n">
        <f aca="false">AU16*(1+'Assumption Setting'!$I$86+'Assumption Setting'!$J$86)</f>
        <v>27709.0909090909</v>
      </c>
      <c r="AV17" s="80" t="n">
        <f aca="false">AV16*(1+'Assumption Setting'!$I$86+'Assumption Setting'!$J$86)</f>
        <v>27709.0909090909</v>
      </c>
      <c r="AW17" s="80" t="n">
        <f aca="false">AW16*(1+'Assumption Setting'!$I$86+'Assumption Setting'!$J$86)</f>
        <v>27709.0909090909</v>
      </c>
      <c r="AX17" s="80" t="n">
        <f aca="false">AX16*(1+'Assumption Setting'!$I$86+'Assumption Setting'!$J$86)</f>
        <v>27709.0909090909</v>
      </c>
      <c r="AY17" s="80" t="n">
        <f aca="false">AY16*(1+'Assumption Setting'!$I$86+'Assumption Setting'!$J$86)</f>
        <v>27709.0909090909</v>
      </c>
      <c r="AZ17" s="80" t="n">
        <f aca="false">AZ16*(1+'Assumption Setting'!$I$86+'Assumption Setting'!$J$86)</f>
        <v>27709.0909090909</v>
      </c>
      <c r="BA17" s="80" t="n">
        <f aca="false">BA16*(1+'Assumption Setting'!$I$86+'Assumption Setting'!$J$86)</f>
        <v>27709.0909090909</v>
      </c>
      <c r="BB17" s="79" t="n">
        <f aca="false">SUM(BC17:BN17)</f>
        <v>471054.545454545</v>
      </c>
      <c r="BC17" s="80" t="n">
        <f aca="false">BC16*(1+'Assumption Setting'!$I$86+'Assumption Setting'!$J$86)</f>
        <v>39254.5454545455</v>
      </c>
      <c r="BD17" s="80" t="n">
        <f aca="false">BD16*(1+'Assumption Setting'!$I$86+'Assumption Setting'!$J$86)</f>
        <v>39254.5454545455</v>
      </c>
      <c r="BE17" s="80" t="n">
        <f aca="false">BE16*(1+'Assumption Setting'!$I$86+'Assumption Setting'!$J$86)</f>
        <v>39254.5454545455</v>
      </c>
      <c r="BF17" s="80" t="n">
        <f aca="false">BF16*(1+'Assumption Setting'!$I$86+'Assumption Setting'!$J$86)</f>
        <v>39254.5454545455</v>
      </c>
      <c r="BG17" s="80" t="n">
        <f aca="false">BG16*(1+'Assumption Setting'!$I$86+'Assumption Setting'!$J$86)</f>
        <v>39254.5454545455</v>
      </c>
      <c r="BH17" s="80" t="n">
        <f aca="false">BH16*(1+'Assumption Setting'!$I$86+'Assumption Setting'!$J$86)</f>
        <v>39254.5454545455</v>
      </c>
      <c r="BI17" s="80" t="n">
        <f aca="false">BI16*(1+'Assumption Setting'!$I$86+'Assumption Setting'!$J$86)</f>
        <v>39254.5454545455</v>
      </c>
      <c r="BJ17" s="80" t="n">
        <f aca="false">BJ16*(1+'Assumption Setting'!$I$86+'Assumption Setting'!$J$86)</f>
        <v>39254.5454545455</v>
      </c>
      <c r="BK17" s="80" t="n">
        <f aca="false">BK16*(1+'Assumption Setting'!$I$86+'Assumption Setting'!$J$86)</f>
        <v>39254.5454545455</v>
      </c>
      <c r="BL17" s="80" t="n">
        <f aca="false">BL16*(1+'Assumption Setting'!$I$86+'Assumption Setting'!$J$86)</f>
        <v>39254.5454545455</v>
      </c>
      <c r="BM17" s="80" t="n">
        <f aca="false">BM16*(1+'Assumption Setting'!$I$86+'Assumption Setting'!$J$86)</f>
        <v>39254.5454545455</v>
      </c>
      <c r="BN17" s="80" t="n">
        <f aca="false">BN16*(1+'Assumption Setting'!$I$86+'Assumption Setting'!$J$86)</f>
        <v>39254.5454545455</v>
      </c>
    </row>
    <row r="18" customFormat="false" ht="15" hidden="false" customHeight="false" outlineLevel="0" collapsed="false">
      <c r="A18" s="12" t="s">
        <v>622</v>
      </c>
      <c r="B18" s="81" t="n">
        <f aca="false">SUM(C18:N18)</f>
        <v>415.636363636364</v>
      </c>
      <c r="C18" s="82" t="n">
        <f aca="false">C17*'Assumption Setting'!$K$86</f>
        <v>34.6363636363636</v>
      </c>
      <c r="D18" s="82" t="n">
        <f aca="false">D17*'Assumption Setting'!$K$86</f>
        <v>34.6363636363636</v>
      </c>
      <c r="E18" s="82" t="n">
        <f aca="false">E17*'Assumption Setting'!$K$86</f>
        <v>34.6363636363636</v>
      </c>
      <c r="F18" s="82" t="n">
        <f aca="false">F17*'Assumption Setting'!$K$86</f>
        <v>34.6363636363636</v>
      </c>
      <c r="G18" s="82" t="n">
        <f aca="false">G17*'Assumption Setting'!$K$86</f>
        <v>34.6363636363636</v>
      </c>
      <c r="H18" s="82" t="n">
        <f aca="false">H17*'Assumption Setting'!$K$86</f>
        <v>34.6363636363636</v>
      </c>
      <c r="I18" s="82" t="n">
        <f aca="false">I17*'Assumption Setting'!$K$86</f>
        <v>34.6363636363636</v>
      </c>
      <c r="J18" s="82" t="n">
        <f aca="false">J17*'Assumption Setting'!$K$86</f>
        <v>34.6363636363636</v>
      </c>
      <c r="K18" s="82" t="n">
        <f aca="false">K17*'Assumption Setting'!$K$86</f>
        <v>34.6363636363636</v>
      </c>
      <c r="L18" s="82" t="n">
        <f aca="false">L17*'Assumption Setting'!$K$86</f>
        <v>34.6363636363636</v>
      </c>
      <c r="M18" s="82" t="n">
        <f aca="false">M17*'Assumption Setting'!$K$86</f>
        <v>34.6363636363636</v>
      </c>
      <c r="N18" s="82" t="n">
        <f aca="false">N17*'Assumption Setting'!$K$86</f>
        <v>34.6363636363636</v>
      </c>
      <c r="O18" s="81" t="n">
        <f aca="false">SUM(P18:AA18)</f>
        <v>2493.81818181818</v>
      </c>
      <c r="P18" s="82" t="n">
        <f aca="false">P17*'Assumption Setting'!$K$86</f>
        <v>207.818181818182</v>
      </c>
      <c r="Q18" s="82" t="n">
        <f aca="false">Q17*'Assumption Setting'!$K$86</f>
        <v>207.818181818182</v>
      </c>
      <c r="R18" s="82" t="n">
        <f aca="false">R17*'Assumption Setting'!$K$86</f>
        <v>207.818181818182</v>
      </c>
      <c r="S18" s="82" t="n">
        <f aca="false">S17*'Assumption Setting'!$K$86</f>
        <v>207.818181818182</v>
      </c>
      <c r="T18" s="82" t="n">
        <f aca="false">T17*'Assumption Setting'!$K$86</f>
        <v>207.818181818182</v>
      </c>
      <c r="U18" s="82" t="n">
        <f aca="false">U17*'Assumption Setting'!$K$86</f>
        <v>207.818181818182</v>
      </c>
      <c r="V18" s="82" t="n">
        <f aca="false">V17*'Assumption Setting'!$K$86</f>
        <v>207.818181818182</v>
      </c>
      <c r="W18" s="82" t="n">
        <f aca="false">W17*'Assumption Setting'!$K$86</f>
        <v>207.818181818182</v>
      </c>
      <c r="X18" s="82" t="n">
        <f aca="false">X17*'Assumption Setting'!$K$86</f>
        <v>207.818181818182</v>
      </c>
      <c r="Y18" s="82" t="n">
        <f aca="false">Y17*'Assumption Setting'!$K$86</f>
        <v>207.818181818182</v>
      </c>
      <c r="Z18" s="82" t="n">
        <f aca="false">Z17*'Assumption Setting'!$K$86</f>
        <v>207.818181818182</v>
      </c>
      <c r="AA18" s="82" t="n">
        <f aca="false">AA17*'Assumption Setting'!$K$86</f>
        <v>207.818181818182</v>
      </c>
      <c r="AB18" s="81" t="n">
        <f aca="false">SUM(AC18:AN18)</f>
        <v>5818.90909090909</v>
      </c>
      <c r="AC18" s="82" t="n">
        <f aca="false">AC17*'Assumption Setting'!$K$86</f>
        <v>484.909090909091</v>
      </c>
      <c r="AD18" s="82" t="n">
        <f aca="false">AD17*'Assumption Setting'!$K$86</f>
        <v>484.909090909091</v>
      </c>
      <c r="AE18" s="82" t="n">
        <f aca="false">AE17*'Assumption Setting'!$K$86</f>
        <v>484.909090909091</v>
      </c>
      <c r="AF18" s="82" t="n">
        <f aca="false">AF17*'Assumption Setting'!$K$86</f>
        <v>484.909090909091</v>
      </c>
      <c r="AG18" s="82" t="n">
        <f aca="false">AG17*'Assumption Setting'!$K$86</f>
        <v>484.909090909091</v>
      </c>
      <c r="AH18" s="82" t="n">
        <f aca="false">AH17*'Assumption Setting'!$K$86</f>
        <v>484.909090909091</v>
      </c>
      <c r="AI18" s="82" t="n">
        <f aca="false">AI17*'Assumption Setting'!$K$86</f>
        <v>484.909090909091</v>
      </c>
      <c r="AJ18" s="82" t="n">
        <f aca="false">AJ17*'Assumption Setting'!$K$86</f>
        <v>484.909090909091</v>
      </c>
      <c r="AK18" s="82" t="n">
        <f aca="false">AK17*'Assumption Setting'!$K$86</f>
        <v>484.909090909091</v>
      </c>
      <c r="AL18" s="82" t="n">
        <f aca="false">AL17*'Assumption Setting'!$K$86</f>
        <v>484.909090909091</v>
      </c>
      <c r="AM18" s="82" t="n">
        <f aca="false">AM17*'Assumption Setting'!$K$86</f>
        <v>484.909090909091</v>
      </c>
      <c r="AN18" s="82" t="n">
        <f aca="false">AN17*'Assumption Setting'!$K$86</f>
        <v>484.909090909091</v>
      </c>
      <c r="AO18" s="81" t="n">
        <f aca="false">SUM(AP18:BA18)</f>
        <v>9975.27272727273</v>
      </c>
      <c r="AP18" s="82" t="n">
        <f aca="false">AP17*'Assumption Setting'!$K$86</f>
        <v>831.272727272727</v>
      </c>
      <c r="AQ18" s="82" t="n">
        <f aca="false">AQ17*'Assumption Setting'!$K$86</f>
        <v>831.272727272727</v>
      </c>
      <c r="AR18" s="82" t="n">
        <f aca="false">AR17*'Assumption Setting'!$K$86</f>
        <v>831.272727272727</v>
      </c>
      <c r="AS18" s="82" t="n">
        <f aca="false">AS17*'Assumption Setting'!$K$86</f>
        <v>831.272727272727</v>
      </c>
      <c r="AT18" s="82" t="n">
        <f aca="false">AT17*'Assumption Setting'!$K$86</f>
        <v>831.272727272727</v>
      </c>
      <c r="AU18" s="82" t="n">
        <f aca="false">AU17*'Assumption Setting'!$K$86</f>
        <v>831.272727272727</v>
      </c>
      <c r="AV18" s="82" t="n">
        <f aca="false">AV17*'Assumption Setting'!$K$86</f>
        <v>831.272727272727</v>
      </c>
      <c r="AW18" s="82" t="n">
        <f aca="false">AW17*'Assumption Setting'!$K$86</f>
        <v>831.272727272727</v>
      </c>
      <c r="AX18" s="82" t="n">
        <f aca="false">AX17*'Assumption Setting'!$K$86</f>
        <v>831.272727272727</v>
      </c>
      <c r="AY18" s="82" t="n">
        <f aca="false">AY17*'Assumption Setting'!$K$86</f>
        <v>831.272727272727</v>
      </c>
      <c r="AZ18" s="82" t="n">
        <f aca="false">AZ17*'Assumption Setting'!$K$86</f>
        <v>831.272727272727</v>
      </c>
      <c r="BA18" s="82" t="n">
        <f aca="false">BA17*'Assumption Setting'!$K$86</f>
        <v>831.272727272727</v>
      </c>
      <c r="BB18" s="81" t="n">
        <f aca="false">SUM(BC18:BN18)</f>
        <v>14131.6363636364</v>
      </c>
      <c r="BC18" s="82" t="n">
        <f aca="false">BC17*'Assumption Setting'!$K$86</f>
        <v>1177.63636363636</v>
      </c>
      <c r="BD18" s="82" t="n">
        <f aca="false">BD17*'Assumption Setting'!$K$86</f>
        <v>1177.63636363636</v>
      </c>
      <c r="BE18" s="82" t="n">
        <f aca="false">BE17*'Assumption Setting'!$K$86</f>
        <v>1177.63636363636</v>
      </c>
      <c r="BF18" s="82" t="n">
        <f aca="false">BF17*'Assumption Setting'!$K$86</f>
        <v>1177.63636363636</v>
      </c>
      <c r="BG18" s="82" t="n">
        <f aca="false">BG17*'Assumption Setting'!$K$86</f>
        <v>1177.63636363636</v>
      </c>
      <c r="BH18" s="82" t="n">
        <f aca="false">BH17*'Assumption Setting'!$K$86</f>
        <v>1177.63636363636</v>
      </c>
      <c r="BI18" s="82" t="n">
        <f aca="false">BI17*'Assumption Setting'!$K$86</f>
        <v>1177.63636363636</v>
      </c>
      <c r="BJ18" s="82" t="n">
        <f aca="false">BJ17*'Assumption Setting'!$K$86</f>
        <v>1177.63636363636</v>
      </c>
      <c r="BK18" s="82" t="n">
        <f aca="false">BK17*'Assumption Setting'!$K$86</f>
        <v>1177.63636363636</v>
      </c>
      <c r="BL18" s="82" t="n">
        <f aca="false">BL17*'Assumption Setting'!$K$86</f>
        <v>1177.63636363636</v>
      </c>
      <c r="BM18" s="82" t="n">
        <f aca="false">BM17*'Assumption Setting'!$K$86</f>
        <v>1177.63636363636</v>
      </c>
      <c r="BN18" s="82" t="n">
        <f aca="false">BN17*'Assumption Setting'!$K$86</f>
        <v>1177.63636363636</v>
      </c>
    </row>
    <row r="19" customFormat="false" ht="15" hidden="false" customHeight="false" outlineLevel="0" collapsed="false">
      <c r="A19" s="12" t="s">
        <v>344</v>
      </c>
      <c r="B19" s="65" t="n">
        <f aca="false">SUM(C19:N19)</f>
        <v>1440</v>
      </c>
      <c r="C19" s="66" t="n">
        <f aca="false">'Assumption Setting'!$C$87</f>
        <v>120</v>
      </c>
      <c r="D19" s="66" t="n">
        <f aca="false">'Assumption Setting'!$C$87</f>
        <v>120</v>
      </c>
      <c r="E19" s="66" t="n">
        <f aca="false">'Assumption Setting'!$C$87</f>
        <v>120</v>
      </c>
      <c r="F19" s="66" t="n">
        <f aca="false">'Assumption Setting'!$C$87</f>
        <v>120</v>
      </c>
      <c r="G19" s="66" t="n">
        <f aca="false">'Assumption Setting'!$C$87</f>
        <v>120</v>
      </c>
      <c r="H19" s="66" t="n">
        <f aca="false">'Assumption Setting'!$C$87</f>
        <v>120</v>
      </c>
      <c r="I19" s="66" t="n">
        <f aca="false">'Assumption Setting'!$C$87</f>
        <v>120</v>
      </c>
      <c r="J19" s="66" t="n">
        <f aca="false">'Assumption Setting'!$C$87</f>
        <v>120</v>
      </c>
      <c r="K19" s="66" t="n">
        <f aca="false">'Assumption Setting'!$C$87</f>
        <v>120</v>
      </c>
      <c r="L19" s="66" t="n">
        <f aca="false">'Assumption Setting'!$C$87</f>
        <v>120</v>
      </c>
      <c r="M19" s="66" t="n">
        <f aca="false">'Assumption Setting'!$C$87</f>
        <v>120</v>
      </c>
      <c r="N19" s="66" t="n">
        <f aca="false">'Assumption Setting'!$C$87</f>
        <v>120</v>
      </c>
      <c r="O19" s="65" t="n">
        <f aca="false">SUM(P19:AA19)</f>
        <v>8400</v>
      </c>
      <c r="P19" s="66" t="n">
        <f aca="false">'Assumption Setting'!$D$87</f>
        <v>700</v>
      </c>
      <c r="Q19" s="66" t="n">
        <f aca="false">'Assumption Setting'!$D$87</f>
        <v>700</v>
      </c>
      <c r="R19" s="66" t="n">
        <f aca="false">'Assumption Setting'!$D$87</f>
        <v>700</v>
      </c>
      <c r="S19" s="66" t="n">
        <f aca="false">'Assumption Setting'!$D$87</f>
        <v>700</v>
      </c>
      <c r="T19" s="66" t="n">
        <f aca="false">'Assumption Setting'!$D$87</f>
        <v>700</v>
      </c>
      <c r="U19" s="66" t="n">
        <f aca="false">'Assumption Setting'!$D$87</f>
        <v>700</v>
      </c>
      <c r="V19" s="66" t="n">
        <f aca="false">'Assumption Setting'!$D$87</f>
        <v>700</v>
      </c>
      <c r="W19" s="66" t="n">
        <f aca="false">'Assumption Setting'!$D$87</f>
        <v>700</v>
      </c>
      <c r="X19" s="66" t="n">
        <f aca="false">'Assumption Setting'!$D$87</f>
        <v>700</v>
      </c>
      <c r="Y19" s="66" t="n">
        <f aca="false">'Assumption Setting'!$D$87</f>
        <v>700</v>
      </c>
      <c r="Z19" s="66" t="n">
        <f aca="false">'Assumption Setting'!$D$87</f>
        <v>700</v>
      </c>
      <c r="AA19" s="66" t="n">
        <f aca="false">'Assumption Setting'!$D$87</f>
        <v>700</v>
      </c>
      <c r="AB19" s="65" t="n">
        <f aca="false">SUM(AC19:AN19)</f>
        <v>18000</v>
      </c>
      <c r="AC19" s="66" t="n">
        <f aca="false">'Assumption Setting'!$E$87</f>
        <v>1500</v>
      </c>
      <c r="AD19" s="66" t="n">
        <f aca="false">'Assumption Setting'!$E$87</f>
        <v>1500</v>
      </c>
      <c r="AE19" s="66" t="n">
        <f aca="false">'Assumption Setting'!$E$87</f>
        <v>1500</v>
      </c>
      <c r="AF19" s="66" t="n">
        <f aca="false">'Assumption Setting'!$E$87</f>
        <v>1500</v>
      </c>
      <c r="AG19" s="66" t="n">
        <f aca="false">'Assumption Setting'!$E$87</f>
        <v>1500</v>
      </c>
      <c r="AH19" s="66" t="n">
        <f aca="false">'Assumption Setting'!$E$87</f>
        <v>1500</v>
      </c>
      <c r="AI19" s="66" t="n">
        <f aca="false">'Assumption Setting'!$E$87</f>
        <v>1500</v>
      </c>
      <c r="AJ19" s="66" t="n">
        <f aca="false">'Assumption Setting'!$E$87</f>
        <v>1500</v>
      </c>
      <c r="AK19" s="66" t="n">
        <f aca="false">'Assumption Setting'!$E$87</f>
        <v>1500</v>
      </c>
      <c r="AL19" s="66" t="n">
        <f aca="false">'Assumption Setting'!$E$87</f>
        <v>1500</v>
      </c>
      <c r="AM19" s="66" t="n">
        <f aca="false">'Assumption Setting'!$E$87</f>
        <v>1500</v>
      </c>
      <c r="AN19" s="66" t="n">
        <f aca="false">'Assumption Setting'!$E$87</f>
        <v>1500</v>
      </c>
      <c r="AO19" s="65" t="n">
        <f aca="false">SUM(AP19:BA19)</f>
        <v>30000</v>
      </c>
      <c r="AP19" s="66" t="n">
        <f aca="false">'Assumption Setting'!$F$87</f>
        <v>2500</v>
      </c>
      <c r="AQ19" s="66" t="n">
        <f aca="false">'Assumption Setting'!$F$87</f>
        <v>2500</v>
      </c>
      <c r="AR19" s="66" t="n">
        <f aca="false">'Assumption Setting'!$F$87</f>
        <v>2500</v>
      </c>
      <c r="AS19" s="66" t="n">
        <f aca="false">'Assumption Setting'!$F$87</f>
        <v>2500</v>
      </c>
      <c r="AT19" s="66" t="n">
        <f aca="false">'Assumption Setting'!$F$87</f>
        <v>2500</v>
      </c>
      <c r="AU19" s="66" t="n">
        <f aca="false">'Assumption Setting'!$F$87</f>
        <v>2500</v>
      </c>
      <c r="AV19" s="66" t="n">
        <f aca="false">'Assumption Setting'!$F$87</f>
        <v>2500</v>
      </c>
      <c r="AW19" s="66" t="n">
        <f aca="false">'Assumption Setting'!$F$87</f>
        <v>2500</v>
      </c>
      <c r="AX19" s="66" t="n">
        <f aca="false">'Assumption Setting'!$F$87</f>
        <v>2500</v>
      </c>
      <c r="AY19" s="66" t="n">
        <f aca="false">'Assumption Setting'!$F$87</f>
        <v>2500</v>
      </c>
      <c r="AZ19" s="66" t="n">
        <f aca="false">'Assumption Setting'!$F$87</f>
        <v>2500</v>
      </c>
      <c r="BA19" s="66" t="n">
        <f aca="false">'Assumption Setting'!$F$87</f>
        <v>2500</v>
      </c>
      <c r="BB19" s="65" t="n">
        <f aca="false">SUM(BC19:BN19)</f>
        <v>42000</v>
      </c>
      <c r="BC19" s="66" t="n">
        <f aca="false">'Assumption Setting'!$G$87</f>
        <v>3500</v>
      </c>
      <c r="BD19" s="66" t="n">
        <f aca="false">'Assumption Setting'!$G$87</f>
        <v>3500</v>
      </c>
      <c r="BE19" s="66" t="n">
        <f aca="false">'Assumption Setting'!$G$87</f>
        <v>3500</v>
      </c>
      <c r="BF19" s="66" t="n">
        <f aca="false">'Assumption Setting'!$G$87</f>
        <v>3500</v>
      </c>
      <c r="BG19" s="66" t="n">
        <f aca="false">'Assumption Setting'!$G$87</f>
        <v>3500</v>
      </c>
      <c r="BH19" s="66" t="n">
        <f aca="false">'Assumption Setting'!$G$87</f>
        <v>3500</v>
      </c>
      <c r="BI19" s="66" t="n">
        <f aca="false">'Assumption Setting'!$G$87</f>
        <v>3500</v>
      </c>
      <c r="BJ19" s="66" t="n">
        <f aca="false">'Assumption Setting'!$G$87</f>
        <v>3500</v>
      </c>
      <c r="BK19" s="66" t="n">
        <f aca="false">'Assumption Setting'!$G$87</f>
        <v>3500</v>
      </c>
      <c r="BL19" s="66" t="n">
        <f aca="false">'Assumption Setting'!$G$87</f>
        <v>3500</v>
      </c>
      <c r="BM19" s="66" t="n">
        <f aca="false">'Assumption Setting'!$G$87</f>
        <v>3500</v>
      </c>
      <c r="BN19" s="66" t="n">
        <f aca="false">'Assumption Setting'!$G$87</f>
        <v>3500</v>
      </c>
    </row>
    <row r="20" customFormat="false" ht="15" hidden="false" customHeight="false" outlineLevel="0" collapsed="false">
      <c r="A20" s="12" t="s">
        <v>620</v>
      </c>
      <c r="B20" s="79" t="n">
        <f aca="false">SUM(C20:N20)</f>
        <v>6545.45454545455</v>
      </c>
      <c r="C20" s="80" t="n">
        <f aca="false">IFERROR(C19/'Assumption Setting'!$H$87,0)</f>
        <v>545.454545454546</v>
      </c>
      <c r="D20" s="80" t="n">
        <f aca="false">IFERROR(D19/'Assumption Setting'!$H$87,0)</f>
        <v>545.454545454546</v>
      </c>
      <c r="E20" s="80" t="n">
        <f aca="false">IFERROR(E19/'Assumption Setting'!$H$87,0)</f>
        <v>545.454545454546</v>
      </c>
      <c r="F20" s="80" t="n">
        <f aca="false">IFERROR(F19/'Assumption Setting'!$H$87,0)</f>
        <v>545.454545454546</v>
      </c>
      <c r="G20" s="80" t="n">
        <f aca="false">IFERROR(G19/'Assumption Setting'!$H$87,0)</f>
        <v>545.454545454546</v>
      </c>
      <c r="H20" s="80" t="n">
        <f aca="false">IFERROR(H19/'Assumption Setting'!$H$87,0)</f>
        <v>545.454545454546</v>
      </c>
      <c r="I20" s="80" t="n">
        <f aca="false">IFERROR(I19/'Assumption Setting'!$H$87,0)</f>
        <v>545.454545454546</v>
      </c>
      <c r="J20" s="80" t="n">
        <f aca="false">IFERROR(J19/'Assumption Setting'!$H$87,0)</f>
        <v>545.454545454546</v>
      </c>
      <c r="K20" s="80" t="n">
        <f aca="false">IFERROR(K19/'Assumption Setting'!$H$87,0)</f>
        <v>545.454545454546</v>
      </c>
      <c r="L20" s="80" t="n">
        <f aca="false">IFERROR(L19/'Assumption Setting'!$H$87,0)</f>
        <v>545.454545454546</v>
      </c>
      <c r="M20" s="80" t="n">
        <f aca="false">IFERROR(M19/'Assumption Setting'!$H$87,0)</f>
        <v>545.454545454546</v>
      </c>
      <c r="N20" s="80" t="n">
        <f aca="false">IFERROR(N19/'Assumption Setting'!$H$87,0)</f>
        <v>545.454545454546</v>
      </c>
      <c r="O20" s="79" t="n">
        <f aca="false">SUM(P20:AA20)</f>
        <v>38181.8181818182</v>
      </c>
      <c r="P20" s="80" t="n">
        <f aca="false">IFERROR(P19/'Assumption Setting'!$H$87,0)</f>
        <v>3181.81818181818</v>
      </c>
      <c r="Q20" s="80" t="n">
        <f aca="false">IFERROR(Q19/'Assumption Setting'!$H$87,0)</f>
        <v>3181.81818181818</v>
      </c>
      <c r="R20" s="80" t="n">
        <f aca="false">IFERROR(R19/'Assumption Setting'!$H$87,0)</f>
        <v>3181.81818181818</v>
      </c>
      <c r="S20" s="80" t="n">
        <f aca="false">IFERROR(S19/'Assumption Setting'!$H$87,0)</f>
        <v>3181.81818181818</v>
      </c>
      <c r="T20" s="80" t="n">
        <f aca="false">IFERROR(T19/'Assumption Setting'!$H$87,0)</f>
        <v>3181.81818181818</v>
      </c>
      <c r="U20" s="80" t="n">
        <f aca="false">IFERROR(U19/'Assumption Setting'!$H$87,0)</f>
        <v>3181.81818181818</v>
      </c>
      <c r="V20" s="80" t="n">
        <f aca="false">IFERROR(V19/'Assumption Setting'!$H$87,0)</f>
        <v>3181.81818181818</v>
      </c>
      <c r="W20" s="80" t="n">
        <f aca="false">IFERROR(W19/'Assumption Setting'!$H$87,0)</f>
        <v>3181.81818181818</v>
      </c>
      <c r="X20" s="80" t="n">
        <f aca="false">IFERROR(X19/'Assumption Setting'!$H$87,0)</f>
        <v>3181.81818181818</v>
      </c>
      <c r="Y20" s="80" t="n">
        <f aca="false">IFERROR(Y19/'Assumption Setting'!$H$87,0)</f>
        <v>3181.81818181818</v>
      </c>
      <c r="Z20" s="80" t="n">
        <f aca="false">IFERROR(Z19/'Assumption Setting'!$H$87,0)</f>
        <v>3181.81818181818</v>
      </c>
      <c r="AA20" s="80" t="n">
        <f aca="false">IFERROR(AA19/'Assumption Setting'!$H$87,0)</f>
        <v>3181.81818181818</v>
      </c>
      <c r="AB20" s="79" t="n">
        <f aca="false">SUM(AC20:AN20)</f>
        <v>81818.1818181818</v>
      </c>
      <c r="AC20" s="80" t="n">
        <f aca="false">IFERROR(AC19/'Assumption Setting'!$H$87,0)</f>
        <v>6818.18181818182</v>
      </c>
      <c r="AD20" s="80" t="n">
        <f aca="false">IFERROR(AD19/'Assumption Setting'!$H$87,0)</f>
        <v>6818.18181818182</v>
      </c>
      <c r="AE20" s="80" t="n">
        <f aca="false">IFERROR(AE19/'Assumption Setting'!$H$87,0)</f>
        <v>6818.18181818182</v>
      </c>
      <c r="AF20" s="80" t="n">
        <f aca="false">IFERROR(AF19/'Assumption Setting'!$H$87,0)</f>
        <v>6818.18181818182</v>
      </c>
      <c r="AG20" s="80" t="n">
        <f aca="false">IFERROR(AG19/'Assumption Setting'!$H$87,0)</f>
        <v>6818.18181818182</v>
      </c>
      <c r="AH20" s="80" t="n">
        <f aca="false">IFERROR(AH19/'Assumption Setting'!$H$87,0)</f>
        <v>6818.18181818182</v>
      </c>
      <c r="AI20" s="80" t="n">
        <f aca="false">IFERROR(AI19/'Assumption Setting'!$H$87,0)</f>
        <v>6818.18181818182</v>
      </c>
      <c r="AJ20" s="80" t="n">
        <f aca="false">IFERROR(AJ19/'Assumption Setting'!$H$87,0)</f>
        <v>6818.18181818182</v>
      </c>
      <c r="AK20" s="80" t="n">
        <f aca="false">IFERROR(AK19/'Assumption Setting'!$H$87,0)</f>
        <v>6818.18181818182</v>
      </c>
      <c r="AL20" s="80" t="n">
        <f aca="false">IFERROR(AL19/'Assumption Setting'!$H$87,0)</f>
        <v>6818.18181818182</v>
      </c>
      <c r="AM20" s="80" t="n">
        <f aca="false">IFERROR(AM19/'Assumption Setting'!$H$87,0)</f>
        <v>6818.18181818182</v>
      </c>
      <c r="AN20" s="80" t="n">
        <f aca="false">IFERROR(AN19/'Assumption Setting'!$H$87,0)</f>
        <v>6818.18181818182</v>
      </c>
      <c r="AO20" s="79" t="n">
        <f aca="false">SUM(AP20:BA20)</f>
        <v>136363.636363636</v>
      </c>
      <c r="AP20" s="80" t="n">
        <f aca="false">IFERROR(AP19/'Assumption Setting'!$H$87,0)</f>
        <v>11363.6363636364</v>
      </c>
      <c r="AQ20" s="80" t="n">
        <f aca="false">IFERROR(AQ19/'Assumption Setting'!$H$87,0)</f>
        <v>11363.6363636364</v>
      </c>
      <c r="AR20" s="80" t="n">
        <f aca="false">IFERROR(AR19/'Assumption Setting'!$H$87,0)</f>
        <v>11363.6363636364</v>
      </c>
      <c r="AS20" s="80" t="n">
        <f aca="false">IFERROR(AS19/'Assumption Setting'!$H$87,0)</f>
        <v>11363.6363636364</v>
      </c>
      <c r="AT20" s="80" t="n">
        <f aca="false">IFERROR(AT19/'Assumption Setting'!$H$87,0)</f>
        <v>11363.6363636364</v>
      </c>
      <c r="AU20" s="80" t="n">
        <f aca="false">IFERROR(AU19/'Assumption Setting'!$H$87,0)</f>
        <v>11363.6363636364</v>
      </c>
      <c r="AV20" s="80" t="n">
        <f aca="false">IFERROR(AV19/'Assumption Setting'!$H$87,0)</f>
        <v>11363.6363636364</v>
      </c>
      <c r="AW20" s="80" t="n">
        <f aca="false">IFERROR(AW19/'Assumption Setting'!$H$87,0)</f>
        <v>11363.6363636364</v>
      </c>
      <c r="AX20" s="80" t="n">
        <f aca="false">IFERROR(AX19/'Assumption Setting'!$H$87,0)</f>
        <v>11363.6363636364</v>
      </c>
      <c r="AY20" s="80" t="n">
        <f aca="false">IFERROR(AY19/'Assumption Setting'!$H$87,0)</f>
        <v>11363.6363636364</v>
      </c>
      <c r="AZ20" s="80" t="n">
        <f aca="false">IFERROR(AZ19/'Assumption Setting'!$H$87,0)</f>
        <v>11363.6363636364</v>
      </c>
      <c r="BA20" s="80" t="n">
        <f aca="false">IFERROR(BA19/'Assumption Setting'!$H$87,0)</f>
        <v>11363.6363636364</v>
      </c>
      <c r="BB20" s="79" t="n">
        <f aca="false">SUM(BC20:BN20)</f>
        <v>190909.090909091</v>
      </c>
      <c r="BC20" s="80" t="n">
        <f aca="false">IFERROR(BC19/'Assumption Setting'!$H$87,0)</f>
        <v>15909.0909090909</v>
      </c>
      <c r="BD20" s="80" t="n">
        <f aca="false">IFERROR(BD19/'Assumption Setting'!$H$87,0)</f>
        <v>15909.0909090909</v>
      </c>
      <c r="BE20" s="80" t="n">
        <f aca="false">IFERROR(BE19/'Assumption Setting'!$H$87,0)</f>
        <v>15909.0909090909</v>
      </c>
      <c r="BF20" s="80" t="n">
        <f aca="false">IFERROR(BF19/'Assumption Setting'!$H$87,0)</f>
        <v>15909.0909090909</v>
      </c>
      <c r="BG20" s="80" t="n">
        <f aca="false">IFERROR(BG19/'Assumption Setting'!$H$87,0)</f>
        <v>15909.0909090909</v>
      </c>
      <c r="BH20" s="80" t="n">
        <f aca="false">IFERROR(BH19/'Assumption Setting'!$H$87,0)</f>
        <v>15909.0909090909</v>
      </c>
      <c r="BI20" s="80" t="n">
        <f aca="false">IFERROR(BI19/'Assumption Setting'!$H$87,0)</f>
        <v>15909.0909090909</v>
      </c>
      <c r="BJ20" s="80" t="n">
        <f aca="false">IFERROR(BJ19/'Assumption Setting'!$H$87,0)</f>
        <v>15909.0909090909</v>
      </c>
      <c r="BK20" s="80" t="n">
        <f aca="false">IFERROR(BK19/'Assumption Setting'!$H$87,0)</f>
        <v>15909.0909090909</v>
      </c>
      <c r="BL20" s="80" t="n">
        <f aca="false">IFERROR(BL19/'Assumption Setting'!$H$87,0)</f>
        <v>15909.0909090909</v>
      </c>
      <c r="BM20" s="80" t="n">
        <f aca="false">IFERROR(BM19/'Assumption Setting'!$H$87,0)</f>
        <v>15909.0909090909</v>
      </c>
      <c r="BN20" s="80" t="n">
        <f aca="false">IFERROR(BN19/'Assumption Setting'!$H$87,0)</f>
        <v>15909.0909090909</v>
      </c>
    </row>
    <row r="21" customFormat="false" ht="15" hidden="false" customHeight="false" outlineLevel="0" collapsed="false">
      <c r="A21" s="12" t="s">
        <v>621</v>
      </c>
      <c r="B21" s="79" t="n">
        <f aca="false">SUM(C21:N21)</f>
        <v>9294.54545454545</v>
      </c>
      <c r="C21" s="80" t="n">
        <f aca="false">C20*(1+'Assumption Setting'!$I$87+'Assumption Setting'!$J$87)</f>
        <v>774.545454545455</v>
      </c>
      <c r="D21" s="80" t="n">
        <f aca="false">D20*(1+'Assumption Setting'!$I$87+'Assumption Setting'!$J$87)</f>
        <v>774.545454545455</v>
      </c>
      <c r="E21" s="80" t="n">
        <f aca="false">E20*(1+'Assumption Setting'!$I$87+'Assumption Setting'!$J$87)</f>
        <v>774.545454545455</v>
      </c>
      <c r="F21" s="80" t="n">
        <f aca="false">F20*(1+'Assumption Setting'!$I$87+'Assumption Setting'!$J$87)</f>
        <v>774.545454545455</v>
      </c>
      <c r="G21" s="80" t="n">
        <f aca="false">G20*(1+'Assumption Setting'!$I$87+'Assumption Setting'!$J$87)</f>
        <v>774.545454545455</v>
      </c>
      <c r="H21" s="80" t="n">
        <f aca="false">H20*(1+'Assumption Setting'!$I$87+'Assumption Setting'!$J$87)</f>
        <v>774.545454545455</v>
      </c>
      <c r="I21" s="80" t="n">
        <f aca="false">I20*(1+'Assumption Setting'!$I$87+'Assumption Setting'!$J$87)</f>
        <v>774.545454545455</v>
      </c>
      <c r="J21" s="80" t="n">
        <f aca="false">J20*(1+'Assumption Setting'!$I$87+'Assumption Setting'!$J$87)</f>
        <v>774.545454545455</v>
      </c>
      <c r="K21" s="80" t="n">
        <f aca="false">K20*(1+'Assumption Setting'!$I$87+'Assumption Setting'!$J$87)</f>
        <v>774.545454545455</v>
      </c>
      <c r="L21" s="80" t="n">
        <f aca="false">L20*(1+'Assumption Setting'!$I$87+'Assumption Setting'!$J$87)</f>
        <v>774.545454545455</v>
      </c>
      <c r="M21" s="80" t="n">
        <f aca="false">M20*(1+'Assumption Setting'!$I$87+'Assumption Setting'!$J$87)</f>
        <v>774.545454545455</v>
      </c>
      <c r="N21" s="80" t="n">
        <f aca="false">N20*(1+'Assumption Setting'!$I$87+'Assumption Setting'!$J$87)</f>
        <v>774.545454545455</v>
      </c>
      <c r="O21" s="79" t="n">
        <f aca="false">SUM(P21:AA21)</f>
        <v>54218.1818181818</v>
      </c>
      <c r="P21" s="80" t="n">
        <f aca="false">P20*(1+'Assumption Setting'!$I$87+'Assumption Setting'!$J$87)</f>
        <v>4518.18181818182</v>
      </c>
      <c r="Q21" s="80" t="n">
        <f aca="false">Q20*(1+'Assumption Setting'!$I$87+'Assumption Setting'!$J$87)</f>
        <v>4518.18181818182</v>
      </c>
      <c r="R21" s="80" t="n">
        <f aca="false">R20*(1+'Assumption Setting'!$I$87+'Assumption Setting'!$J$87)</f>
        <v>4518.18181818182</v>
      </c>
      <c r="S21" s="80" t="n">
        <f aca="false">S20*(1+'Assumption Setting'!$I$87+'Assumption Setting'!$J$87)</f>
        <v>4518.18181818182</v>
      </c>
      <c r="T21" s="80" t="n">
        <f aca="false">T20*(1+'Assumption Setting'!$I$87+'Assumption Setting'!$J$87)</f>
        <v>4518.18181818182</v>
      </c>
      <c r="U21" s="80" t="n">
        <f aca="false">U20*(1+'Assumption Setting'!$I$87+'Assumption Setting'!$J$87)</f>
        <v>4518.18181818182</v>
      </c>
      <c r="V21" s="80" t="n">
        <f aca="false">V20*(1+'Assumption Setting'!$I$87+'Assumption Setting'!$J$87)</f>
        <v>4518.18181818182</v>
      </c>
      <c r="W21" s="80" t="n">
        <f aca="false">W20*(1+'Assumption Setting'!$I$87+'Assumption Setting'!$J$87)</f>
        <v>4518.18181818182</v>
      </c>
      <c r="X21" s="80" t="n">
        <f aca="false">X20*(1+'Assumption Setting'!$I$87+'Assumption Setting'!$J$87)</f>
        <v>4518.18181818182</v>
      </c>
      <c r="Y21" s="80" t="n">
        <f aca="false">Y20*(1+'Assumption Setting'!$I$87+'Assumption Setting'!$J$87)</f>
        <v>4518.18181818182</v>
      </c>
      <c r="Z21" s="80" t="n">
        <f aca="false">Z20*(1+'Assumption Setting'!$I$87+'Assumption Setting'!$J$87)</f>
        <v>4518.18181818182</v>
      </c>
      <c r="AA21" s="80" t="n">
        <f aca="false">AA20*(1+'Assumption Setting'!$I$87+'Assumption Setting'!$J$87)</f>
        <v>4518.18181818182</v>
      </c>
      <c r="AB21" s="79" t="n">
        <f aca="false">SUM(AC21:AN21)</f>
        <v>116181.818181818</v>
      </c>
      <c r="AC21" s="80" t="n">
        <f aca="false">AC20*(1+'Assumption Setting'!$I$87+'Assumption Setting'!$J$87)</f>
        <v>9681.81818181818</v>
      </c>
      <c r="AD21" s="80" t="n">
        <f aca="false">AD20*(1+'Assumption Setting'!$I$87+'Assumption Setting'!$J$87)</f>
        <v>9681.81818181818</v>
      </c>
      <c r="AE21" s="80" t="n">
        <f aca="false">AE20*(1+'Assumption Setting'!$I$87+'Assumption Setting'!$J$87)</f>
        <v>9681.81818181818</v>
      </c>
      <c r="AF21" s="80" t="n">
        <f aca="false">AF20*(1+'Assumption Setting'!$I$87+'Assumption Setting'!$J$87)</f>
        <v>9681.81818181818</v>
      </c>
      <c r="AG21" s="80" t="n">
        <f aca="false">AG20*(1+'Assumption Setting'!$I$87+'Assumption Setting'!$J$87)</f>
        <v>9681.81818181818</v>
      </c>
      <c r="AH21" s="80" t="n">
        <f aca="false">AH20*(1+'Assumption Setting'!$I$87+'Assumption Setting'!$J$87)</f>
        <v>9681.81818181818</v>
      </c>
      <c r="AI21" s="80" t="n">
        <f aca="false">AI20*(1+'Assumption Setting'!$I$87+'Assumption Setting'!$J$87)</f>
        <v>9681.81818181818</v>
      </c>
      <c r="AJ21" s="80" t="n">
        <f aca="false">AJ20*(1+'Assumption Setting'!$I$87+'Assumption Setting'!$J$87)</f>
        <v>9681.81818181818</v>
      </c>
      <c r="AK21" s="80" t="n">
        <f aca="false">AK20*(1+'Assumption Setting'!$I$87+'Assumption Setting'!$J$87)</f>
        <v>9681.81818181818</v>
      </c>
      <c r="AL21" s="80" t="n">
        <f aca="false">AL20*(1+'Assumption Setting'!$I$87+'Assumption Setting'!$J$87)</f>
        <v>9681.81818181818</v>
      </c>
      <c r="AM21" s="80" t="n">
        <f aca="false">AM20*(1+'Assumption Setting'!$I$87+'Assumption Setting'!$J$87)</f>
        <v>9681.81818181818</v>
      </c>
      <c r="AN21" s="80" t="n">
        <f aca="false">AN20*(1+'Assumption Setting'!$I$87+'Assumption Setting'!$J$87)</f>
        <v>9681.81818181818</v>
      </c>
      <c r="AO21" s="79" t="n">
        <f aca="false">SUM(AP21:BA21)</f>
        <v>193636.363636364</v>
      </c>
      <c r="AP21" s="80" t="n">
        <f aca="false">AP20*(1+'Assumption Setting'!$I$87+'Assumption Setting'!$J$87)</f>
        <v>16136.3636363636</v>
      </c>
      <c r="AQ21" s="80" t="n">
        <f aca="false">AQ20*(1+'Assumption Setting'!$I$87+'Assumption Setting'!$J$87)</f>
        <v>16136.3636363636</v>
      </c>
      <c r="AR21" s="80" t="n">
        <f aca="false">AR20*(1+'Assumption Setting'!$I$87+'Assumption Setting'!$J$87)</f>
        <v>16136.3636363636</v>
      </c>
      <c r="AS21" s="80" t="n">
        <f aca="false">AS20*(1+'Assumption Setting'!$I$87+'Assumption Setting'!$J$87)</f>
        <v>16136.3636363636</v>
      </c>
      <c r="AT21" s="80" t="n">
        <f aca="false">AT20*(1+'Assumption Setting'!$I$87+'Assumption Setting'!$J$87)</f>
        <v>16136.3636363636</v>
      </c>
      <c r="AU21" s="80" t="n">
        <f aca="false">AU20*(1+'Assumption Setting'!$I$87+'Assumption Setting'!$J$87)</f>
        <v>16136.3636363636</v>
      </c>
      <c r="AV21" s="80" t="n">
        <f aca="false">AV20*(1+'Assumption Setting'!$I$87+'Assumption Setting'!$J$87)</f>
        <v>16136.3636363636</v>
      </c>
      <c r="AW21" s="80" t="n">
        <f aca="false">AW20*(1+'Assumption Setting'!$I$87+'Assumption Setting'!$J$87)</f>
        <v>16136.3636363636</v>
      </c>
      <c r="AX21" s="80" t="n">
        <f aca="false">AX20*(1+'Assumption Setting'!$I$87+'Assumption Setting'!$J$87)</f>
        <v>16136.3636363636</v>
      </c>
      <c r="AY21" s="80" t="n">
        <f aca="false">AY20*(1+'Assumption Setting'!$I$87+'Assumption Setting'!$J$87)</f>
        <v>16136.3636363636</v>
      </c>
      <c r="AZ21" s="80" t="n">
        <f aca="false">AZ20*(1+'Assumption Setting'!$I$87+'Assumption Setting'!$J$87)</f>
        <v>16136.3636363636</v>
      </c>
      <c r="BA21" s="80" t="n">
        <f aca="false">BA20*(1+'Assumption Setting'!$I$87+'Assumption Setting'!$J$87)</f>
        <v>16136.3636363636</v>
      </c>
      <c r="BB21" s="79" t="n">
        <f aca="false">SUM(BC21:BN21)</f>
        <v>271090.909090909</v>
      </c>
      <c r="BC21" s="80" t="n">
        <f aca="false">BC20*(1+'Assumption Setting'!$I$87+'Assumption Setting'!$J$87)</f>
        <v>22590.9090909091</v>
      </c>
      <c r="BD21" s="80" t="n">
        <f aca="false">BD20*(1+'Assumption Setting'!$I$87+'Assumption Setting'!$J$87)</f>
        <v>22590.9090909091</v>
      </c>
      <c r="BE21" s="80" t="n">
        <f aca="false">BE20*(1+'Assumption Setting'!$I$87+'Assumption Setting'!$J$87)</f>
        <v>22590.9090909091</v>
      </c>
      <c r="BF21" s="80" t="n">
        <f aca="false">BF20*(1+'Assumption Setting'!$I$87+'Assumption Setting'!$J$87)</f>
        <v>22590.9090909091</v>
      </c>
      <c r="BG21" s="80" t="n">
        <f aca="false">BG20*(1+'Assumption Setting'!$I$87+'Assumption Setting'!$J$87)</f>
        <v>22590.9090909091</v>
      </c>
      <c r="BH21" s="80" t="n">
        <f aca="false">BH20*(1+'Assumption Setting'!$I$87+'Assumption Setting'!$J$87)</f>
        <v>22590.9090909091</v>
      </c>
      <c r="BI21" s="80" t="n">
        <f aca="false">BI20*(1+'Assumption Setting'!$I$87+'Assumption Setting'!$J$87)</f>
        <v>22590.9090909091</v>
      </c>
      <c r="BJ21" s="80" t="n">
        <f aca="false">BJ20*(1+'Assumption Setting'!$I$87+'Assumption Setting'!$J$87)</f>
        <v>22590.9090909091</v>
      </c>
      <c r="BK21" s="80" t="n">
        <f aca="false">BK20*(1+'Assumption Setting'!$I$87+'Assumption Setting'!$J$87)</f>
        <v>22590.9090909091</v>
      </c>
      <c r="BL21" s="80" t="n">
        <f aca="false">BL20*(1+'Assumption Setting'!$I$87+'Assumption Setting'!$J$87)</f>
        <v>22590.9090909091</v>
      </c>
      <c r="BM21" s="80" t="n">
        <f aca="false">BM20*(1+'Assumption Setting'!$I$87+'Assumption Setting'!$J$87)</f>
        <v>22590.9090909091</v>
      </c>
      <c r="BN21" s="80" t="n">
        <f aca="false">BN20*(1+'Assumption Setting'!$I$87+'Assumption Setting'!$J$87)</f>
        <v>22590.9090909091</v>
      </c>
    </row>
    <row r="22" customFormat="false" ht="15" hidden="false" customHeight="false" outlineLevel="0" collapsed="false">
      <c r="A22" s="12" t="s">
        <v>622</v>
      </c>
      <c r="B22" s="81" t="n">
        <f aca="false">SUM(C22:N22)</f>
        <v>418.254545454546</v>
      </c>
      <c r="C22" s="82" t="n">
        <f aca="false">C21*'Assumption Setting'!$K$87</f>
        <v>34.8545454545455</v>
      </c>
      <c r="D22" s="82" t="n">
        <f aca="false">D21*'Assumption Setting'!$K$87</f>
        <v>34.8545454545455</v>
      </c>
      <c r="E22" s="82" t="n">
        <f aca="false">E21*'Assumption Setting'!$K$87</f>
        <v>34.8545454545455</v>
      </c>
      <c r="F22" s="82" t="n">
        <f aca="false">F21*'Assumption Setting'!$K$87</f>
        <v>34.8545454545455</v>
      </c>
      <c r="G22" s="82" t="n">
        <f aca="false">G21*'Assumption Setting'!$K$87</f>
        <v>34.8545454545455</v>
      </c>
      <c r="H22" s="82" t="n">
        <f aca="false">H21*'Assumption Setting'!$K$87</f>
        <v>34.8545454545455</v>
      </c>
      <c r="I22" s="82" t="n">
        <f aca="false">I21*'Assumption Setting'!$K$87</f>
        <v>34.8545454545455</v>
      </c>
      <c r="J22" s="82" t="n">
        <f aca="false">J21*'Assumption Setting'!$K$87</f>
        <v>34.8545454545455</v>
      </c>
      <c r="K22" s="82" t="n">
        <f aca="false">K21*'Assumption Setting'!$K$87</f>
        <v>34.8545454545455</v>
      </c>
      <c r="L22" s="82" t="n">
        <f aca="false">L21*'Assumption Setting'!$K$87</f>
        <v>34.8545454545455</v>
      </c>
      <c r="M22" s="82" t="n">
        <f aca="false">M21*'Assumption Setting'!$K$87</f>
        <v>34.8545454545455</v>
      </c>
      <c r="N22" s="82" t="n">
        <f aca="false">N21*'Assumption Setting'!$K$87</f>
        <v>34.8545454545455</v>
      </c>
      <c r="O22" s="81" t="n">
        <f aca="false">SUM(P22:AA22)</f>
        <v>2439.81818181818</v>
      </c>
      <c r="P22" s="82" t="n">
        <f aca="false">P21*'Assumption Setting'!$K$87</f>
        <v>203.318181818182</v>
      </c>
      <c r="Q22" s="82" t="n">
        <f aca="false">Q21*'Assumption Setting'!$K$87</f>
        <v>203.318181818182</v>
      </c>
      <c r="R22" s="82" t="n">
        <f aca="false">R21*'Assumption Setting'!$K$87</f>
        <v>203.318181818182</v>
      </c>
      <c r="S22" s="82" t="n">
        <f aca="false">S21*'Assumption Setting'!$K$87</f>
        <v>203.318181818182</v>
      </c>
      <c r="T22" s="82" t="n">
        <f aca="false">T21*'Assumption Setting'!$K$87</f>
        <v>203.318181818182</v>
      </c>
      <c r="U22" s="82" t="n">
        <f aca="false">U21*'Assumption Setting'!$K$87</f>
        <v>203.318181818182</v>
      </c>
      <c r="V22" s="82" t="n">
        <f aca="false">V21*'Assumption Setting'!$K$87</f>
        <v>203.318181818182</v>
      </c>
      <c r="W22" s="82" t="n">
        <f aca="false">W21*'Assumption Setting'!$K$87</f>
        <v>203.318181818182</v>
      </c>
      <c r="X22" s="82" t="n">
        <f aca="false">X21*'Assumption Setting'!$K$87</f>
        <v>203.318181818182</v>
      </c>
      <c r="Y22" s="82" t="n">
        <f aca="false">Y21*'Assumption Setting'!$K$87</f>
        <v>203.318181818182</v>
      </c>
      <c r="Z22" s="82" t="n">
        <f aca="false">Z21*'Assumption Setting'!$K$87</f>
        <v>203.318181818182</v>
      </c>
      <c r="AA22" s="82" t="n">
        <f aca="false">AA21*'Assumption Setting'!$K$87</f>
        <v>203.318181818182</v>
      </c>
      <c r="AB22" s="81" t="n">
        <f aca="false">SUM(AC22:AN22)</f>
        <v>5228.18181818182</v>
      </c>
      <c r="AC22" s="82" t="n">
        <f aca="false">AC21*'Assumption Setting'!$K$87</f>
        <v>435.681818181818</v>
      </c>
      <c r="AD22" s="82" t="n">
        <f aca="false">AD21*'Assumption Setting'!$K$87</f>
        <v>435.681818181818</v>
      </c>
      <c r="AE22" s="82" t="n">
        <f aca="false">AE21*'Assumption Setting'!$K$87</f>
        <v>435.681818181818</v>
      </c>
      <c r="AF22" s="82" t="n">
        <f aca="false">AF21*'Assumption Setting'!$K$87</f>
        <v>435.681818181818</v>
      </c>
      <c r="AG22" s="82" t="n">
        <f aca="false">AG21*'Assumption Setting'!$K$87</f>
        <v>435.681818181818</v>
      </c>
      <c r="AH22" s="82" t="n">
        <f aca="false">AH21*'Assumption Setting'!$K$87</f>
        <v>435.681818181818</v>
      </c>
      <c r="AI22" s="82" t="n">
        <f aca="false">AI21*'Assumption Setting'!$K$87</f>
        <v>435.681818181818</v>
      </c>
      <c r="AJ22" s="82" t="n">
        <f aca="false">AJ21*'Assumption Setting'!$K$87</f>
        <v>435.681818181818</v>
      </c>
      <c r="AK22" s="82" t="n">
        <f aca="false">AK21*'Assumption Setting'!$K$87</f>
        <v>435.681818181818</v>
      </c>
      <c r="AL22" s="82" t="n">
        <f aca="false">AL21*'Assumption Setting'!$K$87</f>
        <v>435.681818181818</v>
      </c>
      <c r="AM22" s="82" t="n">
        <f aca="false">AM21*'Assumption Setting'!$K$87</f>
        <v>435.681818181818</v>
      </c>
      <c r="AN22" s="82" t="n">
        <f aca="false">AN21*'Assumption Setting'!$K$87</f>
        <v>435.681818181818</v>
      </c>
      <c r="AO22" s="81" t="n">
        <f aca="false">SUM(AP22:BA22)</f>
        <v>8713.63636363636</v>
      </c>
      <c r="AP22" s="82" t="n">
        <f aca="false">AP21*'Assumption Setting'!$K$87</f>
        <v>726.136363636364</v>
      </c>
      <c r="AQ22" s="82" t="n">
        <f aca="false">AQ21*'Assumption Setting'!$K$87</f>
        <v>726.136363636364</v>
      </c>
      <c r="AR22" s="82" t="n">
        <f aca="false">AR21*'Assumption Setting'!$K$87</f>
        <v>726.136363636364</v>
      </c>
      <c r="AS22" s="82" t="n">
        <f aca="false">AS21*'Assumption Setting'!$K$87</f>
        <v>726.136363636364</v>
      </c>
      <c r="AT22" s="82" t="n">
        <f aca="false">AT21*'Assumption Setting'!$K$87</f>
        <v>726.136363636364</v>
      </c>
      <c r="AU22" s="82" t="n">
        <f aca="false">AU21*'Assumption Setting'!$K$87</f>
        <v>726.136363636364</v>
      </c>
      <c r="AV22" s="82" t="n">
        <f aca="false">AV21*'Assumption Setting'!$K$87</f>
        <v>726.136363636364</v>
      </c>
      <c r="AW22" s="82" t="n">
        <f aca="false">AW21*'Assumption Setting'!$K$87</f>
        <v>726.136363636364</v>
      </c>
      <c r="AX22" s="82" t="n">
        <f aca="false">AX21*'Assumption Setting'!$K$87</f>
        <v>726.136363636364</v>
      </c>
      <c r="AY22" s="82" t="n">
        <f aca="false">AY21*'Assumption Setting'!$K$87</f>
        <v>726.136363636364</v>
      </c>
      <c r="AZ22" s="82" t="n">
        <f aca="false">AZ21*'Assumption Setting'!$K$87</f>
        <v>726.136363636364</v>
      </c>
      <c r="BA22" s="82" t="n">
        <f aca="false">BA21*'Assumption Setting'!$K$87</f>
        <v>726.136363636364</v>
      </c>
      <c r="BB22" s="81" t="n">
        <f aca="false">SUM(BC22:BN22)</f>
        <v>12199.0909090909</v>
      </c>
      <c r="BC22" s="82" t="n">
        <f aca="false">BC21*'Assumption Setting'!$K$87</f>
        <v>1016.59090909091</v>
      </c>
      <c r="BD22" s="82" t="n">
        <f aca="false">BD21*'Assumption Setting'!$K$87</f>
        <v>1016.59090909091</v>
      </c>
      <c r="BE22" s="82" t="n">
        <f aca="false">BE21*'Assumption Setting'!$K$87</f>
        <v>1016.59090909091</v>
      </c>
      <c r="BF22" s="82" t="n">
        <f aca="false">BF21*'Assumption Setting'!$K$87</f>
        <v>1016.59090909091</v>
      </c>
      <c r="BG22" s="82" t="n">
        <f aca="false">BG21*'Assumption Setting'!$K$87</f>
        <v>1016.59090909091</v>
      </c>
      <c r="BH22" s="82" t="n">
        <f aca="false">BH21*'Assumption Setting'!$K$87</f>
        <v>1016.59090909091</v>
      </c>
      <c r="BI22" s="82" t="n">
        <f aca="false">BI21*'Assumption Setting'!$K$87</f>
        <v>1016.59090909091</v>
      </c>
      <c r="BJ22" s="82" t="n">
        <f aca="false">BJ21*'Assumption Setting'!$K$87</f>
        <v>1016.59090909091</v>
      </c>
      <c r="BK22" s="82" t="n">
        <f aca="false">BK21*'Assumption Setting'!$K$87</f>
        <v>1016.59090909091</v>
      </c>
      <c r="BL22" s="82" t="n">
        <f aca="false">BL21*'Assumption Setting'!$K$87</f>
        <v>1016.59090909091</v>
      </c>
      <c r="BM22" s="82" t="n">
        <f aca="false">BM21*'Assumption Setting'!$K$87</f>
        <v>1016.59090909091</v>
      </c>
      <c r="BN22" s="82" t="n">
        <f aca="false">BN21*'Assumption Setting'!$K$87</f>
        <v>1016.59090909091</v>
      </c>
    </row>
    <row r="23" customFormat="false" ht="15" hidden="false" customHeight="false" outlineLevel="0" collapsed="false">
      <c r="A23" s="12" t="s">
        <v>345</v>
      </c>
      <c r="B23" s="65" t="n">
        <f aca="false">SUM(C23:N23)</f>
        <v>720</v>
      </c>
      <c r="C23" s="66" t="n">
        <f aca="false">'Assumption Setting'!$C$88</f>
        <v>60</v>
      </c>
      <c r="D23" s="66" t="n">
        <f aca="false">'Assumption Setting'!$C$88</f>
        <v>60</v>
      </c>
      <c r="E23" s="66" t="n">
        <f aca="false">'Assumption Setting'!$C$88</f>
        <v>60</v>
      </c>
      <c r="F23" s="66" t="n">
        <f aca="false">'Assumption Setting'!$C$88</f>
        <v>60</v>
      </c>
      <c r="G23" s="66" t="n">
        <f aca="false">'Assumption Setting'!$C$88</f>
        <v>60</v>
      </c>
      <c r="H23" s="66" t="n">
        <f aca="false">'Assumption Setting'!$C$88</f>
        <v>60</v>
      </c>
      <c r="I23" s="66" t="n">
        <f aca="false">'Assumption Setting'!$C$88</f>
        <v>60</v>
      </c>
      <c r="J23" s="66" t="n">
        <f aca="false">'Assumption Setting'!$C$88</f>
        <v>60</v>
      </c>
      <c r="K23" s="66" t="n">
        <f aca="false">'Assumption Setting'!$C$88</f>
        <v>60</v>
      </c>
      <c r="L23" s="66" t="n">
        <f aca="false">'Assumption Setting'!$C$88</f>
        <v>60</v>
      </c>
      <c r="M23" s="66" t="n">
        <f aca="false">'Assumption Setting'!$C$88</f>
        <v>60</v>
      </c>
      <c r="N23" s="66" t="n">
        <f aca="false">'Assumption Setting'!$C$88</f>
        <v>60</v>
      </c>
      <c r="O23" s="65" t="n">
        <f aca="false">SUM(P23:AA23)</f>
        <v>3000</v>
      </c>
      <c r="P23" s="66" t="n">
        <f aca="false">'Assumption Setting'!$D$88</f>
        <v>250</v>
      </c>
      <c r="Q23" s="66" t="n">
        <f aca="false">'Assumption Setting'!$D$88</f>
        <v>250</v>
      </c>
      <c r="R23" s="66" t="n">
        <f aca="false">'Assumption Setting'!$D$88</f>
        <v>250</v>
      </c>
      <c r="S23" s="66" t="n">
        <f aca="false">'Assumption Setting'!$D$88</f>
        <v>250</v>
      </c>
      <c r="T23" s="66" t="n">
        <f aca="false">'Assumption Setting'!$D$88</f>
        <v>250</v>
      </c>
      <c r="U23" s="66" t="n">
        <f aca="false">'Assumption Setting'!$D$88</f>
        <v>250</v>
      </c>
      <c r="V23" s="66" t="n">
        <f aca="false">'Assumption Setting'!$D$88</f>
        <v>250</v>
      </c>
      <c r="W23" s="66" t="n">
        <f aca="false">'Assumption Setting'!$D$88</f>
        <v>250</v>
      </c>
      <c r="X23" s="66" t="n">
        <f aca="false">'Assumption Setting'!$D$88</f>
        <v>250</v>
      </c>
      <c r="Y23" s="66" t="n">
        <f aca="false">'Assumption Setting'!$D$88</f>
        <v>250</v>
      </c>
      <c r="Z23" s="66" t="n">
        <f aca="false">'Assumption Setting'!$D$88</f>
        <v>250</v>
      </c>
      <c r="AA23" s="66" t="n">
        <f aca="false">'Assumption Setting'!$D$88</f>
        <v>250</v>
      </c>
      <c r="AB23" s="65" t="n">
        <f aca="false">SUM(AC23:AN23)</f>
        <v>7200</v>
      </c>
      <c r="AC23" s="66" t="n">
        <f aca="false">'Assumption Setting'!$E$88</f>
        <v>600</v>
      </c>
      <c r="AD23" s="66" t="n">
        <f aca="false">'Assumption Setting'!$E$88</f>
        <v>600</v>
      </c>
      <c r="AE23" s="66" t="n">
        <f aca="false">'Assumption Setting'!$E$88</f>
        <v>600</v>
      </c>
      <c r="AF23" s="66" t="n">
        <f aca="false">'Assumption Setting'!$E$88</f>
        <v>600</v>
      </c>
      <c r="AG23" s="66" t="n">
        <f aca="false">'Assumption Setting'!$E$88</f>
        <v>600</v>
      </c>
      <c r="AH23" s="66" t="n">
        <f aca="false">'Assumption Setting'!$E$88</f>
        <v>600</v>
      </c>
      <c r="AI23" s="66" t="n">
        <f aca="false">'Assumption Setting'!$E$88</f>
        <v>600</v>
      </c>
      <c r="AJ23" s="66" t="n">
        <f aca="false">'Assumption Setting'!$E$88</f>
        <v>600</v>
      </c>
      <c r="AK23" s="66" t="n">
        <f aca="false">'Assumption Setting'!$E$88</f>
        <v>600</v>
      </c>
      <c r="AL23" s="66" t="n">
        <f aca="false">'Assumption Setting'!$E$88</f>
        <v>600</v>
      </c>
      <c r="AM23" s="66" t="n">
        <f aca="false">'Assumption Setting'!$E$88</f>
        <v>600</v>
      </c>
      <c r="AN23" s="66" t="n">
        <f aca="false">'Assumption Setting'!$E$88</f>
        <v>600</v>
      </c>
      <c r="AO23" s="65" t="n">
        <f aca="false">SUM(AP23:BA23)</f>
        <v>12000</v>
      </c>
      <c r="AP23" s="66" t="n">
        <f aca="false">'Assumption Setting'!$F$88</f>
        <v>1000</v>
      </c>
      <c r="AQ23" s="66" t="n">
        <f aca="false">'Assumption Setting'!$F$88</f>
        <v>1000</v>
      </c>
      <c r="AR23" s="66" t="n">
        <f aca="false">'Assumption Setting'!$F$88</f>
        <v>1000</v>
      </c>
      <c r="AS23" s="66" t="n">
        <f aca="false">'Assumption Setting'!$F$88</f>
        <v>1000</v>
      </c>
      <c r="AT23" s="66" t="n">
        <f aca="false">'Assumption Setting'!$F$88</f>
        <v>1000</v>
      </c>
      <c r="AU23" s="66" t="n">
        <f aca="false">'Assumption Setting'!$F$88</f>
        <v>1000</v>
      </c>
      <c r="AV23" s="66" t="n">
        <f aca="false">'Assumption Setting'!$F$88</f>
        <v>1000</v>
      </c>
      <c r="AW23" s="66" t="n">
        <f aca="false">'Assumption Setting'!$F$88</f>
        <v>1000</v>
      </c>
      <c r="AX23" s="66" t="n">
        <f aca="false">'Assumption Setting'!$F$88</f>
        <v>1000</v>
      </c>
      <c r="AY23" s="66" t="n">
        <f aca="false">'Assumption Setting'!$F$88</f>
        <v>1000</v>
      </c>
      <c r="AZ23" s="66" t="n">
        <f aca="false">'Assumption Setting'!$F$88</f>
        <v>1000</v>
      </c>
      <c r="BA23" s="66" t="n">
        <f aca="false">'Assumption Setting'!$F$88</f>
        <v>1000</v>
      </c>
      <c r="BB23" s="65" t="n">
        <f aca="false">SUM(BC23:BN23)</f>
        <v>16800</v>
      </c>
      <c r="BC23" s="66" t="n">
        <f aca="false">'Assumption Setting'!$G$88</f>
        <v>1400</v>
      </c>
      <c r="BD23" s="66" t="n">
        <f aca="false">'Assumption Setting'!$G$88</f>
        <v>1400</v>
      </c>
      <c r="BE23" s="66" t="n">
        <f aca="false">'Assumption Setting'!$G$88</f>
        <v>1400</v>
      </c>
      <c r="BF23" s="66" t="n">
        <f aca="false">'Assumption Setting'!$G$88</f>
        <v>1400</v>
      </c>
      <c r="BG23" s="66" t="n">
        <f aca="false">'Assumption Setting'!$G$88</f>
        <v>1400</v>
      </c>
      <c r="BH23" s="66" t="n">
        <f aca="false">'Assumption Setting'!$G$88</f>
        <v>1400</v>
      </c>
      <c r="BI23" s="66" t="n">
        <f aca="false">'Assumption Setting'!$G$88</f>
        <v>1400</v>
      </c>
      <c r="BJ23" s="66" t="n">
        <f aca="false">'Assumption Setting'!$G$88</f>
        <v>1400</v>
      </c>
      <c r="BK23" s="66" t="n">
        <f aca="false">'Assumption Setting'!$G$88</f>
        <v>1400</v>
      </c>
      <c r="BL23" s="66" t="n">
        <f aca="false">'Assumption Setting'!$G$88</f>
        <v>1400</v>
      </c>
      <c r="BM23" s="66" t="n">
        <f aca="false">'Assumption Setting'!$G$88</f>
        <v>1400</v>
      </c>
      <c r="BN23" s="66" t="n">
        <f aca="false">'Assumption Setting'!$G$88</f>
        <v>1400</v>
      </c>
    </row>
    <row r="24" customFormat="false" ht="15" hidden="false" customHeight="false" outlineLevel="0" collapsed="false">
      <c r="A24" s="12" t="s">
        <v>620</v>
      </c>
      <c r="B24" s="79" t="n">
        <f aca="false">SUM(C24:N24)</f>
        <v>1600</v>
      </c>
      <c r="C24" s="80" t="n">
        <f aca="false">IFERROR(C23/'Assumption Setting'!$H$88,0)</f>
        <v>133.333333333333</v>
      </c>
      <c r="D24" s="80" t="n">
        <f aca="false">IFERROR(D23/'Assumption Setting'!$H$88,0)</f>
        <v>133.333333333333</v>
      </c>
      <c r="E24" s="80" t="n">
        <f aca="false">IFERROR(E23/'Assumption Setting'!$H$88,0)</f>
        <v>133.333333333333</v>
      </c>
      <c r="F24" s="80" t="n">
        <f aca="false">IFERROR(F23/'Assumption Setting'!$H$88,0)</f>
        <v>133.333333333333</v>
      </c>
      <c r="G24" s="80" t="n">
        <f aca="false">IFERROR(G23/'Assumption Setting'!$H$88,0)</f>
        <v>133.333333333333</v>
      </c>
      <c r="H24" s="80" t="n">
        <f aca="false">IFERROR(H23/'Assumption Setting'!$H$88,0)</f>
        <v>133.333333333333</v>
      </c>
      <c r="I24" s="80" t="n">
        <f aca="false">IFERROR(I23/'Assumption Setting'!$H$88,0)</f>
        <v>133.333333333333</v>
      </c>
      <c r="J24" s="80" t="n">
        <f aca="false">IFERROR(J23/'Assumption Setting'!$H$88,0)</f>
        <v>133.333333333333</v>
      </c>
      <c r="K24" s="80" t="n">
        <f aca="false">IFERROR(K23/'Assumption Setting'!$H$88,0)</f>
        <v>133.333333333333</v>
      </c>
      <c r="L24" s="80" t="n">
        <f aca="false">IFERROR(L23/'Assumption Setting'!$H$88,0)</f>
        <v>133.333333333333</v>
      </c>
      <c r="M24" s="80" t="n">
        <f aca="false">IFERROR(M23/'Assumption Setting'!$H$88,0)</f>
        <v>133.333333333333</v>
      </c>
      <c r="N24" s="80" t="n">
        <f aca="false">IFERROR(N23/'Assumption Setting'!$H$88,0)</f>
        <v>133.333333333333</v>
      </c>
      <c r="O24" s="79" t="n">
        <f aca="false">SUM(P24:AA24)</f>
        <v>6666.66666666667</v>
      </c>
      <c r="P24" s="80" t="n">
        <f aca="false">IFERROR(P23/'Assumption Setting'!$H$88,0)</f>
        <v>555.555555555556</v>
      </c>
      <c r="Q24" s="80" t="n">
        <f aca="false">IFERROR(Q23/'Assumption Setting'!$H$88,0)</f>
        <v>555.555555555556</v>
      </c>
      <c r="R24" s="80" t="n">
        <f aca="false">IFERROR(R23/'Assumption Setting'!$H$88,0)</f>
        <v>555.555555555556</v>
      </c>
      <c r="S24" s="80" t="n">
        <f aca="false">IFERROR(S23/'Assumption Setting'!$H$88,0)</f>
        <v>555.555555555556</v>
      </c>
      <c r="T24" s="80" t="n">
        <f aca="false">IFERROR(T23/'Assumption Setting'!$H$88,0)</f>
        <v>555.555555555556</v>
      </c>
      <c r="U24" s="80" t="n">
        <f aca="false">IFERROR(U23/'Assumption Setting'!$H$88,0)</f>
        <v>555.555555555556</v>
      </c>
      <c r="V24" s="80" t="n">
        <f aca="false">IFERROR(V23/'Assumption Setting'!$H$88,0)</f>
        <v>555.555555555556</v>
      </c>
      <c r="W24" s="80" t="n">
        <f aca="false">IFERROR(W23/'Assumption Setting'!$H$88,0)</f>
        <v>555.555555555556</v>
      </c>
      <c r="X24" s="80" t="n">
        <f aca="false">IFERROR(X23/'Assumption Setting'!$H$88,0)</f>
        <v>555.555555555556</v>
      </c>
      <c r="Y24" s="80" t="n">
        <f aca="false">IFERROR(Y23/'Assumption Setting'!$H$88,0)</f>
        <v>555.555555555556</v>
      </c>
      <c r="Z24" s="80" t="n">
        <f aca="false">IFERROR(Z23/'Assumption Setting'!$H$88,0)</f>
        <v>555.555555555556</v>
      </c>
      <c r="AA24" s="80" t="n">
        <f aca="false">IFERROR(AA23/'Assumption Setting'!$H$88,0)</f>
        <v>555.555555555556</v>
      </c>
      <c r="AB24" s="79" t="n">
        <f aca="false">SUM(AC24:AN24)</f>
        <v>16000</v>
      </c>
      <c r="AC24" s="80" t="n">
        <f aca="false">IFERROR(AC23/'Assumption Setting'!$H$88,0)</f>
        <v>1333.33333333333</v>
      </c>
      <c r="AD24" s="80" t="n">
        <f aca="false">IFERROR(AD23/'Assumption Setting'!$H$88,0)</f>
        <v>1333.33333333333</v>
      </c>
      <c r="AE24" s="80" t="n">
        <f aca="false">IFERROR(AE23/'Assumption Setting'!$H$88,0)</f>
        <v>1333.33333333333</v>
      </c>
      <c r="AF24" s="80" t="n">
        <f aca="false">IFERROR(AF23/'Assumption Setting'!$H$88,0)</f>
        <v>1333.33333333333</v>
      </c>
      <c r="AG24" s="80" t="n">
        <f aca="false">IFERROR(AG23/'Assumption Setting'!$H$88,0)</f>
        <v>1333.33333333333</v>
      </c>
      <c r="AH24" s="80" t="n">
        <f aca="false">IFERROR(AH23/'Assumption Setting'!$H$88,0)</f>
        <v>1333.33333333333</v>
      </c>
      <c r="AI24" s="80" t="n">
        <f aca="false">IFERROR(AI23/'Assumption Setting'!$H$88,0)</f>
        <v>1333.33333333333</v>
      </c>
      <c r="AJ24" s="80" t="n">
        <f aca="false">IFERROR(AJ23/'Assumption Setting'!$H$88,0)</f>
        <v>1333.33333333333</v>
      </c>
      <c r="AK24" s="80" t="n">
        <f aca="false">IFERROR(AK23/'Assumption Setting'!$H$88,0)</f>
        <v>1333.33333333333</v>
      </c>
      <c r="AL24" s="80" t="n">
        <f aca="false">IFERROR(AL23/'Assumption Setting'!$H$88,0)</f>
        <v>1333.33333333333</v>
      </c>
      <c r="AM24" s="80" t="n">
        <f aca="false">IFERROR(AM23/'Assumption Setting'!$H$88,0)</f>
        <v>1333.33333333333</v>
      </c>
      <c r="AN24" s="80" t="n">
        <f aca="false">IFERROR(AN23/'Assumption Setting'!$H$88,0)</f>
        <v>1333.33333333333</v>
      </c>
      <c r="AO24" s="79" t="n">
        <f aca="false">SUM(AP24:BA24)</f>
        <v>26666.6666666667</v>
      </c>
      <c r="AP24" s="80" t="n">
        <f aca="false">IFERROR(AP23/'Assumption Setting'!$H$88,0)</f>
        <v>2222.22222222222</v>
      </c>
      <c r="AQ24" s="80" t="n">
        <f aca="false">IFERROR(AQ23/'Assumption Setting'!$H$88,0)</f>
        <v>2222.22222222222</v>
      </c>
      <c r="AR24" s="80" t="n">
        <f aca="false">IFERROR(AR23/'Assumption Setting'!$H$88,0)</f>
        <v>2222.22222222222</v>
      </c>
      <c r="AS24" s="80" t="n">
        <f aca="false">IFERROR(AS23/'Assumption Setting'!$H$88,0)</f>
        <v>2222.22222222222</v>
      </c>
      <c r="AT24" s="80" t="n">
        <f aca="false">IFERROR(AT23/'Assumption Setting'!$H$88,0)</f>
        <v>2222.22222222222</v>
      </c>
      <c r="AU24" s="80" t="n">
        <f aca="false">IFERROR(AU23/'Assumption Setting'!$H$88,0)</f>
        <v>2222.22222222222</v>
      </c>
      <c r="AV24" s="80" t="n">
        <f aca="false">IFERROR(AV23/'Assumption Setting'!$H$88,0)</f>
        <v>2222.22222222222</v>
      </c>
      <c r="AW24" s="80" t="n">
        <f aca="false">IFERROR(AW23/'Assumption Setting'!$H$88,0)</f>
        <v>2222.22222222222</v>
      </c>
      <c r="AX24" s="80" t="n">
        <f aca="false">IFERROR(AX23/'Assumption Setting'!$H$88,0)</f>
        <v>2222.22222222222</v>
      </c>
      <c r="AY24" s="80" t="n">
        <f aca="false">IFERROR(AY23/'Assumption Setting'!$H$88,0)</f>
        <v>2222.22222222222</v>
      </c>
      <c r="AZ24" s="80" t="n">
        <f aca="false">IFERROR(AZ23/'Assumption Setting'!$H$88,0)</f>
        <v>2222.22222222222</v>
      </c>
      <c r="BA24" s="80" t="n">
        <f aca="false">IFERROR(BA23/'Assumption Setting'!$H$88,0)</f>
        <v>2222.22222222222</v>
      </c>
      <c r="BB24" s="79" t="n">
        <f aca="false">SUM(BC24:BN24)</f>
        <v>37333.3333333333</v>
      </c>
      <c r="BC24" s="80" t="n">
        <f aca="false">IFERROR(BC23/'Assumption Setting'!$H$88,0)</f>
        <v>3111.11111111111</v>
      </c>
      <c r="BD24" s="80" t="n">
        <f aca="false">IFERROR(BD23/'Assumption Setting'!$H$88,0)</f>
        <v>3111.11111111111</v>
      </c>
      <c r="BE24" s="80" t="n">
        <f aca="false">IFERROR(BE23/'Assumption Setting'!$H$88,0)</f>
        <v>3111.11111111111</v>
      </c>
      <c r="BF24" s="80" t="n">
        <f aca="false">IFERROR(BF23/'Assumption Setting'!$H$88,0)</f>
        <v>3111.11111111111</v>
      </c>
      <c r="BG24" s="80" t="n">
        <f aca="false">IFERROR(BG23/'Assumption Setting'!$H$88,0)</f>
        <v>3111.11111111111</v>
      </c>
      <c r="BH24" s="80" t="n">
        <f aca="false">IFERROR(BH23/'Assumption Setting'!$H$88,0)</f>
        <v>3111.11111111111</v>
      </c>
      <c r="BI24" s="80" t="n">
        <f aca="false">IFERROR(BI23/'Assumption Setting'!$H$88,0)</f>
        <v>3111.11111111111</v>
      </c>
      <c r="BJ24" s="80" t="n">
        <f aca="false">IFERROR(BJ23/'Assumption Setting'!$H$88,0)</f>
        <v>3111.11111111111</v>
      </c>
      <c r="BK24" s="80" t="n">
        <f aca="false">IFERROR(BK23/'Assumption Setting'!$H$88,0)</f>
        <v>3111.11111111111</v>
      </c>
      <c r="BL24" s="80" t="n">
        <f aca="false">IFERROR(BL23/'Assumption Setting'!$H$88,0)</f>
        <v>3111.11111111111</v>
      </c>
      <c r="BM24" s="80" t="n">
        <f aca="false">IFERROR(BM23/'Assumption Setting'!$H$88,0)</f>
        <v>3111.11111111111</v>
      </c>
      <c r="BN24" s="80" t="n">
        <f aca="false">IFERROR(BN23/'Assumption Setting'!$H$88,0)</f>
        <v>3111.11111111111</v>
      </c>
    </row>
    <row r="25" customFormat="false" ht="15" hidden="false" customHeight="false" outlineLevel="0" collapsed="false">
      <c r="A25" s="12" t="s">
        <v>621</v>
      </c>
      <c r="B25" s="79" t="n">
        <f aca="false">SUM(C25:N25)</f>
        <v>2000</v>
      </c>
      <c r="C25" s="80" t="n">
        <f aca="false">C24*(1+'Assumption Setting'!$I$88+'Assumption Setting'!$J$88)</f>
        <v>166.666666666667</v>
      </c>
      <c r="D25" s="80" t="n">
        <f aca="false">D24*(1+'Assumption Setting'!$I$88+'Assumption Setting'!$J$88)</f>
        <v>166.666666666667</v>
      </c>
      <c r="E25" s="80" t="n">
        <f aca="false">E24*(1+'Assumption Setting'!$I$88+'Assumption Setting'!$J$88)</f>
        <v>166.666666666667</v>
      </c>
      <c r="F25" s="80" t="n">
        <f aca="false">F24*(1+'Assumption Setting'!$I$88+'Assumption Setting'!$J$88)</f>
        <v>166.666666666667</v>
      </c>
      <c r="G25" s="80" t="n">
        <f aca="false">G24*(1+'Assumption Setting'!$I$88+'Assumption Setting'!$J$88)</f>
        <v>166.666666666667</v>
      </c>
      <c r="H25" s="80" t="n">
        <f aca="false">H24*(1+'Assumption Setting'!$I$88+'Assumption Setting'!$J$88)</f>
        <v>166.666666666667</v>
      </c>
      <c r="I25" s="80" t="n">
        <f aca="false">I24*(1+'Assumption Setting'!$I$88+'Assumption Setting'!$J$88)</f>
        <v>166.666666666667</v>
      </c>
      <c r="J25" s="80" t="n">
        <f aca="false">J24*(1+'Assumption Setting'!$I$88+'Assumption Setting'!$J$88)</f>
        <v>166.666666666667</v>
      </c>
      <c r="K25" s="80" t="n">
        <f aca="false">K24*(1+'Assumption Setting'!$I$88+'Assumption Setting'!$J$88)</f>
        <v>166.666666666667</v>
      </c>
      <c r="L25" s="80" t="n">
        <f aca="false">L24*(1+'Assumption Setting'!$I$88+'Assumption Setting'!$J$88)</f>
        <v>166.666666666667</v>
      </c>
      <c r="M25" s="80" t="n">
        <f aca="false">M24*(1+'Assumption Setting'!$I$88+'Assumption Setting'!$J$88)</f>
        <v>166.666666666667</v>
      </c>
      <c r="N25" s="80" t="n">
        <f aca="false">N24*(1+'Assumption Setting'!$I$88+'Assumption Setting'!$J$88)</f>
        <v>166.666666666667</v>
      </c>
      <c r="O25" s="79" t="n">
        <f aca="false">SUM(P25:AA25)</f>
        <v>8333.33333333333</v>
      </c>
      <c r="P25" s="80" t="n">
        <f aca="false">P24*(1+'Assumption Setting'!$I$88+'Assumption Setting'!$J$88)</f>
        <v>694.444444444445</v>
      </c>
      <c r="Q25" s="80" t="n">
        <f aca="false">Q24*(1+'Assumption Setting'!$I$88+'Assumption Setting'!$J$88)</f>
        <v>694.444444444445</v>
      </c>
      <c r="R25" s="80" t="n">
        <f aca="false">R24*(1+'Assumption Setting'!$I$88+'Assumption Setting'!$J$88)</f>
        <v>694.444444444445</v>
      </c>
      <c r="S25" s="80" t="n">
        <f aca="false">S24*(1+'Assumption Setting'!$I$88+'Assumption Setting'!$J$88)</f>
        <v>694.444444444445</v>
      </c>
      <c r="T25" s="80" t="n">
        <f aca="false">T24*(1+'Assumption Setting'!$I$88+'Assumption Setting'!$J$88)</f>
        <v>694.444444444445</v>
      </c>
      <c r="U25" s="80" t="n">
        <f aca="false">U24*(1+'Assumption Setting'!$I$88+'Assumption Setting'!$J$88)</f>
        <v>694.444444444445</v>
      </c>
      <c r="V25" s="80" t="n">
        <f aca="false">V24*(1+'Assumption Setting'!$I$88+'Assumption Setting'!$J$88)</f>
        <v>694.444444444445</v>
      </c>
      <c r="W25" s="80" t="n">
        <f aca="false">W24*(1+'Assumption Setting'!$I$88+'Assumption Setting'!$J$88)</f>
        <v>694.444444444445</v>
      </c>
      <c r="X25" s="80" t="n">
        <f aca="false">X24*(1+'Assumption Setting'!$I$88+'Assumption Setting'!$J$88)</f>
        <v>694.444444444445</v>
      </c>
      <c r="Y25" s="80" t="n">
        <f aca="false">Y24*(1+'Assumption Setting'!$I$88+'Assumption Setting'!$J$88)</f>
        <v>694.444444444445</v>
      </c>
      <c r="Z25" s="80" t="n">
        <f aca="false">Z24*(1+'Assumption Setting'!$I$88+'Assumption Setting'!$J$88)</f>
        <v>694.444444444445</v>
      </c>
      <c r="AA25" s="80" t="n">
        <f aca="false">AA24*(1+'Assumption Setting'!$I$88+'Assumption Setting'!$J$88)</f>
        <v>694.444444444445</v>
      </c>
      <c r="AB25" s="79" t="n">
        <f aca="false">SUM(AC25:AN25)</f>
        <v>20000</v>
      </c>
      <c r="AC25" s="80" t="n">
        <f aca="false">AC24*(1+'Assumption Setting'!$I$88+'Assumption Setting'!$J$88)</f>
        <v>1666.66666666667</v>
      </c>
      <c r="AD25" s="80" t="n">
        <f aca="false">AD24*(1+'Assumption Setting'!$I$88+'Assumption Setting'!$J$88)</f>
        <v>1666.66666666667</v>
      </c>
      <c r="AE25" s="80" t="n">
        <f aca="false">AE24*(1+'Assumption Setting'!$I$88+'Assumption Setting'!$J$88)</f>
        <v>1666.66666666667</v>
      </c>
      <c r="AF25" s="80" t="n">
        <f aca="false">AF24*(1+'Assumption Setting'!$I$88+'Assumption Setting'!$J$88)</f>
        <v>1666.66666666667</v>
      </c>
      <c r="AG25" s="80" t="n">
        <f aca="false">AG24*(1+'Assumption Setting'!$I$88+'Assumption Setting'!$J$88)</f>
        <v>1666.66666666667</v>
      </c>
      <c r="AH25" s="80" t="n">
        <f aca="false">AH24*(1+'Assumption Setting'!$I$88+'Assumption Setting'!$J$88)</f>
        <v>1666.66666666667</v>
      </c>
      <c r="AI25" s="80" t="n">
        <f aca="false">AI24*(1+'Assumption Setting'!$I$88+'Assumption Setting'!$J$88)</f>
        <v>1666.66666666667</v>
      </c>
      <c r="AJ25" s="80" t="n">
        <f aca="false">AJ24*(1+'Assumption Setting'!$I$88+'Assumption Setting'!$J$88)</f>
        <v>1666.66666666667</v>
      </c>
      <c r="AK25" s="80" t="n">
        <f aca="false">AK24*(1+'Assumption Setting'!$I$88+'Assumption Setting'!$J$88)</f>
        <v>1666.66666666667</v>
      </c>
      <c r="AL25" s="80" t="n">
        <f aca="false">AL24*(1+'Assumption Setting'!$I$88+'Assumption Setting'!$J$88)</f>
        <v>1666.66666666667</v>
      </c>
      <c r="AM25" s="80" t="n">
        <f aca="false">AM24*(1+'Assumption Setting'!$I$88+'Assumption Setting'!$J$88)</f>
        <v>1666.66666666667</v>
      </c>
      <c r="AN25" s="80" t="n">
        <f aca="false">AN24*(1+'Assumption Setting'!$I$88+'Assumption Setting'!$J$88)</f>
        <v>1666.66666666667</v>
      </c>
      <c r="AO25" s="79" t="n">
        <f aca="false">SUM(AP25:BA25)</f>
        <v>33333.3333333333</v>
      </c>
      <c r="AP25" s="80" t="n">
        <f aca="false">AP24*(1+'Assumption Setting'!$I$88+'Assumption Setting'!$J$88)</f>
        <v>2777.77777777778</v>
      </c>
      <c r="AQ25" s="80" t="n">
        <f aca="false">AQ24*(1+'Assumption Setting'!$I$88+'Assumption Setting'!$J$88)</f>
        <v>2777.77777777778</v>
      </c>
      <c r="AR25" s="80" t="n">
        <f aca="false">AR24*(1+'Assumption Setting'!$I$88+'Assumption Setting'!$J$88)</f>
        <v>2777.77777777778</v>
      </c>
      <c r="AS25" s="80" t="n">
        <f aca="false">AS24*(1+'Assumption Setting'!$I$88+'Assumption Setting'!$J$88)</f>
        <v>2777.77777777778</v>
      </c>
      <c r="AT25" s="80" t="n">
        <f aca="false">AT24*(1+'Assumption Setting'!$I$88+'Assumption Setting'!$J$88)</f>
        <v>2777.77777777778</v>
      </c>
      <c r="AU25" s="80" t="n">
        <f aca="false">AU24*(1+'Assumption Setting'!$I$88+'Assumption Setting'!$J$88)</f>
        <v>2777.77777777778</v>
      </c>
      <c r="AV25" s="80" t="n">
        <f aca="false">AV24*(1+'Assumption Setting'!$I$88+'Assumption Setting'!$J$88)</f>
        <v>2777.77777777778</v>
      </c>
      <c r="AW25" s="80" t="n">
        <f aca="false">AW24*(1+'Assumption Setting'!$I$88+'Assumption Setting'!$J$88)</f>
        <v>2777.77777777778</v>
      </c>
      <c r="AX25" s="80" t="n">
        <f aca="false">AX24*(1+'Assumption Setting'!$I$88+'Assumption Setting'!$J$88)</f>
        <v>2777.77777777778</v>
      </c>
      <c r="AY25" s="80" t="n">
        <f aca="false">AY24*(1+'Assumption Setting'!$I$88+'Assumption Setting'!$J$88)</f>
        <v>2777.77777777778</v>
      </c>
      <c r="AZ25" s="80" t="n">
        <f aca="false">AZ24*(1+'Assumption Setting'!$I$88+'Assumption Setting'!$J$88)</f>
        <v>2777.77777777778</v>
      </c>
      <c r="BA25" s="80" t="n">
        <f aca="false">BA24*(1+'Assumption Setting'!$I$88+'Assumption Setting'!$J$88)</f>
        <v>2777.77777777778</v>
      </c>
      <c r="BB25" s="79" t="n">
        <f aca="false">SUM(BC25:BN25)</f>
        <v>46666.6666666667</v>
      </c>
      <c r="BC25" s="80" t="n">
        <f aca="false">BC24*(1+'Assumption Setting'!$I$88+'Assumption Setting'!$J$88)</f>
        <v>3888.88888888889</v>
      </c>
      <c r="BD25" s="80" t="n">
        <f aca="false">BD24*(1+'Assumption Setting'!$I$88+'Assumption Setting'!$J$88)</f>
        <v>3888.88888888889</v>
      </c>
      <c r="BE25" s="80" t="n">
        <f aca="false">BE24*(1+'Assumption Setting'!$I$88+'Assumption Setting'!$J$88)</f>
        <v>3888.88888888889</v>
      </c>
      <c r="BF25" s="80" t="n">
        <f aca="false">BF24*(1+'Assumption Setting'!$I$88+'Assumption Setting'!$J$88)</f>
        <v>3888.88888888889</v>
      </c>
      <c r="BG25" s="80" t="n">
        <f aca="false">BG24*(1+'Assumption Setting'!$I$88+'Assumption Setting'!$J$88)</f>
        <v>3888.88888888889</v>
      </c>
      <c r="BH25" s="80" t="n">
        <f aca="false">BH24*(1+'Assumption Setting'!$I$88+'Assumption Setting'!$J$88)</f>
        <v>3888.88888888889</v>
      </c>
      <c r="BI25" s="80" t="n">
        <f aca="false">BI24*(1+'Assumption Setting'!$I$88+'Assumption Setting'!$J$88)</f>
        <v>3888.88888888889</v>
      </c>
      <c r="BJ25" s="80" t="n">
        <f aca="false">BJ24*(1+'Assumption Setting'!$I$88+'Assumption Setting'!$J$88)</f>
        <v>3888.88888888889</v>
      </c>
      <c r="BK25" s="80" t="n">
        <f aca="false">BK24*(1+'Assumption Setting'!$I$88+'Assumption Setting'!$J$88)</f>
        <v>3888.88888888889</v>
      </c>
      <c r="BL25" s="80" t="n">
        <f aca="false">BL24*(1+'Assumption Setting'!$I$88+'Assumption Setting'!$J$88)</f>
        <v>3888.88888888889</v>
      </c>
      <c r="BM25" s="80" t="n">
        <f aca="false">BM24*(1+'Assumption Setting'!$I$88+'Assumption Setting'!$J$88)</f>
        <v>3888.88888888889</v>
      </c>
      <c r="BN25" s="80" t="n">
        <f aca="false">BN24*(1+'Assumption Setting'!$I$88+'Assumption Setting'!$J$88)</f>
        <v>3888.88888888889</v>
      </c>
    </row>
    <row r="26" customFormat="false" ht="15" hidden="false" customHeight="false" outlineLevel="0" collapsed="false">
      <c r="A26" s="12" t="s">
        <v>622</v>
      </c>
      <c r="B26" s="81" t="n">
        <f aca="false">SUM(C26:N26)</f>
        <v>440</v>
      </c>
      <c r="C26" s="82" t="n">
        <f aca="false">C25*'Assumption Setting'!$K$88</f>
        <v>36.6666666666667</v>
      </c>
      <c r="D26" s="82" t="n">
        <f aca="false">D25*'Assumption Setting'!$K$88</f>
        <v>36.6666666666667</v>
      </c>
      <c r="E26" s="82" t="n">
        <f aca="false">E25*'Assumption Setting'!$K$88</f>
        <v>36.6666666666667</v>
      </c>
      <c r="F26" s="82" t="n">
        <f aca="false">F25*'Assumption Setting'!$K$88</f>
        <v>36.6666666666667</v>
      </c>
      <c r="G26" s="82" t="n">
        <f aca="false">G25*'Assumption Setting'!$K$88</f>
        <v>36.6666666666667</v>
      </c>
      <c r="H26" s="82" t="n">
        <f aca="false">H25*'Assumption Setting'!$K$88</f>
        <v>36.6666666666667</v>
      </c>
      <c r="I26" s="82" t="n">
        <f aca="false">I25*'Assumption Setting'!$K$88</f>
        <v>36.6666666666667</v>
      </c>
      <c r="J26" s="82" t="n">
        <f aca="false">J25*'Assumption Setting'!$K$88</f>
        <v>36.6666666666667</v>
      </c>
      <c r="K26" s="82" t="n">
        <f aca="false">K25*'Assumption Setting'!$K$88</f>
        <v>36.6666666666667</v>
      </c>
      <c r="L26" s="82" t="n">
        <f aca="false">L25*'Assumption Setting'!$K$88</f>
        <v>36.6666666666667</v>
      </c>
      <c r="M26" s="82" t="n">
        <f aca="false">M25*'Assumption Setting'!$K$88</f>
        <v>36.6666666666667</v>
      </c>
      <c r="N26" s="82" t="n">
        <f aca="false">N25*'Assumption Setting'!$K$88</f>
        <v>36.6666666666667</v>
      </c>
      <c r="O26" s="81" t="n">
        <f aca="false">SUM(P26:AA26)</f>
        <v>1833.33333333333</v>
      </c>
      <c r="P26" s="82" t="n">
        <f aca="false">P25*'Assumption Setting'!$K$88</f>
        <v>152.777777777778</v>
      </c>
      <c r="Q26" s="82" t="n">
        <f aca="false">Q25*'Assumption Setting'!$K$88</f>
        <v>152.777777777778</v>
      </c>
      <c r="R26" s="82" t="n">
        <f aca="false">R25*'Assumption Setting'!$K$88</f>
        <v>152.777777777778</v>
      </c>
      <c r="S26" s="82" t="n">
        <f aca="false">S25*'Assumption Setting'!$K$88</f>
        <v>152.777777777778</v>
      </c>
      <c r="T26" s="82" t="n">
        <f aca="false">T25*'Assumption Setting'!$K$88</f>
        <v>152.777777777778</v>
      </c>
      <c r="U26" s="82" t="n">
        <f aca="false">U25*'Assumption Setting'!$K$88</f>
        <v>152.777777777778</v>
      </c>
      <c r="V26" s="82" t="n">
        <f aca="false">V25*'Assumption Setting'!$K$88</f>
        <v>152.777777777778</v>
      </c>
      <c r="W26" s="82" t="n">
        <f aca="false">W25*'Assumption Setting'!$K$88</f>
        <v>152.777777777778</v>
      </c>
      <c r="X26" s="82" t="n">
        <f aca="false">X25*'Assumption Setting'!$K$88</f>
        <v>152.777777777778</v>
      </c>
      <c r="Y26" s="82" t="n">
        <f aca="false">Y25*'Assumption Setting'!$K$88</f>
        <v>152.777777777778</v>
      </c>
      <c r="Z26" s="82" t="n">
        <f aca="false">Z25*'Assumption Setting'!$K$88</f>
        <v>152.777777777778</v>
      </c>
      <c r="AA26" s="82" t="n">
        <f aca="false">AA25*'Assumption Setting'!$K$88</f>
        <v>152.777777777778</v>
      </c>
      <c r="AB26" s="81" t="n">
        <f aca="false">SUM(AC26:AN26)</f>
        <v>4400</v>
      </c>
      <c r="AC26" s="82" t="n">
        <f aca="false">AC25*'Assumption Setting'!$K$88</f>
        <v>366.666666666667</v>
      </c>
      <c r="AD26" s="82" t="n">
        <f aca="false">AD25*'Assumption Setting'!$K$88</f>
        <v>366.666666666667</v>
      </c>
      <c r="AE26" s="82" t="n">
        <f aca="false">AE25*'Assumption Setting'!$K$88</f>
        <v>366.666666666667</v>
      </c>
      <c r="AF26" s="82" t="n">
        <f aca="false">AF25*'Assumption Setting'!$K$88</f>
        <v>366.666666666667</v>
      </c>
      <c r="AG26" s="82" t="n">
        <f aca="false">AG25*'Assumption Setting'!$K$88</f>
        <v>366.666666666667</v>
      </c>
      <c r="AH26" s="82" t="n">
        <f aca="false">AH25*'Assumption Setting'!$K$88</f>
        <v>366.666666666667</v>
      </c>
      <c r="AI26" s="82" t="n">
        <f aca="false">AI25*'Assumption Setting'!$K$88</f>
        <v>366.666666666667</v>
      </c>
      <c r="AJ26" s="82" t="n">
        <f aca="false">AJ25*'Assumption Setting'!$K$88</f>
        <v>366.666666666667</v>
      </c>
      <c r="AK26" s="82" t="n">
        <f aca="false">AK25*'Assumption Setting'!$K$88</f>
        <v>366.666666666667</v>
      </c>
      <c r="AL26" s="82" t="n">
        <f aca="false">AL25*'Assumption Setting'!$K$88</f>
        <v>366.666666666667</v>
      </c>
      <c r="AM26" s="82" t="n">
        <f aca="false">AM25*'Assumption Setting'!$K$88</f>
        <v>366.666666666667</v>
      </c>
      <c r="AN26" s="82" t="n">
        <f aca="false">AN25*'Assumption Setting'!$K$88</f>
        <v>366.666666666667</v>
      </c>
      <c r="AO26" s="81" t="n">
        <f aca="false">SUM(AP26:BA26)</f>
        <v>7333.33333333333</v>
      </c>
      <c r="AP26" s="82" t="n">
        <f aca="false">AP25*'Assumption Setting'!$K$88</f>
        <v>611.111111111111</v>
      </c>
      <c r="AQ26" s="82" t="n">
        <f aca="false">AQ25*'Assumption Setting'!$K$88</f>
        <v>611.111111111111</v>
      </c>
      <c r="AR26" s="82" t="n">
        <f aca="false">AR25*'Assumption Setting'!$K$88</f>
        <v>611.111111111111</v>
      </c>
      <c r="AS26" s="82" t="n">
        <f aca="false">AS25*'Assumption Setting'!$K$88</f>
        <v>611.111111111111</v>
      </c>
      <c r="AT26" s="82" t="n">
        <f aca="false">AT25*'Assumption Setting'!$K$88</f>
        <v>611.111111111111</v>
      </c>
      <c r="AU26" s="82" t="n">
        <f aca="false">AU25*'Assumption Setting'!$K$88</f>
        <v>611.111111111111</v>
      </c>
      <c r="AV26" s="82" t="n">
        <f aca="false">AV25*'Assumption Setting'!$K$88</f>
        <v>611.111111111111</v>
      </c>
      <c r="AW26" s="82" t="n">
        <f aca="false">AW25*'Assumption Setting'!$K$88</f>
        <v>611.111111111111</v>
      </c>
      <c r="AX26" s="82" t="n">
        <f aca="false">AX25*'Assumption Setting'!$K$88</f>
        <v>611.111111111111</v>
      </c>
      <c r="AY26" s="82" t="n">
        <f aca="false">AY25*'Assumption Setting'!$K$88</f>
        <v>611.111111111111</v>
      </c>
      <c r="AZ26" s="82" t="n">
        <f aca="false">AZ25*'Assumption Setting'!$K$88</f>
        <v>611.111111111111</v>
      </c>
      <c r="BA26" s="82" t="n">
        <f aca="false">BA25*'Assumption Setting'!$K$88</f>
        <v>611.111111111111</v>
      </c>
      <c r="BB26" s="81" t="n">
        <f aca="false">SUM(BC26:BN26)</f>
        <v>10266.6666666667</v>
      </c>
      <c r="BC26" s="82" t="n">
        <f aca="false">BC25*'Assumption Setting'!$K$88</f>
        <v>855.555555555556</v>
      </c>
      <c r="BD26" s="82" t="n">
        <f aca="false">BD25*'Assumption Setting'!$K$88</f>
        <v>855.555555555556</v>
      </c>
      <c r="BE26" s="82" t="n">
        <f aca="false">BE25*'Assumption Setting'!$K$88</f>
        <v>855.555555555556</v>
      </c>
      <c r="BF26" s="82" t="n">
        <f aca="false">BF25*'Assumption Setting'!$K$88</f>
        <v>855.555555555556</v>
      </c>
      <c r="BG26" s="82" t="n">
        <f aca="false">BG25*'Assumption Setting'!$K$88</f>
        <v>855.555555555556</v>
      </c>
      <c r="BH26" s="82" t="n">
        <f aca="false">BH25*'Assumption Setting'!$K$88</f>
        <v>855.555555555556</v>
      </c>
      <c r="BI26" s="82" t="n">
        <f aca="false">BI25*'Assumption Setting'!$K$88</f>
        <v>855.555555555556</v>
      </c>
      <c r="BJ26" s="82" t="n">
        <f aca="false">BJ25*'Assumption Setting'!$K$88</f>
        <v>855.555555555556</v>
      </c>
      <c r="BK26" s="82" t="n">
        <f aca="false">BK25*'Assumption Setting'!$K$88</f>
        <v>855.555555555556</v>
      </c>
      <c r="BL26" s="82" t="n">
        <f aca="false">BL25*'Assumption Setting'!$K$88</f>
        <v>855.555555555556</v>
      </c>
      <c r="BM26" s="82" t="n">
        <f aca="false">BM25*'Assumption Setting'!$K$88</f>
        <v>855.555555555556</v>
      </c>
      <c r="BN26" s="82" t="n">
        <f aca="false">BN25*'Assumption Setting'!$K$88</f>
        <v>855.555555555556</v>
      </c>
    </row>
    <row r="27" customFormat="false" ht="15" hidden="false" customHeight="false" outlineLevel="0" collapsed="false">
      <c r="A27" s="12" t="s">
        <v>346</v>
      </c>
      <c r="B27" s="65" t="n">
        <f aca="false">SUM(C27:N27)</f>
        <v>960</v>
      </c>
      <c r="C27" s="66" t="n">
        <f aca="false">'Assumption Setting'!$C$89</f>
        <v>80</v>
      </c>
      <c r="D27" s="66" t="n">
        <f aca="false">'Assumption Setting'!$C$89</f>
        <v>80</v>
      </c>
      <c r="E27" s="66" t="n">
        <f aca="false">'Assumption Setting'!$C$89</f>
        <v>80</v>
      </c>
      <c r="F27" s="66" t="n">
        <f aca="false">'Assumption Setting'!$C$89</f>
        <v>80</v>
      </c>
      <c r="G27" s="66" t="n">
        <f aca="false">'Assumption Setting'!$C$89</f>
        <v>80</v>
      </c>
      <c r="H27" s="66" t="n">
        <f aca="false">'Assumption Setting'!$C$89</f>
        <v>80</v>
      </c>
      <c r="I27" s="66" t="n">
        <f aca="false">'Assumption Setting'!$C$89</f>
        <v>80</v>
      </c>
      <c r="J27" s="66" t="n">
        <f aca="false">'Assumption Setting'!$C$89</f>
        <v>80</v>
      </c>
      <c r="K27" s="66" t="n">
        <f aca="false">'Assumption Setting'!$C$89</f>
        <v>80</v>
      </c>
      <c r="L27" s="66" t="n">
        <f aca="false">'Assumption Setting'!$C$89</f>
        <v>80</v>
      </c>
      <c r="M27" s="66" t="n">
        <f aca="false">'Assumption Setting'!$C$89</f>
        <v>80</v>
      </c>
      <c r="N27" s="66" t="n">
        <f aca="false">'Assumption Setting'!$C$89</f>
        <v>80</v>
      </c>
      <c r="O27" s="65" t="n">
        <f aca="false">SUM(P27:AA27)</f>
        <v>5400</v>
      </c>
      <c r="P27" s="66" t="n">
        <f aca="false">'Assumption Setting'!$D$89</f>
        <v>450</v>
      </c>
      <c r="Q27" s="66" t="n">
        <f aca="false">'Assumption Setting'!$D$89</f>
        <v>450</v>
      </c>
      <c r="R27" s="66" t="n">
        <f aca="false">'Assumption Setting'!$D$89</f>
        <v>450</v>
      </c>
      <c r="S27" s="66" t="n">
        <f aca="false">'Assumption Setting'!$D$89</f>
        <v>450</v>
      </c>
      <c r="T27" s="66" t="n">
        <f aca="false">'Assumption Setting'!$D$89</f>
        <v>450</v>
      </c>
      <c r="U27" s="66" t="n">
        <f aca="false">'Assumption Setting'!$D$89</f>
        <v>450</v>
      </c>
      <c r="V27" s="66" t="n">
        <f aca="false">'Assumption Setting'!$D$89</f>
        <v>450</v>
      </c>
      <c r="W27" s="66" t="n">
        <f aca="false">'Assumption Setting'!$D$89</f>
        <v>450</v>
      </c>
      <c r="X27" s="66" t="n">
        <f aca="false">'Assumption Setting'!$D$89</f>
        <v>450</v>
      </c>
      <c r="Y27" s="66" t="n">
        <f aca="false">'Assumption Setting'!$D$89</f>
        <v>450</v>
      </c>
      <c r="Z27" s="66" t="n">
        <f aca="false">'Assumption Setting'!$D$89</f>
        <v>450</v>
      </c>
      <c r="AA27" s="66" t="n">
        <f aca="false">'Assumption Setting'!$D$89</f>
        <v>450</v>
      </c>
      <c r="AB27" s="65" t="n">
        <f aca="false">SUM(AC27:AN27)</f>
        <v>13200</v>
      </c>
      <c r="AC27" s="66" t="n">
        <f aca="false">'Assumption Setting'!$E$89</f>
        <v>1100</v>
      </c>
      <c r="AD27" s="66" t="n">
        <f aca="false">'Assumption Setting'!$E$89</f>
        <v>1100</v>
      </c>
      <c r="AE27" s="66" t="n">
        <f aca="false">'Assumption Setting'!$E$89</f>
        <v>1100</v>
      </c>
      <c r="AF27" s="66" t="n">
        <f aca="false">'Assumption Setting'!$E$89</f>
        <v>1100</v>
      </c>
      <c r="AG27" s="66" t="n">
        <f aca="false">'Assumption Setting'!$E$89</f>
        <v>1100</v>
      </c>
      <c r="AH27" s="66" t="n">
        <f aca="false">'Assumption Setting'!$E$89</f>
        <v>1100</v>
      </c>
      <c r="AI27" s="66" t="n">
        <f aca="false">'Assumption Setting'!$E$89</f>
        <v>1100</v>
      </c>
      <c r="AJ27" s="66" t="n">
        <f aca="false">'Assumption Setting'!$E$89</f>
        <v>1100</v>
      </c>
      <c r="AK27" s="66" t="n">
        <f aca="false">'Assumption Setting'!$E$89</f>
        <v>1100</v>
      </c>
      <c r="AL27" s="66" t="n">
        <f aca="false">'Assumption Setting'!$E$89</f>
        <v>1100</v>
      </c>
      <c r="AM27" s="66" t="n">
        <f aca="false">'Assumption Setting'!$E$89</f>
        <v>1100</v>
      </c>
      <c r="AN27" s="66" t="n">
        <f aca="false">'Assumption Setting'!$E$89</f>
        <v>1100</v>
      </c>
      <c r="AO27" s="65" t="n">
        <f aca="false">SUM(AP27:BA27)</f>
        <v>21600</v>
      </c>
      <c r="AP27" s="66" t="n">
        <f aca="false">'Assumption Setting'!$F$89</f>
        <v>1800</v>
      </c>
      <c r="AQ27" s="66" t="n">
        <f aca="false">'Assumption Setting'!$F$89</f>
        <v>1800</v>
      </c>
      <c r="AR27" s="66" t="n">
        <f aca="false">'Assumption Setting'!$F$89</f>
        <v>1800</v>
      </c>
      <c r="AS27" s="66" t="n">
        <f aca="false">'Assumption Setting'!$F$89</f>
        <v>1800</v>
      </c>
      <c r="AT27" s="66" t="n">
        <f aca="false">'Assumption Setting'!$F$89</f>
        <v>1800</v>
      </c>
      <c r="AU27" s="66" t="n">
        <f aca="false">'Assumption Setting'!$F$89</f>
        <v>1800</v>
      </c>
      <c r="AV27" s="66" t="n">
        <f aca="false">'Assumption Setting'!$F$89</f>
        <v>1800</v>
      </c>
      <c r="AW27" s="66" t="n">
        <f aca="false">'Assumption Setting'!$F$89</f>
        <v>1800</v>
      </c>
      <c r="AX27" s="66" t="n">
        <f aca="false">'Assumption Setting'!$F$89</f>
        <v>1800</v>
      </c>
      <c r="AY27" s="66" t="n">
        <f aca="false">'Assumption Setting'!$F$89</f>
        <v>1800</v>
      </c>
      <c r="AZ27" s="66" t="n">
        <f aca="false">'Assumption Setting'!$F$89</f>
        <v>1800</v>
      </c>
      <c r="BA27" s="66" t="n">
        <f aca="false">'Assumption Setting'!$F$89</f>
        <v>1800</v>
      </c>
      <c r="BB27" s="65" t="n">
        <f aca="false">SUM(BC27:BN27)</f>
        <v>31200</v>
      </c>
      <c r="BC27" s="66" t="n">
        <f aca="false">'Assumption Setting'!$G$89</f>
        <v>2600</v>
      </c>
      <c r="BD27" s="66" t="n">
        <f aca="false">'Assumption Setting'!$G$89</f>
        <v>2600</v>
      </c>
      <c r="BE27" s="66" t="n">
        <f aca="false">'Assumption Setting'!$G$89</f>
        <v>2600</v>
      </c>
      <c r="BF27" s="66" t="n">
        <f aca="false">'Assumption Setting'!$G$89</f>
        <v>2600</v>
      </c>
      <c r="BG27" s="66" t="n">
        <f aca="false">'Assumption Setting'!$G$89</f>
        <v>2600</v>
      </c>
      <c r="BH27" s="66" t="n">
        <f aca="false">'Assumption Setting'!$G$89</f>
        <v>2600</v>
      </c>
      <c r="BI27" s="66" t="n">
        <f aca="false">'Assumption Setting'!$G$89</f>
        <v>2600</v>
      </c>
      <c r="BJ27" s="66" t="n">
        <f aca="false">'Assumption Setting'!$G$89</f>
        <v>2600</v>
      </c>
      <c r="BK27" s="66" t="n">
        <f aca="false">'Assumption Setting'!$G$89</f>
        <v>2600</v>
      </c>
      <c r="BL27" s="66" t="n">
        <f aca="false">'Assumption Setting'!$G$89</f>
        <v>2600</v>
      </c>
      <c r="BM27" s="66" t="n">
        <f aca="false">'Assumption Setting'!$G$89</f>
        <v>2600</v>
      </c>
      <c r="BN27" s="66" t="n">
        <f aca="false">'Assumption Setting'!$G$89</f>
        <v>2600</v>
      </c>
    </row>
    <row r="28" customFormat="false" ht="15" hidden="false" customHeight="false" outlineLevel="0" collapsed="false">
      <c r="A28" s="12" t="s">
        <v>620</v>
      </c>
      <c r="B28" s="79" t="n">
        <f aca="false">SUM(C28:N28)</f>
        <v>32000</v>
      </c>
      <c r="C28" s="80" t="n">
        <f aca="false">IFERROR(C27/'Assumption Setting'!$H$89,0)</f>
        <v>2666.66666666667</v>
      </c>
      <c r="D28" s="80" t="n">
        <f aca="false">IFERROR(D27/'Assumption Setting'!$H$89,0)</f>
        <v>2666.66666666667</v>
      </c>
      <c r="E28" s="80" t="n">
        <f aca="false">IFERROR(E27/'Assumption Setting'!$H$89,0)</f>
        <v>2666.66666666667</v>
      </c>
      <c r="F28" s="80" t="n">
        <f aca="false">IFERROR(F27/'Assumption Setting'!$H$89,0)</f>
        <v>2666.66666666667</v>
      </c>
      <c r="G28" s="80" t="n">
        <f aca="false">IFERROR(G27/'Assumption Setting'!$H$89,0)</f>
        <v>2666.66666666667</v>
      </c>
      <c r="H28" s="80" t="n">
        <f aca="false">IFERROR(H27/'Assumption Setting'!$H$89,0)</f>
        <v>2666.66666666667</v>
      </c>
      <c r="I28" s="80" t="n">
        <f aca="false">IFERROR(I27/'Assumption Setting'!$H$89,0)</f>
        <v>2666.66666666667</v>
      </c>
      <c r="J28" s="80" t="n">
        <f aca="false">IFERROR(J27/'Assumption Setting'!$H$89,0)</f>
        <v>2666.66666666667</v>
      </c>
      <c r="K28" s="80" t="n">
        <f aca="false">IFERROR(K27/'Assumption Setting'!$H$89,0)</f>
        <v>2666.66666666667</v>
      </c>
      <c r="L28" s="80" t="n">
        <f aca="false">IFERROR(L27/'Assumption Setting'!$H$89,0)</f>
        <v>2666.66666666667</v>
      </c>
      <c r="M28" s="80" t="n">
        <f aca="false">IFERROR(M27/'Assumption Setting'!$H$89,0)</f>
        <v>2666.66666666667</v>
      </c>
      <c r="N28" s="80" t="n">
        <f aca="false">IFERROR(N27/'Assumption Setting'!$H$89,0)</f>
        <v>2666.66666666667</v>
      </c>
      <c r="O28" s="79" t="n">
        <f aca="false">SUM(P28:AA28)</f>
        <v>180000</v>
      </c>
      <c r="P28" s="80" t="n">
        <f aca="false">IFERROR(P27/'Assumption Setting'!$H$89,0)</f>
        <v>15000</v>
      </c>
      <c r="Q28" s="80" t="n">
        <f aca="false">IFERROR(Q27/'Assumption Setting'!$H$89,0)</f>
        <v>15000</v>
      </c>
      <c r="R28" s="80" t="n">
        <f aca="false">IFERROR(R27/'Assumption Setting'!$H$89,0)</f>
        <v>15000</v>
      </c>
      <c r="S28" s="80" t="n">
        <f aca="false">IFERROR(S27/'Assumption Setting'!$H$89,0)</f>
        <v>15000</v>
      </c>
      <c r="T28" s="80" t="n">
        <f aca="false">IFERROR(T27/'Assumption Setting'!$H$89,0)</f>
        <v>15000</v>
      </c>
      <c r="U28" s="80" t="n">
        <f aca="false">IFERROR(U27/'Assumption Setting'!$H$89,0)</f>
        <v>15000</v>
      </c>
      <c r="V28" s="80" t="n">
        <f aca="false">IFERROR(V27/'Assumption Setting'!$H$89,0)</f>
        <v>15000</v>
      </c>
      <c r="W28" s="80" t="n">
        <f aca="false">IFERROR(W27/'Assumption Setting'!$H$89,0)</f>
        <v>15000</v>
      </c>
      <c r="X28" s="80" t="n">
        <f aca="false">IFERROR(X27/'Assumption Setting'!$H$89,0)</f>
        <v>15000</v>
      </c>
      <c r="Y28" s="80" t="n">
        <f aca="false">IFERROR(Y27/'Assumption Setting'!$H$89,0)</f>
        <v>15000</v>
      </c>
      <c r="Z28" s="80" t="n">
        <f aca="false">IFERROR(Z27/'Assumption Setting'!$H$89,0)</f>
        <v>15000</v>
      </c>
      <c r="AA28" s="80" t="n">
        <f aca="false">IFERROR(AA27/'Assumption Setting'!$H$89,0)</f>
        <v>15000</v>
      </c>
      <c r="AB28" s="79" t="n">
        <f aca="false">SUM(AC28:AN28)</f>
        <v>440000</v>
      </c>
      <c r="AC28" s="80" t="n">
        <f aca="false">IFERROR(AC27/'Assumption Setting'!$H$89,0)</f>
        <v>36666.6666666667</v>
      </c>
      <c r="AD28" s="80" t="n">
        <f aca="false">IFERROR(AD27/'Assumption Setting'!$H$89,0)</f>
        <v>36666.6666666667</v>
      </c>
      <c r="AE28" s="80" t="n">
        <f aca="false">IFERROR(AE27/'Assumption Setting'!$H$89,0)</f>
        <v>36666.6666666667</v>
      </c>
      <c r="AF28" s="80" t="n">
        <f aca="false">IFERROR(AF27/'Assumption Setting'!$H$89,0)</f>
        <v>36666.6666666667</v>
      </c>
      <c r="AG28" s="80" t="n">
        <f aca="false">IFERROR(AG27/'Assumption Setting'!$H$89,0)</f>
        <v>36666.6666666667</v>
      </c>
      <c r="AH28" s="80" t="n">
        <f aca="false">IFERROR(AH27/'Assumption Setting'!$H$89,0)</f>
        <v>36666.6666666667</v>
      </c>
      <c r="AI28" s="80" t="n">
        <f aca="false">IFERROR(AI27/'Assumption Setting'!$H$89,0)</f>
        <v>36666.6666666667</v>
      </c>
      <c r="AJ28" s="80" t="n">
        <f aca="false">IFERROR(AJ27/'Assumption Setting'!$H$89,0)</f>
        <v>36666.6666666667</v>
      </c>
      <c r="AK28" s="80" t="n">
        <f aca="false">IFERROR(AK27/'Assumption Setting'!$H$89,0)</f>
        <v>36666.6666666667</v>
      </c>
      <c r="AL28" s="80" t="n">
        <f aca="false">IFERROR(AL27/'Assumption Setting'!$H$89,0)</f>
        <v>36666.6666666667</v>
      </c>
      <c r="AM28" s="80" t="n">
        <f aca="false">IFERROR(AM27/'Assumption Setting'!$H$89,0)</f>
        <v>36666.6666666667</v>
      </c>
      <c r="AN28" s="80" t="n">
        <f aca="false">IFERROR(AN27/'Assumption Setting'!$H$89,0)</f>
        <v>36666.6666666667</v>
      </c>
      <c r="AO28" s="79" t="n">
        <f aca="false">SUM(AP28:BA28)</f>
        <v>720000</v>
      </c>
      <c r="AP28" s="80" t="n">
        <f aca="false">IFERROR(AP27/'Assumption Setting'!$H$89,0)</f>
        <v>60000</v>
      </c>
      <c r="AQ28" s="80" t="n">
        <f aca="false">IFERROR(AQ27/'Assumption Setting'!$H$89,0)</f>
        <v>60000</v>
      </c>
      <c r="AR28" s="80" t="n">
        <f aca="false">IFERROR(AR27/'Assumption Setting'!$H$89,0)</f>
        <v>60000</v>
      </c>
      <c r="AS28" s="80" t="n">
        <f aca="false">IFERROR(AS27/'Assumption Setting'!$H$89,0)</f>
        <v>60000</v>
      </c>
      <c r="AT28" s="80" t="n">
        <f aca="false">IFERROR(AT27/'Assumption Setting'!$H$89,0)</f>
        <v>60000</v>
      </c>
      <c r="AU28" s="80" t="n">
        <f aca="false">IFERROR(AU27/'Assumption Setting'!$H$89,0)</f>
        <v>60000</v>
      </c>
      <c r="AV28" s="80" t="n">
        <f aca="false">IFERROR(AV27/'Assumption Setting'!$H$89,0)</f>
        <v>60000</v>
      </c>
      <c r="AW28" s="80" t="n">
        <f aca="false">IFERROR(AW27/'Assumption Setting'!$H$89,0)</f>
        <v>60000</v>
      </c>
      <c r="AX28" s="80" t="n">
        <f aca="false">IFERROR(AX27/'Assumption Setting'!$H$89,0)</f>
        <v>60000</v>
      </c>
      <c r="AY28" s="80" t="n">
        <f aca="false">IFERROR(AY27/'Assumption Setting'!$H$89,0)</f>
        <v>60000</v>
      </c>
      <c r="AZ28" s="80" t="n">
        <f aca="false">IFERROR(AZ27/'Assumption Setting'!$H$89,0)</f>
        <v>60000</v>
      </c>
      <c r="BA28" s="80" t="n">
        <f aca="false">IFERROR(BA27/'Assumption Setting'!$H$89,0)</f>
        <v>60000</v>
      </c>
      <c r="BB28" s="79" t="n">
        <f aca="false">SUM(BC28:BN28)</f>
        <v>1040000</v>
      </c>
      <c r="BC28" s="80" t="n">
        <f aca="false">IFERROR(BC27/'Assumption Setting'!$H$89,0)</f>
        <v>86666.6666666667</v>
      </c>
      <c r="BD28" s="80" t="n">
        <f aca="false">IFERROR(BD27/'Assumption Setting'!$H$89,0)</f>
        <v>86666.6666666667</v>
      </c>
      <c r="BE28" s="80" t="n">
        <f aca="false">IFERROR(BE27/'Assumption Setting'!$H$89,0)</f>
        <v>86666.6666666667</v>
      </c>
      <c r="BF28" s="80" t="n">
        <f aca="false">IFERROR(BF27/'Assumption Setting'!$H$89,0)</f>
        <v>86666.6666666667</v>
      </c>
      <c r="BG28" s="80" t="n">
        <f aca="false">IFERROR(BG27/'Assumption Setting'!$H$89,0)</f>
        <v>86666.6666666667</v>
      </c>
      <c r="BH28" s="80" t="n">
        <f aca="false">IFERROR(BH27/'Assumption Setting'!$H$89,0)</f>
        <v>86666.6666666667</v>
      </c>
      <c r="BI28" s="80" t="n">
        <f aca="false">IFERROR(BI27/'Assumption Setting'!$H$89,0)</f>
        <v>86666.6666666667</v>
      </c>
      <c r="BJ28" s="80" t="n">
        <f aca="false">IFERROR(BJ27/'Assumption Setting'!$H$89,0)</f>
        <v>86666.6666666667</v>
      </c>
      <c r="BK28" s="80" t="n">
        <f aca="false">IFERROR(BK27/'Assumption Setting'!$H$89,0)</f>
        <v>86666.6666666667</v>
      </c>
      <c r="BL28" s="80" t="n">
        <f aca="false">IFERROR(BL27/'Assumption Setting'!$H$89,0)</f>
        <v>86666.6666666667</v>
      </c>
      <c r="BM28" s="80" t="n">
        <f aca="false">IFERROR(BM27/'Assumption Setting'!$H$89,0)</f>
        <v>86666.6666666667</v>
      </c>
      <c r="BN28" s="80" t="n">
        <f aca="false">IFERROR(BN27/'Assumption Setting'!$H$89,0)</f>
        <v>86666.6666666667</v>
      </c>
    </row>
    <row r="29" customFormat="false" ht="15" hidden="false" customHeight="false" outlineLevel="0" collapsed="false">
      <c r="A29" s="12" t="s">
        <v>621</v>
      </c>
      <c r="B29" s="79" t="n">
        <f aca="false">SUM(C29:N29)</f>
        <v>46720</v>
      </c>
      <c r="C29" s="80" t="n">
        <f aca="false">C28*(1+'Assumption Setting'!$I$89+'Assumption Setting'!$J$89)</f>
        <v>3893.33333333333</v>
      </c>
      <c r="D29" s="80" t="n">
        <f aca="false">D28*(1+'Assumption Setting'!$I$89+'Assumption Setting'!$J$89)</f>
        <v>3893.33333333333</v>
      </c>
      <c r="E29" s="80" t="n">
        <f aca="false">E28*(1+'Assumption Setting'!$I$89+'Assumption Setting'!$J$89)</f>
        <v>3893.33333333333</v>
      </c>
      <c r="F29" s="80" t="n">
        <f aca="false">F28*(1+'Assumption Setting'!$I$89+'Assumption Setting'!$J$89)</f>
        <v>3893.33333333333</v>
      </c>
      <c r="G29" s="80" t="n">
        <f aca="false">G28*(1+'Assumption Setting'!$I$89+'Assumption Setting'!$J$89)</f>
        <v>3893.33333333333</v>
      </c>
      <c r="H29" s="80" t="n">
        <f aca="false">H28*(1+'Assumption Setting'!$I$89+'Assumption Setting'!$J$89)</f>
        <v>3893.33333333333</v>
      </c>
      <c r="I29" s="80" t="n">
        <f aca="false">I28*(1+'Assumption Setting'!$I$89+'Assumption Setting'!$J$89)</f>
        <v>3893.33333333333</v>
      </c>
      <c r="J29" s="80" t="n">
        <f aca="false">J28*(1+'Assumption Setting'!$I$89+'Assumption Setting'!$J$89)</f>
        <v>3893.33333333333</v>
      </c>
      <c r="K29" s="80" t="n">
        <f aca="false">K28*(1+'Assumption Setting'!$I$89+'Assumption Setting'!$J$89)</f>
        <v>3893.33333333333</v>
      </c>
      <c r="L29" s="80" t="n">
        <f aca="false">L28*(1+'Assumption Setting'!$I$89+'Assumption Setting'!$J$89)</f>
        <v>3893.33333333333</v>
      </c>
      <c r="M29" s="80" t="n">
        <f aca="false">M28*(1+'Assumption Setting'!$I$89+'Assumption Setting'!$J$89)</f>
        <v>3893.33333333333</v>
      </c>
      <c r="N29" s="80" t="n">
        <f aca="false">N28*(1+'Assumption Setting'!$I$89+'Assumption Setting'!$J$89)</f>
        <v>3893.33333333333</v>
      </c>
      <c r="O29" s="79" t="n">
        <f aca="false">SUM(P29:AA29)</f>
        <v>262800</v>
      </c>
      <c r="P29" s="80" t="n">
        <f aca="false">P28*(1+'Assumption Setting'!$I$89+'Assumption Setting'!$J$89)</f>
        <v>21900</v>
      </c>
      <c r="Q29" s="80" t="n">
        <f aca="false">Q28*(1+'Assumption Setting'!$I$89+'Assumption Setting'!$J$89)</f>
        <v>21900</v>
      </c>
      <c r="R29" s="80" t="n">
        <f aca="false">R28*(1+'Assumption Setting'!$I$89+'Assumption Setting'!$J$89)</f>
        <v>21900</v>
      </c>
      <c r="S29" s="80" t="n">
        <f aca="false">S28*(1+'Assumption Setting'!$I$89+'Assumption Setting'!$J$89)</f>
        <v>21900</v>
      </c>
      <c r="T29" s="80" t="n">
        <f aca="false">T28*(1+'Assumption Setting'!$I$89+'Assumption Setting'!$J$89)</f>
        <v>21900</v>
      </c>
      <c r="U29" s="80" t="n">
        <f aca="false">U28*(1+'Assumption Setting'!$I$89+'Assumption Setting'!$J$89)</f>
        <v>21900</v>
      </c>
      <c r="V29" s="80" t="n">
        <f aca="false">V28*(1+'Assumption Setting'!$I$89+'Assumption Setting'!$J$89)</f>
        <v>21900</v>
      </c>
      <c r="W29" s="80" t="n">
        <f aca="false">W28*(1+'Assumption Setting'!$I$89+'Assumption Setting'!$J$89)</f>
        <v>21900</v>
      </c>
      <c r="X29" s="80" t="n">
        <f aca="false">X28*(1+'Assumption Setting'!$I$89+'Assumption Setting'!$J$89)</f>
        <v>21900</v>
      </c>
      <c r="Y29" s="80" t="n">
        <f aca="false">Y28*(1+'Assumption Setting'!$I$89+'Assumption Setting'!$J$89)</f>
        <v>21900</v>
      </c>
      <c r="Z29" s="80" t="n">
        <f aca="false">Z28*(1+'Assumption Setting'!$I$89+'Assumption Setting'!$J$89)</f>
        <v>21900</v>
      </c>
      <c r="AA29" s="80" t="n">
        <f aca="false">AA28*(1+'Assumption Setting'!$I$89+'Assumption Setting'!$J$89)</f>
        <v>21900</v>
      </c>
      <c r="AB29" s="79" t="n">
        <f aca="false">SUM(AC29:AN29)</f>
        <v>642400</v>
      </c>
      <c r="AC29" s="80" t="n">
        <f aca="false">AC28*(1+'Assumption Setting'!$I$89+'Assumption Setting'!$J$89)</f>
        <v>53533.3333333333</v>
      </c>
      <c r="AD29" s="80" t="n">
        <f aca="false">AD28*(1+'Assumption Setting'!$I$89+'Assumption Setting'!$J$89)</f>
        <v>53533.3333333333</v>
      </c>
      <c r="AE29" s="80" t="n">
        <f aca="false">AE28*(1+'Assumption Setting'!$I$89+'Assumption Setting'!$J$89)</f>
        <v>53533.3333333333</v>
      </c>
      <c r="AF29" s="80" t="n">
        <f aca="false">AF28*(1+'Assumption Setting'!$I$89+'Assumption Setting'!$J$89)</f>
        <v>53533.3333333333</v>
      </c>
      <c r="AG29" s="80" t="n">
        <f aca="false">AG28*(1+'Assumption Setting'!$I$89+'Assumption Setting'!$J$89)</f>
        <v>53533.3333333333</v>
      </c>
      <c r="AH29" s="80" t="n">
        <f aca="false">AH28*(1+'Assumption Setting'!$I$89+'Assumption Setting'!$J$89)</f>
        <v>53533.3333333333</v>
      </c>
      <c r="AI29" s="80" t="n">
        <f aca="false">AI28*(1+'Assumption Setting'!$I$89+'Assumption Setting'!$J$89)</f>
        <v>53533.3333333333</v>
      </c>
      <c r="AJ29" s="80" t="n">
        <f aca="false">AJ28*(1+'Assumption Setting'!$I$89+'Assumption Setting'!$J$89)</f>
        <v>53533.3333333333</v>
      </c>
      <c r="AK29" s="80" t="n">
        <f aca="false">AK28*(1+'Assumption Setting'!$I$89+'Assumption Setting'!$J$89)</f>
        <v>53533.3333333333</v>
      </c>
      <c r="AL29" s="80" t="n">
        <f aca="false">AL28*(1+'Assumption Setting'!$I$89+'Assumption Setting'!$J$89)</f>
        <v>53533.3333333333</v>
      </c>
      <c r="AM29" s="80" t="n">
        <f aca="false">AM28*(1+'Assumption Setting'!$I$89+'Assumption Setting'!$J$89)</f>
        <v>53533.3333333333</v>
      </c>
      <c r="AN29" s="80" t="n">
        <f aca="false">AN28*(1+'Assumption Setting'!$I$89+'Assumption Setting'!$J$89)</f>
        <v>53533.3333333333</v>
      </c>
      <c r="AO29" s="79" t="n">
        <f aca="false">SUM(AP29:BA29)</f>
        <v>1051200</v>
      </c>
      <c r="AP29" s="80" t="n">
        <f aca="false">AP28*(1+'Assumption Setting'!$I$89+'Assumption Setting'!$J$89)</f>
        <v>87600</v>
      </c>
      <c r="AQ29" s="80" t="n">
        <f aca="false">AQ28*(1+'Assumption Setting'!$I$89+'Assumption Setting'!$J$89)</f>
        <v>87600</v>
      </c>
      <c r="AR29" s="80" t="n">
        <f aca="false">AR28*(1+'Assumption Setting'!$I$89+'Assumption Setting'!$J$89)</f>
        <v>87600</v>
      </c>
      <c r="AS29" s="80" t="n">
        <f aca="false">AS28*(1+'Assumption Setting'!$I$89+'Assumption Setting'!$J$89)</f>
        <v>87600</v>
      </c>
      <c r="AT29" s="80" t="n">
        <f aca="false">AT28*(1+'Assumption Setting'!$I$89+'Assumption Setting'!$J$89)</f>
        <v>87600</v>
      </c>
      <c r="AU29" s="80" t="n">
        <f aca="false">AU28*(1+'Assumption Setting'!$I$89+'Assumption Setting'!$J$89)</f>
        <v>87600</v>
      </c>
      <c r="AV29" s="80" t="n">
        <f aca="false">AV28*(1+'Assumption Setting'!$I$89+'Assumption Setting'!$J$89)</f>
        <v>87600</v>
      </c>
      <c r="AW29" s="80" t="n">
        <f aca="false">AW28*(1+'Assumption Setting'!$I$89+'Assumption Setting'!$J$89)</f>
        <v>87600</v>
      </c>
      <c r="AX29" s="80" t="n">
        <f aca="false">AX28*(1+'Assumption Setting'!$I$89+'Assumption Setting'!$J$89)</f>
        <v>87600</v>
      </c>
      <c r="AY29" s="80" t="n">
        <f aca="false">AY28*(1+'Assumption Setting'!$I$89+'Assumption Setting'!$J$89)</f>
        <v>87600</v>
      </c>
      <c r="AZ29" s="80" t="n">
        <f aca="false">AZ28*(1+'Assumption Setting'!$I$89+'Assumption Setting'!$J$89)</f>
        <v>87600</v>
      </c>
      <c r="BA29" s="80" t="n">
        <f aca="false">BA28*(1+'Assumption Setting'!$I$89+'Assumption Setting'!$J$89)</f>
        <v>87600</v>
      </c>
      <c r="BB29" s="79" t="n">
        <f aca="false">SUM(BC29:BN29)</f>
        <v>1518400</v>
      </c>
      <c r="BC29" s="80" t="n">
        <f aca="false">BC28*(1+'Assumption Setting'!$I$89+'Assumption Setting'!$J$89)</f>
        <v>126533.333333333</v>
      </c>
      <c r="BD29" s="80" t="n">
        <f aca="false">BD28*(1+'Assumption Setting'!$I$89+'Assumption Setting'!$J$89)</f>
        <v>126533.333333333</v>
      </c>
      <c r="BE29" s="80" t="n">
        <f aca="false">BE28*(1+'Assumption Setting'!$I$89+'Assumption Setting'!$J$89)</f>
        <v>126533.333333333</v>
      </c>
      <c r="BF29" s="80" t="n">
        <f aca="false">BF28*(1+'Assumption Setting'!$I$89+'Assumption Setting'!$J$89)</f>
        <v>126533.333333333</v>
      </c>
      <c r="BG29" s="80" t="n">
        <f aca="false">BG28*(1+'Assumption Setting'!$I$89+'Assumption Setting'!$J$89)</f>
        <v>126533.333333333</v>
      </c>
      <c r="BH29" s="80" t="n">
        <f aca="false">BH28*(1+'Assumption Setting'!$I$89+'Assumption Setting'!$J$89)</f>
        <v>126533.333333333</v>
      </c>
      <c r="BI29" s="80" t="n">
        <f aca="false">BI28*(1+'Assumption Setting'!$I$89+'Assumption Setting'!$J$89)</f>
        <v>126533.333333333</v>
      </c>
      <c r="BJ29" s="80" t="n">
        <f aca="false">BJ28*(1+'Assumption Setting'!$I$89+'Assumption Setting'!$J$89)</f>
        <v>126533.333333333</v>
      </c>
      <c r="BK29" s="80" t="n">
        <f aca="false">BK28*(1+'Assumption Setting'!$I$89+'Assumption Setting'!$J$89)</f>
        <v>126533.333333333</v>
      </c>
      <c r="BL29" s="80" t="n">
        <f aca="false">BL28*(1+'Assumption Setting'!$I$89+'Assumption Setting'!$J$89)</f>
        <v>126533.333333333</v>
      </c>
      <c r="BM29" s="80" t="n">
        <f aca="false">BM28*(1+'Assumption Setting'!$I$89+'Assumption Setting'!$J$89)</f>
        <v>126533.333333333</v>
      </c>
      <c r="BN29" s="80" t="n">
        <f aca="false">BN28*(1+'Assumption Setting'!$I$89+'Assumption Setting'!$J$89)</f>
        <v>126533.333333333</v>
      </c>
    </row>
    <row r="30" customFormat="false" ht="15" hidden="false" customHeight="false" outlineLevel="0" collapsed="false">
      <c r="A30" s="12" t="s">
        <v>622</v>
      </c>
      <c r="B30" s="81" t="n">
        <f aca="false">SUM(C30:N30)</f>
        <v>1868.8</v>
      </c>
      <c r="C30" s="82" t="n">
        <f aca="false">C29*'Assumption Setting'!$K$89</f>
        <v>155.733333333333</v>
      </c>
      <c r="D30" s="82" t="n">
        <f aca="false">D29*'Assumption Setting'!$K$89</f>
        <v>155.733333333333</v>
      </c>
      <c r="E30" s="82" t="n">
        <f aca="false">E29*'Assumption Setting'!$K$89</f>
        <v>155.733333333333</v>
      </c>
      <c r="F30" s="82" t="n">
        <f aca="false">F29*'Assumption Setting'!$K$89</f>
        <v>155.733333333333</v>
      </c>
      <c r="G30" s="82" t="n">
        <f aca="false">G29*'Assumption Setting'!$K$89</f>
        <v>155.733333333333</v>
      </c>
      <c r="H30" s="82" t="n">
        <f aca="false">H29*'Assumption Setting'!$K$89</f>
        <v>155.733333333333</v>
      </c>
      <c r="I30" s="82" t="n">
        <f aca="false">I29*'Assumption Setting'!$K$89</f>
        <v>155.733333333333</v>
      </c>
      <c r="J30" s="82" t="n">
        <f aca="false">J29*'Assumption Setting'!$K$89</f>
        <v>155.733333333333</v>
      </c>
      <c r="K30" s="82" t="n">
        <f aca="false">K29*'Assumption Setting'!$K$89</f>
        <v>155.733333333333</v>
      </c>
      <c r="L30" s="82" t="n">
        <f aca="false">L29*'Assumption Setting'!$K$89</f>
        <v>155.733333333333</v>
      </c>
      <c r="M30" s="82" t="n">
        <f aca="false">M29*'Assumption Setting'!$K$89</f>
        <v>155.733333333333</v>
      </c>
      <c r="N30" s="82" t="n">
        <f aca="false">N29*'Assumption Setting'!$K$89</f>
        <v>155.733333333333</v>
      </c>
      <c r="O30" s="81" t="n">
        <f aca="false">SUM(P30:AA30)</f>
        <v>10512</v>
      </c>
      <c r="P30" s="82" t="n">
        <f aca="false">P29*'Assumption Setting'!$K$89</f>
        <v>876</v>
      </c>
      <c r="Q30" s="82" t="n">
        <f aca="false">Q29*'Assumption Setting'!$K$89</f>
        <v>876</v>
      </c>
      <c r="R30" s="82" t="n">
        <f aca="false">R29*'Assumption Setting'!$K$89</f>
        <v>876</v>
      </c>
      <c r="S30" s="82" t="n">
        <f aca="false">S29*'Assumption Setting'!$K$89</f>
        <v>876</v>
      </c>
      <c r="T30" s="82" t="n">
        <f aca="false">T29*'Assumption Setting'!$K$89</f>
        <v>876</v>
      </c>
      <c r="U30" s="82" t="n">
        <f aca="false">U29*'Assumption Setting'!$K$89</f>
        <v>876</v>
      </c>
      <c r="V30" s="82" t="n">
        <f aca="false">V29*'Assumption Setting'!$K$89</f>
        <v>876</v>
      </c>
      <c r="W30" s="82" t="n">
        <f aca="false">W29*'Assumption Setting'!$K$89</f>
        <v>876</v>
      </c>
      <c r="X30" s="82" t="n">
        <f aca="false">X29*'Assumption Setting'!$K$89</f>
        <v>876</v>
      </c>
      <c r="Y30" s="82" t="n">
        <f aca="false">Y29*'Assumption Setting'!$K$89</f>
        <v>876</v>
      </c>
      <c r="Z30" s="82" t="n">
        <f aca="false">Z29*'Assumption Setting'!$K$89</f>
        <v>876</v>
      </c>
      <c r="AA30" s="82" t="n">
        <f aca="false">AA29*'Assumption Setting'!$K$89</f>
        <v>876</v>
      </c>
      <c r="AB30" s="81" t="n">
        <f aca="false">SUM(AC30:AN30)</f>
        <v>25696</v>
      </c>
      <c r="AC30" s="82" t="n">
        <f aca="false">AC29*'Assumption Setting'!$K$89</f>
        <v>2141.33333333333</v>
      </c>
      <c r="AD30" s="82" t="n">
        <f aca="false">AD29*'Assumption Setting'!$K$89</f>
        <v>2141.33333333333</v>
      </c>
      <c r="AE30" s="82" t="n">
        <f aca="false">AE29*'Assumption Setting'!$K$89</f>
        <v>2141.33333333333</v>
      </c>
      <c r="AF30" s="82" t="n">
        <f aca="false">AF29*'Assumption Setting'!$K$89</f>
        <v>2141.33333333333</v>
      </c>
      <c r="AG30" s="82" t="n">
        <f aca="false">AG29*'Assumption Setting'!$K$89</f>
        <v>2141.33333333333</v>
      </c>
      <c r="AH30" s="82" t="n">
        <f aca="false">AH29*'Assumption Setting'!$K$89</f>
        <v>2141.33333333333</v>
      </c>
      <c r="AI30" s="82" t="n">
        <f aca="false">AI29*'Assumption Setting'!$K$89</f>
        <v>2141.33333333333</v>
      </c>
      <c r="AJ30" s="82" t="n">
        <f aca="false">AJ29*'Assumption Setting'!$K$89</f>
        <v>2141.33333333333</v>
      </c>
      <c r="AK30" s="82" t="n">
        <f aca="false">AK29*'Assumption Setting'!$K$89</f>
        <v>2141.33333333333</v>
      </c>
      <c r="AL30" s="82" t="n">
        <f aca="false">AL29*'Assumption Setting'!$K$89</f>
        <v>2141.33333333333</v>
      </c>
      <c r="AM30" s="82" t="n">
        <f aca="false">AM29*'Assumption Setting'!$K$89</f>
        <v>2141.33333333333</v>
      </c>
      <c r="AN30" s="82" t="n">
        <f aca="false">AN29*'Assumption Setting'!$K$89</f>
        <v>2141.33333333333</v>
      </c>
      <c r="AO30" s="81" t="n">
        <f aca="false">SUM(AP30:BA30)</f>
        <v>42048</v>
      </c>
      <c r="AP30" s="82" t="n">
        <f aca="false">AP29*'Assumption Setting'!$K$89</f>
        <v>3504</v>
      </c>
      <c r="AQ30" s="82" t="n">
        <f aca="false">AQ29*'Assumption Setting'!$K$89</f>
        <v>3504</v>
      </c>
      <c r="AR30" s="82" t="n">
        <f aca="false">AR29*'Assumption Setting'!$K$89</f>
        <v>3504</v>
      </c>
      <c r="AS30" s="82" t="n">
        <f aca="false">AS29*'Assumption Setting'!$K$89</f>
        <v>3504</v>
      </c>
      <c r="AT30" s="82" t="n">
        <f aca="false">AT29*'Assumption Setting'!$K$89</f>
        <v>3504</v>
      </c>
      <c r="AU30" s="82" t="n">
        <f aca="false">AU29*'Assumption Setting'!$K$89</f>
        <v>3504</v>
      </c>
      <c r="AV30" s="82" t="n">
        <f aca="false">AV29*'Assumption Setting'!$K$89</f>
        <v>3504</v>
      </c>
      <c r="AW30" s="82" t="n">
        <f aca="false">AW29*'Assumption Setting'!$K$89</f>
        <v>3504</v>
      </c>
      <c r="AX30" s="82" t="n">
        <f aca="false">AX29*'Assumption Setting'!$K$89</f>
        <v>3504</v>
      </c>
      <c r="AY30" s="82" t="n">
        <f aca="false">AY29*'Assumption Setting'!$K$89</f>
        <v>3504</v>
      </c>
      <c r="AZ30" s="82" t="n">
        <f aca="false">AZ29*'Assumption Setting'!$K$89</f>
        <v>3504</v>
      </c>
      <c r="BA30" s="82" t="n">
        <f aca="false">BA29*'Assumption Setting'!$K$89</f>
        <v>3504</v>
      </c>
      <c r="BB30" s="81" t="n">
        <f aca="false">SUM(BC30:BN30)</f>
        <v>60736</v>
      </c>
      <c r="BC30" s="82" t="n">
        <f aca="false">BC29*'Assumption Setting'!$K$89</f>
        <v>5061.33333333333</v>
      </c>
      <c r="BD30" s="82" t="n">
        <f aca="false">BD29*'Assumption Setting'!$K$89</f>
        <v>5061.33333333333</v>
      </c>
      <c r="BE30" s="82" t="n">
        <f aca="false">BE29*'Assumption Setting'!$K$89</f>
        <v>5061.33333333333</v>
      </c>
      <c r="BF30" s="82" t="n">
        <f aca="false">BF29*'Assumption Setting'!$K$89</f>
        <v>5061.33333333333</v>
      </c>
      <c r="BG30" s="82" t="n">
        <f aca="false">BG29*'Assumption Setting'!$K$89</f>
        <v>5061.33333333333</v>
      </c>
      <c r="BH30" s="82" t="n">
        <f aca="false">BH29*'Assumption Setting'!$K$89</f>
        <v>5061.33333333333</v>
      </c>
      <c r="BI30" s="82" t="n">
        <f aca="false">BI29*'Assumption Setting'!$K$89</f>
        <v>5061.33333333333</v>
      </c>
      <c r="BJ30" s="82" t="n">
        <f aca="false">BJ29*'Assumption Setting'!$K$89</f>
        <v>5061.33333333333</v>
      </c>
      <c r="BK30" s="82" t="n">
        <f aca="false">BK29*'Assumption Setting'!$K$89</f>
        <v>5061.33333333333</v>
      </c>
      <c r="BL30" s="82" t="n">
        <f aca="false">BL29*'Assumption Setting'!$K$89</f>
        <v>5061.33333333333</v>
      </c>
      <c r="BM30" s="82" t="n">
        <f aca="false">BM29*'Assumption Setting'!$K$89</f>
        <v>5061.33333333333</v>
      </c>
      <c r="BN30" s="82" t="n">
        <f aca="false">BN29*'Assumption Setting'!$K$89</f>
        <v>5061.33333333333</v>
      </c>
    </row>
    <row r="31" customFormat="false" ht="15" hidden="false" customHeight="false" outlineLevel="0" collapsed="false">
      <c r="A31" s="70" t="s">
        <v>623</v>
      </c>
      <c r="B31" s="65" t="n">
        <f aca="false">SUM(C31:N31)</f>
        <v>8640</v>
      </c>
      <c r="C31" s="71" t="n">
        <f aca="false">C7+C11+C15+C19+C23+C27</f>
        <v>720</v>
      </c>
      <c r="D31" s="71" t="n">
        <f aca="false">D7+D11+D15+D19+D23+D27</f>
        <v>720</v>
      </c>
      <c r="E31" s="71" t="n">
        <f aca="false">E7+E11+E15+E19+E23+E27</f>
        <v>720</v>
      </c>
      <c r="F31" s="71" t="n">
        <f aca="false">F7+F11+F15+F19+F23+F27</f>
        <v>720</v>
      </c>
      <c r="G31" s="71" t="n">
        <f aca="false">G7+G11+G15+G19+G23+G27</f>
        <v>720</v>
      </c>
      <c r="H31" s="71" t="n">
        <f aca="false">H7+H11+H15+H19+H23+H27</f>
        <v>720</v>
      </c>
      <c r="I31" s="71" t="n">
        <f aca="false">I7+I11+I15+I19+I23+I27</f>
        <v>720</v>
      </c>
      <c r="J31" s="71" t="n">
        <f aca="false">J7+J11+J15+J19+J23+J27</f>
        <v>720</v>
      </c>
      <c r="K31" s="71" t="n">
        <f aca="false">K7+K11+K15+K19+K23+K27</f>
        <v>720</v>
      </c>
      <c r="L31" s="71" t="n">
        <f aca="false">L7+L11+L15+L19+L23+L27</f>
        <v>720</v>
      </c>
      <c r="M31" s="71" t="n">
        <f aca="false">M7+M11+M15+M19+M23+M27</f>
        <v>720</v>
      </c>
      <c r="N31" s="71" t="n">
        <f aca="false">N7+N11+N15+N19+N23+N27</f>
        <v>720</v>
      </c>
      <c r="O31" s="65" t="n">
        <f aca="false">SUM(P31:AA31)</f>
        <v>44400</v>
      </c>
      <c r="P31" s="71" t="n">
        <f aca="false">P7+P11+P15+P19+P23+P27</f>
        <v>3700</v>
      </c>
      <c r="Q31" s="71" t="n">
        <f aca="false">Q7+Q11+Q15+Q19+Q23+Q27</f>
        <v>3700</v>
      </c>
      <c r="R31" s="71" t="n">
        <f aca="false">R7+R11+R15+R19+R23+R27</f>
        <v>3700</v>
      </c>
      <c r="S31" s="71" t="n">
        <f aca="false">S7+S11+S15+S19+S23+S27</f>
        <v>3700</v>
      </c>
      <c r="T31" s="71" t="n">
        <f aca="false">T7+T11+T15+T19+T23+T27</f>
        <v>3700</v>
      </c>
      <c r="U31" s="71" t="n">
        <f aca="false">U7+U11+U15+U19+U23+U27</f>
        <v>3700</v>
      </c>
      <c r="V31" s="71" t="n">
        <f aca="false">V7+V11+V15+V19+V23+V27</f>
        <v>3700</v>
      </c>
      <c r="W31" s="71" t="n">
        <f aca="false">W7+W11+W15+W19+W23+W27</f>
        <v>3700</v>
      </c>
      <c r="X31" s="71" t="n">
        <f aca="false">X7+X11+X15+X19+X23+X27</f>
        <v>3700</v>
      </c>
      <c r="Y31" s="71" t="n">
        <f aca="false">Y7+Y11+Y15+Y19+Y23+Y27</f>
        <v>3700</v>
      </c>
      <c r="Z31" s="71" t="n">
        <f aca="false">Z7+Z11+Z15+Z19+Z23+Z27</f>
        <v>3700</v>
      </c>
      <c r="AA31" s="71" t="n">
        <f aca="false">AA7+AA11+AA15+AA19+AA23+AA27</f>
        <v>3700</v>
      </c>
      <c r="AB31" s="65" t="n">
        <f aca="false">SUM(AC31:AN31)</f>
        <v>100800</v>
      </c>
      <c r="AC31" s="71" t="n">
        <f aca="false">AC7+AC11+AC15+AC19+AC23+AC27</f>
        <v>8400</v>
      </c>
      <c r="AD31" s="71" t="n">
        <f aca="false">AD7+AD11+AD15+AD19+AD23+AD27</f>
        <v>8400</v>
      </c>
      <c r="AE31" s="71" t="n">
        <f aca="false">AE7+AE11+AE15+AE19+AE23+AE27</f>
        <v>8400</v>
      </c>
      <c r="AF31" s="71" t="n">
        <f aca="false">AF7+AF11+AF15+AF19+AF23+AF27</f>
        <v>8400</v>
      </c>
      <c r="AG31" s="71" t="n">
        <f aca="false">AG7+AG11+AG15+AG19+AG23+AG27</f>
        <v>8400</v>
      </c>
      <c r="AH31" s="71" t="n">
        <f aca="false">AH7+AH11+AH15+AH19+AH23+AH27</f>
        <v>8400</v>
      </c>
      <c r="AI31" s="71" t="n">
        <f aca="false">AI7+AI11+AI15+AI19+AI23+AI27</f>
        <v>8400</v>
      </c>
      <c r="AJ31" s="71" t="n">
        <f aca="false">AJ7+AJ11+AJ15+AJ19+AJ23+AJ27</f>
        <v>8400</v>
      </c>
      <c r="AK31" s="71" t="n">
        <f aca="false">AK7+AK11+AK15+AK19+AK23+AK27</f>
        <v>8400</v>
      </c>
      <c r="AL31" s="71" t="n">
        <f aca="false">AL7+AL11+AL15+AL19+AL23+AL27</f>
        <v>8400</v>
      </c>
      <c r="AM31" s="71" t="n">
        <f aca="false">AM7+AM11+AM15+AM19+AM23+AM27</f>
        <v>8400</v>
      </c>
      <c r="AN31" s="71" t="n">
        <f aca="false">AN7+AN11+AN15+AN19+AN23+AN27</f>
        <v>8400</v>
      </c>
      <c r="AO31" s="65" t="n">
        <f aca="false">SUM(AP31:BA31)</f>
        <v>166800</v>
      </c>
      <c r="AP31" s="71" t="n">
        <f aca="false">AP7+AP11+AP15+AP19+AP23+AP27</f>
        <v>13900</v>
      </c>
      <c r="AQ31" s="71" t="n">
        <f aca="false">AQ7+AQ11+AQ15+AQ19+AQ23+AQ27</f>
        <v>13900</v>
      </c>
      <c r="AR31" s="71" t="n">
        <f aca="false">AR7+AR11+AR15+AR19+AR23+AR27</f>
        <v>13900</v>
      </c>
      <c r="AS31" s="71" t="n">
        <f aca="false">AS7+AS11+AS15+AS19+AS23+AS27</f>
        <v>13900</v>
      </c>
      <c r="AT31" s="71" t="n">
        <f aca="false">AT7+AT11+AT15+AT19+AT23+AT27</f>
        <v>13900</v>
      </c>
      <c r="AU31" s="71" t="n">
        <f aca="false">AU7+AU11+AU15+AU19+AU23+AU27</f>
        <v>13900</v>
      </c>
      <c r="AV31" s="71" t="n">
        <f aca="false">AV7+AV11+AV15+AV19+AV23+AV27</f>
        <v>13900</v>
      </c>
      <c r="AW31" s="71" t="n">
        <f aca="false">AW7+AW11+AW15+AW19+AW23+AW27</f>
        <v>13900</v>
      </c>
      <c r="AX31" s="71" t="n">
        <f aca="false">AX7+AX11+AX15+AX19+AX23+AX27</f>
        <v>13900</v>
      </c>
      <c r="AY31" s="71" t="n">
        <f aca="false">AY7+AY11+AY15+AY19+AY23+AY27</f>
        <v>13900</v>
      </c>
      <c r="AZ31" s="71" t="n">
        <f aca="false">AZ7+AZ11+AZ15+AZ19+AZ23+AZ27</f>
        <v>13900</v>
      </c>
      <c r="BA31" s="71" t="n">
        <f aca="false">BA7+BA11+BA15+BA19+BA23+BA27</f>
        <v>13900</v>
      </c>
      <c r="BB31" s="65" t="n">
        <f aca="false">SUM(BC31:BN31)</f>
        <v>235200</v>
      </c>
      <c r="BC31" s="71" t="n">
        <f aca="false">BC7+BC11+BC15+BC19+BC23+BC27</f>
        <v>19600</v>
      </c>
      <c r="BD31" s="71" t="n">
        <f aca="false">BD7+BD11+BD15+BD19+BD23+BD27</f>
        <v>19600</v>
      </c>
      <c r="BE31" s="71" t="n">
        <f aca="false">BE7+BE11+BE15+BE19+BE23+BE27</f>
        <v>19600</v>
      </c>
      <c r="BF31" s="71" t="n">
        <f aca="false">BF7+BF11+BF15+BF19+BF23+BF27</f>
        <v>19600</v>
      </c>
      <c r="BG31" s="71" t="n">
        <f aca="false">BG7+BG11+BG15+BG19+BG23+BG27</f>
        <v>19600</v>
      </c>
      <c r="BH31" s="71" t="n">
        <f aca="false">BH7+BH11+BH15+BH19+BH23+BH27</f>
        <v>19600</v>
      </c>
      <c r="BI31" s="71" t="n">
        <f aca="false">BI7+BI11+BI15+BI19+BI23+BI27</f>
        <v>19600</v>
      </c>
      <c r="BJ31" s="71" t="n">
        <f aca="false">BJ7+BJ11+BJ15+BJ19+BJ23+BJ27</f>
        <v>19600</v>
      </c>
      <c r="BK31" s="71" t="n">
        <f aca="false">BK7+BK11+BK15+BK19+BK23+BK27</f>
        <v>19600</v>
      </c>
      <c r="BL31" s="71" t="n">
        <f aca="false">BL7+BL11+BL15+BL19+BL23+BL27</f>
        <v>19600</v>
      </c>
      <c r="BM31" s="71" t="n">
        <f aca="false">BM7+BM11+BM15+BM19+BM23+BM27</f>
        <v>19600</v>
      </c>
      <c r="BN31" s="71" t="n">
        <f aca="false">BN7+BN11+BN15+BN19+BN23+BN27</f>
        <v>19600</v>
      </c>
    </row>
    <row r="32" customFormat="false" ht="15" hidden="false" customHeight="false" outlineLevel="0" collapsed="false">
      <c r="A32" s="18" t="s">
        <v>624</v>
      </c>
      <c r="B32" s="79" t="n">
        <f aca="false">SUM(C32:N32)</f>
        <v>127814.805194805</v>
      </c>
      <c r="C32" s="83" t="n">
        <f aca="false">C9+C13+C17+C21+C25+C29</f>
        <v>10651.2337662338</v>
      </c>
      <c r="D32" s="83" t="n">
        <f aca="false">D9+D13+D17+D21+D25+D29</f>
        <v>10651.2337662338</v>
      </c>
      <c r="E32" s="83" t="n">
        <f aca="false">E9+E13+E17+E21+E25+E29</f>
        <v>10651.2337662338</v>
      </c>
      <c r="F32" s="83" t="n">
        <f aca="false">F9+F13+F17+F21+F25+F29</f>
        <v>10651.2337662338</v>
      </c>
      <c r="G32" s="83" t="n">
        <f aca="false">G9+G13+G17+G21+G25+G29</f>
        <v>10651.2337662338</v>
      </c>
      <c r="H32" s="83" t="n">
        <f aca="false">H9+H13+H17+H21+H25+H29</f>
        <v>10651.2337662338</v>
      </c>
      <c r="I32" s="83" t="n">
        <f aca="false">I9+I13+I17+I21+I25+I29</f>
        <v>10651.2337662338</v>
      </c>
      <c r="J32" s="83" t="n">
        <f aca="false">J9+J13+J17+J21+J25+J29</f>
        <v>10651.2337662338</v>
      </c>
      <c r="K32" s="83" t="n">
        <f aca="false">K9+K13+K17+K21+K25+K29</f>
        <v>10651.2337662338</v>
      </c>
      <c r="L32" s="83" t="n">
        <f aca="false">L9+L13+L17+L21+L25+L29</f>
        <v>10651.2337662338</v>
      </c>
      <c r="M32" s="83" t="n">
        <f aca="false">M9+M13+M17+M21+M25+M29</f>
        <v>10651.2337662338</v>
      </c>
      <c r="N32" s="83" t="n">
        <f aca="false">N9+N13+N17+N21+N25+N29</f>
        <v>10651.2337662338</v>
      </c>
      <c r="O32" s="79" t="n">
        <f aca="false">SUM(P32:AA32)</f>
        <v>668257.359307359</v>
      </c>
      <c r="P32" s="83" t="n">
        <f aca="false">P9+P13+P17+P21+P25+P29</f>
        <v>55688.1132756133</v>
      </c>
      <c r="Q32" s="83" t="n">
        <f aca="false">Q9+Q13+Q17+Q21+Q25+Q29</f>
        <v>55688.1132756133</v>
      </c>
      <c r="R32" s="83" t="n">
        <f aca="false">R9+R13+R17+R21+R25+R29</f>
        <v>55688.1132756133</v>
      </c>
      <c r="S32" s="83" t="n">
        <f aca="false">S9+S13+S17+S21+S25+S29</f>
        <v>55688.1132756133</v>
      </c>
      <c r="T32" s="83" t="n">
        <f aca="false">T9+T13+T17+T21+T25+T29</f>
        <v>55688.1132756133</v>
      </c>
      <c r="U32" s="83" t="n">
        <f aca="false">U9+U13+U17+U21+U25+U29</f>
        <v>55688.1132756133</v>
      </c>
      <c r="V32" s="83" t="n">
        <f aca="false">V9+V13+V17+V21+V25+V29</f>
        <v>55688.1132756133</v>
      </c>
      <c r="W32" s="83" t="n">
        <f aca="false">W9+W13+W17+W21+W25+W29</f>
        <v>55688.1132756133</v>
      </c>
      <c r="X32" s="83" t="n">
        <f aca="false">X9+X13+X17+X21+X25+X29</f>
        <v>55688.1132756133</v>
      </c>
      <c r="Y32" s="83" t="n">
        <f aca="false">Y9+Y13+Y17+Y21+Y25+Y29</f>
        <v>55688.1132756133</v>
      </c>
      <c r="Z32" s="83" t="n">
        <f aca="false">Z9+Z13+Z17+Z21+Z25+Z29</f>
        <v>55688.1132756133</v>
      </c>
      <c r="AA32" s="83" t="n">
        <f aca="false">AA9+AA13+AA17+AA21+AA25+AA29</f>
        <v>55688.1132756133</v>
      </c>
      <c r="AB32" s="79" t="n">
        <f aca="false">SUM(AC32:AN32)</f>
        <v>1552059.74025974</v>
      </c>
      <c r="AC32" s="83" t="n">
        <f aca="false">AC9+AC13+AC17+AC21+AC25+AC29</f>
        <v>129338.311688312</v>
      </c>
      <c r="AD32" s="83" t="n">
        <f aca="false">AD9+AD13+AD17+AD21+AD25+AD29</f>
        <v>129338.311688312</v>
      </c>
      <c r="AE32" s="83" t="n">
        <f aca="false">AE9+AE13+AE17+AE21+AE25+AE29</f>
        <v>129338.311688312</v>
      </c>
      <c r="AF32" s="83" t="n">
        <f aca="false">AF9+AF13+AF17+AF21+AF25+AF29</f>
        <v>129338.311688312</v>
      </c>
      <c r="AG32" s="83" t="n">
        <f aca="false">AG9+AG13+AG17+AG21+AG25+AG29</f>
        <v>129338.311688312</v>
      </c>
      <c r="AH32" s="83" t="n">
        <f aca="false">AH9+AH13+AH17+AH21+AH25+AH29</f>
        <v>129338.311688312</v>
      </c>
      <c r="AI32" s="83" t="n">
        <f aca="false">AI9+AI13+AI17+AI21+AI25+AI29</f>
        <v>129338.311688312</v>
      </c>
      <c r="AJ32" s="83" t="n">
        <f aca="false">AJ9+AJ13+AJ17+AJ21+AJ25+AJ29</f>
        <v>129338.311688312</v>
      </c>
      <c r="AK32" s="83" t="n">
        <f aca="false">AK9+AK13+AK17+AK21+AK25+AK29</f>
        <v>129338.311688312</v>
      </c>
      <c r="AL32" s="83" t="n">
        <f aca="false">AL9+AL13+AL17+AL21+AL25+AL29</f>
        <v>129338.311688312</v>
      </c>
      <c r="AM32" s="83" t="n">
        <f aca="false">AM9+AM13+AM17+AM21+AM25+AM29</f>
        <v>129338.311688312</v>
      </c>
      <c r="AN32" s="83" t="n">
        <f aca="false">AN9+AN13+AN17+AN21+AN25+AN29</f>
        <v>129338.311688312</v>
      </c>
      <c r="AO32" s="79" t="n">
        <f aca="false">SUM(AP32:BA32)</f>
        <v>2549935.93073593</v>
      </c>
      <c r="AP32" s="83" t="n">
        <f aca="false">AP9+AP13+AP17+AP21+AP25+AP29</f>
        <v>212494.660894661</v>
      </c>
      <c r="AQ32" s="83" t="n">
        <f aca="false">AQ9+AQ13+AQ17+AQ21+AQ25+AQ29</f>
        <v>212494.660894661</v>
      </c>
      <c r="AR32" s="83" t="n">
        <f aca="false">AR9+AR13+AR17+AR21+AR25+AR29</f>
        <v>212494.660894661</v>
      </c>
      <c r="AS32" s="83" t="n">
        <f aca="false">AS9+AS13+AS17+AS21+AS25+AS29</f>
        <v>212494.660894661</v>
      </c>
      <c r="AT32" s="83" t="n">
        <f aca="false">AT9+AT13+AT17+AT21+AT25+AT29</f>
        <v>212494.660894661</v>
      </c>
      <c r="AU32" s="83" t="n">
        <f aca="false">AU9+AU13+AU17+AU21+AU25+AU29</f>
        <v>212494.660894661</v>
      </c>
      <c r="AV32" s="83" t="n">
        <f aca="false">AV9+AV13+AV17+AV21+AV25+AV29</f>
        <v>212494.660894661</v>
      </c>
      <c r="AW32" s="83" t="n">
        <f aca="false">AW9+AW13+AW17+AW21+AW25+AW29</f>
        <v>212494.660894661</v>
      </c>
      <c r="AX32" s="83" t="n">
        <f aca="false">AX9+AX13+AX17+AX21+AX25+AX29</f>
        <v>212494.660894661</v>
      </c>
      <c r="AY32" s="83" t="n">
        <f aca="false">AY9+AY13+AY17+AY21+AY25+AY29</f>
        <v>212494.660894661</v>
      </c>
      <c r="AZ32" s="83" t="n">
        <f aca="false">AZ9+AZ13+AZ17+AZ21+AZ25+AZ29</f>
        <v>212494.660894661</v>
      </c>
      <c r="BA32" s="83" t="n">
        <f aca="false">BA9+BA13+BA17+BA21+BA25+BA29</f>
        <v>212494.660894661</v>
      </c>
      <c r="BB32" s="79" t="n">
        <f aca="false">SUM(BC32:BN32)</f>
        <v>3626162.12121212</v>
      </c>
      <c r="BC32" s="83" t="n">
        <f aca="false">BC9+BC13+BC17+BC21+BC25+BC29</f>
        <v>302180.176767677</v>
      </c>
      <c r="BD32" s="83" t="n">
        <f aca="false">BD9+BD13+BD17+BD21+BD25+BD29</f>
        <v>302180.176767677</v>
      </c>
      <c r="BE32" s="83" t="n">
        <f aca="false">BE9+BE13+BE17+BE21+BE25+BE29</f>
        <v>302180.176767677</v>
      </c>
      <c r="BF32" s="83" t="n">
        <f aca="false">BF9+BF13+BF17+BF21+BF25+BF29</f>
        <v>302180.176767677</v>
      </c>
      <c r="BG32" s="83" t="n">
        <f aca="false">BG9+BG13+BG17+BG21+BG25+BG29</f>
        <v>302180.176767677</v>
      </c>
      <c r="BH32" s="83" t="n">
        <f aca="false">BH9+BH13+BH17+BH21+BH25+BH29</f>
        <v>302180.176767677</v>
      </c>
      <c r="BI32" s="83" t="n">
        <f aca="false">BI9+BI13+BI17+BI21+BI25+BI29</f>
        <v>302180.176767677</v>
      </c>
      <c r="BJ32" s="83" t="n">
        <f aca="false">BJ9+BJ13+BJ17+BJ21+BJ25+BJ29</f>
        <v>302180.176767677</v>
      </c>
      <c r="BK32" s="83" t="n">
        <f aca="false">BK9+BK13+BK17+BK21+BK25+BK29</f>
        <v>302180.176767677</v>
      </c>
      <c r="BL32" s="83" t="n">
        <f aca="false">BL9+BL13+BL17+BL21+BL25+BL29</f>
        <v>302180.176767677</v>
      </c>
      <c r="BM32" s="83" t="n">
        <f aca="false">BM9+BM13+BM17+BM21+BM25+BM29</f>
        <v>302180.176767677</v>
      </c>
      <c r="BN32" s="83" t="n">
        <f aca="false">BN9+BN13+BN17+BN21+BN25+BN29</f>
        <v>302180.176767677</v>
      </c>
    </row>
    <row r="33" customFormat="false" ht="15" hidden="false" customHeight="false" outlineLevel="0" collapsed="false">
      <c r="A33" s="18" t="s">
        <v>625</v>
      </c>
      <c r="B33" s="81" t="n">
        <f aca="false">SUM(C33:N33)</f>
        <v>4701.79090909091</v>
      </c>
      <c r="C33" s="84" t="n">
        <f aca="false">C10+C14+C18+C22+C26+C30</f>
        <v>391.815909090909</v>
      </c>
      <c r="D33" s="84" t="n">
        <f aca="false">D10+D14+D18+D22+D26+D30</f>
        <v>391.815909090909</v>
      </c>
      <c r="E33" s="84" t="n">
        <f aca="false">E10+E14+E18+E22+E26+E30</f>
        <v>391.815909090909</v>
      </c>
      <c r="F33" s="84" t="n">
        <f aca="false">F10+F14+F18+F22+F26+F30</f>
        <v>391.815909090909</v>
      </c>
      <c r="G33" s="84" t="n">
        <f aca="false">G10+G14+G18+G22+G26+G30</f>
        <v>391.815909090909</v>
      </c>
      <c r="H33" s="84" t="n">
        <f aca="false">H10+H14+H18+H22+H26+H30</f>
        <v>391.815909090909</v>
      </c>
      <c r="I33" s="84" t="n">
        <f aca="false">I10+I14+I18+I22+I26+I30</f>
        <v>391.815909090909</v>
      </c>
      <c r="J33" s="84" t="n">
        <f aca="false">J10+J14+J18+J22+J26+J30</f>
        <v>391.815909090909</v>
      </c>
      <c r="K33" s="84" t="n">
        <f aca="false">K10+K14+K18+K22+K26+K30</f>
        <v>391.815909090909</v>
      </c>
      <c r="L33" s="84" t="n">
        <f aca="false">L10+L14+L18+L22+L26+L30</f>
        <v>391.815909090909</v>
      </c>
      <c r="M33" s="84" t="n">
        <f aca="false">M10+M14+M18+M22+M26+M30</f>
        <v>391.815909090909</v>
      </c>
      <c r="N33" s="84" t="n">
        <f aca="false">N10+N14+N18+N22+N26+N30</f>
        <v>391.815909090909</v>
      </c>
      <c r="O33" s="81" t="n">
        <f aca="false">SUM(P33:AA33)</f>
        <v>24575.7196969697</v>
      </c>
      <c r="P33" s="84" t="n">
        <f aca="false">P10+P14+P18+P22+P26+P30</f>
        <v>2047.97664141414</v>
      </c>
      <c r="Q33" s="84" t="n">
        <f aca="false">Q10+Q14+Q18+Q22+Q26+Q30</f>
        <v>2047.97664141414</v>
      </c>
      <c r="R33" s="84" t="n">
        <f aca="false">R10+R14+R18+R22+R26+R30</f>
        <v>2047.97664141414</v>
      </c>
      <c r="S33" s="84" t="n">
        <f aca="false">S10+S14+S18+S22+S26+S30</f>
        <v>2047.97664141414</v>
      </c>
      <c r="T33" s="84" t="n">
        <f aca="false">T10+T14+T18+T22+T26+T30</f>
        <v>2047.97664141414</v>
      </c>
      <c r="U33" s="84" t="n">
        <f aca="false">U10+U14+U18+U22+U26+U30</f>
        <v>2047.97664141414</v>
      </c>
      <c r="V33" s="84" t="n">
        <f aca="false">V10+V14+V18+V22+V26+V30</f>
        <v>2047.97664141414</v>
      </c>
      <c r="W33" s="84" t="n">
        <f aca="false">W10+W14+W18+W22+W26+W30</f>
        <v>2047.97664141414</v>
      </c>
      <c r="X33" s="84" t="n">
        <f aca="false">X10+X14+X18+X22+X26+X30</f>
        <v>2047.97664141414</v>
      </c>
      <c r="Y33" s="84" t="n">
        <f aca="false">Y10+Y14+Y18+Y22+Y26+Y30</f>
        <v>2047.97664141414</v>
      </c>
      <c r="Z33" s="84" t="n">
        <f aca="false">Z10+Z14+Z18+Z22+Z26+Z30</f>
        <v>2047.97664141414</v>
      </c>
      <c r="AA33" s="84" t="n">
        <f aca="false">AA10+AA14+AA18+AA22+AA26+AA30</f>
        <v>2047.97664141414</v>
      </c>
      <c r="AB33" s="81" t="n">
        <f aca="false">SUM(AC33:AN33)</f>
        <v>57436.0909090909</v>
      </c>
      <c r="AC33" s="84" t="n">
        <f aca="false">AC10+AC14+AC18+AC22+AC26+AC30</f>
        <v>4786.34090909091</v>
      </c>
      <c r="AD33" s="84" t="n">
        <f aca="false">AD10+AD14+AD18+AD22+AD26+AD30</f>
        <v>4786.34090909091</v>
      </c>
      <c r="AE33" s="84" t="n">
        <f aca="false">AE10+AE14+AE18+AE22+AE26+AE30</f>
        <v>4786.34090909091</v>
      </c>
      <c r="AF33" s="84" t="n">
        <f aca="false">AF10+AF14+AF18+AF22+AF26+AF30</f>
        <v>4786.34090909091</v>
      </c>
      <c r="AG33" s="84" t="n">
        <f aca="false">AG10+AG14+AG18+AG22+AG26+AG30</f>
        <v>4786.34090909091</v>
      </c>
      <c r="AH33" s="84" t="n">
        <f aca="false">AH10+AH14+AH18+AH22+AH26+AH30</f>
        <v>4786.34090909091</v>
      </c>
      <c r="AI33" s="84" t="n">
        <f aca="false">AI10+AI14+AI18+AI22+AI26+AI30</f>
        <v>4786.34090909091</v>
      </c>
      <c r="AJ33" s="84" t="n">
        <f aca="false">AJ10+AJ14+AJ18+AJ22+AJ26+AJ30</f>
        <v>4786.34090909091</v>
      </c>
      <c r="AK33" s="84" t="n">
        <f aca="false">AK10+AK14+AK18+AK22+AK26+AK30</f>
        <v>4786.34090909091</v>
      </c>
      <c r="AL33" s="84" t="n">
        <f aca="false">AL10+AL14+AL18+AL22+AL26+AL30</f>
        <v>4786.34090909091</v>
      </c>
      <c r="AM33" s="84" t="n">
        <f aca="false">AM10+AM14+AM18+AM22+AM26+AM30</f>
        <v>4786.34090909091</v>
      </c>
      <c r="AN33" s="84" t="n">
        <f aca="false">AN10+AN14+AN18+AN22+AN26+AN30</f>
        <v>4786.34090909091</v>
      </c>
      <c r="AO33" s="81" t="n">
        <f aca="false">SUM(AP33:BA33)</f>
        <v>94560.2424242424</v>
      </c>
      <c r="AP33" s="84" t="n">
        <f aca="false">AP10+AP14+AP18+AP22+AP26+AP30</f>
        <v>7880.0202020202</v>
      </c>
      <c r="AQ33" s="84" t="n">
        <f aca="false">AQ10+AQ14+AQ18+AQ22+AQ26+AQ30</f>
        <v>7880.0202020202</v>
      </c>
      <c r="AR33" s="84" t="n">
        <f aca="false">AR10+AR14+AR18+AR22+AR26+AR30</f>
        <v>7880.0202020202</v>
      </c>
      <c r="AS33" s="84" t="n">
        <f aca="false">AS10+AS14+AS18+AS22+AS26+AS30</f>
        <v>7880.0202020202</v>
      </c>
      <c r="AT33" s="84" t="n">
        <f aca="false">AT10+AT14+AT18+AT22+AT26+AT30</f>
        <v>7880.0202020202</v>
      </c>
      <c r="AU33" s="84" t="n">
        <f aca="false">AU10+AU14+AU18+AU22+AU26+AU30</f>
        <v>7880.0202020202</v>
      </c>
      <c r="AV33" s="84" t="n">
        <f aca="false">AV10+AV14+AV18+AV22+AV26+AV30</f>
        <v>7880.0202020202</v>
      </c>
      <c r="AW33" s="84" t="n">
        <f aca="false">AW10+AW14+AW18+AW22+AW26+AW30</f>
        <v>7880.0202020202</v>
      </c>
      <c r="AX33" s="84" t="n">
        <f aca="false">AX10+AX14+AX18+AX22+AX26+AX30</f>
        <v>7880.0202020202</v>
      </c>
      <c r="AY33" s="84" t="n">
        <f aca="false">AY10+AY14+AY18+AY22+AY26+AY30</f>
        <v>7880.0202020202</v>
      </c>
      <c r="AZ33" s="84" t="n">
        <f aca="false">AZ10+AZ14+AZ18+AZ22+AZ26+AZ30</f>
        <v>7880.0202020202</v>
      </c>
      <c r="BA33" s="84" t="n">
        <f aca="false">BA10+BA14+BA18+BA22+BA26+BA30</f>
        <v>7880.0202020202</v>
      </c>
      <c r="BB33" s="81" t="n">
        <f aca="false">SUM(BC33:BN33)</f>
        <v>134519.143939394</v>
      </c>
      <c r="BC33" s="84" t="n">
        <f aca="false">BC10+BC14+BC18+BC22+BC26+BC30</f>
        <v>11209.9286616162</v>
      </c>
      <c r="BD33" s="84" t="n">
        <f aca="false">BD10+BD14+BD18+BD22+BD26+BD30</f>
        <v>11209.9286616162</v>
      </c>
      <c r="BE33" s="84" t="n">
        <f aca="false">BE10+BE14+BE18+BE22+BE26+BE30</f>
        <v>11209.9286616162</v>
      </c>
      <c r="BF33" s="84" t="n">
        <f aca="false">BF10+BF14+BF18+BF22+BF26+BF30</f>
        <v>11209.9286616162</v>
      </c>
      <c r="BG33" s="84" t="n">
        <f aca="false">BG10+BG14+BG18+BG22+BG26+BG30</f>
        <v>11209.9286616162</v>
      </c>
      <c r="BH33" s="84" t="n">
        <f aca="false">BH10+BH14+BH18+BH22+BH26+BH30</f>
        <v>11209.9286616162</v>
      </c>
      <c r="BI33" s="84" t="n">
        <f aca="false">BI10+BI14+BI18+BI22+BI26+BI30</f>
        <v>11209.9286616162</v>
      </c>
      <c r="BJ33" s="84" t="n">
        <f aca="false">BJ10+BJ14+BJ18+BJ22+BJ26+BJ30</f>
        <v>11209.9286616162</v>
      </c>
      <c r="BK33" s="84" t="n">
        <f aca="false">BK10+BK14+BK18+BK22+BK26+BK30</f>
        <v>11209.9286616162</v>
      </c>
      <c r="BL33" s="84" t="n">
        <f aca="false">BL10+BL14+BL18+BL22+BL26+BL30</f>
        <v>11209.9286616162</v>
      </c>
      <c r="BM33" s="84" t="n">
        <f aca="false">BM10+BM14+BM18+BM22+BM26+BM30</f>
        <v>11209.9286616162</v>
      </c>
      <c r="BN33" s="84" t="n">
        <f aca="false">BN10+BN14+BN18+BN22+BN26+BN30</f>
        <v>11209.9286616162</v>
      </c>
    </row>
    <row r="34" customFormat="false" ht="15" hidden="false" customHeight="false" outlineLevel="0" collapsed="false">
      <c r="A34" s="12" t="s">
        <v>626</v>
      </c>
      <c r="B34" s="85" t="n">
        <f aca="false">IFERROR(AVERAGE(C34:N34),0)</f>
        <v>1.83759766587973</v>
      </c>
      <c r="C34" s="86" t="n">
        <f aca="false">IFERROR(C31/C33,0)</f>
        <v>1.83759766587973</v>
      </c>
      <c r="D34" s="86" t="n">
        <f aca="false">IFERROR(D31/D33,0)</f>
        <v>1.83759766587973</v>
      </c>
      <c r="E34" s="86" t="n">
        <f aca="false">IFERROR(E31/E33,0)</f>
        <v>1.83759766587973</v>
      </c>
      <c r="F34" s="86" t="n">
        <f aca="false">IFERROR(F31/F33,0)</f>
        <v>1.83759766587973</v>
      </c>
      <c r="G34" s="86" t="n">
        <f aca="false">IFERROR(G31/G33,0)</f>
        <v>1.83759766587973</v>
      </c>
      <c r="H34" s="86" t="n">
        <f aca="false">IFERROR(H31/H33,0)</f>
        <v>1.83759766587973</v>
      </c>
      <c r="I34" s="86" t="n">
        <f aca="false">IFERROR(I31/I33,0)</f>
        <v>1.83759766587973</v>
      </c>
      <c r="J34" s="86" t="n">
        <f aca="false">IFERROR(J31/J33,0)</f>
        <v>1.83759766587973</v>
      </c>
      <c r="K34" s="86" t="n">
        <f aca="false">IFERROR(K31/K33,0)</f>
        <v>1.83759766587973</v>
      </c>
      <c r="L34" s="86" t="n">
        <f aca="false">IFERROR(L31/L33,0)</f>
        <v>1.83759766587973</v>
      </c>
      <c r="M34" s="86" t="n">
        <f aca="false">IFERROR(M31/M33,0)</f>
        <v>1.83759766587973</v>
      </c>
      <c r="N34" s="86" t="n">
        <f aca="false">IFERROR(N31/N33,0)</f>
        <v>1.83759766587973</v>
      </c>
      <c r="O34" s="85" t="n">
        <f aca="false">IFERROR(AVERAGE(P34:AA34),0)</f>
        <v>1.80666123098217</v>
      </c>
      <c r="P34" s="86" t="n">
        <f aca="false">IFERROR(P31/P33,0)</f>
        <v>1.80666123098217</v>
      </c>
      <c r="Q34" s="86" t="n">
        <f aca="false">IFERROR(Q31/Q33,0)</f>
        <v>1.80666123098217</v>
      </c>
      <c r="R34" s="86" t="n">
        <f aca="false">IFERROR(R31/R33,0)</f>
        <v>1.80666123098217</v>
      </c>
      <c r="S34" s="86" t="n">
        <f aca="false">IFERROR(S31/S33,0)</f>
        <v>1.80666123098217</v>
      </c>
      <c r="T34" s="86" t="n">
        <f aca="false">IFERROR(T31/T33,0)</f>
        <v>1.80666123098217</v>
      </c>
      <c r="U34" s="86" t="n">
        <f aca="false">IFERROR(U31/U33,0)</f>
        <v>1.80666123098217</v>
      </c>
      <c r="V34" s="86" t="n">
        <f aca="false">IFERROR(V31/V33,0)</f>
        <v>1.80666123098217</v>
      </c>
      <c r="W34" s="86" t="n">
        <f aca="false">IFERROR(W31/W33,0)</f>
        <v>1.80666123098217</v>
      </c>
      <c r="X34" s="86" t="n">
        <f aca="false">IFERROR(X31/X33,0)</f>
        <v>1.80666123098217</v>
      </c>
      <c r="Y34" s="86" t="n">
        <f aca="false">IFERROR(Y31/Y33,0)</f>
        <v>1.80666123098217</v>
      </c>
      <c r="Z34" s="86" t="n">
        <f aca="false">IFERROR(Z31/Z33,0)</f>
        <v>1.80666123098217</v>
      </c>
      <c r="AA34" s="86" t="n">
        <f aca="false">IFERROR(AA31/AA33,0)</f>
        <v>1.80666123098217</v>
      </c>
      <c r="AB34" s="85" t="n">
        <f aca="false">IFERROR(AVERAGE(AC34:AN34),0)</f>
        <v>1.75499408829102</v>
      </c>
      <c r="AC34" s="86" t="n">
        <f aca="false">IFERROR(AC31/AC33,0)</f>
        <v>1.75499408829102</v>
      </c>
      <c r="AD34" s="86" t="n">
        <f aca="false">IFERROR(AD31/AD33,0)</f>
        <v>1.75499408829102</v>
      </c>
      <c r="AE34" s="86" t="n">
        <f aca="false">IFERROR(AE31/AE33,0)</f>
        <v>1.75499408829102</v>
      </c>
      <c r="AF34" s="86" t="n">
        <f aca="false">IFERROR(AF31/AF33,0)</f>
        <v>1.75499408829102</v>
      </c>
      <c r="AG34" s="86" t="n">
        <f aca="false">IFERROR(AG31/AG33,0)</f>
        <v>1.75499408829102</v>
      </c>
      <c r="AH34" s="86" t="n">
        <f aca="false">IFERROR(AH31/AH33,0)</f>
        <v>1.75499408829102</v>
      </c>
      <c r="AI34" s="86" t="n">
        <f aca="false">IFERROR(AI31/AI33,0)</f>
        <v>1.75499408829102</v>
      </c>
      <c r="AJ34" s="86" t="n">
        <f aca="false">IFERROR(AJ31/AJ33,0)</f>
        <v>1.75499408829102</v>
      </c>
      <c r="AK34" s="86" t="n">
        <f aca="false">IFERROR(AK31/AK33,0)</f>
        <v>1.75499408829102</v>
      </c>
      <c r="AL34" s="86" t="n">
        <f aca="false">IFERROR(AL31/AL33,0)</f>
        <v>1.75499408829102</v>
      </c>
      <c r="AM34" s="86" t="n">
        <f aca="false">IFERROR(AM31/AM33,0)</f>
        <v>1.75499408829102</v>
      </c>
      <c r="AN34" s="86" t="n">
        <f aca="false">IFERROR(AN31/AN33,0)</f>
        <v>1.75499408829102</v>
      </c>
      <c r="AO34" s="85" t="n">
        <f aca="false">IFERROR(AVERAGE(AP34:BA34),0)</f>
        <v>1.76395486859748</v>
      </c>
      <c r="AP34" s="86" t="n">
        <f aca="false">IFERROR(AP31/AP33,0)</f>
        <v>1.76395486859748</v>
      </c>
      <c r="AQ34" s="86" t="n">
        <f aca="false">IFERROR(AQ31/AQ33,0)</f>
        <v>1.76395486859748</v>
      </c>
      <c r="AR34" s="86" t="n">
        <f aca="false">IFERROR(AR31/AR33,0)</f>
        <v>1.76395486859748</v>
      </c>
      <c r="AS34" s="86" t="n">
        <f aca="false">IFERROR(AS31/AS33,0)</f>
        <v>1.76395486859748</v>
      </c>
      <c r="AT34" s="86" t="n">
        <f aca="false">IFERROR(AT31/AT33,0)</f>
        <v>1.76395486859748</v>
      </c>
      <c r="AU34" s="86" t="n">
        <f aca="false">IFERROR(AU31/AU33,0)</f>
        <v>1.76395486859748</v>
      </c>
      <c r="AV34" s="86" t="n">
        <f aca="false">IFERROR(AV31/AV33,0)</f>
        <v>1.76395486859748</v>
      </c>
      <c r="AW34" s="86" t="n">
        <f aca="false">IFERROR(AW31/AW33,0)</f>
        <v>1.76395486859748</v>
      </c>
      <c r="AX34" s="86" t="n">
        <f aca="false">IFERROR(AX31/AX33,0)</f>
        <v>1.76395486859748</v>
      </c>
      <c r="AY34" s="86" t="n">
        <f aca="false">IFERROR(AY31/AY33,0)</f>
        <v>1.76395486859748</v>
      </c>
      <c r="AZ34" s="86" t="n">
        <f aca="false">IFERROR(AZ31/AZ33,0)</f>
        <v>1.76395486859748</v>
      </c>
      <c r="BA34" s="86" t="n">
        <f aca="false">IFERROR(BA31/BA33,0)</f>
        <v>1.76395486859748</v>
      </c>
      <c r="BB34" s="85" t="n">
        <f aca="false">IFERROR(AVERAGE(BC34:BN34),0)</f>
        <v>1.74845002066001</v>
      </c>
      <c r="BC34" s="86" t="n">
        <f aca="false">IFERROR(BC31/BC33,0)</f>
        <v>1.74845002066001</v>
      </c>
      <c r="BD34" s="86" t="n">
        <f aca="false">IFERROR(BD31/BD33,0)</f>
        <v>1.74845002066001</v>
      </c>
      <c r="BE34" s="86" t="n">
        <f aca="false">IFERROR(BE31/BE33,0)</f>
        <v>1.74845002066001</v>
      </c>
      <c r="BF34" s="86" t="n">
        <f aca="false">IFERROR(BF31/BF33,0)</f>
        <v>1.74845002066001</v>
      </c>
      <c r="BG34" s="86" t="n">
        <f aca="false">IFERROR(BG31/BG33,0)</f>
        <v>1.74845002066001</v>
      </c>
      <c r="BH34" s="86" t="n">
        <f aca="false">IFERROR(BH31/BH33,0)</f>
        <v>1.74845002066001</v>
      </c>
      <c r="BI34" s="86" t="n">
        <f aca="false">IFERROR(BI31/BI33,0)</f>
        <v>1.74845002066001</v>
      </c>
      <c r="BJ34" s="86" t="n">
        <f aca="false">IFERROR(BJ31/BJ33,0)</f>
        <v>1.74845002066001</v>
      </c>
      <c r="BK34" s="86" t="n">
        <f aca="false">IFERROR(BK31/BK33,0)</f>
        <v>1.74845002066001</v>
      </c>
      <c r="BL34" s="86" t="n">
        <f aca="false">IFERROR(BL31/BL33,0)</f>
        <v>1.74845002066001</v>
      </c>
      <c r="BM34" s="86" t="n">
        <f aca="false">IFERROR(BM31/BM33,0)</f>
        <v>1.74845002066001</v>
      </c>
      <c r="BN34" s="86" t="n">
        <f aca="false">IFERROR(BN31/BN33,0)</f>
        <v>1.74845002066001</v>
      </c>
    </row>
    <row r="36" customFormat="false" ht="16.5" hidden="false" customHeight="true" outlineLevel="0" collapsed="false">
      <c r="A36" s="15" t="s">
        <v>627</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row>
    <row r="37" customFormat="false" ht="15" hidden="false" customHeight="true" outlineLevel="0" collapsed="false">
      <c r="A37" s="26" t="s">
        <v>505</v>
      </c>
      <c r="B37" s="62" t="s">
        <v>80</v>
      </c>
      <c r="C37" s="63" t="s">
        <v>506</v>
      </c>
      <c r="D37" s="63" t="s">
        <v>507</v>
      </c>
      <c r="E37" s="63" t="s">
        <v>508</v>
      </c>
      <c r="F37" s="63" t="s">
        <v>509</v>
      </c>
      <c r="G37" s="63" t="s">
        <v>510</v>
      </c>
      <c r="H37" s="63" t="s">
        <v>511</v>
      </c>
      <c r="I37" s="63" t="s">
        <v>512</v>
      </c>
      <c r="J37" s="63" t="s">
        <v>513</v>
      </c>
      <c r="K37" s="63" t="s">
        <v>514</v>
      </c>
      <c r="L37" s="63" t="s">
        <v>515</v>
      </c>
      <c r="M37" s="63" t="s">
        <v>516</v>
      </c>
      <c r="N37" s="63" t="s">
        <v>517</v>
      </c>
      <c r="O37" s="62" t="s">
        <v>81</v>
      </c>
      <c r="P37" s="64" t="s">
        <v>518</v>
      </c>
      <c r="Q37" s="64" t="s">
        <v>519</v>
      </c>
      <c r="R37" s="64" t="s">
        <v>520</v>
      </c>
      <c r="S37" s="64" t="s">
        <v>521</v>
      </c>
      <c r="T37" s="64" t="s">
        <v>522</v>
      </c>
      <c r="U37" s="64" t="s">
        <v>523</v>
      </c>
      <c r="V37" s="64" t="s">
        <v>524</v>
      </c>
      <c r="W37" s="64" t="s">
        <v>525</v>
      </c>
      <c r="X37" s="64" t="s">
        <v>526</v>
      </c>
      <c r="Y37" s="64" t="s">
        <v>527</v>
      </c>
      <c r="Z37" s="64" t="s">
        <v>528</v>
      </c>
      <c r="AA37" s="64" t="s">
        <v>529</v>
      </c>
      <c r="AB37" s="62" t="s">
        <v>82</v>
      </c>
      <c r="AC37" s="63" t="s">
        <v>530</v>
      </c>
      <c r="AD37" s="63" t="s">
        <v>531</v>
      </c>
      <c r="AE37" s="63" t="s">
        <v>532</v>
      </c>
      <c r="AF37" s="63" t="s">
        <v>533</v>
      </c>
      <c r="AG37" s="63" t="s">
        <v>534</v>
      </c>
      <c r="AH37" s="63" t="s">
        <v>535</v>
      </c>
      <c r="AI37" s="63" t="s">
        <v>536</v>
      </c>
      <c r="AJ37" s="63" t="s">
        <v>537</v>
      </c>
      <c r="AK37" s="63" t="s">
        <v>538</v>
      </c>
      <c r="AL37" s="63" t="s">
        <v>539</v>
      </c>
      <c r="AM37" s="63" t="s">
        <v>540</v>
      </c>
      <c r="AN37" s="63" t="s">
        <v>541</v>
      </c>
      <c r="AO37" s="62" t="s">
        <v>83</v>
      </c>
      <c r="AP37" s="64" t="s">
        <v>542</v>
      </c>
      <c r="AQ37" s="64" t="s">
        <v>543</v>
      </c>
      <c r="AR37" s="64" t="s">
        <v>544</v>
      </c>
      <c r="AS37" s="64" t="s">
        <v>545</v>
      </c>
      <c r="AT37" s="64" t="s">
        <v>546</v>
      </c>
      <c r="AU37" s="64" t="s">
        <v>547</v>
      </c>
      <c r="AV37" s="64" t="s">
        <v>548</v>
      </c>
      <c r="AW37" s="64" t="s">
        <v>549</v>
      </c>
      <c r="AX37" s="64" t="s">
        <v>550</v>
      </c>
      <c r="AY37" s="64" t="s">
        <v>551</v>
      </c>
      <c r="AZ37" s="64" t="s">
        <v>552</v>
      </c>
      <c r="BA37" s="64" t="s">
        <v>553</v>
      </c>
      <c r="BB37" s="62" t="s">
        <v>84</v>
      </c>
      <c r="BC37" s="63" t="s">
        <v>554</v>
      </c>
      <c r="BD37" s="63" t="s">
        <v>555</v>
      </c>
      <c r="BE37" s="63" t="s">
        <v>556</v>
      </c>
      <c r="BF37" s="63" t="s">
        <v>557</v>
      </c>
      <c r="BG37" s="63" t="s">
        <v>558</v>
      </c>
      <c r="BH37" s="63" t="s">
        <v>559</v>
      </c>
      <c r="BI37" s="63" t="s">
        <v>560</v>
      </c>
      <c r="BJ37" s="63" t="s">
        <v>561</v>
      </c>
      <c r="BK37" s="63" t="s">
        <v>562</v>
      </c>
      <c r="BL37" s="63" t="s">
        <v>563</v>
      </c>
      <c r="BM37" s="63" t="s">
        <v>564</v>
      </c>
      <c r="BN37" s="63" t="s">
        <v>565</v>
      </c>
    </row>
    <row r="38" customFormat="false" ht="15" hidden="false" customHeight="false" outlineLevel="0" collapsed="false">
      <c r="A38" s="12" t="s">
        <v>357</v>
      </c>
      <c r="B38" s="81" t="n">
        <f aca="false">SUM(C38:N38)</f>
        <v>9.6</v>
      </c>
      <c r="C38" s="82" t="n">
        <f aca="false">'Assumption Setting'!$C$98</f>
        <v>0.8</v>
      </c>
      <c r="D38" s="82" t="n">
        <f aca="false">'Assumption Setting'!$C$98</f>
        <v>0.8</v>
      </c>
      <c r="E38" s="82" t="n">
        <f aca="false">'Assumption Setting'!$C$98</f>
        <v>0.8</v>
      </c>
      <c r="F38" s="82" t="n">
        <f aca="false">'Assumption Setting'!$C$98</f>
        <v>0.8</v>
      </c>
      <c r="G38" s="82" t="n">
        <f aca="false">'Assumption Setting'!$C$98</f>
        <v>0.8</v>
      </c>
      <c r="H38" s="82" t="n">
        <f aca="false">'Assumption Setting'!$C$98</f>
        <v>0.8</v>
      </c>
      <c r="I38" s="82" t="n">
        <f aca="false">'Assumption Setting'!$C$98</f>
        <v>0.8</v>
      </c>
      <c r="J38" s="82" t="n">
        <f aca="false">'Assumption Setting'!$C$98</f>
        <v>0.8</v>
      </c>
      <c r="K38" s="82" t="n">
        <f aca="false">'Assumption Setting'!$C$98</f>
        <v>0.8</v>
      </c>
      <c r="L38" s="82" t="n">
        <f aca="false">'Assumption Setting'!$C$98</f>
        <v>0.8</v>
      </c>
      <c r="M38" s="82" t="n">
        <f aca="false">'Assumption Setting'!$C$98</f>
        <v>0.8</v>
      </c>
      <c r="N38" s="82" t="n">
        <f aca="false">'Assumption Setting'!$C$98</f>
        <v>0.8</v>
      </c>
      <c r="O38" s="81" t="n">
        <f aca="false">SUM(P38:AA38)</f>
        <v>60</v>
      </c>
      <c r="P38" s="82" t="n">
        <f aca="false">'Assumption Setting'!$D$98</f>
        <v>5</v>
      </c>
      <c r="Q38" s="82" t="n">
        <f aca="false">'Assumption Setting'!$D$98</f>
        <v>5</v>
      </c>
      <c r="R38" s="82" t="n">
        <f aca="false">'Assumption Setting'!$D$98</f>
        <v>5</v>
      </c>
      <c r="S38" s="82" t="n">
        <f aca="false">'Assumption Setting'!$D$98</f>
        <v>5</v>
      </c>
      <c r="T38" s="82" t="n">
        <f aca="false">'Assumption Setting'!$D$98</f>
        <v>5</v>
      </c>
      <c r="U38" s="82" t="n">
        <f aca="false">'Assumption Setting'!$D$98</f>
        <v>5</v>
      </c>
      <c r="V38" s="82" t="n">
        <f aca="false">'Assumption Setting'!$D$98</f>
        <v>5</v>
      </c>
      <c r="W38" s="82" t="n">
        <f aca="false">'Assumption Setting'!$D$98</f>
        <v>5</v>
      </c>
      <c r="X38" s="82" t="n">
        <f aca="false">'Assumption Setting'!$D$98</f>
        <v>5</v>
      </c>
      <c r="Y38" s="82" t="n">
        <f aca="false">'Assumption Setting'!$D$98</f>
        <v>5</v>
      </c>
      <c r="Z38" s="82" t="n">
        <f aca="false">'Assumption Setting'!$D$98</f>
        <v>5</v>
      </c>
      <c r="AA38" s="82" t="n">
        <f aca="false">'Assumption Setting'!$D$98</f>
        <v>5</v>
      </c>
      <c r="AB38" s="81" t="n">
        <f aca="false">SUM(AC38:AN38)</f>
        <v>120</v>
      </c>
      <c r="AC38" s="82" t="n">
        <f aca="false">'Assumption Setting'!$E$98</f>
        <v>10</v>
      </c>
      <c r="AD38" s="82" t="n">
        <f aca="false">'Assumption Setting'!$E$98</f>
        <v>10</v>
      </c>
      <c r="AE38" s="82" t="n">
        <f aca="false">'Assumption Setting'!$E$98</f>
        <v>10</v>
      </c>
      <c r="AF38" s="82" t="n">
        <f aca="false">'Assumption Setting'!$E$98</f>
        <v>10</v>
      </c>
      <c r="AG38" s="82" t="n">
        <f aca="false">'Assumption Setting'!$E$98</f>
        <v>10</v>
      </c>
      <c r="AH38" s="82" t="n">
        <f aca="false">'Assumption Setting'!$E$98</f>
        <v>10</v>
      </c>
      <c r="AI38" s="82" t="n">
        <f aca="false">'Assumption Setting'!$E$98</f>
        <v>10</v>
      </c>
      <c r="AJ38" s="82" t="n">
        <f aca="false">'Assumption Setting'!$E$98</f>
        <v>10</v>
      </c>
      <c r="AK38" s="82" t="n">
        <f aca="false">'Assumption Setting'!$E$98</f>
        <v>10</v>
      </c>
      <c r="AL38" s="82" t="n">
        <f aca="false">'Assumption Setting'!$E$98</f>
        <v>10</v>
      </c>
      <c r="AM38" s="82" t="n">
        <f aca="false">'Assumption Setting'!$E$98</f>
        <v>10</v>
      </c>
      <c r="AN38" s="82" t="n">
        <f aca="false">'Assumption Setting'!$E$98</f>
        <v>10</v>
      </c>
      <c r="AO38" s="81" t="n">
        <f aca="false">SUM(AP38:BA38)</f>
        <v>156</v>
      </c>
      <c r="AP38" s="82" t="n">
        <f aca="false">'Assumption Setting'!$F$98</f>
        <v>13</v>
      </c>
      <c r="AQ38" s="82" t="n">
        <f aca="false">'Assumption Setting'!$F$98</f>
        <v>13</v>
      </c>
      <c r="AR38" s="82" t="n">
        <f aca="false">'Assumption Setting'!$F$98</f>
        <v>13</v>
      </c>
      <c r="AS38" s="82" t="n">
        <f aca="false">'Assumption Setting'!$F$98</f>
        <v>13</v>
      </c>
      <c r="AT38" s="82" t="n">
        <f aca="false">'Assumption Setting'!$F$98</f>
        <v>13</v>
      </c>
      <c r="AU38" s="82" t="n">
        <f aca="false">'Assumption Setting'!$F$98</f>
        <v>13</v>
      </c>
      <c r="AV38" s="82" t="n">
        <f aca="false">'Assumption Setting'!$F$98</f>
        <v>13</v>
      </c>
      <c r="AW38" s="82" t="n">
        <f aca="false">'Assumption Setting'!$F$98</f>
        <v>13</v>
      </c>
      <c r="AX38" s="82" t="n">
        <f aca="false">'Assumption Setting'!$F$98</f>
        <v>13</v>
      </c>
      <c r="AY38" s="82" t="n">
        <f aca="false">'Assumption Setting'!$F$98</f>
        <v>13</v>
      </c>
      <c r="AZ38" s="82" t="n">
        <f aca="false">'Assumption Setting'!$F$98</f>
        <v>13</v>
      </c>
      <c r="BA38" s="82" t="n">
        <f aca="false">'Assumption Setting'!$F$98</f>
        <v>13</v>
      </c>
      <c r="BB38" s="81" t="n">
        <f aca="false">SUM(BC38:BN38)</f>
        <v>192</v>
      </c>
      <c r="BC38" s="82" t="n">
        <f aca="false">'Assumption Setting'!$G$98</f>
        <v>16</v>
      </c>
      <c r="BD38" s="82" t="n">
        <f aca="false">'Assumption Setting'!$G$98</f>
        <v>16</v>
      </c>
      <c r="BE38" s="82" t="n">
        <f aca="false">'Assumption Setting'!$G$98</f>
        <v>16</v>
      </c>
      <c r="BF38" s="82" t="n">
        <f aca="false">'Assumption Setting'!$G$98</f>
        <v>16</v>
      </c>
      <c r="BG38" s="82" t="n">
        <f aca="false">'Assumption Setting'!$G$98</f>
        <v>16</v>
      </c>
      <c r="BH38" s="82" t="n">
        <f aca="false">'Assumption Setting'!$G$98</f>
        <v>16</v>
      </c>
      <c r="BI38" s="82" t="n">
        <f aca="false">'Assumption Setting'!$G$98</f>
        <v>16</v>
      </c>
      <c r="BJ38" s="82" t="n">
        <f aca="false">'Assumption Setting'!$G$98</f>
        <v>16</v>
      </c>
      <c r="BK38" s="82" t="n">
        <f aca="false">'Assumption Setting'!$G$98</f>
        <v>16</v>
      </c>
      <c r="BL38" s="82" t="n">
        <f aca="false">'Assumption Setting'!$G$98</f>
        <v>16</v>
      </c>
      <c r="BM38" s="82" t="n">
        <f aca="false">'Assumption Setting'!$G$98</f>
        <v>16</v>
      </c>
      <c r="BN38" s="82" t="n">
        <f aca="false">'Assumption Setting'!$G$98</f>
        <v>16</v>
      </c>
    </row>
    <row r="39" customFormat="false" ht="15" hidden="false" customHeight="false" outlineLevel="0" collapsed="false">
      <c r="A39" s="12" t="s">
        <v>628</v>
      </c>
      <c r="B39" s="65" t="n">
        <f aca="false">SUM(C39:N39)</f>
        <v>2400</v>
      </c>
      <c r="C39" s="66" t="n">
        <f aca="false">C38*'Assumption Setting'!$H$98</f>
        <v>200</v>
      </c>
      <c r="D39" s="66" t="n">
        <f aca="false">D38*'Assumption Setting'!$H$98</f>
        <v>200</v>
      </c>
      <c r="E39" s="66" t="n">
        <f aca="false">E38*'Assumption Setting'!$H$98</f>
        <v>200</v>
      </c>
      <c r="F39" s="66" t="n">
        <f aca="false">F38*'Assumption Setting'!$H$98</f>
        <v>200</v>
      </c>
      <c r="G39" s="66" t="n">
        <f aca="false">G38*'Assumption Setting'!$H$98</f>
        <v>200</v>
      </c>
      <c r="H39" s="66" t="n">
        <f aca="false">H38*'Assumption Setting'!$H$98</f>
        <v>200</v>
      </c>
      <c r="I39" s="66" t="n">
        <f aca="false">I38*'Assumption Setting'!$H$98</f>
        <v>200</v>
      </c>
      <c r="J39" s="66" t="n">
        <f aca="false">J38*'Assumption Setting'!$H$98</f>
        <v>200</v>
      </c>
      <c r="K39" s="66" t="n">
        <f aca="false">K38*'Assumption Setting'!$H$98</f>
        <v>200</v>
      </c>
      <c r="L39" s="66" t="n">
        <f aca="false">L38*'Assumption Setting'!$H$98</f>
        <v>200</v>
      </c>
      <c r="M39" s="66" t="n">
        <f aca="false">M38*'Assumption Setting'!$H$98</f>
        <v>200</v>
      </c>
      <c r="N39" s="66" t="n">
        <f aca="false">N38*'Assumption Setting'!$H$98</f>
        <v>200</v>
      </c>
      <c r="O39" s="65" t="n">
        <f aca="false">SUM(P39:AA39)</f>
        <v>15000</v>
      </c>
      <c r="P39" s="66" t="n">
        <f aca="false">P38*'Assumption Setting'!$H$98</f>
        <v>1250</v>
      </c>
      <c r="Q39" s="66" t="n">
        <f aca="false">Q38*'Assumption Setting'!$H$98</f>
        <v>1250</v>
      </c>
      <c r="R39" s="66" t="n">
        <f aca="false">R38*'Assumption Setting'!$H$98</f>
        <v>1250</v>
      </c>
      <c r="S39" s="66" t="n">
        <f aca="false">S38*'Assumption Setting'!$H$98</f>
        <v>1250</v>
      </c>
      <c r="T39" s="66" t="n">
        <f aca="false">T38*'Assumption Setting'!$H$98</f>
        <v>1250</v>
      </c>
      <c r="U39" s="66" t="n">
        <f aca="false">U38*'Assumption Setting'!$H$98</f>
        <v>1250</v>
      </c>
      <c r="V39" s="66" t="n">
        <f aca="false">V38*'Assumption Setting'!$H$98</f>
        <v>1250</v>
      </c>
      <c r="W39" s="66" t="n">
        <f aca="false">W38*'Assumption Setting'!$H$98</f>
        <v>1250</v>
      </c>
      <c r="X39" s="66" t="n">
        <f aca="false">X38*'Assumption Setting'!$H$98</f>
        <v>1250</v>
      </c>
      <c r="Y39" s="66" t="n">
        <f aca="false">Y38*'Assumption Setting'!$H$98</f>
        <v>1250</v>
      </c>
      <c r="Z39" s="66" t="n">
        <f aca="false">Z38*'Assumption Setting'!$H$98</f>
        <v>1250</v>
      </c>
      <c r="AA39" s="66" t="n">
        <f aca="false">AA38*'Assumption Setting'!$H$98</f>
        <v>1250</v>
      </c>
      <c r="AB39" s="65" t="n">
        <f aca="false">SUM(AC39:AN39)</f>
        <v>30000</v>
      </c>
      <c r="AC39" s="66" t="n">
        <f aca="false">AC38*'Assumption Setting'!$H$98</f>
        <v>2500</v>
      </c>
      <c r="AD39" s="66" t="n">
        <f aca="false">AD38*'Assumption Setting'!$H$98</f>
        <v>2500</v>
      </c>
      <c r="AE39" s="66" t="n">
        <f aca="false">AE38*'Assumption Setting'!$H$98</f>
        <v>2500</v>
      </c>
      <c r="AF39" s="66" t="n">
        <f aca="false">AF38*'Assumption Setting'!$H$98</f>
        <v>2500</v>
      </c>
      <c r="AG39" s="66" t="n">
        <f aca="false">AG38*'Assumption Setting'!$H$98</f>
        <v>2500</v>
      </c>
      <c r="AH39" s="66" t="n">
        <f aca="false">AH38*'Assumption Setting'!$H$98</f>
        <v>2500</v>
      </c>
      <c r="AI39" s="66" t="n">
        <f aca="false">AI38*'Assumption Setting'!$H$98</f>
        <v>2500</v>
      </c>
      <c r="AJ39" s="66" t="n">
        <f aca="false">AJ38*'Assumption Setting'!$H$98</f>
        <v>2500</v>
      </c>
      <c r="AK39" s="66" t="n">
        <f aca="false">AK38*'Assumption Setting'!$H$98</f>
        <v>2500</v>
      </c>
      <c r="AL39" s="66" t="n">
        <f aca="false">AL38*'Assumption Setting'!$H$98</f>
        <v>2500</v>
      </c>
      <c r="AM39" s="66" t="n">
        <f aca="false">AM38*'Assumption Setting'!$H$98</f>
        <v>2500</v>
      </c>
      <c r="AN39" s="66" t="n">
        <f aca="false">AN38*'Assumption Setting'!$H$98</f>
        <v>2500</v>
      </c>
      <c r="AO39" s="65" t="n">
        <f aca="false">SUM(AP39:BA39)</f>
        <v>39000</v>
      </c>
      <c r="AP39" s="66" t="n">
        <f aca="false">AP38*'Assumption Setting'!$H$98</f>
        <v>3250</v>
      </c>
      <c r="AQ39" s="66" t="n">
        <f aca="false">AQ38*'Assumption Setting'!$H$98</f>
        <v>3250</v>
      </c>
      <c r="AR39" s="66" t="n">
        <f aca="false">AR38*'Assumption Setting'!$H$98</f>
        <v>3250</v>
      </c>
      <c r="AS39" s="66" t="n">
        <f aca="false">AS38*'Assumption Setting'!$H$98</f>
        <v>3250</v>
      </c>
      <c r="AT39" s="66" t="n">
        <f aca="false">AT38*'Assumption Setting'!$H$98</f>
        <v>3250</v>
      </c>
      <c r="AU39" s="66" t="n">
        <f aca="false">AU38*'Assumption Setting'!$H$98</f>
        <v>3250</v>
      </c>
      <c r="AV39" s="66" t="n">
        <f aca="false">AV38*'Assumption Setting'!$H$98</f>
        <v>3250</v>
      </c>
      <c r="AW39" s="66" t="n">
        <f aca="false">AW38*'Assumption Setting'!$H$98</f>
        <v>3250</v>
      </c>
      <c r="AX39" s="66" t="n">
        <f aca="false">AX38*'Assumption Setting'!$H$98</f>
        <v>3250</v>
      </c>
      <c r="AY39" s="66" t="n">
        <f aca="false">AY38*'Assumption Setting'!$H$98</f>
        <v>3250</v>
      </c>
      <c r="AZ39" s="66" t="n">
        <f aca="false">AZ38*'Assumption Setting'!$H$98</f>
        <v>3250</v>
      </c>
      <c r="BA39" s="66" t="n">
        <f aca="false">BA38*'Assumption Setting'!$H$98</f>
        <v>3250</v>
      </c>
      <c r="BB39" s="65" t="n">
        <f aca="false">SUM(BC39:BN39)</f>
        <v>48000</v>
      </c>
      <c r="BC39" s="66" t="n">
        <f aca="false">BC38*'Assumption Setting'!$H$98</f>
        <v>4000</v>
      </c>
      <c r="BD39" s="66" t="n">
        <f aca="false">BD38*'Assumption Setting'!$H$98</f>
        <v>4000</v>
      </c>
      <c r="BE39" s="66" t="n">
        <f aca="false">BE38*'Assumption Setting'!$H$98</f>
        <v>4000</v>
      </c>
      <c r="BF39" s="66" t="n">
        <f aca="false">BF38*'Assumption Setting'!$H$98</f>
        <v>4000</v>
      </c>
      <c r="BG39" s="66" t="n">
        <f aca="false">BG38*'Assumption Setting'!$H$98</f>
        <v>4000</v>
      </c>
      <c r="BH39" s="66" t="n">
        <f aca="false">BH38*'Assumption Setting'!$H$98</f>
        <v>4000</v>
      </c>
      <c r="BI39" s="66" t="n">
        <f aca="false">BI38*'Assumption Setting'!$H$98</f>
        <v>4000</v>
      </c>
      <c r="BJ39" s="66" t="n">
        <f aca="false">BJ38*'Assumption Setting'!$H$98</f>
        <v>4000</v>
      </c>
      <c r="BK39" s="66" t="n">
        <f aca="false">BK38*'Assumption Setting'!$H$98</f>
        <v>4000</v>
      </c>
      <c r="BL39" s="66" t="n">
        <f aca="false">BL38*'Assumption Setting'!$H$98</f>
        <v>4000</v>
      </c>
      <c r="BM39" s="66" t="n">
        <f aca="false">BM38*'Assumption Setting'!$H$98</f>
        <v>4000</v>
      </c>
      <c r="BN39" s="66" t="n">
        <f aca="false">BN38*'Assumption Setting'!$H$98</f>
        <v>4000</v>
      </c>
    </row>
    <row r="40" customFormat="false" ht="15" hidden="false" customHeight="false" outlineLevel="0" collapsed="false">
      <c r="A40" s="12" t="s">
        <v>629</v>
      </c>
      <c r="B40" s="79" t="n">
        <f aca="false">SUM(C40:N40)</f>
        <v>384</v>
      </c>
      <c r="C40" s="80" t="n">
        <f aca="false">C38*'Assumption Setting'!$I$98</f>
        <v>32</v>
      </c>
      <c r="D40" s="80" t="n">
        <f aca="false">D38*'Assumption Setting'!$I$98</f>
        <v>32</v>
      </c>
      <c r="E40" s="80" t="n">
        <f aca="false">E38*'Assumption Setting'!$I$98</f>
        <v>32</v>
      </c>
      <c r="F40" s="80" t="n">
        <f aca="false">F38*'Assumption Setting'!$I$98</f>
        <v>32</v>
      </c>
      <c r="G40" s="80" t="n">
        <f aca="false">G38*'Assumption Setting'!$I$98</f>
        <v>32</v>
      </c>
      <c r="H40" s="80" t="n">
        <f aca="false">H38*'Assumption Setting'!$I$98</f>
        <v>32</v>
      </c>
      <c r="I40" s="80" t="n">
        <f aca="false">I38*'Assumption Setting'!$I$98</f>
        <v>32</v>
      </c>
      <c r="J40" s="80" t="n">
        <f aca="false">J38*'Assumption Setting'!$I$98</f>
        <v>32</v>
      </c>
      <c r="K40" s="80" t="n">
        <f aca="false">K38*'Assumption Setting'!$I$98</f>
        <v>32</v>
      </c>
      <c r="L40" s="80" t="n">
        <f aca="false">L38*'Assumption Setting'!$I$98</f>
        <v>32</v>
      </c>
      <c r="M40" s="80" t="n">
        <f aca="false">M38*'Assumption Setting'!$I$98</f>
        <v>32</v>
      </c>
      <c r="N40" s="80" t="n">
        <f aca="false">N38*'Assumption Setting'!$I$98</f>
        <v>32</v>
      </c>
      <c r="O40" s="79" t="n">
        <f aca="false">SUM(P40:AA40)</f>
        <v>2400</v>
      </c>
      <c r="P40" s="80" t="n">
        <f aca="false">P38*'Assumption Setting'!$I$98</f>
        <v>200</v>
      </c>
      <c r="Q40" s="80" t="n">
        <f aca="false">Q38*'Assumption Setting'!$I$98</f>
        <v>200</v>
      </c>
      <c r="R40" s="80" t="n">
        <f aca="false">R38*'Assumption Setting'!$I$98</f>
        <v>200</v>
      </c>
      <c r="S40" s="80" t="n">
        <f aca="false">S38*'Assumption Setting'!$I$98</f>
        <v>200</v>
      </c>
      <c r="T40" s="80" t="n">
        <f aca="false">T38*'Assumption Setting'!$I$98</f>
        <v>200</v>
      </c>
      <c r="U40" s="80" t="n">
        <f aca="false">U38*'Assumption Setting'!$I$98</f>
        <v>200</v>
      </c>
      <c r="V40" s="80" t="n">
        <f aca="false">V38*'Assumption Setting'!$I$98</f>
        <v>200</v>
      </c>
      <c r="W40" s="80" t="n">
        <f aca="false">W38*'Assumption Setting'!$I$98</f>
        <v>200</v>
      </c>
      <c r="X40" s="80" t="n">
        <f aca="false">X38*'Assumption Setting'!$I$98</f>
        <v>200</v>
      </c>
      <c r="Y40" s="80" t="n">
        <f aca="false">Y38*'Assumption Setting'!$I$98</f>
        <v>200</v>
      </c>
      <c r="Z40" s="80" t="n">
        <f aca="false">Z38*'Assumption Setting'!$I$98</f>
        <v>200</v>
      </c>
      <c r="AA40" s="80" t="n">
        <f aca="false">AA38*'Assumption Setting'!$I$98</f>
        <v>200</v>
      </c>
      <c r="AB40" s="79" t="n">
        <f aca="false">SUM(AC40:AN40)</f>
        <v>4800</v>
      </c>
      <c r="AC40" s="80" t="n">
        <f aca="false">AC38*'Assumption Setting'!$I$98</f>
        <v>400</v>
      </c>
      <c r="AD40" s="80" t="n">
        <f aca="false">AD38*'Assumption Setting'!$I$98</f>
        <v>400</v>
      </c>
      <c r="AE40" s="80" t="n">
        <f aca="false">AE38*'Assumption Setting'!$I$98</f>
        <v>400</v>
      </c>
      <c r="AF40" s="80" t="n">
        <f aca="false">AF38*'Assumption Setting'!$I$98</f>
        <v>400</v>
      </c>
      <c r="AG40" s="80" t="n">
        <f aca="false">AG38*'Assumption Setting'!$I$98</f>
        <v>400</v>
      </c>
      <c r="AH40" s="80" t="n">
        <f aca="false">AH38*'Assumption Setting'!$I$98</f>
        <v>400</v>
      </c>
      <c r="AI40" s="80" t="n">
        <f aca="false">AI38*'Assumption Setting'!$I$98</f>
        <v>400</v>
      </c>
      <c r="AJ40" s="80" t="n">
        <f aca="false">AJ38*'Assumption Setting'!$I$98</f>
        <v>400</v>
      </c>
      <c r="AK40" s="80" t="n">
        <f aca="false">AK38*'Assumption Setting'!$I$98</f>
        <v>400</v>
      </c>
      <c r="AL40" s="80" t="n">
        <f aca="false">AL38*'Assumption Setting'!$I$98</f>
        <v>400</v>
      </c>
      <c r="AM40" s="80" t="n">
        <f aca="false">AM38*'Assumption Setting'!$I$98</f>
        <v>400</v>
      </c>
      <c r="AN40" s="80" t="n">
        <f aca="false">AN38*'Assumption Setting'!$I$98</f>
        <v>400</v>
      </c>
      <c r="AO40" s="79" t="n">
        <f aca="false">SUM(AP40:BA40)</f>
        <v>6240</v>
      </c>
      <c r="AP40" s="80" t="n">
        <f aca="false">AP38*'Assumption Setting'!$I$98</f>
        <v>520</v>
      </c>
      <c r="AQ40" s="80" t="n">
        <f aca="false">AQ38*'Assumption Setting'!$I$98</f>
        <v>520</v>
      </c>
      <c r="AR40" s="80" t="n">
        <f aca="false">AR38*'Assumption Setting'!$I$98</f>
        <v>520</v>
      </c>
      <c r="AS40" s="80" t="n">
        <f aca="false">AS38*'Assumption Setting'!$I$98</f>
        <v>520</v>
      </c>
      <c r="AT40" s="80" t="n">
        <f aca="false">AT38*'Assumption Setting'!$I$98</f>
        <v>520</v>
      </c>
      <c r="AU40" s="80" t="n">
        <f aca="false">AU38*'Assumption Setting'!$I$98</f>
        <v>520</v>
      </c>
      <c r="AV40" s="80" t="n">
        <f aca="false">AV38*'Assumption Setting'!$I$98</f>
        <v>520</v>
      </c>
      <c r="AW40" s="80" t="n">
        <f aca="false">AW38*'Assumption Setting'!$I$98</f>
        <v>520</v>
      </c>
      <c r="AX40" s="80" t="n">
        <f aca="false">AX38*'Assumption Setting'!$I$98</f>
        <v>520</v>
      </c>
      <c r="AY40" s="80" t="n">
        <f aca="false">AY38*'Assumption Setting'!$I$98</f>
        <v>520</v>
      </c>
      <c r="AZ40" s="80" t="n">
        <f aca="false">AZ38*'Assumption Setting'!$I$98</f>
        <v>520</v>
      </c>
      <c r="BA40" s="80" t="n">
        <f aca="false">BA38*'Assumption Setting'!$I$98</f>
        <v>520</v>
      </c>
      <c r="BB40" s="79" t="n">
        <f aca="false">SUM(BC40:BN40)</f>
        <v>7680</v>
      </c>
      <c r="BC40" s="80" t="n">
        <f aca="false">BC38*'Assumption Setting'!$I$98</f>
        <v>640</v>
      </c>
      <c r="BD40" s="80" t="n">
        <f aca="false">BD38*'Assumption Setting'!$I$98</f>
        <v>640</v>
      </c>
      <c r="BE40" s="80" t="n">
        <f aca="false">BE38*'Assumption Setting'!$I$98</f>
        <v>640</v>
      </c>
      <c r="BF40" s="80" t="n">
        <f aca="false">BF38*'Assumption Setting'!$I$98</f>
        <v>640</v>
      </c>
      <c r="BG40" s="80" t="n">
        <f aca="false">BG38*'Assumption Setting'!$I$98</f>
        <v>640</v>
      </c>
      <c r="BH40" s="80" t="n">
        <f aca="false">BH38*'Assumption Setting'!$I$98</f>
        <v>640</v>
      </c>
      <c r="BI40" s="80" t="n">
        <f aca="false">BI38*'Assumption Setting'!$I$98</f>
        <v>640</v>
      </c>
      <c r="BJ40" s="80" t="n">
        <f aca="false">BJ38*'Assumption Setting'!$I$98</f>
        <v>640</v>
      </c>
      <c r="BK40" s="80" t="n">
        <f aca="false">BK38*'Assumption Setting'!$I$98</f>
        <v>640</v>
      </c>
      <c r="BL40" s="80" t="n">
        <f aca="false">BL38*'Assumption Setting'!$I$98</f>
        <v>640</v>
      </c>
      <c r="BM40" s="80" t="n">
        <f aca="false">BM38*'Assumption Setting'!$I$98</f>
        <v>640</v>
      </c>
      <c r="BN40" s="80" t="n">
        <f aca="false">BN38*'Assumption Setting'!$I$98</f>
        <v>640</v>
      </c>
    </row>
    <row r="41" customFormat="false" ht="15" hidden="false" customHeight="false" outlineLevel="0" collapsed="false">
      <c r="A41" s="12" t="s">
        <v>630</v>
      </c>
      <c r="B41" s="81" t="n">
        <f aca="false">SUM(C41:N41)</f>
        <v>11.52</v>
      </c>
      <c r="C41" s="82" t="n">
        <f aca="false">C38*'Assumption Setting'!$J$98</f>
        <v>0.96</v>
      </c>
      <c r="D41" s="82" t="n">
        <f aca="false">D38*'Assumption Setting'!$J$98</f>
        <v>0.96</v>
      </c>
      <c r="E41" s="82" t="n">
        <f aca="false">E38*'Assumption Setting'!$J$98</f>
        <v>0.96</v>
      </c>
      <c r="F41" s="82" t="n">
        <f aca="false">F38*'Assumption Setting'!$J$98</f>
        <v>0.96</v>
      </c>
      <c r="G41" s="82" t="n">
        <f aca="false">G38*'Assumption Setting'!$J$98</f>
        <v>0.96</v>
      </c>
      <c r="H41" s="82" t="n">
        <f aca="false">H38*'Assumption Setting'!$J$98</f>
        <v>0.96</v>
      </c>
      <c r="I41" s="82" t="n">
        <f aca="false">I38*'Assumption Setting'!$J$98</f>
        <v>0.96</v>
      </c>
      <c r="J41" s="82" t="n">
        <f aca="false">J38*'Assumption Setting'!$J$98</f>
        <v>0.96</v>
      </c>
      <c r="K41" s="82" t="n">
        <f aca="false">K38*'Assumption Setting'!$J$98</f>
        <v>0.96</v>
      </c>
      <c r="L41" s="82" t="n">
        <f aca="false">L38*'Assumption Setting'!$J$98</f>
        <v>0.96</v>
      </c>
      <c r="M41" s="82" t="n">
        <f aca="false">M38*'Assumption Setting'!$J$98</f>
        <v>0.96</v>
      </c>
      <c r="N41" s="82" t="n">
        <f aca="false">N38*'Assumption Setting'!$J$98</f>
        <v>0.96</v>
      </c>
      <c r="O41" s="81" t="n">
        <f aca="false">SUM(P41:AA41)</f>
        <v>72</v>
      </c>
      <c r="P41" s="82" t="n">
        <f aca="false">P38*'Assumption Setting'!$J$98</f>
        <v>6</v>
      </c>
      <c r="Q41" s="82" t="n">
        <f aca="false">Q38*'Assumption Setting'!$J$98</f>
        <v>6</v>
      </c>
      <c r="R41" s="82" t="n">
        <f aca="false">R38*'Assumption Setting'!$J$98</f>
        <v>6</v>
      </c>
      <c r="S41" s="82" t="n">
        <f aca="false">S38*'Assumption Setting'!$J$98</f>
        <v>6</v>
      </c>
      <c r="T41" s="82" t="n">
        <f aca="false">T38*'Assumption Setting'!$J$98</f>
        <v>6</v>
      </c>
      <c r="U41" s="82" t="n">
        <f aca="false">U38*'Assumption Setting'!$J$98</f>
        <v>6</v>
      </c>
      <c r="V41" s="82" t="n">
        <f aca="false">V38*'Assumption Setting'!$J$98</f>
        <v>6</v>
      </c>
      <c r="W41" s="82" t="n">
        <f aca="false">W38*'Assumption Setting'!$J$98</f>
        <v>6</v>
      </c>
      <c r="X41" s="82" t="n">
        <f aca="false">X38*'Assumption Setting'!$J$98</f>
        <v>6</v>
      </c>
      <c r="Y41" s="82" t="n">
        <f aca="false">Y38*'Assumption Setting'!$J$98</f>
        <v>6</v>
      </c>
      <c r="Z41" s="82" t="n">
        <f aca="false">Z38*'Assumption Setting'!$J$98</f>
        <v>6</v>
      </c>
      <c r="AA41" s="82" t="n">
        <f aca="false">AA38*'Assumption Setting'!$J$98</f>
        <v>6</v>
      </c>
      <c r="AB41" s="81" t="n">
        <f aca="false">SUM(AC41:AN41)</f>
        <v>144</v>
      </c>
      <c r="AC41" s="82" t="n">
        <f aca="false">AC38*'Assumption Setting'!$J$98</f>
        <v>12</v>
      </c>
      <c r="AD41" s="82" t="n">
        <f aca="false">AD38*'Assumption Setting'!$J$98</f>
        <v>12</v>
      </c>
      <c r="AE41" s="82" t="n">
        <f aca="false">AE38*'Assumption Setting'!$J$98</f>
        <v>12</v>
      </c>
      <c r="AF41" s="82" t="n">
        <f aca="false">AF38*'Assumption Setting'!$J$98</f>
        <v>12</v>
      </c>
      <c r="AG41" s="82" t="n">
        <f aca="false">AG38*'Assumption Setting'!$J$98</f>
        <v>12</v>
      </c>
      <c r="AH41" s="82" t="n">
        <f aca="false">AH38*'Assumption Setting'!$J$98</f>
        <v>12</v>
      </c>
      <c r="AI41" s="82" t="n">
        <f aca="false">AI38*'Assumption Setting'!$J$98</f>
        <v>12</v>
      </c>
      <c r="AJ41" s="82" t="n">
        <f aca="false">AJ38*'Assumption Setting'!$J$98</f>
        <v>12</v>
      </c>
      <c r="AK41" s="82" t="n">
        <f aca="false">AK38*'Assumption Setting'!$J$98</f>
        <v>12</v>
      </c>
      <c r="AL41" s="82" t="n">
        <f aca="false">AL38*'Assumption Setting'!$J$98</f>
        <v>12</v>
      </c>
      <c r="AM41" s="82" t="n">
        <f aca="false">AM38*'Assumption Setting'!$J$98</f>
        <v>12</v>
      </c>
      <c r="AN41" s="82" t="n">
        <f aca="false">AN38*'Assumption Setting'!$J$98</f>
        <v>12</v>
      </c>
      <c r="AO41" s="81" t="n">
        <f aca="false">SUM(AP41:BA41)</f>
        <v>187.2</v>
      </c>
      <c r="AP41" s="82" t="n">
        <f aca="false">AP38*'Assumption Setting'!$J$98</f>
        <v>15.6</v>
      </c>
      <c r="AQ41" s="82" t="n">
        <f aca="false">AQ38*'Assumption Setting'!$J$98</f>
        <v>15.6</v>
      </c>
      <c r="AR41" s="82" t="n">
        <f aca="false">AR38*'Assumption Setting'!$J$98</f>
        <v>15.6</v>
      </c>
      <c r="AS41" s="82" t="n">
        <f aca="false">AS38*'Assumption Setting'!$J$98</f>
        <v>15.6</v>
      </c>
      <c r="AT41" s="82" t="n">
        <f aca="false">AT38*'Assumption Setting'!$J$98</f>
        <v>15.6</v>
      </c>
      <c r="AU41" s="82" t="n">
        <f aca="false">AU38*'Assumption Setting'!$J$98</f>
        <v>15.6</v>
      </c>
      <c r="AV41" s="82" t="n">
        <f aca="false">AV38*'Assumption Setting'!$J$98</f>
        <v>15.6</v>
      </c>
      <c r="AW41" s="82" t="n">
        <f aca="false">AW38*'Assumption Setting'!$J$98</f>
        <v>15.6</v>
      </c>
      <c r="AX41" s="82" t="n">
        <f aca="false">AX38*'Assumption Setting'!$J$98</f>
        <v>15.6</v>
      </c>
      <c r="AY41" s="82" t="n">
        <f aca="false">AY38*'Assumption Setting'!$J$98</f>
        <v>15.6</v>
      </c>
      <c r="AZ41" s="82" t="n">
        <f aca="false">AZ38*'Assumption Setting'!$J$98</f>
        <v>15.6</v>
      </c>
      <c r="BA41" s="82" t="n">
        <f aca="false">BA38*'Assumption Setting'!$J$98</f>
        <v>15.6</v>
      </c>
      <c r="BB41" s="81" t="n">
        <f aca="false">SUM(BC41:BN41)</f>
        <v>230.4</v>
      </c>
      <c r="BC41" s="82" t="n">
        <f aca="false">BC38*'Assumption Setting'!$J$98</f>
        <v>19.2</v>
      </c>
      <c r="BD41" s="82" t="n">
        <f aca="false">BD38*'Assumption Setting'!$J$98</f>
        <v>19.2</v>
      </c>
      <c r="BE41" s="82" t="n">
        <f aca="false">BE38*'Assumption Setting'!$J$98</f>
        <v>19.2</v>
      </c>
      <c r="BF41" s="82" t="n">
        <f aca="false">BF38*'Assumption Setting'!$J$98</f>
        <v>19.2</v>
      </c>
      <c r="BG41" s="82" t="n">
        <f aca="false">BG38*'Assumption Setting'!$J$98</f>
        <v>19.2</v>
      </c>
      <c r="BH41" s="82" t="n">
        <f aca="false">BH38*'Assumption Setting'!$J$98</f>
        <v>19.2</v>
      </c>
      <c r="BI41" s="82" t="n">
        <f aca="false">BI38*'Assumption Setting'!$J$98</f>
        <v>19.2</v>
      </c>
      <c r="BJ41" s="82" t="n">
        <f aca="false">BJ38*'Assumption Setting'!$J$98</f>
        <v>19.2</v>
      </c>
      <c r="BK41" s="82" t="n">
        <f aca="false">BK38*'Assumption Setting'!$J$98</f>
        <v>19.2</v>
      </c>
      <c r="BL41" s="82" t="n">
        <f aca="false">BL38*'Assumption Setting'!$J$98</f>
        <v>19.2</v>
      </c>
      <c r="BM41" s="82" t="n">
        <f aca="false">BM38*'Assumption Setting'!$J$98</f>
        <v>19.2</v>
      </c>
      <c r="BN41" s="82" t="n">
        <f aca="false">BN38*'Assumption Setting'!$J$98</f>
        <v>19.2</v>
      </c>
    </row>
    <row r="42" customFormat="false" ht="15" hidden="false" customHeight="false" outlineLevel="0" collapsed="false">
      <c r="A42" s="12" t="s">
        <v>359</v>
      </c>
      <c r="B42" s="81" t="n">
        <f aca="false">SUM(C42:N42)</f>
        <v>24</v>
      </c>
      <c r="C42" s="82" t="n">
        <f aca="false">'Assumption Setting'!$C$99</f>
        <v>2</v>
      </c>
      <c r="D42" s="82" t="n">
        <f aca="false">'Assumption Setting'!$C$99</f>
        <v>2</v>
      </c>
      <c r="E42" s="82" t="n">
        <f aca="false">'Assumption Setting'!$C$99</f>
        <v>2</v>
      </c>
      <c r="F42" s="82" t="n">
        <f aca="false">'Assumption Setting'!$C$99</f>
        <v>2</v>
      </c>
      <c r="G42" s="82" t="n">
        <f aca="false">'Assumption Setting'!$C$99</f>
        <v>2</v>
      </c>
      <c r="H42" s="82" t="n">
        <f aca="false">'Assumption Setting'!$C$99</f>
        <v>2</v>
      </c>
      <c r="I42" s="82" t="n">
        <f aca="false">'Assumption Setting'!$C$99</f>
        <v>2</v>
      </c>
      <c r="J42" s="82" t="n">
        <f aca="false">'Assumption Setting'!$C$99</f>
        <v>2</v>
      </c>
      <c r="K42" s="82" t="n">
        <f aca="false">'Assumption Setting'!$C$99</f>
        <v>2</v>
      </c>
      <c r="L42" s="82" t="n">
        <f aca="false">'Assumption Setting'!$C$99</f>
        <v>2</v>
      </c>
      <c r="M42" s="82" t="n">
        <f aca="false">'Assumption Setting'!$C$99</f>
        <v>2</v>
      </c>
      <c r="N42" s="82" t="n">
        <f aca="false">'Assumption Setting'!$C$99</f>
        <v>2</v>
      </c>
      <c r="O42" s="81" t="n">
        <f aca="false">SUM(P42:AA42)</f>
        <v>60</v>
      </c>
      <c r="P42" s="82" t="n">
        <f aca="false">'Assumption Setting'!$D$99</f>
        <v>5</v>
      </c>
      <c r="Q42" s="82" t="n">
        <f aca="false">'Assumption Setting'!$D$99</f>
        <v>5</v>
      </c>
      <c r="R42" s="82" t="n">
        <f aca="false">'Assumption Setting'!$D$99</f>
        <v>5</v>
      </c>
      <c r="S42" s="82" t="n">
        <f aca="false">'Assumption Setting'!$D$99</f>
        <v>5</v>
      </c>
      <c r="T42" s="82" t="n">
        <f aca="false">'Assumption Setting'!$D$99</f>
        <v>5</v>
      </c>
      <c r="U42" s="82" t="n">
        <f aca="false">'Assumption Setting'!$D$99</f>
        <v>5</v>
      </c>
      <c r="V42" s="82" t="n">
        <f aca="false">'Assumption Setting'!$D$99</f>
        <v>5</v>
      </c>
      <c r="W42" s="82" t="n">
        <f aca="false">'Assumption Setting'!$D$99</f>
        <v>5</v>
      </c>
      <c r="X42" s="82" t="n">
        <f aca="false">'Assumption Setting'!$D$99</f>
        <v>5</v>
      </c>
      <c r="Y42" s="82" t="n">
        <f aca="false">'Assumption Setting'!$D$99</f>
        <v>5</v>
      </c>
      <c r="Z42" s="82" t="n">
        <f aca="false">'Assumption Setting'!$D$99</f>
        <v>5</v>
      </c>
      <c r="AA42" s="82" t="n">
        <f aca="false">'Assumption Setting'!$D$99</f>
        <v>5</v>
      </c>
      <c r="AB42" s="81" t="n">
        <f aca="false">SUM(AC42:AN42)</f>
        <v>108</v>
      </c>
      <c r="AC42" s="82" t="n">
        <f aca="false">'Assumption Setting'!$E$99</f>
        <v>9</v>
      </c>
      <c r="AD42" s="82" t="n">
        <f aca="false">'Assumption Setting'!$E$99</f>
        <v>9</v>
      </c>
      <c r="AE42" s="82" t="n">
        <f aca="false">'Assumption Setting'!$E$99</f>
        <v>9</v>
      </c>
      <c r="AF42" s="82" t="n">
        <f aca="false">'Assumption Setting'!$E$99</f>
        <v>9</v>
      </c>
      <c r="AG42" s="82" t="n">
        <f aca="false">'Assumption Setting'!$E$99</f>
        <v>9</v>
      </c>
      <c r="AH42" s="82" t="n">
        <f aca="false">'Assumption Setting'!$E$99</f>
        <v>9</v>
      </c>
      <c r="AI42" s="82" t="n">
        <f aca="false">'Assumption Setting'!$E$99</f>
        <v>9</v>
      </c>
      <c r="AJ42" s="82" t="n">
        <f aca="false">'Assumption Setting'!$E$99</f>
        <v>9</v>
      </c>
      <c r="AK42" s="82" t="n">
        <f aca="false">'Assumption Setting'!$E$99</f>
        <v>9</v>
      </c>
      <c r="AL42" s="82" t="n">
        <f aca="false">'Assumption Setting'!$E$99</f>
        <v>9</v>
      </c>
      <c r="AM42" s="82" t="n">
        <f aca="false">'Assumption Setting'!$E$99</f>
        <v>9</v>
      </c>
      <c r="AN42" s="82" t="n">
        <f aca="false">'Assumption Setting'!$E$99</f>
        <v>9</v>
      </c>
      <c r="AO42" s="81" t="n">
        <f aca="false">SUM(AP42:BA42)</f>
        <v>156</v>
      </c>
      <c r="AP42" s="82" t="n">
        <f aca="false">'Assumption Setting'!$F$99</f>
        <v>13</v>
      </c>
      <c r="AQ42" s="82" t="n">
        <f aca="false">'Assumption Setting'!$F$99</f>
        <v>13</v>
      </c>
      <c r="AR42" s="82" t="n">
        <f aca="false">'Assumption Setting'!$F$99</f>
        <v>13</v>
      </c>
      <c r="AS42" s="82" t="n">
        <f aca="false">'Assumption Setting'!$F$99</f>
        <v>13</v>
      </c>
      <c r="AT42" s="82" t="n">
        <f aca="false">'Assumption Setting'!$F$99</f>
        <v>13</v>
      </c>
      <c r="AU42" s="82" t="n">
        <f aca="false">'Assumption Setting'!$F$99</f>
        <v>13</v>
      </c>
      <c r="AV42" s="82" t="n">
        <f aca="false">'Assumption Setting'!$F$99</f>
        <v>13</v>
      </c>
      <c r="AW42" s="82" t="n">
        <f aca="false">'Assumption Setting'!$F$99</f>
        <v>13</v>
      </c>
      <c r="AX42" s="82" t="n">
        <f aca="false">'Assumption Setting'!$F$99</f>
        <v>13</v>
      </c>
      <c r="AY42" s="82" t="n">
        <f aca="false">'Assumption Setting'!$F$99</f>
        <v>13</v>
      </c>
      <c r="AZ42" s="82" t="n">
        <f aca="false">'Assumption Setting'!$F$99</f>
        <v>13</v>
      </c>
      <c r="BA42" s="82" t="n">
        <f aca="false">'Assumption Setting'!$F$99</f>
        <v>13</v>
      </c>
      <c r="BB42" s="81" t="n">
        <f aca="false">SUM(BC42:BN42)</f>
        <v>204</v>
      </c>
      <c r="BC42" s="82" t="n">
        <f aca="false">'Assumption Setting'!$G$99</f>
        <v>17</v>
      </c>
      <c r="BD42" s="82" t="n">
        <f aca="false">'Assumption Setting'!$G$99</f>
        <v>17</v>
      </c>
      <c r="BE42" s="82" t="n">
        <f aca="false">'Assumption Setting'!$G$99</f>
        <v>17</v>
      </c>
      <c r="BF42" s="82" t="n">
        <f aca="false">'Assumption Setting'!$G$99</f>
        <v>17</v>
      </c>
      <c r="BG42" s="82" t="n">
        <f aca="false">'Assumption Setting'!$G$99</f>
        <v>17</v>
      </c>
      <c r="BH42" s="82" t="n">
        <f aca="false">'Assumption Setting'!$G$99</f>
        <v>17</v>
      </c>
      <c r="BI42" s="82" t="n">
        <f aca="false">'Assumption Setting'!$G$99</f>
        <v>17</v>
      </c>
      <c r="BJ42" s="82" t="n">
        <f aca="false">'Assumption Setting'!$G$99</f>
        <v>17</v>
      </c>
      <c r="BK42" s="82" t="n">
        <f aca="false">'Assumption Setting'!$G$99</f>
        <v>17</v>
      </c>
      <c r="BL42" s="82" t="n">
        <f aca="false">'Assumption Setting'!$G$99</f>
        <v>17</v>
      </c>
      <c r="BM42" s="82" t="n">
        <f aca="false">'Assumption Setting'!$G$99</f>
        <v>17</v>
      </c>
      <c r="BN42" s="82" t="n">
        <f aca="false">'Assumption Setting'!$G$99</f>
        <v>17</v>
      </c>
    </row>
    <row r="43" customFormat="false" ht="15" hidden="false" customHeight="false" outlineLevel="0" collapsed="false">
      <c r="A43" s="12" t="s">
        <v>628</v>
      </c>
      <c r="B43" s="65" t="n">
        <f aca="false">SUM(C43:N43)</f>
        <v>2400</v>
      </c>
      <c r="C43" s="66" t="n">
        <f aca="false">C42*'Assumption Setting'!$H$99</f>
        <v>200</v>
      </c>
      <c r="D43" s="66" t="n">
        <f aca="false">D42*'Assumption Setting'!$H$99</f>
        <v>200</v>
      </c>
      <c r="E43" s="66" t="n">
        <f aca="false">E42*'Assumption Setting'!$H$99</f>
        <v>200</v>
      </c>
      <c r="F43" s="66" t="n">
        <f aca="false">F42*'Assumption Setting'!$H$99</f>
        <v>200</v>
      </c>
      <c r="G43" s="66" t="n">
        <f aca="false">G42*'Assumption Setting'!$H$99</f>
        <v>200</v>
      </c>
      <c r="H43" s="66" t="n">
        <f aca="false">H42*'Assumption Setting'!$H$99</f>
        <v>200</v>
      </c>
      <c r="I43" s="66" t="n">
        <f aca="false">I42*'Assumption Setting'!$H$99</f>
        <v>200</v>
      </c>
      <c r="J43" s="66" t="n">
        <f aca="false">J42*'Assumption Setting'!$H$99</f>
        <v>200</v>
      </c>
      <c r="K43" s="66" t="n">
        <f aca="false">K42*'Assumption Setting'!$H$99</f>
        <v>200</v>
      </c>
      <c r="L43" s="66" t="n">
        <f aca="false">L42*'Assumption Setting'!$H$99</f>
        <v>200</v>
      </c>
      <c r="M43" s="66" t="n">
        <f aca="false">M42*'Assumption Setting'!$H$99</f>
        <v>200</v>
      </c>
      <c r="N43" s="66" t="n">
        <f aca="false">N42*'Assumption Setting'!$H$99</f>
        <v>200</v>
      </c>
      <c r="O43" s="65" t="n">
        <f aca="false">SUM(P43:AA43)</f>
        <v>6000</v>
      </c>
      <c r="P43" s="66" t="n">
        <f aca="false">P42*'Assumption Setting'!$H$99</f>
        <v>500</v>
      </c>
      <c r="Q43" s="66" t="n">
        <f aca="false">Q42*'Assumption Setting'!$H$99</f>
        <v>500</v>
      </c>
      <c r="R43" s="66" t="n">
        <f aca="false">R42*'Assumption Setting'!$H$99</f>
        <v>500</v>
      </c>
      <c r="S43" s="66" t="n">
        <f aca="false">S42*'Assumption Setting'!$H$99</f>
        <v>500</v>
      </c>
      <c r="T43" s="66" t="n">
        <f aca="false">T42*'Assumption Setting'!$H$99</f>
        <v>500</v>
      </c>
      <c r="U43" s="66" t="n">
        <f aca="false">U42*'Assumption Setting'!$H$99</f>
        <v>500</v>
      </c>
      <c r="V43" s="66" t="n">
        <f aca="false">V42*'Assumption Setting'!$H$99</f>
        <v>500</v>
      </c>
      <c r="W43" s="66" t="n">
        <f aca="false">W42*'Assumption Setting'!$H$99</f>
        <v>500</v>
      </c>
      <c r="X43" s="66" t="n">
        <f aca="false">X42*'Assumption Setting'!$H$99</f>
        <v>500</v>
      </c>
      <c r="Y43" s="66" t="n">
        <f aca="false">Y42*'Assumption Setting'!$H$99</f>
        <v>500</v>
      </c>
      <c r="Z43" s="66" t="n">
        <f aca="false">Z42*'Assumption Setting'!$H$99</f>
        <v>500</v>
      </c>
      <c r="AA43" s="66" t="n">
        <f aca="false">AA42*'Assumption Setting'!$H$99</f>
        <v>500</v>
      </c>
      <c r="AB43" s="65" t="n">
        <f aca="false">SUM(AC43:AN43)</f>
        <v>10800</v>
      </c>
      <c r="AC43" s="66" t="n">
        <f aca="false">AC42*'Assumption Setting'!$H$99</f>
        <v>900</v>
      </c>
      <c r="AD43" s="66" t="n">
        <f aca="false">AD42*'Assumption Setting'!$H$99</f>
        <v>900</v>
      </c>
      <c r="AE43" s="66" t="n">
        <f aca="false">AE42*'Assumption Setting'!$H$99</f>
        <v>900</v>
      </c>
      <c r="AF43" s="66" t="n">
        <f aca="false">AF42*'Assumption Setting'!$H$99</f>
        <v>900</v>
      </c>
      <c r="AG43" s="66" t="n">
        <f aca="false">AG42*'Assumption Setting'!$H$99</f>
        <v>900</v>
      </c>
      <c r="AH43" s="66" t="n">
        <f aca="false">AH42*'Assumption Setting'!$H$99</f>
        <v>900</v>
      </c>
      <c r="AI43" s="66" t="n">
        <f aca="false">AI42*'Assumption Setting'!$H$99</f>
        <v>900</v>
      </c>
      <c r="AJ43" s="66" t="n">
        <f aca="false">AJ42*'Assumption Setting'!$H$99</f>
        <v>900</v>
      </c>
      <c r="AK43" s="66" t="n">
        <f aca="false">AK42*'Assumption Setting'!$H$99</f>
        <v>900</v>
      </c>
      <c r="AL43" s="66" t="n">
        <f aca="false">AL42*'Assumption Setting'!$H$99</f>
        <v>900</v>
      </c>
      <c r="AM43" s="66" t="n">
        <f aca="false">AM42*'Assumption Setting'!$H$99</f>
        <v>900</v>
      </c>
      <c r="AN43" s="66" t="n">
        <f aca="false">AN42*'Assumption Setting'!$H$99</f>
        <v>900</v>
      </c>
      <c r="AO43" s="65" t="n">
        <f aca="false">SUM(AP43:BA43)</f>
        <v>15600</v>
      </c>
      <c r="AP43" s="66" t="n">
        <f aca="false">AP42*'Assumption Setting'!$H$99</f>
        <v>1300</v>
      </c>
      <c r="AQ43" s="66" t="n">
        <f aca="false">AQ42*'Assumption Setting'!$H$99</f>
        <v>1300</v>
      </c>
      <c r="AR43" s="66" t="n">
        <f aca="false">AR42*'Assumption Setting'!$H$99</f>
        <v>1300</v>
      </c>
      <c r="AS43" s="66" t="n">
        <f aca="false">AS42*'Assumption Setting'!$H$99</f>
        <v>1300</v>
      </c>
      <c r="AT43" s="66" t="n">
        <f aca="false">AT42*'Assumption Setting'!$H$99</f>
        <v>1300</v>
      </c>
      <c r="AU43" s="66" t="n">
        <f aca="false">AU42*'Assumption Setting'!$H$99</f>
        <v>1300</v>
      </c>
      <c r="AV43" s="66" t="n">
        <f aca="false">AV42*'Assumption Setting'!$H$99</f>
        <v>1300</v>
      </c>
      <c r="AW43" s="66" t="n">
        <f aca="false">AW42*'Assumption Setting'!$H$99</f>
        <v>1300</v>
      </c>
      <c r="AX43" s="66" t="n">
        <f aca="false">AX42*'Assumption Setting'!$H$99</f>
        <v>1300</v>
      </c>
      <c r="AY43" s="66" t="n">
        <f aca="false">AY42*'Assumption Setting'!$H$99</f>
        <v>1300</v>
      </c>
      <c r="AZ43" s="66" t="n">
        <f aca="false">AZ42*'Assumption Setting'!$H$99</f>
        <v>1300</v>
      </c>
      <c r="BA43" s="66" t="n">
        <f aca="false">BA42*'Assumption Setting'!$H$99</f>
        <v>1300</v>
      </c>
      <c r="BB43" s="65" t="n">
        <f aca="false">SUM(BC43:BN43)</f>
        <v>20400</v>
      </c>
      <c r="BC43" s="66" t="n">
        <f aca="false">BC42*'Assumption Setting'!$H$99</f>
        <v>1700</v>
      </c>
      <c r="BD43" s="66" t="n">
        <f aca="false">BD42*'Assumption Setting'!$H$99</f>
        <v>1700</v>
      </c>
      <c r="BE43" s="66" t="n">
        <f aca="false">BE42*'Assumption Setting'!$H$99</f>
        <v>1700</v>
      </c>
      <c r="BF43" s="66" t="n">
        <f aca="false">BF42*'Assumption Setting'!$H$99</f>
        <v>1700</v>
      </c>
      <c r="BG43" s="66" t="n">
        <f aca="false">BG42*'Assumption Setting'!$H$99</f>
        <v>1700</v>
      </c>
      <c r="BH43" s="66" t="n">
        <f aca="false">BH42*'Assumption Setting'!$H$99</f>
        <v>1700</v>
      </c>
      <c r="BI43" s="66" t="n">
        <f aca="false">BI42*'Assumption Setting'!$H$99</f>
        <v>1700</v>
      </c>
      <c r="BJ43" s="66" t="n">
        <f aca="false">BJ42*'Assumption Setting'!$H$99</f>
        <v>1700</v>
      </c>
      <c r="BK43" s="66" t="n">
        <f aca="false">BK42*'Assumption Setting'!$H$99</f>
        <v>1700</v>
      </c>
      <c r="BL43" s="66" t="n">
        <f aca="false">BL42*'Assumption Setting'!$H$99</f>
        <v>1700</v>
      </c>
      <c r="BM43" s="66" t="n">
        <f aca="false">BM42*'Assumption Setting'!$H$99</f>
        <v>1700</v>
      </c>
      <c r="BN43" s="66" t="n">
        <f aca="false">BN42*'Assumption Setting'!$H$99</f>
        <v>1700</v>
      </c>
    </row>
    <row r="44" customFormat="false" ht="15" hidden="false" customHeight="false" outlineLevel="0" collapsed="false">
      <c r="A44" s="12" t="s">
        <v>629</v>
      </c>
      <c r="B44" s="79" t="n">
        <f aca="false">SUM(C44:N44)</f>
        <v>768</v>
      </c>
      <c r="C44" s="80" t="n">
        <f aca="false">C42*'Assumption Setting'!$I$99</f>
        <v>64</v>
      </c>
      <c r="D44" s="80" t="n">
        <f aca="false">D42*'Assumption Setting'!$I$99</f>
        <v>64</v>
      </c>
      <c r="E44" s="80" t="n">
        <f aca="false">E42*'Assumption Setting'!$I$99</f>
        <v>64</v>
      </c>
      <c r="F44" s="80" t="n">
        <f aca="false">F42*'Assumption Setting'!$I$99</f>
        <v>64</v>
      </c>
      <c r="G44" s="80" t="n">
        <f aca="false">G42*'Assumption Setting'!$I$99</f>
        <v>64</v>
      </c>
      <c r="H44" s="80" t="n">
        <f aca="false">H42*'Assumption Setting'!$I$99</f>
        <v>64</v>
      </c>
      <c r="I44" s="80" t="n">
        <f aca="false">I42*'Assumption Setting'!$I$99</f>
        <v>64</v>
      </c>
      <c r="J44" s="80" t="n">
        <f aca="false">J42*'Assumption Setting'!$I$99</f>
        <v>64</v>
      </c>
      <c r="K44" s="80" t="n">
        <f aca="false">K42*'Assumption Setting'!$I$99</f>
        <v>64</v>
      </c>
      <c r="L44" s="80" t="n">
        <f aca="false">L42*'Assumption Setting'!$I$99</f>
        <v>64</v>
      </c>
      <c r="M44" s="80" t="n">
        <f aca="false">M42*'Assumption Setting'!$I$99</f>
        <v>64</v>
      </c>
      <c r="N44" s="80" t="n">
        <f aca="false">N42*'Assumption Setting'!$I$99</f>
        <v>64</v>
      </c>
      <c r="O44" s="79" t="n">
        <f aca="false">SUM(P44:AA44)</f>
        <v>1920</v>
      </c>
      <c r="P44" s="80" t="n">
        <f aca="false">P42*'Assumption Setting'!$I$99</f>
        <v>160</v>
      </c>
      <c r="Q44" s="80" t="n">
        <f aca="false">Q42*'Assumption Setting'!$I$99</f>
        <v>160</v>
      </c>
      <c r="R44" s="80" t="n">
        <f aca="false">R42*'Assumption Setting'!$I$99</f>
        <v>160</v>
      </c>
      <c r="S44" s="80" t="n">
        <f aca="false">S42*'Assumption Setting'!$I$99</f>
        <v>160</v>
      </c>
      <c r="T44" s="80" t="n">
        <f aca="false">T42*'Assumption Setting'!$I$99</f>
        <v>160</v>
      </c>
      <c r="U44" s="80" t="n">
        <f aca="false">U42*'Assumption Setting'!$I$99</f>
        <v>160</v>
      </c>
      <c r="V44" s="80" t="n">
        <f aca="false">V42*'Assumption Setting'!$I$99</f>
        <v>160</v>
      </c>
      <c r="W44" s="80" t="n">
        <f aca="false">W42*'Assumption Setting'!$I$99</f>
        <v>160</v>
      </c>
      <c r="X44" s="80" t="n">
        <f aca="false">X42*'Assumption Setting'!$I$99</f>
        <v>160</v>
      </c>
      <c r="Y44" s="80" t="n">
        <f aca="false">Y42*'Assumption Setting'!$I$99</f>
        <v>160</v>
      </c>
      <c r="Z44" s="80" t="n">
        <f aca="false">Z42*'Assumption Setting'!$I$99</f>
        <v>160</v>
      </c>
      <c r="AA44" s="80" t="n">
        <f aca="false">AA42*'Assumption Setting'!$I$99</f>
        <v>160</v>
      </c>
      <c r="AB44" s="79" t="n">
        <f aca="false">SUM(AC44:AN44)</f>
        <v>3456</v>
      </c>
      <c r="AC44" s="80" t="n">
        <f aca="false">AC42*'Assumption Setting'!$I$99</f>
        <v>288</v>
      </c>
      <c r="AD44" s="80" t="n">
        <f aca="false">AD42*'Assumption Setting'!$I$99</f>
        <v>288</v>
      </c>
      <c r="AE44" s="80" t="n">
        <f aca="false">AE42*'Assumption Setting'!$I$99</f>
        <v>288</v>
      </c>
      <c r="AF44" s="80" t="n">
        <f aca="false">AF42*'Assumption Setting'!$I$99</f>
        <v>288</v>
      </c>
      <c r="AG44" s="80" t="n">
        <f aca="false">AG42*'Assumption Setting'!$I$99</f>
        <v>288</v>
      </c>
      <c r="AH44" s="80" t="n">
        <f aca="false">AH42*'Assumption Setting'!$I$99</f>
        <v>288</v>
      </c>
      <c r="AI44" s="80" t="n">
        <f aca="false">AI42*'Assumption Setting'!$I$99</f>
        <v>288</v>
      </c>
      <c r="AJ44" s="80" t="n">
        <f aca="false">AJ42*'Assumption Setting'!$I$99</f>
        <v>288</v>
      </c>
      <c r="AK44" s="80" t="n">
        <f aca="false">AK42*'Assumption Setting'!$I$99</f>
        <v>288</v>
      </c>
      <c r="AL44" s="80" t="n">
        <f aca="false">AL42*'Assumption Setting'!$I$99</f>
        <v>288</v>
      </c>
      <c r="AM44" s="80" t="n">
        <f aca="false">AM42*'Assumption Setting'!$I$99</f>
        <v>288</v>
      </c>
      <c r="AN44" s="80" t="n">
        <f aca="false">AN42*'Assumption Setting'!$I$99</f>
        <v>288</v>
      </c>
      <c r="AO44" s="79" t="n">
        <f aca="false">SUM(AP44:BA44)</f>
        <v>4992</v>
      </c>
      <c r="AP44" s="80" t="n">
        <f aca="false">AP42*'Assumption Setting'!$I$99</f>
        <v>416</v>
      </c>
      <c r="AQ44" s="80" t="n">
        <f aca="false">AQ42*'Assumption Setting'!$I$99</f>
        <v>416</v>
      </c>
      <c r="AR44" s="80" t="n">
        <f aca="false">AR42*'Assumption Setting'!$I$99</f>
        <v>416</v>
      </c>
      <c r="AS44" s="80" t="n">
        <f aca="false">AS42*'Assumption Setting'!$I$99</f>
        <v>416</v>
      </c>
      <c r="AT44" s="80" t="n">
        <f aca="false">AT42*'Assumption Setting'!$I$99</f>
        <v>416</v>
      </c>
      <c r="AU44" s="80" t="n">
        <f aca="false">AU42*'Assumption Setting'!$I$99</f>
        <v>416</v>
      </c>
      <c r="AV44" s="80" t="n">
        <f aca="false">AV42*'Assumption Setting'!$I$99</f>
        <v>416</v>
      </c>
      <c r="AW44" s="80" t="n">
        <f aca="false">AW42*'Assumption Setting'!$I$99</f>
        <v>416</v>
      </c>
      <c r="AX44" s="80" t="n">
        <f aca="false">AX42*'Assumption Setting'!$I$99</f>
        <v>416</v>
      </c>
      <c r="AY44" s="80" t="n">
        <f aca="false">AY42*'Assumption Setting'!$I$99</f>
        <v>416</v>
      </c>
      <c r="AZ44" s="80" t="n">
        <f aca="false">AZ42*'Assumption Setting'!$I$99</f>
        <v>416</v>
      </c>
      <c r="BA44" s="80" t="n">
        <f aca="false">BA42*'Assumption Setting'!$I$99</f>
        <v>416</v>
      </c>
      <c r="BB44" s="79" t="n">
        <f aca="false">SUM(BC44:BN44)</f>
        <v>6528</v>
      </c>
      <c r="BC44" s="80" t="n">
        <f aca="false">BC42*'Assumption Setting'!$I$99</f>
        <v>544</v>
      </c>
      <c r="BD44" s="80" t="n">
        <f aca="false">BD42*'Assumption Setting'!$I$99</f>
        <v>544</v>
      </c>
      <c r="BE44" s="80" t="n">
        <f aca="false">BE42*'Assumption Setting'!$I$99</f>
        <v>544</v>
      </c>
      <c r="BF44" s="80" t="n">
        <f aca="false">BF42*'Assumption Setting'!$I$99</f>
        <v>544</v>
      </c>
      <c r="BG44" s="80" t="n">
        <f aca="false">BG42*'Assumption Setting'!$I$99</f>
        <v>544</v>
      </c>
      <c r="BH44" s="80" t="n">
        <f aca="false">BH42*'Assumption Setting'!$I$99</f>
        <v>544</v>
      </c>
      <c r="BI44" s="80" t="n">
        <f aca="false">BI42*'Assumption Setting'!$I$99</f>
        <v>544</v>
      </c>
      <c r="BJ44" s="80" t="n">
        <f aca="false">BJ42*'Assumption Setting'!$I$99</f>
        <v>544</v>
      </c>
      <c r="BK44" s="80" t="n">
        <f aca="false">BK42*'Assumption Setting'!$I$99</f>
        <v>544</v>
      </c>
      <c r="BL44" s="80" t="n">
        <f aca="false">BL42*'Assumption Setting'!$I$99</f>
        <v>544</v>
      </c>
      <c r="BM44" s="80" t="n">
        <f aca="false">BM42*'Assumption Setting'!$I$99</f>
        <v>544</v>
      </c>
      <c r="BN44" s="80" t="n">
        <f aca="false">BN42*'Assumption Setting'!$I$99</f>
        <v>544</v>
      </c>
    </row>
    <row r="45" customFormat="false" ht="15" hidden="false" customHeight="false" outlineLevel="0" collapsed="false">
      <c r="A45" s="12" t="s">
        <v>630</v>
      </c>
      <c r="B45" s="81" t="n">
        <f aca="false">SUM(C45:N45)</f>
        <v>12</v>
      </c>
      <c r="C45" s="82" t="n">
        <f aca="false">C42*'Assumption Setting'!$J$99</f>
        <v>1</v>
      </c>
      <c r="D45" s="82" t="n">
        <f aca="false">D42*'Assumption Setting'!$J$99</f>
        <v>1</v>
      </c>
      <c r="E45" s="82" t="n">
        <f aca="false">E42*'Assumption Setting'!$J$99</f>
        <v>1</v>
      </c>
      <c r="F45" s="82" t="n">
        <f aca="false">F42*'Assumption Setting'!$J$99</f>
        <v>1</v>
      </c>
      <c r="G45" s="82" t="n">
        <f aca="false">G42*'Assumption Setting'!$J$99</f>
        <v>1</v>
      </c>
      <c r="H45" s="82" t="n">
        <f aca="false">H42*'Assumption Setting'!$J$99</f>
        <v>1</v>
      </c>
      <c r="I45" s="82" t="n">
        <f aca="false">I42*'Assumption Setting'!$J$99</f>
        <v>1</v>
      </c>
      <c r="J45" s="82" t="n">
        <f aca="false">J42*'Assumption Setting'!$J$99</f>
        <v>1</v>
      </c>
      <c r="K45" s="82" t="n">
        <f aca="false">K42*'Assumption Setting'!$J$99</f>
        <v>1</v>
      </c>
      <c r="L45" s="82" t="n">
        <f aca="false">L42*'Assumption Setting'!$J$99</f>
        <v>1</v>
      </c>
      <c r="M45" s="82" t="n">
        <f aca="false">M42*'Assumption Setting'!$J$99</f>
        <v>1</v>
      </c>
      <c r="N45" s="82" t="n">
        <f aca="false">N42*'Assumption Setting'!$J$99</f>
        <v>1</v>
      </c>
      <c r="O45" s="81" t="n">
        <f aca="false">SUM(P45:AA45)</f>
        <v>30</v>
      </c>
      <c r="P45" s="82" t="n">
        <f aca="false">P42*'Assumption Setting'!$J$99</f>
        <v>2.5</v>
      </c>
      <c r="Q45" s="82" t="n">
        <f aca="false">Q42*'Assumption Setting'!$J$99</f>
        <v>2.5</v>
      </c>
      <c r="R45" s="82" t="n">
        <f aca="false">R42*'Assumption Setting'!$J$99</f>
        <v>2.5</v>
      </c>
      <c r="S45" s="82" t="n">
        <f aca="false">S42*'Assumption Setting'!$J$99</f>
        <v>2.5</v>
      </c>
      <c r="T45" s="82" t="n">
        <f aca="false">T42*'Assumption Setting'!$J$99</f>
        <v>2.5</v>
      </c>
      <c r="U45" s="82" t="n">
        <f aca="false">U42*'Assumption Setting'!$J$99</f>
        <v>2.5</v>
      </c>
      <c r="V45" s="82" t="n">
        <f aca="false">V42*'Assumption Setting'!$J$99</f>
        <v>2.5</v>
      </c>
      <c r="W45" s="82" t="n">
        <f aca="false">W42*'Assumption Setting'!$J$99</f>
        <v>2.5</v>
      </c>
      <c r="X45" s="82" t="n">
        <f aca="false">X42*'Assumption Setting'!$J$99</f>
        <v>2.5</v>
      </c>
      <c r="Y45" s="82" t="n">
        <f aca="false">Y42*'Assumption Setting'!$J$99</f>
        <v>2.5</v>
      </c>
      <c r="Z45" s="82" t="n">
        <f aca="false">Z42*'Assumption Setting'!$J$99</f>
        <v>2.5</v>
      </c>
      <c r="AA45" s="82" t="n">
        <f aca="false">AA42*'Assumption Setting'!$J$99</f>
        <v>2.5</v>
      </c>
      <c r="AB45" s="81" t="n">
        <f aca="false">SUM(AC45:AN45)</f>
        <v>54</v>
      </c>
      <c r="AC45" s="82" t="n">
        <f aca="false">AC42*'Assumption Setting'!$J$99</f>
        <v>4.5</v>
      </c>
      <c r="AD45" s="82" t="n">
        <f aca="false">AD42*'Assumption Setting'!$J$99</f>
        <v>4.5</v>
      </c>
      <c r="AE45" s="82" t="n">
        <f aca="false">AE42*'Assumption Setting'!$J$99</f>
        <v>4.5</v>
      </c>
      <c r="AF45" s="82" t="n">
        <f aca="false">AF42*'Assumption Setting'!$J$99</f>
        <v>4.5</v>
      </c>
      <c r="AG45" s="82" t="n">
        <f aca="false">AG42*'Assumption Setting'!$J$99</f>
        <v>4.5</v>
      </c>
      <c r="AH45" s="82" t="n">
        <f aca="false">AH42*'Assumption Setting'!$J$99</f>
        <v>4.5</v>
      </c>
      <c r="AI45" s="82" t="n">
        <f aca="false">AI42*'Assumption Setting'!$J$99</f>
        <v>4.5</v>
      </c>
      <c r="AJ45" s="82" t="n">
        <f aca="false">AJ42*'Assumption Setting'!$J$99</f>
        <v>4.5</v>
      </c>
      <c r="AK45" s="82" t="n">
        <f aca="false">AK42*'Assumption Setting'!$J$99</f>
        <v>4.5</v>
      </c>
      <c r="AL45" s="82" t="n">
        <f aca="false">AL42*'Assumption Setting'!$J$99</f>
        <v>4.5</v>
      </c>
      <c r="AM45" s="82" t="n">
        <f aca="false">AM42*'Assumption Setting'!$J$99</f>
        <v>4.5</v>
      </c>
      <c r="AN45" s="82" t="n">
        <f aca="false">AN42*'Assumption Setting'!$J$99</f>
        <v>4.5</v>
      </c>
      <c r="AO45" s="81" t="n">
        <f aca="false">SUM(AP45:BA45)</f>
        <v>78</v>
      </c>
      <c r="AP45" s="82" t="n">
        <f aca="false">AP42*'Assumption Setting'!$J$99</f>
        <v>6.5</v>
      </c>
      <c r="AQ45" s="82" t="n">
        <f aca="false">AQ42*'Assumption Setting'!$J$99</f>
        <v>6.5</v>
      </c>
      <c r="AR45" s="82" t="n">
        <f aca="false">AR42*'Assumption Setting'!$J$99</f>
        <v>6.5</v>
      </c>
      <c r="AS45" s="82" t="n">
        <f aca="false">AS42*'Assumption Setting'!$J$99</f>
        <v>6.5</v>
      </c>
      <c r="AT45" s="82" t="n">
        <f aca="false">AT42*'Assumption Setting'!$J$99</f>
        <v>6.5</v>
      </c>
      <c r="AU45" s="82" t="n">
        <f aca="false">AU42*'Assumption Setting'!$J$99</f>
        <v>6.5</v>
      </c>
      <c r="AV45" s="82" t="n">
        <f aca="false">AV42*'Assumption Setting'!$J$99</f>
        <v>6.5</v>
      </c>
      <c r="AW45" s="82" t="n">
        <f aca="false">AW42*'Assumption Setting'!$J$99</f>
        <v>6.5</v>
      </c>
      <c r="AX45" s="82" t="n">
        <f aca="false">AX42*'Assumption Setting'!$J$99</f>
        <v>6.5</v>
      </c>
      <c r="AY45" s="82" t="n">
        <f aca="false">AY42*'Assumption Setting'!$J$99</f>
        <v>6.5</v>
      </c>
      <c r="AZ45" s="82" t="n">
        <f aca="false">AZ42*'Assumption Setting'!$J$99</f>
        <v>6.5</v>
      </c>
      <c r="BA45" s="82" t="n">
        <f aca="false">BA42*'Assumption Setting'!$J$99</f>
        <v>6.5</v>
      </c>
      <c r="BB45" s="81" t="n">
        <f aca="false">SUM(BC45:BN45)</f>
        <v>102</v>
      </c>
      <c r="BC45" s="82" t="n">
        <f aca="false">BC42*'Assumption Setting'!$J$99</f>
        <v>8.5</v>
      </c>
      <c r="BD45" s="82" t="n">
        <f aca="false">BD42*'Assumption Setting'!$J$99</f>
        <v>8.5</v>
      </c>
      <c r="BE45" s="82" t="n">
        <f aca="false">BE42*'Assumption Setting'!$J$99</f>
        <v>8.5</v>
      </c>
      <c r="BF45" s="82" t="n">
        <f aca="false">BF42*'Assumption Setting'!$J$99</f>
        <v>8.5</v>
      </c>
      <c r="BG45" s="82" t="n">
        <f aca="false">BG42*'Assumption Setting'!$J$99</f>
        <v>8.5</v>
      </c>
      <c r="BH45" s="82" t="n">
        <f aca="false">BH42*'Assumption Setting'!$J$99</f>
        <v>8.5</v>
      </c>
      <c r="BI45" s="82" t="n">
        <f aca="false">BI42*'Assumption Setting'!$J$99</f>
        <v>8.5</v>
      </c>
      <c r="BJ45" s="82" t="n">
        <f aca="false">BJ42*'Assumption Setting'!$J$99</f>
        <v>8.5</v>
      </c>
      <c r="BK45" s="82" t="n">
        <f aca="false">BK42*'Assumption Setting'!$J$99</f>
        <v>8.5</v>
      </c>
      <c r="BL45" s="82" t="n">
        <f aca="false">BL42*'Assumption Setting'!$J$99</f>
        <v>8.5</v>
      </c>
      <c r="BM45" s="82" t="n">
        <f aca="false">BM42*'Assumption Setting'!$J$99</f>
        <v>8.5</v>
      </c>
      <c r="BN45" s="82" t="n">
        <f aca="false">BN42*'Assumption Setting'!$J$99</f>
        <v>8.5</v>
      </c>
    </row>
    <row r="46" customFormat="false" ht="15" hidden="false" customHeight="false" outlineLevel="0" collapsed="false">
      <c r="A46" s="12" t="s">
        <v>361</v>
      </c>
      <c r="B46" s="81" t="n">
        <f aca="false">SUM(C46:N46)</f>
        <v>2.4</v>
      </c>
      <c r="C46" s="82" t="n">
        <f aca="false">'Assumption Setting'!$C$100</f>
        <v>0.2</v>
      </c>
      <c r="D46" s="82" t="n">
        <f aca="false">'Assumption Setting'!$C$100</f>
        <v>0.2</v>
      </c>
      <c r="E46" s="82" t="n">
        <f aca="false">'Assumption Setting'!$C$100</f>
        <v>0.2</v>
      </c>
      <c r="F46" s="82" t="n">
        <f aca="false">'Assumption Setting'!$C$100</f>
        <v>0.2</v>
      </c>
      <c r="G46" s="82" t="n">
        <f aca="false">'Assumption Setting'!$C$100</f>
        <v>0.2</v>
      </c>
      <c r="H46" s="82" t="n">
        <f aca="false">'Assumption Setting'!$C$100</f>
        <v>0.2</v>
      </c>
      <c r="I46" s="82" t="n">
        <f aca="false">'Assumption Setting'!$C$100</f>
        <v>0.2</v>
      </c>
      <c r="J46" s="82" t="n">
        <f aca="false">'Assumption Setting'!$C$100</f>
        <v>0.2</v>
      </c>
      <c r="K46" s="82" t="n">
        <f aca="false">'Assumption Setting'!$C$100</f>
        <v>0.2</v>
      </c>
      <c r="L46" s="82" t="n">
        <f aca="false">'Assumption Setting'!$C$100</f>
        <v>0.2</v>
      </c>
      <c r="M46" s="82" t="n">
        <f aca="false">'Assumption Setting'!$C$100</f>
        <v>0.2</v>
      </c>
      <c r="N46" s="82" t="n">
        <f aca="false">'Assumption Setting'!$C$100</f>
        <v>0.2</v>
      </c>
      <c r="O46" s="81" t="n">
        <f aca="false">SUM(P46:AA46)</f>
        <v>12</v>
      </c>
      <c r="P46" s="82" t="n">
        <f aca="false">'Assumption Setting'!$D$100</f>
        <v>1</v>
      </c>
      <c r="Q46" s="82" t="n">
        <f aca="false">'Assumption Setting'!$D$100</f>
        <v>1</v>
      </c>
      <c r="R46" s="82" t="n">
        <f aca="false">'Assumption Setting'!$D$100</f>
        <v>1</v>
      </c>
      <c r="S46" s="82" t="n">
        <f aca="false">'Assumption Setting'!$D$100</f>
        <v>1</v>
      </c>
      <c r="T46" s="82" t="n">
        <f aca="false">'Assumption Setting'!$D$100</f>
        <v>1</v>
      </c>
      <c r="U46" s="82" t="n">
        <f aca="false">'Assumption Setting'!$D$100</f>
        <v>1</v>
      </c>
      <c r="V46" s="82" t="n">
        <f aca="false">'Assumption Setting'!$D$100</f>
        <v>1</v>
      </c>
      <c r="W46" s="82" t="n">
        <f aca="false">'Assumption Setting'!$D$100</f>
        <v>1</v>
      </c>
      <c r="X46" s="82" t="n">
        <f aca="false">'Assumption Setting'!$D$100</f>
        <v>1</v>
      </c>
      <c r="Y46" s="82" t="n">
        <f aca="false">'Assumption Setting'!$D$100</f>
        <v>1</v>
      </c>
      <c r="Z46" s="82" t="n">
        <f aca="false">'Assumption Setting'!$D$100</f>
        <v>1</v>
      </c>
      <c r="AA46" s="82" t="n">
        <f aca="false">'Assumption Setting'!$D$100</f>
        <v>1</v>
      </c>
      <c r="AB46" s="81" t="n">
        <f aca="false">SUM(AC46:AN46)</f>
        <v>24</v>
      </c>
      <c r="AC46" s="82" t="n">
        <f aca="false">'Assumption Setting'!$E$100</f>
        <v>2</v>
      </c>
      <c r="AD46" s="82" t="n">
        <f aca="false">'Assumption Setting'!$E$100</f>
        <v>2</v>
      </c>
      <c r="AE46" s="82" t="n">
        <f aca="false">'Assumption Setting'!$E$100</f>
        <v>2</v>
      </c>
      <c r="AF46" s="82" t="n">
        <f aca="false">'Assumption Setting'!$E$100</f>
        <v>2</v>
      </c>
      <c r="AG46" s="82" t="n">
        <f aca="false">'Assumption Setting'!$E$100</f>
        <v>2</v>
      </c>
      <c r="AH46" s="82" t="n">
        <f aca="false">'Assumption Setting'!$E$100</f>
        <v>2</v>
      </c>
      <c r="AI46" s="82" t="n">
        <f aca="false">'Assumption Setting'!$E$100</f>
        <v>2</v>
      </c>
      <c r="AJ46" s="82" t="n">
        <f aca="false">'Assumption Setting'!$E$100</f>
        <v>2</v>
      </c>
      <c r="AK46" s="82" t="n">
        <f aca="false">'Assumption Setting'!$E$100</f>
        <v>2</v>
      </c>
      <c r="AL46" s="82" t="n">
        <f aca="false">'Assumption Setting'!$E$100</f>
        <v>2</v>
      </c>
      <c r="AM46" s="82" t="n">
        <f aca="false">'Assumption Setting'!$E$100</f>
        <v>2</v>
      </c>
      <c r="AN46" s="82" t="n">
        <f aca="false">'Assumption Setting'!$E$100</f>
        <v>2</v>
      </c>
      <c r="AO46" s="81" t="n">
        <f aca="false">SUM(AP46:BA46)</f>
        <v>36</v>
      </c>
      <c r="AP46" s="82" t="n">
        <f aca="false">'Assumption Setting'!$F$100</f>
        <v>3</v>
      </c>
      <c r="AQ46" s="82" t="n">
        <f aca="false">'Assumption Setting'!$F$100</f>
        <v>3</v>
      </c>
      <c r="AR46" s="82" t="n">
        <f aca="false">'Assumption Setting'!$F$100</f>
        <v>3</v>
      </c>
      <c r="AS46" s="82" t="n">
        <f aca="false">'Assumption Setting'!$F$100</f>
        <v>3</v>
      </c>
      <c r="AT46" s="82" t="n">
        <f aca="false">'Assumption Setting'!$F$100</f>
        <v>3</v>
      </c>
      <c r="AU46" s="82" t="n">
        <f aca="false">'Assumption Setting'!$F$100</f>
        <v>3</v>
      </c>
      <c r="AV46" s="82" t="n">
        <f aca="false">'Assumption Setting'!$F$100</f>
        <v>3</v>
      </c>
      <c r="AW46" s="82" t="n">
        <f aca="false">'Assumption Setting'!$F$100</f>
        <v>3</v>
      </c>
      <c r="AX46" s="82" t="n">
        <f aca="false">'Assumption Setting'!$F$100</f>
        <v>3</v>
      </c>
      <c r="AY46" s="82" t="n">
        <f aca="false">'Assumption Setting'!$F$100</f>
        <v>3</v>
      </c>
      <c r="AZ46" s="82" t="n">
        <f aca="false">'Assumption Setting'!$F$100</f>
        <v>3</v>
      </c>
      <c r="BA46" s="82" t="n">
        <f aca="false">'Assumption Setting'!$F$100</f>
        <v>3</v>
      </c>
      <c r="BB46" s="81" t="n">
        <f aca="false">SUM(BC46:BN46)</f>
        <v>48</v>
      </c>
      <c r="BC46" s="82" t="n">
        <f aca="false">'Assumption Setting'!$G$100</f>
        <v>4</v>
      </c>
      <c r="BD46" s="82" t="n">
        <f aca="false">'Assumption Setting'!$G$100</f>
        <v>4</v>
      </c>
      <c r="BE46" s="82" t="n">
        <f aca="false">'Assumption Setting'!$G$100</f>
        <v>4</v>
      </c>
      <c r="BF46" s="82" t="n">
        <f aca="false">'Assumption Setting'!$G$100</f>
        <v>4</v>
      </c>
      <c r="BG46" s="82" t="n">
        <f aca="false">'Assumption Setting'!$G$100</f>
        <v>4</v>
      </c>
      <c r="BH46" s="82" t="n">
        <f aca="false">'Assumption Setting'!$G$100</f>
        <v>4</v>
      </c>
      <c r="BI46" s="82" t="n">
        <f aca="false">'Assumption Setting'!$G$100</f>
        <v>4</v>
      </c>
      <c r="BJ46" s="82" t="n">
        <f aca="false">'Assumption Setting'!$G$100</f>
        <v>4</v>
      </c>
      <c r="BK46" s="82" t="n">
        <f aca="false">'Assumption Setting'!$G$100</f>
        <v>4</v>
      </c>
      <c r="BL46" s="82" t="n">
        <f aca="false">'Assumption Setting'!$G$100</f>
        <v>4</v>
      </c>
      <c r="BM46" s="82" t="n">
        <f aca="false">'Assumption Setting'!$G$100</f>
        <v>4</v>
      </c>
      <c r="BN46" s="82" t="n">
        <f aca="false">'Assumption Setting'!$G$100</f>
        <v>4</v>
      </c>
    </row>
    <row r="47" customFormat="false" ht="15" hidden="false" customHeight="false" outlineLevel="0" collapsed="false">
      <c r="A47" s="12" t="s">
        <v>628</v>
      </c>
      <c r="B47" s="65" t="n">
        <f aca="false">SUM(C47:N47)</f>
        <v>1920</v>
      </c>
      <c r="C47" s="66" t="n">
        <f aca="false">C46*'Assumption Setting'!$H$100</f>
        <v>160</v>
      </c>
      <c r="D47" s="66" t="n">
        <f aca="false">D46*'Assumption Setting'!$H$100</f>
        <v>160</v>
      </c>
      <c r="E47" s="66" t="n">
        <f aca="false">E46*'Assumption Setting'!$H$100</f>
        <v>160</v>
      </c>
      <c r="F47" s="66" t="n">
        <f aca="false">F46*'Assumption Setting'!$H$100</f>
        <v>160</v>
      </c>
      <c r="G47" s="66" t="n">
        <f aca="false">G46*'Assumption Setting'!$H$100</f>
        <v>160</v>
      </c>
      <c r="H47" s="66" t="n">
        <f aca="false">H46*'Assumption Setting'!$H$100</f>
        <v>160</v>
      </c>
      <c r="I47" s="66" t="n">
        <f aca="false">I46*'Assumption Setting'!$H$100</f>
        <v>160</v>
      </c>
      <c r="J47" s="66" t="n">
        <f aca="false">J46*'Assumption Setting'!$H$100</f>
        <v>160</v>
      </c>
      <c r="K47" s="66" t="n">
        <f aca="false">K46*'Assumption Setting'!$H$100</f>
        <v>160</v>
      </c>
      <c r="L47" s="66" t="n">
        <f aca="false">L46*'Assumption Setting'!$H$100</f>
        <v>160</v>
      </c>
      <c r="M47" s="66" t="n">
        <f aca="false">M46*'Assumption Setting'!$H$100</f>
        <v>160</v>
      </c>
      <c r="N47" s="66" t="n">
        <f aca="false">N46*'Assumption Setting'!$H$100</f>
        <v>160</v>
      </c>
      <c r="O47" s="65" t="n">
        <f aca="false">SUM(P47:AA47)</f>
        <v>9600</v>
      </c>
      <c r="P47" s="66" t="n">
        <f aca="false">P46*'Assumption Setting'!$H$100</f>
        <v>800</v>
      </c>
      <c r="Q47" s="66" t="n">
        <f aca="false">Q46*'Assumption Setting'!$H$100</f>
        <v>800</v>
      </c>
      <c r="R47" s="66" t="n">
        <f aca="false">R46*'Assumption Setting'!$H$100</f>
        <v>800</v>
      </c>
      <c r="S47" s="66" t="n">
        <f aca="false">S46*'Assumption Setting'!$H$100</f>
        <v>800</v>
      </c>
      <c r="T47" s="66" t="n">
        <f aca="false">T46*'Assumption Setting'!$H$100</f>
        <v>800</v>
      </c>
      <c r="U47" s="66" t="n">
        <f aca="false">U46*'Assumption Setting'!$H$100</f>
        <v>800</v>
      </c>
      <c r="V47" s="66" t="n">
        <f aca="false">V46*'Assumption Setting'!$H$100</f>
        <v>800</v>
      </c>
      <c r="W47" s="66" t="n">
        <f aca="false">W46*'Assumption Setting'!$H$100</f>
        <v>800</v>
      </c>
      <c r="X47" s="66" t="n">
        <f aca="false">X46*'Assumption Setting'!$H$100</f>
        <v>800</v>
      </c>
      <c r="Y47" s="66" t="n">
        <f aca="false">Y46*'Assumption Setting'!$H$100</f>
        <v>800</v>
      </c>
      <c r="Z47" s="66" t="n">
        <f aca="false">Z46*'Assumption Setting'!$H$100</f>
        <v>800</v>
      </c>
      <c r="AA47" s="66" t="n">
        <f aca="false">AA46*'Assumption Setting'!$H$100</f>
        <v>800</v>
      </c>
      <c r="AB47" s="65" t="n">
        <f aca="false">SUM(AC47:AN47)</f>
        <v>19200</v>
      </c>
      <c r="AC47" s="66" t="n">
        <f aca="false">AC46*'Assumption Setting'!$H$100</f>
        <v>1600</v>
      </c>
      <c r="AD47" s="66" t="n">
        <f aca="false">AD46*'Assumption Setting'!$H$100</f>
        <v>1600</v>
      </c>
      <c r="AE47" s="66" t="n">
        <f aca="false">AE46*'Assumption Setting'!$H$100</f>
        <v>1600</v>
      </c>
      <c r="AF47" s="66" t="n">
        <f aca="false">AF46*'Assumption Setting'!$H$100</f>
        <v>1600</v>
      </c>
      <c r="AG47" s="66" t="n">
        <f aca="false">AG46*'Assumption Setting'!$H$100</f>
        <v>1600</v>
      </c>
      <c r="AH47" s="66" t="n">
        <f aca="false">AH46*'Assumption Setting'!$H$100</f>
        <v>1600</v>
      </c>
      <c r="AI47" s="66" t="n">
        <f aca="false">AI46*'Assumption Setting'!$H$100</f>
        <v>1600</v>
      </c>
      <c r="AJ47" s="66" t="n">
        <f aca="false">AJ46*'Assumption Setting'!$H$100</f>
        <v>1600</v>
      </c>
      <c r="AK47" s="66" t="n">
        <f aca="false">AK46*'Assumption Setting'!$H$100</f>
        <v>1600</v>
      </c>
      <c r="AL47" s="66" t="n">
        <f aca="false">AL46*'Assumption Setting'!$H$100</f>
        <v>1600</v>
      </c>
      <c r="AM47" s="66" t="n">
        <f aca="false">AM46*'Assumption Setting'!$H$100</f>
        <v>1600</v>
      </c>
      <c r="AN47" s="66" t="n">
        <f aca="false">AN46*'Assumption Setting'!$H$100</f>
        <v>1600</v>
      </c>
      <c r="AO47" s="65" t="n">
        <f aca="false">SUM(AP47:BA47)</f>
        <v>28800</v>
      </c>
      <c r="AP47" s="66" t="n">
        <f aca="false">AP46*'Assumption Setting'!$H$100</f>
        <v>2400</v>
      </c>
      <c r="AQ47" s="66" t="n">
        <f aca="false">AQ46*'Assumption Setting'!$H$100</f>
        <v>2400</v>
      </c>
      <c r="AR47" s="66" t="n">
        <f aca="false">AR46*'Assumption Setting'!$H$100</f>
        <v>2400</v>
      </c>
      <c r="AS47" s="66" t="n">
        <f aca="false">AS46*'Assumption Setting'!$H$100</f>
        <v>2400</v>
      </c>
      <c r="AT47" s="66" t="n">
        <f aca="false">AT46*'Assumption Setting'!$H$100</f>
        <v>2400</v>
      </c>
      <c r="AU47" s="66" t="n">
        <f aca="false">AU46*'Assumption Setting'!$H$100</f>
        <v>2400</v>
      </c>
      <c r="AV47" s="66" t="n">
        <f aca="false">AV46*'Assumption Setting'!$H$100</f>
        <v>2400</v>
      </c>
      <c r="AW47" s="66" t="n">
        <f aca="false">AW46*'Assumption Setting'!$H$100</f>
        <v>2400</v>
      </c>
      <c r="AX47" s="66" t="n">
        <f aca="false">AX46*'Assumption Setting'!$H$100</f>
        <v>2400</v>
      </c>
      <c r="AY47" s="66" t="n">
        <f aca="false">AY46*'Assumption Setting'!$H$100</f>
        <v>2400</v>
      </c>
      <c r="AZ47" s="66" t="n">
        <f aca="false">AZ46*'Assumption Setting'!$H$100</f>
        <v>2400</v>
      </c>
      <c r="BA47" s="66" t="n">
        <f aca="false">BA46*'Assumption Setting'!$H$100</f>
        <v>2400</v>
      </c>
      <c r="BB47" s="65" t="n">
        <f aca="false">SUM(BC47:BN47)</f>
        <v>38400</v>
      </c>
      <c r="BC47" s="66" t="n">
        <f aca="false">BC46*'Assumption Setting'!$H$100</f>
        <v>3200</v>
      </c>
      <c r="BD47" s="66" t="n">
        <f aca="false">BD46*'Assumption Setting'!$H$100</f>
        <v>3200</v>
      </c>
      <c r="BE47" s="66" t="n">
        <f aca="false">BE46*'Assumption Setting'!$H$100</f>
        <v>3200</v>
      </c>
      <c r="BF47" s="66" t="n">
        <f aca="false">BF46*'Assumption Setting'!$H$100</f>
        <v>3200</v>
      </c>
      <c r="BG47" s="66" t="n">
        <f aca="false">BG46*'Assumption Setting'!$H$100</f>
        <v>3200</v>
      </c>
      <c r="BH47" s="66" t="n">
        <f aca="false">BH46*'Assumption Setting'!$H$100</f>
        <v>3200</v>
      </c>
      <c r="BI47" s="66" t="n">
        <f aca="false">BI46*'Assumption Setting'!$H$100</f>
        <v>3200</v>
      </c>
      <c r="BJ47" s="66" t="n">
        <f aca="false">BJ46*'Assumption Setting'!$H$100</f>
        <v>3200</v>
      </c>
      <c r="BK47" s="66" t="n">
        <f aca="false">BK46*'Assumption Setting'!$H$100</f>
        <v>3200</v>
      </c>
      <c r="BL47" s="66" t="n">
        <f aca="false">BL46*'Assumption Setting'!$H$100</f>
        <v>3200</v>
      </c>
      <c r="BM47" s="66" t="n">
        <f aca="false">BM46*'Assumption Setting'!$H$100</f>
        <v>3200</v>
      </c>
      <c r="BN47" s="66" t="n">
        <f aca="false">BN46*'Assumption Setting'!$H$100</f>
        <v>3200</v>
      </c>
    </row>
    <row r="48" customFormat="false" ht="15" hidden="false" customHeight="false" outlineLevel="0" collapsed="false">
      <c r="A48" s="12" t="s">
        <v>629</v>
      </c>
      <c r="B48" s="79" t="n">
        <f aca="false">SUM(C48:N48)</f>
        <v>288</v>
      </c>
      <c r="C48" s="80" t="n">
        <f aca="false">C46*'Assumption Setting'!$I$100</f>
        <v>24</v>
      </c>
      <c r="D48" s="80" t="n">
        <f aca="false">D46*'Assumption Setting'!$I$100</f>
        <v>24</v>
      </c>
      <c r="E48" s="80" t="n">
        <f aca="false">E46*'Assumption Setting'!$I$100</f>
        <v>24</v>
      </c>
      <c r="F48" s="80" t="n">
        <f aca="false">F46*'Assumption Setting'!$I$100</f>
        <v>24</v>
      </c>
      <c r="G48" s="80" t="n">
        <f aca="false">G46*'Assumption Setting'!$I$100</f>
        <v>24</v>
      </c>
      <c r="H48" s="80" t="n">
        <f aca="false">H46*'Assumption Setting'!$I$100</f>
        <v>24</v>
      </c>
      <c r="I48" s="80" t="n">
        <f aca="false">I46*'Assumption Setting'!$I$100</f>
        <v>24</v>
      </c>
      <c r="J48" s="80" t="n">
        <f aca="false">J46*'Assumption Setting'!$I$100</f>
        <v>24</v>
      </c>
      <c r="K48" s="80" t="n">
        <f aca="false">K46*'Assumption Setting'!$I$100</f>
        <v>24</v>
      </c>
      <c r="L48" s="80" t="n">
        <f aca="false">L46*'Assumption Setting'!$I$100</f>
        <v>24</v>
      </c>
      <c r="M48" s="80" t="n">
        <f aca="false">M46*'Assumption Setting'!$I$100</f>
        <v>24</v>
      </c>
      <c r="N48" s="80" t="n">
        <f aca="false">N46*'Assumption Setting'!$I$100</f>
        <v>24</v>
      </c>
      <c r="O48" s="79" t="n">
        <f aca="false">SUM(P48:AA48)</f>
        <v>1440</v>
      </c>
      <c r="P48" s="80" t="n">
        <f aca="false">P46*'Assumption Setting'!$I$100</f>
        <v>120</v>
      </c>
      <c r="Q48" s="80" t="n">
        <f aca="false">Q46*'Assumption Setting'!$I$100</f>
        <v>120</v>
      </c>
      <c r="R48" s="80" t="n">
        <f aca="false">R46*'Assumption Setting'!$I$100</f>
        <v>120</v>
      </c>
      <c r="S48" s="80" t="n">
        <f aca="false">S46*'Assumption Setting'!$I$100</f>
        <v>120</v>
      </c>
      <c r="T48" s="80" t="n">
        <f aca="false">T46*'Assumption Setting'!$I$100</f>
        <v>120</v>
      </c>
      <c r="U48" s="80" t="n">
        <f aca="false">U46*'Assumption Setting'!$I$100</f>
        <v>120</v>
      </c>
      <c r="V48" s="80" t="n">
        <f aca="false">V46*'Assumption Setting'!$I$100</f>
        <v>120</v>
      </c>
      <c r="W48" s="80" t="n">
        <f aca="false">W46*'Assumption Setting'!$I$100</f>
        <v>120</v>
      </c>
      <c r="X48" s="80" t="n">
        <f aca="false">X46*'Assumption Setting'!$I$100</f>
        <v>120</v>
      </c>
      <c r="Y48" s="80" t="n">
        <f aca="false">Y46*'Assumption Setting'!$I$100</f>
        <v>120</v>
      </c>
      <c r="Z48" s="80" t="n">
        <f aca="false">Z46*'Assumption Setting'!$I$100</f>
        <v>120</v>
      </c>
      <c r="AA48" s="80" t="n">
        <f aca="false">AA46*'Assumption Setting'!$I$100</f>
        <v>120</v>
      </c>
      <c r="AB48" s="79" t="n">
        <f aca="false">SUM(AC48:AN48)</f>
        <v>2880</v>
      </c>
      <c r="AC48" s="80" t="n">
        <f aca="false">AC46*'Assumption Setting'!$I$100</f>
        <v>240</v>
      </c>
      <c r="AD48" s="80" t="n">
        <f aca="false">AD46*'Assumption Setting'!$I$100</f>
        <v>240</v>
      </c>
      <c r="AE48" s="80" t="n">
        <f aca="false">AE46*'Assumption Setting'!$I$100</f>
        <v>240</v>
      </c>
      <c r="AF48" s="80" t="n">
        <f aca="false">AF46*'Assumption Setting'!$I$100</f>
        <v>240</v>
      </c>
      <c r="AG48" s="80" t="n">
        <f aca="false">AG46*'Assumption Setting'!$I$100</f>
        <v>240</v>
      </c>
      <c r="AH48" s="80" t="n">
        <f aca="false">AH46*'Assumption Setting'!$I$100</f>
        <v>240</v>
      </c>
      <c r="AI48" s="80" t="n">
        <f aca="false">AI46*'Assumption Setting'!$I$100</f>
        <v>240</v>
      </c>
      <c r="AJ48" s="80" t="n">
        <f aca="false">AJ46*'Assumption Setting'!$I$100</f>
        <v>240</v>
      </c>
      <c r="AK48" s="80" t="n">
        <f aca="false">AK46*'Assumption Setting'!$I$100</f>
        <v>240</v>
      </c>
      <c r="AL48" s="80" t="n">
        <f aca="false">AL46*'Assumption Setting'!$I$100</f>
        <v>240</v>
      </c>
      <c r="AM48" s="80" t="n">
        <f aca="false">AM46*'Assumption Setting'!$I$100</f>
        <v>240</v>
      </c>
      <c r="AN48" s="80" t="n">
        <f aca="false">AN46*'Assumption Setting'!$I$100</f>
        <v>240</v>
      </c>
      <c r="AO48" s="79" t="n">
        <f aca="false">SUM(AP48:BA48)</f>
        <v>4320</v>
      </c>
      <c r="AP48" s="80" t="n">
        <f aca="false">AP46*'Assumption Setting'!$I$100</f>
        <v>360</v>
      </c>
      <c r="AQ48" s="80" t="n">
        <f aca="false">AQ46*'Assumption Setting'!$I$100</f>
        <v>360</v>
      </c>
      <c r="AR48" s="80" t="n">
        <f aca="false">AR46*'Assumption Setting'!$I$100</f>
        <v>360</v>
      </c>
      <c r="AS48" s="80" t="n">
        <f aca="false">AS46*'Assumption Setting'!$I$100</f>
        <v>360</v>
      </c>
      <c r="AT48" s="80" t="n">
        <f aca="false">AT46*'Assumption Setting'!$I$100</f>
        <v>360</v>
      </c>
      <c r="AU48" s="80" t="n">
        <f aca="false">AU46*'Assumption Setting'!$I$100</f>
        <v>360</v>
      </c>
      <c r="AV48" s="80" t="n">
        <f aca="false">AV46*'Assumption Setting'!$I$100</f>
        <v>360</v>
      </c>
      <c r="AW48" s="80" t="n">
        <f aca="false">AW46*'Assumption Setting'!$I$100</f>
        <v>360</v>
      </c>
      <c r="AX48" s="80" t="n">
        <f aca="false">AX46*'Assumption Setting'!$I$100</f>
        <v>360</v>
      </c>
      <c r="AY48" s="80" t="n">
        <f aca="false">AY46*'Assumption Setting'!$I$100</f>
        <v>360</v>
      </c>
      <c r="AZ48" s="80" t="n">
        <f aca="false">AZ46*'Assumption Setting'!$I$100</f>
        <v>360</v>
      </c>
      <c r="BA48" s="80" t="n">
        <f aca="false">BA46*'Assumption Setting'!$I$100</f>
        <v>360</v>
      </c>
      <c r="BB48" s="79" t="n">
        <f aca="false">SUM(BC48:BN48)</f>
        <v>5760</v>
      </c>
      <c r="BC48" s="80" t="n">
        <f aca="false">BC46*'Assumption Setting'!$I$100</f>
        <v>480</v>
      </c>
      <c r="BD48" s="80" t="n">
        <f aca="false">BD46*'Assumption Setting'!$I$100</f>
        <v>480</v>
      </c>
      <c r="BE48" s="80" t="n">
        <f aca="false">BE46*'Assumption Setting'!$I$100</f>
        <v>480</v>
      </c>
      <c r="BF48" s="80" t="n">
        <f aca="false">BF46*'Assumption Setting'!$I$100</f>
        <v>480</v>
      </c>
      <c r="BG48" s="80" t="n">
        <f aca="false">BG46*'Assumption Setting'!$I$100</f>
        <v>480</v>
      </c>
      <c r="BH48" s="80" t="n">
        <f aca="false">BH46*'Assumption Setting'!$I$100</f>
        <v>480</v>
      </c>
      <c r="BI48" s="80" t="n">
        <f aca="false">BI46*'Assumption Setting'!$I$100</f>
        <v>480</v>
      </c>
      <c r="BJ48" s="80" t="n">
        <f aca="false">BJ46*'Assumption Setting'!$I$100</f>
        <v>480</v>
      </c>
      <c r="BK48" s="80" t="n">
        <f aca="false">BK46*'Assumption Setting'!$I$100</f>
        <v>480</v>
      </c>
      <c r="BL48" s="80" t="n">
        <f aca="false">BL46*'Assumption Setting'!$I$100</f>
        <v>480</v>
      </c>
      <c r="BM48" s="80" t="n">
        <f aca="false">BM46*'Assumption Setting'!$I$100</f>
        <v>480</v>
      </c>
      <c r="BN48" s="80" t="n">
        <f aca="false">BN46*'Assumption Setting'!$I$100</f>
        <v>480</v>
      </c>
    </row>
    <row r="49" customFormat="false" ht="15" hidden="false" customHeight="false" outlineLevel="0" collapsed="false">
      <c r="A49" s="12" t="s">
        <v>630</v>
      </c>
      <c r="B49" s="81" t="n">
        <f aca="false">SUM(C49:N49)</f>
        <v>6</v>
      </c>
      <c r="C49" s="82" t="n">
        <f aca="false">C46*'Assumption Setting'!$J$100</f>
        <v>0.5</v>
      </c>
      <c r="D49" s="82" t="n">
        <f aca="false">D46*'Assumption Setting'!$J$100</f>
        <v>0.5</v>
      </c>
      <c r="E49" s="82" t="n">
        <f aca="false">E46*'Assumption Setting'!$J$100</f>
        <v>0.5</v>
      </c>
      <c r="F49" s="82" t="n">
        <f aca="false">F46*'Assumption Setting'!$J$100</f>
        <v>0.5</v>
      </c>
      <c r="G49" s="82" t="n">
        <f aca="false">G46*'Assumption Setting'!$J$100</f>
        <v>0.5</v>
      </c>
      <c r="H49" s="82" t="n">
        <f aca="false">H46*'Assumption Setting'!$J$100</f>
        <v>0.5</v>
      </c>
      <c r="I49" s="82" t="n">
        <f aca="false">I46*'Assumption Setting'!$J$100</f>
        <v>0.5</v>
      </c>
      <c r="J49" s="82" t="n">
        <f aca="false">J46*'Assumption Setting'!$J$100</f>
        <v>0.5</v>
      </c>
      <c r="K49" s="82" t="n">
        <f aca="false">K46*'Assumption Setting'!$J$100</f>
        <v>0.5</v>
      </c>
      <c r="L49" s="82" t="n">
        <f aca="false">L46*'Assumption Setting'!$J$100</f>
        <v>0.5</v>
      </c>
      <c r="M49" s="82" t="n">
        <f aca="false">M46*'Assumption Setting'!$J$100</f>
        <v>0.5</v>
      </c>
      <c r="N49" s="82" t="n">
        <f aca="false">N46*'Assumption Setting'!$J$100</f>
        <v>0.5</v>
      </c>
      <c r="O49" s="81" t="n">
        <f aca="false">SUM(P49:AA49)</f>
        <v>30</v>
      </c>
      <c r="P49" s="82" t="n">
        <f aca="false">P46*'Assumption Setting'!$J$100</f>
        <v>2.5</v>
      </c>
      <c r="Q49" s="82" t="n">
        <f aca="false">Q46*'Assumption Setting'!$J$100</f>
        <v>2.5</v>
      </c>
      <c r="R49" s="82" t="n">
        <f aca="false">R46*'Assumption Setting'!$J$100</f>
        <v>2.5</v>
      </c>
      <c r="S49" s="82" t="n">
        <f aca="false">S46*'Assumption Setting'!$J$100</f>
        <v>2.5</v>
      </c>
      <c r="T49" s="82" t="n">
        <f aca="false">T46*'Assumption Setting'!$J$100</f>
        <v>2.5</v>
      </c>
      <c r="U49" s="82" t="n">
        <f aca="false">U46*'Assumption Setting'!$J$100</f>
        <v>2.5</v>
      </c>
      <c r="V49" s="82" t="n">
        <f aca="false">V46*'Assumption Setting'!$J$100</f>
        <v>2.5</v>
      </c>
      <c r="W49" s="82" t="n">
        <f aca="false">W46*'Assumption Setting'!$J$100</f>
        <v>2.5</v>
      </c>
      <c r="X49" s="82" t="n">
        <f aca="false">X46*'Assumption Setting'!$J$100</f>
        <v>2.5</v>
      </c>
      <c r="Y49" s="82" t="n">
        <f aca="false">Y46*'Assumption Setting'!$J$100</f>
        <v>2.5</v>
      </c>
      <c r="Z49" s="82" t="n">
        <f aca="false">Z46*'Assumption Setting'!$J$100</f>
        <v>2.5</v>
      </c>
      <c r="AA49" s="82" t="n">
        <f aca="false">AA46*'Assumption Setting'!$J$100</f>
        <v>2.5</v>
      </c>
      <c r="AB49" s="81" t="n">
        <f aca="false">SUM(AC49:AN49)</f>
        <v>60</v>
      </c>
      <c r="AC49" s="82" t="n">
        <f aca="false">AC46*'Assumption Setting'!$J$100</f>
        <v>5</v>
      </c>
      <c r="AD49" s="82" t="n">
        <f aca="false">AD46*'Assumption Setting'!$J$100</f>
        <v>5</v>
      </c>
      <c r="AE49" s="82" t="n">
        <f aca="false">AE46*'Assumption Setting'!$J$100</f>
        <v>5</v>
      </c>
      <c r="AF49" s="82" t="n">
        <f aca="false">AF46*'Assumption Setting'!$J$100</f>
        <v>5</v>
      </c>
      <c r="AG49" s="82" t="n">
        <f aca="false">AG46*'Assumption Setting'!$J$100</f>
        <v>5</v>
      </c>
      <c r="AH49" s="82" t="n">
        <f aca="false">AH46*'Assumption Setting'!$J$100</f>
        <v>5</v>
      </c>
      <c r="AI49" s="82" t="n">
        <f aca="false">AI46*'Assumption Setting'!$J$100</f>
        <v>5</v>
      </c>
      <c r="AJ49" s="82" t="n">
        <f aca="false">AJ46*'Assumption Setting'!$J$100</f>
        <v>5</v>
      </c>
      <c r="AK49" s="82" t="n">
        <f aca="false">AK46*'Assumption Setting'!$J$100</f>
        <v>5</v>
      </c>
      <c r="AL49" s="82" t="n">
        <f aca="false">AL46*'Assumption Setting'!$J$100</f>
        <v>5</v>
      </c>
      <c r="AM49" s="82" t="n">
        <f aca="false">AM46*'Assumption Setting'!$J$100</f>
        <v>5</v>
      </c>
      <c r="AN49" s="82" t="n">
        <f aca="false">AN46*'Assumption Setting'!$J$100</f>
        <v>5</v>
      </c>
      <c r="AO49" s="81" t="n">
        <f aca="false">SUM(AP49:BA49)</f>
        <v>90</v>
      </c>
      <c r="AP49" s="82" t="n">
        <f aca="false">AP46*'Assumption Setting'!$J$100</f>
        <v>7.5</v>
      </c>
      <c r="AQ49" s="82" t="n">
        <f aca="false">AQ46*'Assumption Setting'!$J$100</f>
        <v>7.5</v>
      </c>
      <c r="AR49" s="82" t="n">
        <f aca="false">AR46*'Assumption Setting'!$J$100</f>
        <v>7.5</v>
      </c>
      <c r="AS49" s="82" t="n">
        <f aca="false">AS46*'Assumption Setting'!$J$100</f>
        <v>7.5</v>
      </c>
      <c r="AT49" s="82" t="n">
        <f aca="false">AT46*'Assumption Setting'!$J$100</f>
        <v>7.5</v>
      </c>
      <c r="AU49" s="82" t="n">
        <f aca="false">AU46*'Assumption Setting'!$J$100</f>
        <v>7.5</v>
      </c>
      <c r="AV49" s="82" t="n">
        <f aca="false">AV46*'Assumption Setting'!$J$100</f>
        <v>7.5</v>
      </c>
      <c r="AW49" s="82" t="n">
        <f aca="false">AW46*'Assumption Setting'!$J$100</f>
        <v>7.5</v>
      </c>
      <c r="AX49" s="82" t="n">
        <f aca="false">AX46*'Assumption Setting'!$J$100</f>
        <v>7.5</v>
      </c>
      <c r="AY49" s="82" t="n">
        <f aca="false">AY46*'Assumption Setting'!$J$100</f>
        <v>7.5</v>
      </c>
      <c r="AZ49" s="82" t="n">
        <f aca="false">AZ46*'Assumption Setting'!$J$100</f>
        <v>7.5</v>
      </c>
      <c r="BA49" s="82" t="n">
        <f aca="false">BA46*'Assumption Setting'!$J$100</f>
        <v>7.5</v>
      </c>
      <c r="BB49" s="81" t="n">
        <f aca="false">SUM(BC49:BN49)</f>
        <v>120</v>
      </c>
      <c r="BC49" s="82" t="n">
        <f aca="false">BC46*'Assumption Setting'!$J$100</f>
        <v>10</v>
      </c>
      <c r="BD49" s="82" t="n">
        <f aca="false">BD46*'Assumption Setting'!$J$100</f>
        <v>10</v>
      </c>
      <c r="BE49" s="82" t="n">
        <f aca="false">BE46*'Assumption Setting'!$J$100</f>
        <v>10</v>
      </c>
      <c r="BF49" s="82" t="n">
        <f aca="false">BF46*'Assumption Setting'!$J$100</f>
        <v>10</v>
      </c>
      <c r="BG49" s="82" t="n">
        <f aca="false">BG46*'Assumption Setting'!$J$100</f>
        <v>10</v>
      </c>
      <c r="BH49" s="82" t="n">
        <f aca="false">BH46*'Assumption Setting'!$J$100</f>
        <v>10</v>
      </c>
      <c r="BI49" s="82" t="n">
        <f aca="false">BI46*'Assumption Setting'!$J$100</f>
        <v>10</v>
      </c>
      <c r="BJ49" s="82" t="n">
        <f aca="false">BJ46*'Assumption Setting'!$J$100</f>
        <v>10</v>
      </c>
      <c r="BK49" s="82" t="n">
        <f aca="false">BK46*'Assumption Setting'!$J$100</f>
        <v>10</v>
      </c>
      <c r="BL49" s="82" t="n">
        <f aca="false">BL46*'Assumption Setting'!$J$100</f>
        <v>10</v>
      </c>
      <c r="BM49" s="82" t="n">
        <f aca="false">BM46*'Assumption Setting'!$J$100</f>
        <v>10</v>
      </c>
      <c r="BN49" s="82" t="n">
        <f aca="false">BN46*'Assumption Setting'!$J$100</f>
        <v>10</v>
      </c>
    </row>
    <row r="50" customFormat="false" ht="15" hidden="false" customHeight="false" outlineLevel="0" collapsed="false">
      <c r="A50" s="12" t="s">
        <v>363</v>
      </c>
      <c r="B50" s="81" t="n">
        <f aca="false">SUM(C50:N50)</f>
        <v>3</v>
      </c>
      <c r="C50" s="82" t="n">
        <f aca="false">'Assumption Setting'!$C$101</f>
        <v>0.25</v>
      </c>
      <c r="D50" s="82" t="n">
        <f aca="false">'Assumption Setting'!$C$101</f>
        <v>0.25</v>
      </c>
      <c r="E50" s="82" t="n">
        <f aca="false">'Assumption Setting'!$C$101</f>
        <v>0.25</v>
      </c>
      <c r="F50" s="82" t="n">
        <f aca="false">'Assumption Setting'!$C$101</f>
        <v>0.25</v>
      </c>
      <c r="G50" s="82" t="n">
        <f aca="false">'Assumption Setting'!$C$101</f>
        <v>0.25</v>
      </c>
      <c r="H50" s="82" t="n">
        <f aca="false">'Assumption Setting'!$C$101</f>
        <v>0.25</v>
      </c>
      <c r="I50" s="82" t="n">
        <f aca="false">'Assumption Setting'!$C$101</f>
        <v>0.25</v>
      </c>
      <c r="J50" s="82" t="n">
        <f aca="false">'Assumption Setting'!$C$101</f>
        <v>0.25</v>
      </c>
      <c r="K50" s="82" t="n">
        <f aca="false">'Assumption Setting'!$C$101</f>
        <v>0.25</v>
      </c>
      <c r="L50" s="82" t="n">
        <f aca="false">'Assumption Setting'!$C$101</f>
        <v>0.25</v>
      </c>
      <c r="M50" s="82" t="n">
        <f aca="false">'Assumption Setting'!$C$101</f>
        <v>0.25</v>
      </c>
      <c r="N50" s="82" t="n">
        <f aca="false">'Assumption Setting'!$C$101</f>
        <v>0.25</v>
      </c>
      <c r="O50" s="81" t="n">
        <f aca="false">SUM(P50:AA50)</f>
        <v>18</v>
      </c>
      <c r="P50" s="82" t="n">
        <f aca="false">'Assumption Setting'!$D$101</f>
        <v>1.5</v>
      </c>
      <c r="Q50" s="82" t="n">
        <f aca="false">'Assumption Setting'!$D$101</f>
        <v>1.5</v>
      </c>
      <c r="R50" s="82" t="n">
        <f aca="false">'Assumption Setting'!$D$101</f>
        <v>1.5</v>
      </c>
      <c r="S50" s="82" t="n">
        <f aca="false">'Assumption Setting'!$D$101</f>
        <v>1.5</v>
      </c>
      <c r="T50" s="82" t="n">
        <f aca="false">'Assumption Setting'!$D$101</f>
        <v>1.5</v>
      </c>
      <c r="U50" s="82" t="n">
        <f aca="false">'Assumption Setting'!$D$101</f>
        <v>1.5</v>
      </c>
      <c r="V50" s="82" t="n">
        <f aca="false">'Assumption Setting'!$D$101</f>
        <v>1.5</v>
      </c>
      <c r="W50" s="82" t="n">
        <f aca="false">'Assumption Setting'!$D$101</f>
        <v>1.5</v>
      </c>
      <c r="X50" s="82" t="n">
        <f aca="false">'Assumption Setting'!$D$101</f>
        <v>1.5</v>
      </c>
      <c r="Y50" s="82" t="n">
        <f aca="false">'Assumption Setting'!$D$101</f>
        <v>1.5</v>
      </c>
      <c r="Z50" s="82" t="n">
        <f aca="false">'Assumption Setting'!$D$101</f>
        <v>1.5</v>
      </c>
      <c r="AA50" s="82" t="n">
        <f aca="false">'Assumption Setting'!$D$101</f>
        <v>1.5</v>
      </c>
      <c r="AB50" s="81" t="n">
        <f aca="false">SUM(AC50:AN50)</f>
        <v>36</v>
      </c>
      <c r="AC50" s="82" t="n">
        <f aca="false">'Assumption Setting'!$E$101</f>
        <v>3</v>
      </c>
      <c r="AD50" s="82" t="n">
        <f aca="false">'Assumption Setting'!$E$101</f>
        <v>3</v>
      </c>
      <c r="AE50" s="82" t="n">
        <f aca="false">'Assumption Setting'!$E$101</f>
        <v>3</v>
      </c>
      <c r="AF50" s="82" t="n">
        <f aca="false">'Assumption Setting'!$E$101</f>
        <v>3</v>
      </c>
      <c r="AG50" s="82" t="n">
        <f aca="false">'Assumption Setting'!$E$101</f>
        <v>3</v>
      </c>
      <c r="AH50" s="82" t="n">
        <f aca="false">'Assumption Setting'!$E$101</f>
        <v>3</v>
      </c>
      <c r="AI50" s="82" t="n">
        <f aca="false">'Assumption Setting'!$E$101</f>
        <v>3</v>
      </c>
      <c r="AJ50" s="82" t="n">
        <f aca="false">'Assumption Setting'!$E$101</f>
        <v>3</v>
      </c>
      <c r="AK50" s="82" t="n">
        <f aca="false">'Assumption Setting'!$E$101</f>
        <v>3</v>
      </c>
      <c r="AL50" s="82" t="n">
        <f aca="false">'Assumption Setting'!$E$101</f>
        <v>3</v>
      </c>
      <c r="AM50" s="82" t="n">
        <f aca="false">'Assumption Setting'!$E$101</f>
        <v>3</v>
      </c>
      <c r="AN50" s="82" t="n">
        <f aca="false">'Assumption Setting'!$E$101</f>
        <v>3</v>
      </c>
      <c r="AO50" s="81" t="n">
        <f aca="false">SUM(AP50:BA50)</f>
        <v>54</v>
      </c>
      <c r="AP50" s="82" t="n">
        <f aca="false">'Assumption Setting'!$F$101</f>
        <v>4.5</v>
      </c>
      <c r="AQ50" s="82" t="n">
        <f aca="false">'Assumption Setting'!$F$101</f>
        <v>4.5</v>
      </c>
      <c r="AR50" s="82" t="n">
        <f aca="false">'Assumption Setting'!$F$101</f>
        <v>4.5</v>
      </c>
      <c r="AS50" s="82" t="n">
        <f aca="false">'Assumption Setting'!$F$101</f>
        <v>4.5</v>
      </c>
      <c r="AT50" s="82" t="n">
        <f aca="false">'Assumption Setting'!$F$101</f>
        <v>4.5</v>
      </c>
      <c r="AU50" s="82" t="n">
        <f aca="false">'Assumption Setting'!$F$101</f>
        <v>4.5</v>
      </c>
      <c r="AV50" s="82" t="n">
        <f aca="false">'Assumption Setting'!$F$101</f>
        <v>4.5</v>
      </c>
      <c r="AW50" s="82" t="n">
        <f aca="false">'Assumption Setting'!$F$101</f>
        <v>4.5</v>
      </c>
      <c r="AX50" s="82" t="n">
        <f aca="false">'Assumption Setting'!$F$101</f>
        <v>4.5</v>
      </c>
      <c r="AY50" s="82" t="n">
        <f aca="false">'Assumption Setting'!$F$101</f>
        <v>4.5</v>
      </c>
      <c r="AZ50" s="82" t="n">
        <f aca="false">'Assumption Setting'!$F$101</f>
        <v>4.5</v>
      </c>
      <c r="BA50" s="82" t="n">
        <f aca="false">'Assumption Setting'!$F$101</f>
        <v>4.5</v>
      </c>
      <c r="BB50" s="81" t="n">
        <f aca="false">SUM(BC50:BN50)</f>
        <v>72</v>
      </c>
      <c r="BC50" s="82" t="n">
        <f aca="false">'Assumption Setting'!$G$101</f>
        <v>6</v>
      </c>
      <c r="BD50" s="82" t="n">
        <f aca="false">'Assumption Setting'!$G$101</f>
        <v>6</v>
      </c>
      <c r="BE50" s="82" t="n">
        <f aca="false">'Assumption Setting'!$G$101</f>
        <v>6</v>
      </c>
      <c r="BF50" s="82" t="n">
        <f aca="false">'Assumption Setting'!$G$101</f>
        <v>6</v>
      </c>
      <c r="BG50" s="82" t="n">
        <f aca="false">'Assumption Setting'!$G$101</f>
        <v>6</v>
      </c>
      <c r="BH50" s="82" t="n">
        <f aca="false">'Assumption Setting'!$G$101</f>
        <v>6</v>
      </c>
      <c r="BI50" s="82" t="n">
        <f aca="false">'Assumption Setting'!$G$101</f>
        <v>6</v>
      </c>
      <c r="BJ50" s="82" t="n">
        <f aca="false">'Assumption Setting'!$G$101</f>
        <v>6</v>
      </c>
      <c r="BK50" s="82" t="n">
        <f aca="false">'Assumption Setting'!$G$101</f>
        <v>6</v>
      </c>
      <c r="BL50" s="82" t="n">
        <f aca="false">'Assumption Setting'!$G$101</f>
        <v>6</v>
      </c>
      <c r="BM50" s="82" t="n">
        <f aca="false">'Assumption Setting'!$G$101</f>
        <v>6</v>
      </c>
      <c r="BN50" s="82" t="n">
        <f aca="false">'Assumption Setting'!$G$101</f>
        <v>6</v>
      </c>
    </row>
    <row r="51" customFormat="false" ht="15" hidden="false" customHeight="false" outlineLevel="0" collapsed="false">
      <c r="A51" s="12" t="s">
        <v>628</v>
      </c>
      <c r="B51" s="65" t="n">
        <f aca="false">SUM(C51:N51)</f>
        <v>600</v>
      </c>
      <c r="C51" s="66" t="n">
        <f aca="false">C50*'Assumption Setting'!$H$101</f>
        <v>50</v>
      </c>
      <c r="D51" s="66" t="n">
        <f aca="false">D50*'Assumption Setting'!$H$101</f>
        <v>50</v>
      </c>
      <c r="E51" s="66" t="n">
        <f aca="false">E50*'Assumption Setting'!$H$101</f>
        <v>50</v>
      </c>
      <c r="F51" s="66" t="n">
        <f aca="false">F50*'Assumption Setting'!$H$101</f>
        <v>50</v>
      </c>
      <c r="G51" s="66" t="n">
        <f aca="false">G50*'Assumption Setting'!$H$101</f>
        <v>50</v>
      </c>
      <c r="H51" s="66" t="n">
        <f aca="false">H50*'Assumption Setting'!$H$101</f>
        <v>50</v>
      </c>
      <c r="I51" s="66" t="n">
        <f aca="false">I50*'Assumption Setting'!$H$101</f>
        <v>50</v>
      </c>
      <c r="J51" s="66" t="n">
        <f aca="false">J50*'Assumption Setting'!$H$101</f>
        <v>50</v>
      </c>
      <c r="K51" s="66" t="n">
        <f aca="false">K50*'Assumption Setting'!$H$101</f>
        <v>50</v>
      </c>
      <c r="L51" s="66" t="n">
        <f aca="false">L50*'Assumption Setting'!$H$101</f>
        <v>50</v>
      </c>
      <c r="M51" s="66" t="n">
        <f aca="false">M50*'Assumption Setting'!$H$101</f>
        <v>50</v>
      </c>
      <c r="N51" s="66" t="n">
        <f aca="false">N50*'Assumption Setting'!$H$101</f>
        <v>50</v>
      </c>
      <c r="O51" s="65" t="n">
        <f aca="false">SUM(P51:AA51)</f>
        <v>3600</v>
      </c>
      <c r="P51" s="66" t="n">
        <f aca="false">P50*'Assumption Setting'!$H$101</f>
        <v>300</v>
      </c>
      <c r="Q51" s="66" t="n">
        <f aca="false">Q50*'Assumption Setting'!$H$101</f>
        <v>300</v>
      </c>
      <c r="R51" s="66" t="n">
        <f aca="false">R50*'Assumption Setting'!$H$101</f>
        <v>300</v>
      </c>
      <c r="S51" s="66" t="n">
        <f aca="false">S50*'Assumption Setting'!$H$101</f>
        <v>300</v>
      </c>
      <c r="T51" s="66" t="n">
        <f aca="false">T50*'Assumption Setting'!$H$101</f>
        <v>300</v>
      </c>
      <c r="U51" s="66" t="n">
        <f aca="false">U50*'Assumption Setting'!$H$101</f>
        <v>300</v>
      </c>
      <c r="V51" s="66" t="n">
        <f aca="false">V50*'Assumption Setting'!$H$101</f>
        <v>300</v>
      </c>
      <c r="W51" s="66" t="n">
        <f aca="false">W50*'Assumption Setting'!$H$101</f>
        <v>300</v>
      </c>
      <c r="X51" s="66" t="n">
        <f aca="false">X50*'Assumption Setting'!$H$101</f>
        <v>300</v>
      </c>
      <c r="Y51" s="66" t="n">
        <f aca="false">Y50*'Assumption Setting'!$H$101</f>
        <v>300</v>
      </c>
      <c r="Z51" s="66" t="n">
        <f aca="false">Z50*'Assumption Setting'!$H$101</f>
        <v>300</v>
      </c>
      <c r="AA51" s="66" t="n">
        <f aca="false">AA50*'Assumption Setting'!$H$101</f>
        <v>300</v>
      </c>
      <c r="AB51" s="65" t="n">
        <f aca="false">SUM(AC51:AN51)</f>
        <v>7200</v>
      </c>
      <c r="AC51" s="66" t="n">
        <f aca="false">AC50*'Assumption Setting'!$H$101</f>
        <v>600</v>
      </c>
      <c r="AD51" s="66" t="n">
        <f aca="false">AD50*'Assumption Setting'!$H$101</f>
        <v>600</v>
      </c>
      <c r="AE51" s="66" t="n">
        <f aca="false">AE50*'Assumption Setting'!$H$101</f>
        <v>600</v>
      </c>
      <c r="AF51" s="66" t="n">
        <f aca="false">AF50*'Assumption Setting'!$H$101</f>
        <v>600</v>
      </c>
      <c r="AG51" s="66" t="n">
        <f aca="false">AG50*'Assumption Setting'!$H$101</f>
        <v>600</v>
      </c>
      <c r="AH51" s="66" t="n">
        <f aca="false">AH50*'Assumption Setting'!$H$101</f>
        <v>600</v>
      </c>
      <c r="AI51" s="66" t="n">
        <f aca="false">AI50*'Assumption Setting'!$H$101</f>
        <v>600</v>
      </c>
      <c r="AJ51" s="66" t="n">
        <f aca="false">AJ50*'Assumption Setting'!$H$101</f>
        <v>600</v>
      </c>
      <c r="AK51" s="66" t="n">
        <f aca="false">AK50*'Assumption Setting'!$H$101</f>
        <v>600</v>
      </c>
      <c r="AL51" s="66" t="n">
        <f aca="false">AL50*'Assumption Setting'!$H$101</f>
        <v>600</v>
      </c>
      <c r="AM51" s="66" t="n">
        <f aca="false">AM50*'Assumption Setting'!$H$101</f>
        <v>600</v>
      </c>
      <c r="AN51" s="66" t="n">
        <f aca="false">AN50*'Assumption Setting'!$H$101</f>
        <v>600</v>
      </c>
      <c r="AO51" s="65" t="n">
        <f aca="false">SUM(AP51:BA51)</f>
        <v>10800</v>
      </c>
      <c r="AP51" s="66" t="n">
        <f aca="false">AP50*'Assumption Setting'!$H$101</f>
        <v>900</v>
      </c>
      <c r="AQ51" s="66" t="n">
        <f aca="false">AQ50*'Assumption Setting'!$H$101</f>
        <v>900</v>
      </c>
      <c r="AR51" s="66" t="n">
        <f aca="false">AR50*'Assumption Setting'!$H$101</f>
        <v>900</v>
      </c>
      <c r="AS51" s="66" t="n">
        <f aca="false">AS50*'Assumption Setting'!$H$101</f>
        <v>900</v>
      </c>
      <c r="AT51" s="66" t="n">
        <f aca="false">AT50*'Assumption Setting'!$H$101</f>
        <v>900</v>
      </c>
      <c r="AU51" s="66" t="n">
        <f aca="false">AU50*'Assumption Setting'!$H$101</f>
        <v>900</v>
      </c>
      <c r="AV51" s="66" t="n">
        <f aca="false">AV50*'Assumption Setting'!$H$101</f>
        <v>900</v>
      </c>
      <c r="AW51" s="66" t="n">
        <f aca="false">AW50*'Assumption Setting'!$H$101</f>
        <v>900</v>
      </c>
      <c r="AX51" s="66" t="n">
        <f aca="false">AX50*'Assumption Setting'!$H$101</f>
        <v>900</v>
      </c>
      <c r="AY51" s="66" t="n">
        <f aca="false">AY50*'Assumption Setting'!$H$101</f>
        <v>900</v>
      </c>
      <c r="AZ51" s="66" t="n">
        <f aca="false">AZ50*'Assumption Setting'!$H$101</f>
        <v>900</v>
      </c>
      <c r="BA51" s="66" t="n">
        <f aca="false">BA50*'Assumption Setting'!$H$101</f>
        <v>900</v>
      </c>
      <c r="BB51" s="65" t="n">
        <f aca="false">SUM(BC51:BN51)</f>
        <v>14400</v>
      </c>
      <c r="BC51" s="66" t="n">
        <f aca="false">BC50*'Assumption Setting'!$H$101</f>
        <v>1200</v>
      </c>
      <c r="BD51" s="66" t="n">
        <f aca="false">BD50*'Assumption Setting'!$H$101</f>
        <v>1200</v>
      </c>
      <c r="BE51" s="66" t="n">
        <f aca="false">BE50*'Assumption Setting'!$H$101</f>
        <v>1200</v>
      </c>
      <c r="BF51" s="66" t="n">
        <f aca="false">BF50*'Assumption Setting'!$H$101</f>
        <v>1200</v>
      </c>
      <c r="BG51" s="66" t="n">
        <f aca="false">BG50*'Assumption Setting'!$H$101</f>
        <v>1200</v>
      </c>
      <c r="BH51" s="66" t="n">
        <f aca="false">BH50*'Assumption Setting'!$H$101</f>
        <v>1200</v>
      </c>
      <c r="BI51" s="66" t="n">
        <f aca="false">BI50*'Assumption Setting'!$H$101</f>
        <v>1200</v>
      </c>
      <c r="BJ51" s="66" t="n">
        <f aca="false">BJ50*'Assumption Setting'!$H$101</f>
        <v>1200</v>
      </c>
      <c r="BK51" s="66" t="n">
        <f aca="false">BK50*'Assumption Setting'!$H$101</f>
        <v>1200</v>
      </c>
      <c r="BL51" s="66" t="n">
        <f aca="false">BL50*'Assumption Setting'!$H$101</f>
        <v>1200</v>
      </c>
      <c r="BM51" s="66" t="n">
        <f aca="false">BM50*'Assumption Setting'!$H$101</f>
        <v>1200</v>
      </c>
      <c r="BN51" s="66" t="n">
        <f aca="false">BN50*'Assumption Setting'!$H$101</f>
        <v>1200</v>
      </c>
    </row>
    <row r="52" customFormat="false" ht="15" hidden="false" customHeight="false" outlineLevel="0" collapsed="false">
      <c r="A52" s="12" t="s">
        <v>629</v>
      </c>
      <c r="B52" s="79" t="n">
        <f aca="false">SUM(C52:N52)</f>
        <v>165</v>
      </c>
      <c r="C52" s="80" t="n">
        <f aca="false">C50*'Assumption Setting'!$I$101</f>
        <v>13.75</v>
      </c>
      <c r="D52" s="80" t="n">
        <f aca="false">D50*'Assumption Setting'!$I$101</f>
        <v>13.75</v>
      </c>
      <c r="E52" s="80" t="n">
        <f aca="false">E50*'Assumption Setting'!$I$101</f>
        <v>13.75</v>
      </c>
      <c r="F52" s="80" t="n">
        <f aca="false">F50*'Assumption Setting'!$I$101</f>
        <v>13.75</v>
      </c>
      <c r="G52" s="80" t="n">
        <f aca="false">G50*'Assumption Setting'!$I$101</f>
        <v>13.75</v>
      </c>
      <c r="H52" s="80" t="n">
        <f aca="false">H50*'Assumption Setting'!$I$101</f>
        <v>13.75</v>
      </c>
      <c r="I52" s="80" t="n">
        <f aca="false">I50*'Assumption Setting'!$I$101</f>
        <v>13.75</v>
      </c>
      <c r="J52" s="80" t="n">
        <f aca="false">J50*'Assumption Setting'!$I$101</f>
        <v>13.75</v>
      </c>
      <c r="K52" s="80" t="n">
        <f aca="false">K50*'Assumption Setting'!$I$101</f>
        <v>13.75</v>
      </c>
      <c r="L52" s="80" t="n">
        <f aca="false">L50*'Assumption Setting'!$I$101</f>
        <v>13.75</v>
      </c>
      <c r="M52" s="80" t="n">
        <f aca="false">M50*'Assumption Setting'!$I$101</f>
        <v>13.75</v>
      </c>
      <c r="N52" s="80" t="n">
        <f aca="false">N50*'Assumption Setting'!$I$101</f>
        <v>13.75</v>
      </c>
      <c r="O52" s="79" t="n">
        <f aca="false">SUM(P52:AA52)</f>
        <v>990</v>
      </c>
      <c r="P52" s="80" t="n">
        <f aca="false">P50*'Assumption Setting'!$I$101</f>
        <v>82.5</v>
      </c>
      <c r="Q52" s="80" t="n">
        <f aca="false">Q50*'Assumption Setting'!$I$101</f>
        <v>82.5</v>
      </c>
      <c r="R52" s="80" t="n">
        <f aca="false">R50*'Assumption Setting'!$I$101</f>
        <v>82.5</v>
      </c>
      <c r="S52" s="80" t="n">
        <f aca="false">S50*'Assumption Setting'!$I$101</f>
        <v>82.5</v>
      </c>
      <c r="T52" s="80" t="n">
        <f aca="false">T50*'Assumption Setting'!$I$101</f>
        <v>82.5</v>
      </c>
      <c r="U52" s="80" t="n">
        <f aca="false">U50*'Assumption Setting'!$I$101</f>
        <v>82.5</v>
      </c>
      <c r="V52" s="80" t="n">
        <f aca="false">V50*'Assumption Setting'!$I$101</f>
        <v>82.5</v>
      </c>
      <c r="W52" s="80" t="n">
        <f aca="false">W50*'Assumption Setting'!$I$101</f>
        <v>82.5</v>
      </c>
      <c r="X52" s="80" t="n">
        <f aca="false">X50*'Assumption Setting'!$I$101</f>
        <v>82.5</v>
      </c>
      <c r="Y52" s="80" t="n">
        <f aca="false">Y50*'Assumption Setting'!$I$101</f>
        <v>82.5</v>
      </c>
      <c r="Z52" s="80" t="n">
        <f aca="false">Z50*'Assumption Setting'!$I$101</f>
        <v>82.5</v>
      </c>
      <c r="AA52" s="80" t="n">
        <f aca="false">AA50*'Assumption Setting'!$I$101</f>
        <v>82.5</v>
      </c>
      <c r="AB52" s="79" t="n">
        <f aca="false">SUM(AC52:AN52)</f>
        <v>1980</v>
      </c>
      <c r="AC52" s="80" t="n">
        <f aca="false">AC50*'Assumption Setting'!$I$101</f>
        <v>165</v>
      </c>
      <c r="AD52" s="80" t="n">
        <f aca="false">AD50*'Assumption Setting'!$I$101</f>
        <v>165</v>
      </c>
      <c r="AE52" s="80" t="n">
        <f aca="false">AE50*'Assumption Setting'!$I$101</f>
        <v>165</v>
      </c>
      <c r="AF52" s="80" t="n">
        <f aca="false">AF50*'Assumption Setting'!$I$101</f>
        <v>165</v>
      </c>
      <c r="AG52" s="80" t="n">
        <f aca="false">AG50*'Assumption Setting'!$I$101</f>
        <v>165</v>
      </c>
      <c r="AH52" s="80" t="n">
        <f aca="false">AH50*'Assumption Setting'!$I$101</f>
        <v>165</v>
      </c>
      <c r="AI52" s="80" t="n">
        <f aca="false">AI50*'Assumption Setting'!$I$101</f>
        <v>165</v>
      </c>
      <c r="AJ52" s="80" t="n">
        <f aca="false">AJ50*'Assumption Setting'!$I$101</f>
        <v>165</v>
      </c>
      <c r="AK52" s="80" t="n">
        <f aca="false">AK50*'Assumption Setting'!$I$101</f>
        <v>165</v>
      </c>
      <c r="AL52" s="80" t="n">
        <f aca="false">AL50*'Assumption Setting'!$I$101</f>
        <v>165</v>
      </c>
      <c r="AM52" s="80" t="n">
        <f aca="false">AM50*'Assumption Setting'!$I$101</f>
        <v>165</v>
      </c>
      <c r="AN52" s="80" t="n">
        <f aca="false">AN50*'Assumption Setting'!$I$101</f>
        <v>165</v>
      </c>
      <c r="AO52" s="79" t="n">
        <f aca="false">SUM(AP52:BA52)</f>
        <v>2970</v>
      </c>
      <c r="AP52" s="80" t="n">
        <f aca="false">AP50*'Assumption Setting'!$I$101</f>
        <v>247.5</v>
      </c>
      <c r="AQ52" s="80" t="n">
        <f aca="false">AQ50*'Assumption Setting'!$I$101</f>
        <v>247.5</v>
      </c>
      <c r="AR52" s="80" t="n">
        <f aca="false">AR50*'Assumption Setting'!$I$101</f>
        <v>247.5</v>
      </c>
      <c r="AS52" s="80" t="n">
        <f aca="false">AS50*'Assumption Setting'!$I$101</f>
        <v>247.5</v>
      </c>
      <c r="AT52" s="80" t="n">
        <f aca="false">AT50*'Assumption Setting'!$I$101</f>
        <v>247.5</v>
      </c>
      <c r="AU52" s="80" t="n">
        <f aca="false">AU50*'Assumption Setting'!$I$101</f>
        <v>247.5</v>
      </c>
      <c r="AV52" s="80" t="n">
        <f aca="false">AV50*'Assumption Setting'!$I$101</f>
        <v>247.5</v>
      </c>
      <c r="AW52" s="80" t="n">
        <f aca="false">AW50*'Assumption Setting'!$I$101</f>
        <v>247.5</v>
      </c>
      <c r="AX52" s="80" t="n">
        <f aca="false">AX50*'Assumption Setting'!$I$101</f>
        <v>247.5</v>
      </c>
      <c r="AY52" s="80" t="n">
        <f aca="false">AY50*'Assumption Setting'!$I$101</f>
        <v>247.5</v>
      </c>
      <c r="AZ52" s="80" t="n">
        <f aca="false">AZ50*'Assumption Setting'!$I$101</f>
        <v>247.5</v>
      </c>
      <c r="BA52" s="80" t="n">
        <f aca="false">BA50*'Assumption Setting'!$I$101</f>
        <v>247.5</v>
      </c>
      <c r="BB52" s="79" t="n">
        <f aca="false">SUM(BC52:BN52)</f>
        <v>3960</v>
      </c>
      <c r="BC52" s="80" t="n">
        <f aca="false">BC50*'Assumption Setting'!$I$101</f>
        <v>330</v>
      </c>
      <c r="BD52" s="80" t="n">
        <f aca="false">BD50*'Assumption Setting'!$I$101</f>
        <v>330</v>
      </c>
      <c r="BE52" s="80" t="n">
        <f aca="false">BE50*'Assumption Setting'!$I$101</f>
        <v>330</v>
      </c>
      <c r="BF52" s="80" t="n">
        <f aca="false">BF50*'Assumption Setting'!$I$101</f>
        <v>330</v>
      </c>
      <c r="BG52" s="80" t="n">
        <f aca="false">BG50*'Assumption Setting'!$I$101</f>
        <v>330</v>
      </c>
      <c r="BH52" s="80" t="n">
        <f aca="false">BH50*'Assumption Setting'!$I$101</f>
        <v>330</v>
      </c>
      <c r="BI52" s="80" t="n">
        <f aca="false">BI50*'Assumption Setting'!$I$101</f>
        <v>330</v>
      </c>
      <c r="BJ52" s="80" t="n">
        <f aca="false">BJ50*'Assumption Setting'!$I$101</f>
        <v>330</v>
      </c>
      <c r="BK52" s="80" t="n">
        <f aca="false">BK50*'Assumption Setting'!$I$101</f>
        <v>330</v>
      </c>
      <c r="BL52" s="80" t="n">
        <f aca="false">BL50*'Assumption Setting'!$I$101</f>
        <v>330</v>
      </c>
      <c r="BM52" s="80" t="n">
        <f aca="false">BM50*'Assumption Setting'!$I$101</f>
        <v>330</v>
      </c>
      <c r="BN52" s="80" t="n">
        <f aca="false">BN50*'Assumption Setting'!$I$101</f>
        <v>330</v>
      </c>
    </row>
    <row r="53" customFormat="false" ht="15" hidden="false" customHeight="false" outlineLevel="0" collapsed="false">
      <c r="A53" s="12" t="s">
        <v>630</v>
      </c>
      <c r="B53" s="81" t="n">
        <f aca="false">SUM(C53:N53)</f>
        <v>4.5</v>
      </c>
      <c r="C53" s="82" t="n">
        <f aca="false">C50*'Assumption Setting'!$J$101</f>
        <v>0.375</v>
      </c>
      <c r="D53" s="82" t="n">
        <f aca="false">D50*'Assumption Setting'!$J$101</f>
        <v>0.375</v>
      </c>
      <c r="E53" s="82" t="n">
        <f aca="false">E50*'Assumption Setting'!$J$101</f>
        <v>0.375</v>
      </c>
      <c r="F53" s="82" t="n">
        <f aca="false">F50*'Assumption Setting'!$J$101</f>
        <v>0.375</v>
      </c>
      <c r="G53" s="82" t="n">
        <f aca="false">G50*'Assumption Setting'!$J$101</f>
        <v>0.375</v>
      </c>
      <c r="H53" s="82" t="n">
        <f aca="false">H50*'Assumption Setting'!$J$101</f>
        <v>0.375</v>
      </c>
      <c r="I53" s="82" t="n">
        <f aca="false">I50*'Assumption Setting'!$J$101</f>
        <v>0.375</v>
      </c>
      <c r="J53" s="82" t="n">
        <f aca="false">J50*'Assumption Setting'!$J$101</f>
        <v>0.375</v>
      </c>
      <c r="K53" s="82" t="n">
        <f aca="false">K50*'Assumption Setting'!$J$101</f>
        <v>0.375</v>
      </c>
      <c r="L53" s="82" t="n">
        <f aca="false">L50*'Assumption Setting'!$J$101</f>
        <v>0.375</v>
      </c>
      <c r="M53" s="82" t="n">
        <f aca="false">M50*'Assumption Setting'!$J$101</f>
        <v>0.375</v>
      </c>
      <c r="N53" s="82" t="n">
        <f aca="false">N50*'Assumption Setting'!$J$101</f>
        <v>0.375</v>
      </c>
      <c r="O53" s="81" t="n">
        <f aca="false">SUM(P53:AA53)</f>
        <v>27</v>
      </c>
      <c r="P53" s="82" t="n">
        <f aca="false">P50*'Assumption Setting'!$J$101</f>
        <v>2.25</v>
      </c>
      <c r="Q53" s="82" t="n">
        <f aca="false">Q50*'Assumption Setting'!$J$101</f>
        <v>2.25</v>
      </c>
      <c r="R53" s="82" t="n">
        <f aca="false">R50*'Assumption Setting'!$J$101</f>
        <v>2.25</v>
      </c>
      <c r="S53" s="82" t="n">
        <f aca="false">S50*'Assumption Setting'!$J$101</f>
        <v>2.25</v>
      </c>
      <c r="T53" s="82" t="n">
        <f aca="false">T50*'Assumption Setting'!$J$101</f>
        <v>2.25</v>
      </c>
      <c r="U53" s="82" t="n">
        <f aca="false">U50*'Assumption Setting'!$J$101</f>
        <v>2.25</v>
      </c>
      <c r="V53" s="82" t="n">
        <f aca="false">V50*'Assumption Setting'!$J$101</f>
        <v>2.25</v>
      </c>
      <c r="W53" s="82" t="n">
        <f aca="false">W50*'Assumption Setting'!$J$101</f>
        <v>2.25</v>
      </c>
      <c r="X53" s="82" t="n">
        <f aca="false">X50*'Assumption Setting'!$J$101</f>
        <v>2.25</v>
      </c>
      <c r="Y53" s="82" t="n">
        <f aca="false">Y50*'Assumption Setting'!$J$101</f>
        <v>2.25</v>
      </c>
      <c r="Z53" s="82" t="n">
        <f aca="false">Z50*'Assumption Setting'!$J$101</f>
        <v>2.25</v>
      </c>
      <c r="AA53" s="82" t="n">
        <f aca="false">AA50*'Assumption Setting'!$J$101</f>
        <v>2.25</v>
      </c>
      <c r="AB53" s="81" t="n">
        <f aca="false">SUM(AC53:AN53)</f>
        <v>54</v>
      </c>
      <c r="AC53" s="82" t="n">
        <f aca="false">AC50*'Assumption Setting'!$J$101</f>
        <v>4.5</v>
      </c>
      <c r="AD53" s="82" t="n">
        <f aca="false">AD50*'Assumption Setting'!$J$101</f>
        <v>4.5</v>
      </c>
      <c r="AE53" s="82" t="n">
        <f aca="false">AE50*'Assumption Setting'!$J$101</f>
        <v>4.5</v>
      </c>
      <c r="AF53" s="82" t="n">
        <f aca="false">AF50*'Assumption Setting'!$J$101</f>
        <v>4.5</v>
      </c>
      <c r="AG53" s="82" t="n">
        <f aca="false">AG50*'Assumption Setting'!$J$101</f>
        <v>4.5</v>
      </c>
      <c r="AH53" s="82" t="n">
        <f aca="false">AH50*'Assumption Setting'!$J$101</f>
        <v>4.5</v>
      </c>
      <c r="AI53" s="82" t="n">
        <f aca="false">AI50*'Assumption Setting'!$J$101</f>
        <v>4.5</v>
      </c>
      <c r="AJ53" s="82" t="n">
        <f aca="false">AJ50*'Assumption Setting'!$J$101</f>
        <v>4.5</v>
      </c>
      <c r="AK53" s="82" t="n">
        <f aca="false">AK50*'Assumption Setting'!$J$101</f>
        <v>4.5</v>
      </c>
      <c r="AL53" s="82" t="n">
        <f aca="false">AL50*'Assumption Setting'!$J$101</f>
        <v>4.5</v>
      </c>
      <c r="AM53" s="82" t="n">
        <f aca="false">AM50*'Assumption Setting'!$J$101</f>
        <v>4.5</v>
      </c>
      <c r="AN53" s="82" t="n">
        <f aca="false">AN50*'Assumption Setting'!$J$101</f>
        <v>4.5</v>
      </c>
      <c r="AO53" s="81" t="n">
        <f aca="false">SUM(AP53:BA53)</f>
        <v>81</v>
      </c>
      <c r="AP53" s="82" t="n">
        <f aca="false">AP50*'Assumption Setting'!$J$101</f>
        <v>6.75</v>
      </c>
      <c r="AQ53" s="82" t="n">
        <f aca="false">AQ50*'Assumption Setting'!$J$101</f>
        <v>6.75</v>
      </c>
      <c r="AR53" s="82" t="n">
        <f aca="false">AR50*'Assumption Setting'!$J$101</f>
        <v>6.75</v>
      </c>
      <c r="AS53" s="82" t="n">
        <f aca="false">AS50*'Assumption Setting'!$J$101</f>
        <v>6.75</v>
      </c>
      <c r="AT53" s="82" t="n">
        <f aca="false">AT50*'Assumption Setting'!$J$101</f>
        <v>6.75</v>
      </c>
      <c r="AU53" s="82" t="n">
        <f aca="false">AU50*'Assumption Setting'!$J$101</f>
        <v>6.75</v>
      </c>
      <c r="AV53" s="82" t="n">
        <f aca="false">AV50*'Assumption Setting'!$J$101</f>
        <v>6.75</v>
      </c>
      <c r="AW53" s="82" t="n">
        <f aca="false">AW50*'Assumption Setting'!$J$101</f>
        <v>6.75</v>
      </c>
      <c r="AX53" s="82" t="n">
        <f aca="false">AX50*'Assumption Setting'!$J$101</f>
        <v>6.75</v>
      </c>
      <c r="AY53" s="82" t="n">
        <f aca="false">AY50*'Assumption Setting'!$J$101</f>
        <v>6.75</v>
      </c>
      <c r="AZ53" s="82" t="n">
        <f aca="false">AZ50*'Assumption Setting'!$J$101</f>
        <v>6.75</v>
      </c>
      <c r="BA53" s="82" t="n">
        <f aca="false">BA50*'Assumption Setting'!$J$101</f>
        <v>6.75</v>
      </c>
      <c r="BB53" s="81" t="n">
        <f aca="false">SUM(BC53:BN53)</f>
        <v>108</v>
      </c>
      <c r="BC53" s="82" t="n">
        <f aca="false">BC50*'Assumption Setting'!$J$101</f>
        <v>9</v>
      </c>
      <c r="BD53" s="82" t="n">
        <f aca="false">BD50*'Assumption Setting'!$J$101</f>
        <v>9</v>
      </c>
      <c r="BE53" s="82" t="n">
        <f aca="false">BE50*'Assumption Setting'!$J$101</f>
        <v>9</v>
      </c>
      <c r="BF53" s="82" t="n">
        <f aca="false">BF50*'Assumption Setting'!$J$101</f>
        <v>9</v>
      </c>
      <c r="BG53" s="82" t="n">
        <f aca="false">BG50*'Assumption Setting'!$J$101</f>
        <v>9</v>
      </c>
      <c r="BH53" s="82" t="n">
        <f aca="false">BH50*'Assumption Setting'!$J$101</f>
        <v>9</v>
      </c>
      <c r="BI53" s="82" t="n">
        <f aca="false">BI50*'Assumption Setting'!$J$101</f>
        <v>9</v>
      </c>
      <c r="BJ53" s="82" t="n">
        <f aca="false">BJ50*'Assumption Setting'!$J$101</f>
        <v>9</v>
      </c>
      <c r="BK53" s="82" t="n">
        <f aca="false">BK50*'Assumption Setting'!$J$101</f>
        <v>9</v>
      </c>
      <c r="BL53" s="82" t="n">
        <f aca="false">BL50*'Assumption Setting'!$J$101</f>
        <v>9</v>
      </c>
      <c r="BM53" s="82" t="n">
        <f aca="false">BM50*'Assumption Setting'!$J$101</f>
        <v>9</v>
      </c>
      <c r="BN53" s="82" t="n">
        <f aca="false">BN50*'Assumption Setting'!$J$101</f>
        <v>9</v>
      </c>
    </row>
    <row r="54" customFormat="false" ht="15" hidden="false" customHeight="false" outlineLevel="0" collapsed="false">
      <c r="A54" s="12" t="s">
        <v>364</v>
      </c>
      <c r="B54" s="81" t="n">
        <f aca="false">SUM(C54:N54)</f>
        <v>36</v>
      </c>
      <c r="C54" s="82" t="n">
        <f aca="false">'Assumption Setting'!$C$102</f>
        <v>3</v>
      </c>
      <c r="D54" s="82" t="n">
        <f aca="false">'Assumption Setting'!$C$102</f>
        <v>3</v>
      </c>
      <c r="E54" s="82" t="n">
        <f aca="false">'Assumption Setting'!$C$102</f>
        <v>3</v>
      </c>
      <c r="F54" s="82" t="n">
        <f aca="false">'Assumption Setting'!$C$102</f>
        <v>3</v>
      </c>
      <c r="G54" s="82" t="n">
        <f aca="false">'Assumption Setting'!$C$102</f>
        <v>3</v>
      </c>
      <c r="H54" s="82" t="n">
        <f aca="false">'Assumption Setting'!$C$102</f>
        <v>3</v>
      </c>
      <c r="I54" s="82" t="n">
        <f aca="false">'Assumption Setting'!$C$102</f>
        <v>3</v>
      </c>
      <c r="J54" s="82" t="n">
        <f aca="false">'Assumption Setting'!$C$102</f>
        <v>3</v>
      </c>
      <c r="K54" s="82" t="n">
        <f aca="false">'Assumption Setting'!$C$102</f>
        <v>3</v>
      </c>
      <c r="L54" s="82" t="n">
        <f aca="false">'Assumption Setting'!$C$102</f>
        <v>3</v>
      </c>
      <c r="M54" s="82" t="n">
        <f aca="false">'Assumption Setting'!$C$102</f>
        <v>3</v>
      </c>
      <c r="N54" s="82" t="n">
        <f aca="false">'Assumption Setting'!$C$102</f>
        <v>3</v>
      </c>
      <c r="O54" s="81" t="n">
        <f aca="false">SUM(P54:AA54)</f>
        <v>168</v>
      </c>
      <c r="P54" s="82" t="n">
        <f aca="false">'Assumption Setting'!$D$102</f>
        <v>14</v>
      </c>
      <c r="Q54" s="82" t="n">
        <f aca="false">'Assumption Setting'!$D$102</f>
        <v>14</v>
      </c>
      <c r="R54" s="82" t="n">
        <f aca="false">'Assumption Setting'!$D$102</f>
        <v>14</v>
      </c>
      <c r="S54" s="82" t="n">
        <f aca="false">'Assumption Setting'!$D$102</f>
        <v>14</v>
      </c>
      <c r="T54" s="82" t="n">
        <f aca="false">'Assumption Setting'!$D$102</f>
        <v>14</v>
      </c>
      <c r="U54" s="82" t="n">
        <f aca="false">'Assumption Setting'!$D$102</f>
        <v>14</v>
      </c>
      <c r="V54" s="82" t="n">
        <f aca="false">'Assumption Setting'!$D$102</f>
        <v>14</v>
      </c>
      <c r="W54" s="82" t="n">
        <f aca="false">'Assumption Setting'!$D$102</f>
        <v>14</v>
      </c>
      <c r="X54" s="82" t="n">
        <f aca="false">'Assumption Setting'!$D$102</f>
        <v>14</v>
      </c>
      <c r="Y54" s="82" t="n">
        <f aca="false">'Assumption Setting'!$D$102</f>
        <v>14</v>
      </c>
      <c r="Z54" s="82" t="n">
        <f aca="false">'Assumption Setting'!$D$102</f>
        <v>14</v>
      </c>
      <c r="AA54" s="82" t="n">
        <f aca="false">'Assumption Setting'!$D$102</f>
        <v>14</v>
      </c>
      <c r="AB54" s="81" t="n">
        <f aca="false">SUM(AC54:AN54)</f>
        <v>312</v>
      </c>
      <c r="AC54" s="82" t="n">
        <f aca="false">'Assumption Setting'!$E$102</f>
        <v>26</v>
      </c>
      <c r="AD54" s="82" t="n">
        <f aca="false">'Assumption Setting'!$E$102</f>
        <v>26</v>
      </c>
      <c r="AE54" s="82" t="n">
        <f aca="false">'Assumption Setting'!$E$102</f>
        <v>26</v>
      </c>
      <c r="AF54" s="82" t="n">
        <f aca="false">'Assumption Setting'!$E$102</f>
        <v>26</v>
      </c>
      <c r="AG54" s="82" t="n">
        <f aca="false">'Assumption Setting'!$E$102</f>
        <v>26</v>
      </c>
      <c r="AH54" s="82" t="n">
        <f aca="false">'Assumption Setting'!$E$102</f>
        <v>26</v>
      </c>
      <c r="AI54" s="82" t="n">
        <f aca="false">'Assumption Setting'!$E$102</f>
        <v>26</v>
      </c>
      <c r="AJ54" s="82" t="n">
        <f aca="false">'Assumption Setting'!$E$102</f>
        <v>26</v>
      </c>
      <c r="AK54" s="82" t="n">
        <f aca="false">'Assumption Setting'!$E$102</f>
        <v>26</v>
      </c>
      <c r="AL54" s="82" t="n">
        <f aca="false">'Assumption Setting'!$E$102</f>
        <v>26</v>
      </c>
      <c r="AM54" s="82" t="n">
        <f aca="false">'Assumption Setting'!$E$102</f>
        <v>26</v>
      </c>
      <c r="AN54" s="82" t="n">
        <f aca="false">'Assumption Setting'!$E$102</f>
        <v>26</v>
      </c>
      <c r="AO54" s="81" t="n">
        <f aca="false">SUM(AP54:BA54)</f>
        <v>384</v>
      </c>
      <c r="AP54" s="82" t="n">
        <f aca="false">'Assumption Setting'!$F$102</f>
        <v>32</v>
      </c>
      <c r="AQ54" s="82" t="n">
        <f aca="false">'Assumption Setting'!$F$102</f>
        <v>32</v>
      </c>
      <c r="AR54" s="82" t="n">
        <f aca="false">'Assumption Setting'!$F$102</f>
        <v>32</v>
      </c>
      <c r="AS54" s="82" t="n">
        <f aca="false">'Assumption Setting'!$F$102</f>
        <v>32</v>
      </c>
      <c r="AT54" s="82" t="n">
        <f aca="false">'Assumption Setting'!$F$102</f>
        <v>32</v>
      </c>
      <c r="AU54" s="82" t="n">
        <f aca="false">'Assumption Setting'!$F$102</f>
        <v>32</v>
      </c>
      <c r="AV54" s="82" t="n">
        <f aca="false">'Assumption Setting'!$F$102</f>
        <v>32</v>
      </c>
      <c r="AW54" s="82" t="n">
        <f aca="false">'Assumption Setting'!$F$102</f>
        <v>32</v>
      </c>
      <c r="AX54" s="82" t="n">
        <f aca="false">'Assumption Setting'!$F$102</f>
        <v>32</v>
      </c>
      <c r="AY54" s="82" t="n">
        <f aca="false">'Assumption Setting'!$F$102</f>
        <v>32</v>
      </c>
      <c r="AZ54" s="82" t="n">
        <f aca="false">'Assumption Setting'!$F$102</f>
        <v>32</v>
      </c>
      <c r="BA54" s="82" t="n">
        <f aca="false">'Assumption Setting'!$F$102</f>
        <v>32</v>
      </c>
      <c r="BB54" s="81" t="n">
        <f aca="false">SUM(BC54:BN54)</f>
        <v>456</v>
      </c>
      <c r="BC54" s="82" t="n">
        <f aca="false">'Assumption Setting'!$G$102</f>
        <v>38</v>
      </c>
      <c r="BD54" s="82" t="n">
        <f aca="false">'Assumption Setting'!$G$102</f>
        <v>38</v>
      </c>
      <c r="BE54" s="82" t="n">
        <f aca="false">'Assumption Setting'!$G$102</f>
        <v>38</v>
      </c>
      <c r="BF54" s="82" t="n">
        <f aca="false">'Assumption Setting'!$G$102</f>
        <v>38</v>
      </c>
      <c r="BG54" s="82" t="n">
        <f aca="false">'Assumption Setting'!$G$102</f>
        <v>38</v>
      </c>
      <c r="BH54" s="82" t="n">
        <f aca="false">'Assumption Setting'!$G$102</f>
        <v>38</v>
      </c>
      <c r="BI54" s="82" t="n">
        <f aca="false">'Assumption Setting'!$G$102</f>
        <v>38</v>
      </c>
      <c r="BJ54" s="82" t="n">
        <f aca="false">'Assumption Setting'!$G$102</f>
        <v>38</v>
      </c>
      <c r="BK54" s="82" t="n">
        <f aca="false">'Assumption Setting'!$G$102</f>
        <v>38</v>
      </c>
      <c r="BL54" s="82" t="n">
        <f aca="false">'Assumption Setting'!$G$102</f>
        <v>38</v>
      </c>
      <c r="BM54" s="82" t="n">
        <f aca="false">'Assumption Setting'!$G$102</f>
        <v>38</v>
      </c>
      <c r="BN54" s="82" t="n">
        <f aca="false">'Assumption Setting'!$G$102</f>
        <v>38</v>
      </c>
    </row>
    <row r="55" customFormat="false" ht="15" hidden="false" customHeight="false" outlineLevel="0" collapsed="false">
      <c r="A55" s="12" t="s">
        <v>628</v>
      </c>
      <c r="B55" s="65" t="n">
        <f aca="false">SUM(C55:N55)</f>
        <v>0</v>
      </c>
      <c r="C55" s="66" t="n">
        <f aca="false">C54*'Assumption Setting'!$H$102</f>
        <v>0</v>
      </c>
      <c r="D55" s="66" t="n">
        <f aca="false">D54*'Assumption Setting'!$H$102</f>
        <v>0</v>
      </c>
      <c r="E55" s="66" t="n">
        <f aca="false">E54*'Assumption Setting'!$H$102</f>
        <v>0</v>
      </c>
      <c r="F55" s="66" t="n">
        <f aca="false">F54*'Assumption Setting'!$H$102</f>
        <v>0</v>
      </c>
      <c r="G55" s="66" t="n">
        <f aca="false">G54*'Assumption Setting'!$H$102</f>
        <v>0</v>
      </c>
      <c r="H55" s="66" t="n">
        <f aca="false">H54*'Assumption Setting'!$H$102</f>
        <v>0</v>
      </c>
      <c r="I55" s="66" t="n">
        <f aca="false">I54*'Assumption Setting'!$H$102</f>
        <v>0</v>
      </c>
      <c r="J55" s="66" t="n">
        <f aca="false">J54*'Assumption Setting'!$H$102</f>
        <v>0</v>
      </c>
      <c r="K55" s="66" t="n">
        <f aca="false">K54*'Assumption Setting'!$H$102</f>
        <v>0</v>
      </c>
      <c r="L55" s="66" t="n">
        <f aca="false">L54*'Assumption Setting'!$H$102</f>
        <v>0</v>
      </c>
      <c r="M55" s="66" t="n">
        <f aca="false">M54*'Assumption Setting'!$H$102</f>
        <v>0</v>
      </c>
      <c r="N55" s="66" t="n">
        <f aca="false">N54*'Assumption Setting'!$H$102</f>
        <v>0</v>
      </c>
      <c r="O55" s="65" t="n">
        <f aca="false">SUM(P55:AA55)</f>
        <v>0</v>
      </c>
      <c r="P55" s="66" t="n">
        <f aca="false">P54*'Assumption Setting'!$H$102</f>
        <v>0</v>
      </c>
      <c r="Q55" s="66" t="n">
        <f aca="false">Q54*'Assumption Setting'!$H$102</f>
        <v>0</v>
      </c>
      <c r="R55" s="66" t="n">
        <f aca="false">R54*'Assumption Setting'!$H$102</f>
        <v>0</v>
      </c>
      <c r="S55" s="66" t="n">
        <f aca="false">S54*'Assumption Setting'!$H$102</f>
        <v>0</v>
      </c>
      <c r="T55" s="66" t="n">
        <f aca="false">T54*'Assumption Setting'!$H$102</f>
        <v>0</v>
      </c>
      <c r="U55" s="66" t="n">
        <f aca="false">U54*'Assumption Setting'!$H$102</f>
        <v>0</v>
      </c>
      <c r="V55" s="66" t="n">
        <f aca="false">V54*'Assumption Setting'!$H$102</f>
        <v>0</v>
      </c>
      <c r="W55" s="66" t="n">
        <f aca="false">W54*'Assumption Setting'!$H$102</f>
        <v>0</v>
      </c>
      <c r="X55" s="66" t="n">
        <f aca="false">X54*'Assumption Setting'!$H$102</f>
        <v>0</v>
      </c>
      <c r="Y55" s="66" t="n">
        <f aca="false">Y54*'Assumption Setting'!$H$102</f>
        <v>0</v>
      </c>
      <c r="Z55" s="66" t="n">
        <f aca="false">Z54*'Assumption Setting'!$H$102</f>
        <v>0</v>
      </c>
      <c r="AA55" s="66" t="n">
        <f aca="false">AA54*'Assumption Setting'!$H$102</f>
        <v>0</v>
      </c>
      <c r="AB55" s="65" t="n">
        <f aca="false">SUM(AC55:AN55)</f>
        <v>0</v>
      </c>
      <c r="AC55" s="66" t="n">
        <f aca="false">AC54*'Assumption Setting'!$H$102</f>
        <v>0</v>
      </c>
      <c r="AD55" s="66" t="n">
        <f aca="false">AD54*'Assumption Setting'!$H$102</f>
        <v>0</v>
      </c>
      <c r="AE55" s="66" t="n">
        <f aca="false">AE54*'Assumption Setting'!$H$102</f>
        <v>0</v>
      </c>
      <c r="AF55" s="66" t="n">
        <f aca="false">AF54*'Assumption Setting'!$H$102</f>
        <v>0</v>
      </c>
      <c r="AG55" s="66" t="n">
        <f aca="false">AG54*'Assumption Setting'!$H$102</f>
        <v>0</v>
      </c>
      <c r="AH55" s="66" t="n">
        <f aca="false">AH54*'Assumption Setting'!$H$102</f>
        <v>0</v>
      </c>
      <c r="AI55" s="66" t="n">
        <f aca="false">AI54*'Assumption Setting'!$H$102</f>
        <v>0</v>
      </c>
      <c r="AJ55" s="66" t="n">
        <f aca="false">AJ54*'Assumption Setting'!$H$102</f>
        <v>0</v>
      </c>
      <c r="AK55" s="66" t="n">
        <f aca="false">AK54*'Assumption Setting'!$H$102</f>
        <v>0</v>
      </c>
      <c r="AL55" s="66" t="n">
        <f aca="false">AL54*'Assumption Setting'!$H$102</f>
        <v>0</v>
      </c>
      <c r="AM55" s="66" t="n">
        <f aca="false">AM54*'Assumption Setting'!$H$102</f>
        <v>0</v>
      </c>
      <c r="AN55" s="66" t="n">
        <f aca="false">AN54*'Assumption Setting'!$H$102</f>
        <v>0</v>
      </c>
      <c r="AO55" s="65" t="n">
        <f aca="false">SUM(AP55:BA55)</f>
        <v>0</v>
      </c>
      <c r="AP55" s="66" t="n">
        <f aca="false">AP54*'Assumption Setting'!$H$102</f>
        <v>0</v>
      </c>
      <c r="AQ55" s="66" t="n">
        <f aca="false">AQ54*'Assumption Setting'!$H$102</f>
        <v>0</v>
      </c>
      <c r="AR55" s="66" t="n">
        <f aca="false">AR54*'Assumption Setting'!$H$102</f>
        <v>0</v>
      </c>
      <c r="AS55" s="66" t="n">
        <f aca="false">AS54*'Assumption Setting'!$H$102</f>
        <v>0</v>
      </c>
      <c r="AT55" s="66" t="n">
        <f aca="false">AT54*'Assumption Setting'!$H$102</f>
        <v>0</v>
      </c>
      <c r="AU55" s="66" t="n">
        <f aca="false">AU54*'Assumption Setting'!$H$102</f>
        <v>0</v>
      </c>
      <c r="AV55" s="66" t="n">
        <f aca="false">AV54*'Assumption Setting'!$H$102</f>
        <v>0</v>
      </c>
      <c r="AW55" s="66" t="n">
        <f aca="false">AW54*'Assumption Setting'!$H$102</f>
        <v>0</v>
      </c>
      <c r="AX55" s="66" t="n">
        <f aca="false">AX54*'Assumption Setting'!$H$102</f>
        <v>0</v>
      </c>
      <c r="AY55" s="66" t="n">
        <f aca="false">AY54*'Assumption Setting'!$H$102</f>
        <v>0</v>
      </c>
      <c r="AZ55" s="66" t="n">
        <f aca="false">AZ54*'Assumption Setting'!$H$102</f>
        <v>0</v>
      </c>
      <c r="BA55" s="66" t="n">
        <f aca="false">BA54*'Assumption Setting'!$H$102</f>
        <v>0</v>
      </c>
      <c r="BB55" s="65" t="n">
        <f aca="false">SUM(BC55:BN55)</f>
        <v>0</v>
      </c>
      <c r="BC55" s="66" t="n">
        <f aca="false">BC54*'Assumption Setting'!$H$102</f>
        <v>0</v>
      </c>
      <c r="BD55" s="66" t="n">
        <f aca="false">BD54*'Assumption Setting'!$H$102</f>
        <v>0</v>
      </c>
      <c r="BE55" s="66" t="n">
        <f aca="false">BE54*'Assumption Setting'!$H$102</f>
        <v>0</v>
      </c>
      <c r="BF55" s="66" t="n">
        <f aca="false">BF54*'Assumption Setting'!$H$102</f>
        <v>0</v>
      </c>
      <c r="BG55" s="66" t="n">
        <f aca="false">BG54*'Assumption Setting'!$H$102</f>
        <v>0</v>
      </c>
      <c r="BH55" s="66" t="n">
        <f aca="false">BH54*'Assumption Setting'!$H$102</f>
        <v>0</v>
      </c>
      <c r="BI55" s="66" t="n">
        <f aca="false">BI54*'Assumption Setting'!$H$102</f>
        <v>0</v>
      </c>
      <c r="BJ55" s="66" t="n">
        <f aca="false">BJ54*'Assumption Setting'!$H$102</f>
        <v>0</v>
      </c>
      <c r="BK55" s="66" t="n">
        <f aca="false">BK54*'Assumption Setting'!$H$102</f>
        <v>0</v>
      </c>
      <c r="BL55" s="66" t="n">
        <f aca="false">BL54*'Assumption Setting'!$H$102</f>
        <v>0</v>
      </c>
      <c r="BM55" s="66" t="n">
        <f aca="false">BM54*'Assumption Setting'!$H$102</f>
        <v>0</v>
      </c>
      <c r="BN55" s="66" t="n">
        <f aca="false">BN54*'Assumption Setting'!$H$102</f>
        <v>0</v>
      </c>
    </row>
    <row r="56" customFormat="false" ht="15" hidden="false" customHeight="false" outlineLevel="0" collapsed="false">
      <c r="A56" s="12" t="s">
        <v>629</v>
      </c>
      <c r="B56" s="79" t="n">
        <f aca="false">SUM(C56:N56)</f>
        <v>0</v>
      </c>
      <c r="C56" s="80" t="n">
        <f aca="false">C54*'Assumption Setting'!$I$102</f>
        <v>0</v>
      </c>
      <c r="D56" s="80" t="n">
        <f aca="false">D54*'Assumption Setting'!$I$102</f>
        <v>0</v>
      </c>
      <c r="E56" s="80" t="n">
        <f aca="false">E54*'Assumption Setting'!$I$102</f>
        <v>0</v>
      </c>
      <c r="F56" s="80" t="n">
        <f aca="false">F54*'Assumption Setting'!$I$102</f>
        <v>0</v>
      </c>
      <c r="G56" s="80" t="n">
        <f aca="false">G54*'Assumption Setting'!$I$102</f>
        <v>0</v>
      </c>
      <c r="H56" s="80" t="n">
        <f aca="false">H54*'Assumption Setting'!$I$102</f>
        <v>0</v>
      </c>
      <c r="I56" s="80" t="n">
        <f aca="false">I54*'Assumption Setting'!$I$102</f>
        <v>0</v>
      </c>
      <c r="J56" s="80" t="n">
        <f aca="false">J54*'Assumption Setting'!$I$102</f>
        <v>0</v>
      </c>
      <c r="K56" s="80" t="n">
        <f aca="false">K54*'Assumption Setting'!$I$102</f>
        <v>0</v>
      </c>
      <c r="L56" s="80" t="n">
        <f aca="false">L54*'Assumption Setting'!$I$102</f>
        <v>0</v>
      </c>
      <c r="M56" s="80" t="n">
        <f aca="false">M54*'Assumption Setting'!$I$102</f>
        <v>0</v>
      </c>
      <c r="N56" s="80" t="n">
        <f aca="false">N54*'Assumption Setting'!$I$102</f>
        <v>0</v>
      </c>
      <c r="O56" s="79" t="n">
        <f aca="false">SUM(P56:AA56)</f>
        <v>0</v>
      </c>
      <c r="P56" s="80" t="n">
        <f aca="false">P54*'Assumption Setting'!$I$102</f>
        <v>0</v>
      </c>
      <c r="Q56" s="80" t="n">
        <f aca="false">Q54*'Assumption Setting'!$I$102</f>
        <v>0</v>
      </c>
      <c r="R56" s="80" t="n">
        <f aca="false">R54*'Assumption Setting'!$I$102</f>
        <v>0</v>
      </c>
      <c r="S56" s="80" t="n">
        <f aca="false">S54*'Assumption Setting'!$I$102</f>
        <v>0</v>
      </c>
      <c r="T56" s="80" t="n">
        <f aca="false">T54*'Assumption Setting'!$I$102</f>
        <v>0</v>
      </c>
      <c r="U56" s="80" t="n">
        <f aca="false">U54*'Assumption Setting'!$I$102</f>
        <v>0</v>
      </c>
      <c r="V56" s="80" t="n">
        <f aca="false">V54*'Assumption Setting'!$I$102</f>
        <v>0</v>
      </c>
      <c r="W56" s="80" t="n">
        <f aca="false">W54*'Assumption Setting'!$I$102</f>
        <v>0</v>
      </c>
      <c r="X56" s="80" t="n">
        <f aca="false">X54*'Assumption Setting'!$I$102</f>
        <v>0</v>
      </c>
      <c r="Y56" s="80" t="n">
        <f aca="false">Y54*'Assumption Setting'!$I$102</f>
        <v>0</v>
      </c>
      <c r="Z56" s="80" t="n">
        <f aca="false">Z54*'Assumption Setting'!$I$102</f>
        <v>0</v>
      </c>
      <c r="AA56" s="80" t="n">
        <f aca="false">AA54*'Assumption Setting'!$I$102</f>
        <v>0</v>
      </c>
      <c r="AB56" s="79" t="n">
        <f aca="false">SUM(AC56:AN56)</f>
        <v>0</v>
      </c>
      <c r="AC56" s="80" t="n">
        <f aca="false">AC54*'Assumption Setting'!$I$102</f>
        <v>0</v>
      </c>
      <c r="AD56" s="80" t="n">
        <f aca="false">AD54*'Assumption Setting'!$I$102</f>
        <v>0</v>
      </c>
      <c r="AE56" s="80" t="n">
        <f aca="false">AE54*'Assumption Setting'!$I$102</f>
        <v>0</v>
      </c>
      <c r="AF56" s="80" t="n">
        <f aca="false">AF54*'Assumption Setting'!$I$102</f>
        <v>0</v>
      </c>
      <c r="AG56" s="80" t="n">
        <f aca="false">AG54*'Assumption Setting'!$I$102</f>
        <v>0</v>
      </c>
      <c r="AH56" s="80" t="n">
        <f aca="false">AH54*'Assumption Setting'!$I$102</f>
        <v>0</v>
      </c>
      <c r="AI56" s="80" t="n">
        <f aca="false">AI54*'Assumption Setting'!$I$102</f>
        <v>0</v>
      </c>
      <c r="AJ56" s="80" t="n">
        <f aca="false">AJ54*'Assumption Setting'!$I$102</f>
        <v>0</v>
      </c>
      <c r="AK56" s="80" t="n">
        <f aca="false">AK54*'Assumption Setting'!$I$102</f>
        <v>0</v>
      </c>
      <c r="AL56" s="80" t="n">
        <f aca="false">AL54*'Assumption Setting'!$I$102</f>
        <v>0</v>
      </c>
      <c r="AM56" s="80" t="n">
        <f aca="false">AM54*'Assumption Setting'!$I$102</f>
        <v>0</v>
      </c>
      <c r="AN56" s="80" t="n">
        <f aca="false">AN54*'Assumption Setting'!$I$102</f>
        <v>0</v>
      </c>
      <c r="AO56" s="79" t="n">
        <f aca="false">SUM(AP56:BA56)</f>
        <v>0</v>
      </c>
      <c r="AP56" s="80" t="n">
        <f aca="false">AP54*'Assumption Setting'!$I$102</f>
        <v>0</v>
      </c>
      <c r="AQ56" s="80" t="n">
        <f aca="false">AQ54*'Assumption Setting'!$I$102</f>
        <v>0</v>
      </c>
      <c r="AR56" s="80" t="n">
        <f aca="false">AR54*'Assumption Setting'!$I$102</f>
        <v>0</v>
      </c>
      <c r="AS56" s="80" t="n">
        <f aca="false">AS54*'Assumption Setting'!$I$102</f>
        <v>0</v>
      </c>
      <c r="AT56" s="80" t="n">
        <f aca="false">AT54*'Assumption Setting'!$I$102</f>
        <v>0</v>
      </c>
      <c r="AU56" s="80" t="n">
        <f aca="false">AU54*'Assumption Setting'!$I$102</f>
        <v>0</v>
      </c>
      <c r="AV56" s="80" t="n">
        <f aca="false">AV54*'Assumption Setting'!$I$102</f>
        <v>0</v>
      </c>
      <c r="AW56" s="80" t="n">
        <f aca="false">AW54*'Assumption Setting'!$I$102</f>
        <v>0</v>
      </c>
      <c r="AX56" s="80" t="n">
        <f aca="false">AX54*'Assumption Setting'!$I$102</f>
        <v>0</v>
      </c>
      <c r="AY56" s="80" t="n">
        <f aca="false">AY54*'Assumption Setting'!$I$102</f>
        <v>0</v>
      </c>
      <c r="AZ56" s="80" t="n">
        <f aca="false">AZ54*'Assumption Setting'!$I$102</f>
        <v>0</v>
      </c>
      <c r="BA56" s="80" t="n">
        <f aca="false">BA54*'Assumption Setting'!$I$102</f>
        <v>0</v>
      </c>
      <c r="BB56" s="79" t="n">
        <f aca="false">SUM(BC56:BN56)</f>
        <v>0</v>
      </c>
      <c r="BC56" s="80" t="n">
        <f aca="false">BC54*'Assumption Setting'!$I$102</f>
        <v>0</v>
      </c>
      <c r="BD56" s="80" t="n">
        <f aca="false">BD54*'Assumption Setting'!$I$102</f>
        <v>0</v>
      </c>
      <c r="BE56" s="80" t="n">
        <f aca="false">BE54*'Assumption Setting'!$I$102</f>
        <v>0</v>
      </c>
      <c r="BF56" s="80" t="n">
        <f aca="false">BF54*'Assumption Setting'!$I$102</f>
        <v>0</v>
      </c>
      <c r="BG56" s="80" t="n">
        <f aca="false">BG54*'Assumption Setting'!$I$102</f>
        <v>0</v>
      </c>
      <c r="BH56" s="80" t="n">
        <f aca="false">BH54*'Assumption Setting'!$I$102</f>
        <v>0</v>
      </c>
      <c r="BI56" s="80" t="n">
        <f aca="false">BI54*'Assumption Setting'!$I$102</f>
        <v>0</v>
      </c>
      <c r="BJ56" s="80" t="n">
        <f aca="false">BJ54*'Assumption Setting'!$I$102</f>
        <v>0</v>
      </c>
      <c r="BK56" s="80" t="n">
        <f aca="false">BK54*'Assumption Setting'!$I$102</f>
        <v>0</v>
      </c>
      <c r="BL56" s="80" t="n">
        <f aca="false">BL54*'Assumption Setting'!$I$102</f>
        <v>0</v>
      </c>
      <c r="BM56" s="80" t="n">
        <f aca="false">BM54*'Assumption Setting'!$I$102</f>
        <v>0</v>
      </c>
      <c r="BN56" s="80" t="n">
        <f aca="false">BN54*'Assumption Setting'!$I$102</f>
        <v>0</v>
      </c>
    </row>
    <row r="57" customFormat="false" ht="15" hidden="false" customHeight="false" outlineLevel="0" collapsed="false">
      <c r="A57" s="12" t="s">
        <v>630</v>
      </c>
      <c r="B57" s="81" t="n">
        <f aca="false">SUM(C57:N57)</f>
        <v>50.4</v>
      </c>
      <c r="C57" s="82" t="n">
        <f aca="false">C54*'Assumption Setting'!$J$102</f>
        <v>4.2</v>
      </c>
      <c r="D57" s="82" t="n">
        <f aca="false">D54*'Assumption Setting'!$J$102</f>
        <v>4.2</v>
      </c>
      <c r="E57" s="82" t="n">
        <f aca="false">E54*'Assumption Setting'!$J$102</f>
        <v>4.2</v>
      </c>
      <c r="F57" s="82" t="n">
        <f aca="false">F54*'Assumption Setting'!$J$102</f>
        <v>4.2</v>
      </c>
      <c r="G57" s="82" t="n">
        <f aca="false">G54*'Assumption Setting'!$J$102</f>
        <v>4.2</v>
      </c>
      <c r="H57" s="82" t="n">
        <f aca="false">H54*'Assumption Setting'!$J$102</f>
        <v>4.2</v>
      </c>
      <c r="I57" s="82" t="n">
        <f aca="false">I54*'Assumption Setting'!$J$102</f>
        <v>4.2</v>
      </c>
      <c r="J57" s="82" t="n">
        <f aca="false">J54*'Assumption Setting'!$J$102</f>
        <v>4.2</v>
      </c>
      <c r="K57" s="82" t="n">
        <f aca="false">K54*'Assumption Setting'!$J$102</f>
        <v>4.2</v>
      </c>
      <c r="L57" s="82" t="n">
        <f aca="false">L54*'Assumption Setting'!$J$102</f>
        <v>4.2</v>
      </c>
      <c r="M57" s="82" t="n">
        <f aca="false">M54*'Assumption Setting'!$J$102</f>
        <v>4.2</v>
      </c>
      <c r="N57" s="82" t="n">
        <f aca="false">N54*'Assumption Setting'!$J$102</f>
        <v>4.2</v>
      </c>
      <c r="O57" s="81" t="n">
        <f aca="false">SUM(P57:AA57)</f>
        <v>235.2</v>
      </c>
      <c r="P57" s="82" t="n">
        <f aca="false">P54*'Assumption Setting'!$J$102</f>
        <v>19.6</v>
      </c>
      <c r="Q57" s="82" t="n">
        <f aca="false">Q54*'Assumption Setting'!$J$102</f>
        <v>19.6</v>
      </c>
      <c r="R57" s="82" t="n">
        <f aca="false">R54*'Assumption Setting'!$J$102</f>
        <v>19.6</v>
      </c>
      <c r="S57" s="82" t="n">
        <f aca="false">S54*'Assumption Setting'!$J$102</f>
        <v>19.6</v>
      </c>
      <c r="T57" s="82" t="n">
        <f aca="false">T54*'Assumption Setting'!$J$102</f>
        <v>19.6</v>
      </c>
      <c r="U57" s="82" t="n">
        <f aca="false">U54*'Assumption Setting'!$J$102</f>
        <v>19.6</v>
      </c>
      <c r="V57" s="82" t="n">
        <f aca="false">V54*'Assumption Setting'!$J$102</f>
        <v>19.6</v>
      </c>
      <c r="W57" s="82" t="n">
        <f aca="false">W54*'Assumption Setting'!$J$102</f>
        <v>19.6</v>
      </c>
      <c r="X57" s="82" t="n">
        <f aca="false">X54*'Assumption Setting'!$J$102</f>
        <v>19.6</v>
      </c>
      <c r="Y57" s="82" t="n">
        <f aca="false">Y54*'Assumption Setting'!$J$102</f>
        <v>19.6</v>
      </c>
      <c r="Z57" s="82" t="n">
        <f aca="false">Z54*'Assumption Setting'!$J$102</f>
        <v>19.6</v>
      </c>
      <c r="AA57" s="82" t="n">
        <f aca="false">AA54*'Assumption Setting'!$J$102</f>
        <v>19.6</v>
      </c>
      <c r="AB57" s="81" t="n">
        <f aca="false">SUM(AC57:AN57)</f>
        <v>436.8</v>
      </c>
      <c r="AC57" s="82" t="n">
        <f aca="false">AC54*'Assumption Setting'!$J$102</f>
        <v>36.4</v>
      </c>
      <c r="AD57" s="82" t="n">
        <f aca="false">AD54*'Assumption Setting'!$J$102</f>
        <v>36.4</v>
      </c>
      <c r="AE57" s="82" t="n">
        <f aca="false">AE54*'Assumption Setting'!$J$102</f>
        <v>36.4</v>
      </c>
      <c r="AF57" s="82" t="n">
        <f aca="false">AF54*'Assumption Setting'!$J$102</f>
        <v>36.4</v>
      </c>
      <c r="AG57" s="82" t="n">
        <f aca="false">AG54*'Assumption Setting'!$J$102</f>
        <v>36.4</v>
      </c>
      <c r="AH57" s="82" t="n">
        <f aca="false">AH54*'Assumption Setting'!$J$102</f>
        <v>36.4</v>
      </c>
      <c r="AI57" s="82" t="n">
        <f aca="false">AI54*'Assumption Setting'!$J$102</f>
        <v>36.4</v>
      </c>
      <c r="AJ57" s="82" t="n">
        <f aca="false">AJ54*'Assumption Setting'!$J$102</f>
        <v>36.4</v>
      </c>
      <c r="AK57" s="82" t="n">
        <f aca="false">AK54*'Assumption Setting'!$J$102</f>
        <v>36.4</v>
      </c>
      <c r="AL57" s="82" t="n">
        <f aca="false">AL54*'Assumption Setting'!$J$102</f>
        <v>36.4</v>
      </c>
      <c r="AM57" s="82" t="n">
        <f aca="false">AM54*'Assumption Setting'!$J$102</f>
        <v>36.4</v>
      </c>
      <c r="AN57" s="82" t="n">
        <f aca="false">AN54*'Assumption Setting'!$J$102</f>
        <v>36.4</v>
      </c>
      <c r="AO57" s="81" t="n">
        <f aca="false">SUM(AP57:BA57)</f>
        <v>537.6</v>
      </c>
      <c r="AP57" s="82" t="n">
        <f aca="false">AP54*'Assumption Setting'!$J$102</f>
        <v>44.8</v>
      </c>
      <c r="AQ57" s="82" t="n">
        <f aca="false">AQ54*'Assumption Setting'!$J$102</f>
        <v>44.8</v>
      </c>
      <c r="AR57" s="82" t="n">
        <f aca="false">AR54*'Assumption Setting'!$J$102</f>
        <v>44.8</v>
      </c>
      <c r="AS57" s="82" t="n">
        <f aca="false">AS54*'Assumption Setting'!$J$102</f>
        <v>44.8</v>
      </c>
      <c r="AT57" s="82" t="n">
        <f aca="false">AT54*'Assumption Setting'!$J$102</f>
        <v>44.8</v>
      </c>
      <c r="AU57" s="82" t="n">
        <f aca="false">AU54*'Assumption Setting'!$J$102</f>
        <v>44.8</v>
      </c>
      <c r="AV57" s="82" t="n">
        <f aca="false">AV54*'Assumption Setting'!$J$102</f>
        <v>44.8</v>
      </c>
      <c r="AW57" s="82" t="n">
        <f aca="false">AW54*'Assumption Setting'!$J$102</f>
        <v>44.8</v>
      </c>
      <c r="AX57" s="82" t="n">
        <f aca="false">AX54*'Assumption Setting'!$J$102</f>
        <v>44.8</v>
      </c>
      <c r="AY57" s="82" t="n">
        <f aca="false">AY54*'Assumption Setting'!$J$102</f>
        <v>44.8</v>
      </c>
      <c r="AZ57" s="82" t="n">
        <f aca="false">AZ54*'Assumption Setting'!$J$102</f>
        <v>44.8</v>
      </c>
      <c r="BA57" s="82" t="n">
        <f aca="false">BA54*'Assumption Setting'!$J$102</f>
        <v>44.8</v>
      </c>
      <c r="BB57" s="81" t="n">
        <f aca="false">SUM(BC57:BN57)</f>
        <v>638.4</v>
      </c>
      <c r="BC57" s="82" t="n">
        <f aca="false">BC54*'Assumption Setting'!$J$102</f>
        <v>53.2</v>
      </c>
      <c r="BD57" s="82" t="n">
        <f aca="false">BD54*'Assumption Setting'!$J$102</f>
        <v>53.2</v>
      </c>
      <c r="BE57" s="82" t="n">
        <f aca="false">BE54*'Assumption Setting'!$J$102</f>
        <v>53.2</v>
      </c>
      <c r="BF57" s="82" t="n">
        <f aca="false">BF54*'Assumption Setting'!$J$102</f>
        <v>53.2</v>
      </c>
      <c r="BG57" s="82" t="n">
        <f aca="false">BG54*'Assumption Setting'!$J$102</f>
        <v>53.2</v>
      </c>
      <c r="BH57" s="82" t="n">
        <f aca="false">BH54*'Assumption Setting'!$J$102</f>
        <v>53.2</v>
      </c>
      <c r="BI57" s="82" t="n">
        <f aca="false">BI54*'Assumption Setting'!$J$102</f>
        <v>53.2</v>
      </c>
      <c r="BJ57" s="82" t="n">
        <f aca="false">BJ54*'Assumption Setting'!$J$102</f>
        <v>53.2</v>
      </c>
      <c r="BK57" s="82" t="n">
        <f aca="false">BK54*'Assumption Setting'!$J$102</f>
        <v>53.2</v>
      </c>
      <c r="BL57" s="82" t="n">
        <f aca="false">BL54*'Assumption Setting'!$J$102</f>
        <v>53.2</v>
      </c>
      <c r="BM57" s="82" t="n">
        <f aca="false">BM54*'Assumption Setting'!$J$102</f>
        <v>53.2</v>
      </c>
      <c r="BN57" s="82" t="n">
        <f aca="false">BN54*'Assumption Setting'!$J$102</f>
        <v>53.2</v>
      </c>
    </row>
    <row r="58" customFormat="false" ht="15" hidden="false" customHeight="false" outlineLevel="0" collapsed="false">
      <c r="A58" s="70" t="s">
        <v>631</v>
      </c>
      <c r="B58" s="65" t="n">
        <f aca="false">SUM(C58:N58)</f>
        <v>7320</v>
      </c>
      <c r="C58" s="71" t="n">
        <f aca="false">C39+C43+C47+C51+C55</f>
        <v>610</v>
      </c>
      <c r="D58" s="71" t="n">
        <f aca="false">D39+D43+D47+D51+D55</f>
        <v>610</v>
      </c>
      <c r="E58" s="71" t="n">
        <f aca="false">E39+E43+E47+E51+E55</f>
        <v>610</v>
      </c>
      <c r="F58" s="71" t="n">
        <f aca="false">F39+F43+F47+F51+F55</f>
        <v>610</v>
      </c>
      <c r="G58" s="71" t="n">
        <f aca="false">G39+G43+G47+G51+G55</f>
        <v>610</v>
      </c>
      <c r="H58" s="71" t="n">
        <f aca="false">H39+H43+H47+H51+H55</f>
        <v>610</v>
      </c>
      <c r="I58" s="71" t="n">
        <f aca="false">I39+I43+I47+I51+I55</f>
        <v>610</v>
      </c>
      <c r="J58" s="71" t="n">
        <f aca="false">J39+J43+J47+J51+J55</f>
        <v>610</v>
      </c>
      <c r="K58" s="71" t="n">
        <f aca="false">K39+K43+K47+K51+K55</f>
        <v>610</v>
      </c>
      <c r="L58" s="71" t="n">
        <f aca="false">L39+L43+L47+L51+L55</f>
        <v>610</v>
      </c>
      <c r="M58" s="71" t="n">
        <f aca="false">M39+M43+M47+M51+M55</f>
        <v>610</v>
      </c>
      <c r="N58" s="71" t="n">
        <f aca="false">N39+N43+N47+N51+N55</f>
        <v>610</v>
      </c>
      <c r="O58" s="65" t="n">
        <f aca="false">SUM(P58:AA58)</f>
        <v>34200</v>
      </c>
      <c r="P58" s="71" t="n">
        <f aca="false">P39+P43+P47+P51+P55</f>
        <v>2850</v>
      </c>
      <c r="Q58" s="71" t="n">
        <f aca="false">Q39+Q43+Q47+Q51+Q55</f>
        <v>2850</v>
      </c>
      <c r="R58" s="71" t="n">
        <f aca="false">R39+R43+R47+R51+R55</f>
        <v>2850</v>
      </c>
      <c r="S58" s="71" t="n">
        <f aca="false">S39+S43+S47+S51+S55</f>
        <v>2850</v>
      </c>
      <c r="T58" s="71" t="n">
        <f aca="false">T39+T43+T47+T51+T55</f>
        <v>2850</v>
      </c>
      <c r="U58" s="71" t="n">
        <f aca="false">U39+U43+U47+U51+U55</f>
        <v>2850</v>
      </c>
      <c r="V58" s="71" t="n">
        <f aca="false">V39+V43+V47+V51+V55</f>
        <v>2850</v>
      </c>
      <c r="W58" s="71" t="n">
        <f aca="false">W39+W43+W47+W51+W55</f>
        <v>2850</v>
      </c>
      <c r="X58" s="71" t="n">
        <f aca="false">X39+X43+X47+X51+X55</f>
        <v>2850</v>
      </c>
      <c r="Y58" s="71" t="n">
        <f aca="false">Y39+Y43+Y47+Y51+Y55</f>
        <v>2850</v>
      </c>
      <c r="Z58" s="71" t="n">
        <f aca="false">Z39+Z43+Z47+Z51+Z55</f>
        <v>2850</v>
      </c>
      <c r="AA58" s="71" t="n">
        <f aca="false">AA39+AA43+AA47+AA51+AA55</f>
        <v>2850</v>
      </c>
      <c r="AB58" s="65" t="n">
        <f aca="false">SUM(AC58:AN58)</f>
        <v>67200</v>
      </c>
      <c r="AC58" s="71" t="n">
        <f aca="false">AC39+AC43+AC47+AC51+AC55</f>
        <v>5600</v>
      </c>
      <c r="AD58" s="71" t="n">
        <f aca="false">AD39+AD43+AD47+AD51+AD55</f>
        <v>5600</v>
      </c>
      <c r="AE58" s="71" t="n">
        <f aca="false">AE39+AE43+AE47+AE51+AE55</f>
        <v>5600</v>
      </c>
      <c r="AF58" s="71" t="n">
        <f aca="false">AF39+AF43+AF47+AF51+AF55</f>
        <v>5600</v>
      </c>
      <c r="AG58" s="71" t="n">
        <f aca="false">AG39+AG43+AG47+AG51+AG55</f>
        <v>5600</v>
      </c>
      <c r="AH58" s="71" t="n">
        <f aca="false">AH39+AH43+AH47+AH51+AH55</f>
        <v>5600</v>
      </c>
      <c r="AI58" s="71" t="n">
        <f aca="false">AI39+AI43+AI47+AI51+AI55</f>
        <v>5600</v>
      </c>
      <c r="AJ58" s="71" t="n">
        <f aca="false">AJ39+AJ43+AJ47+AJ51+AJ55</f>
        <v>5600</v>
      </c>
      <c r="AK58" s="71" t="n">
        <f aca="false">AK39+AK43+AK47+AK51+AK55</f>
        <v>5600</v>
      </c>
      <c r="AL58" s="71" t="n">
        <f aca="false">AL39+AL43+AL47+AL51+AL55</f>
        <v>5600</v>
      </c>
      <c r="AM58" s="71" t="n">
        <f aca="false">AM39+AM43+AM47+AM51+AM55</f>
        <v>5600</v>
      </c>
      <c r="AN58" s="71" t="n">
        <f aca="false">AN39+AN43+AN47+AN51+AN55</f>
        <v>5600</v>
      </c>
      <c r="AO58" s="65" t="n">
        <f aca="false">SUM(AP58:BA58)</f>
        <v>94200</v>
      </c>
      <c r="AP58" s="71" t="n">
        <f aca="false">AP39+AP43+AP47+AP51+AP55</f>
        <v>7850</v>
      </c>
      <c r="AQ58" s="71" t="n">
        <f aca="false">AQ39+AQ43+AQ47+AQ51+AQ55</f>
        <v>7850</v>
      </c>
      <c r="AR58" s="71" t="n">
        <f aca="false">AR39+AR43+AR47+AR51+AR55</f>
        <v>7850</v>
      </c>
      <c r="AS58" s="71" t="n">
        <f aca="false">AS39+AS43+AS47+AS51+AS55</f>
        <v>7850</v>
      </c>
      <c r="AT58" s="71" t="n">
        <f aca="false">AT39+AT43+AT47+AT51+AT55</f>
        <v>7850</v>
      </c>
      <c r="AU58" s="71" t="n">
        <f aca="false">AU39+AU43+AU47+AU51+AU55</f>
        <v>7850</v>
      </c>
      <c r="AV58" s="71" t="n">
        <f aca="false">AV39+AV43+AV47+AV51+AV55</f>
        <v>7850</v>
      </c>
      <c r="AW58" s="71" t="n">
        <f aca="false">AW39+AW43+AW47+AW51+AW55</f>
        <v>7850</v>
      </c>
      <c r="AX58" s="71" t="n">
        <f aca="false">AX39+AX43+AX47+AX51+AX55</f>
        <v>7850</v>
      </c>
      <c r="AY58" s="71" t="n">
        <f aca="false">AY39+AY43+AY47+AY51+AY55</f>
        <v>7850</v>
      </c>
      <c r="AZ58" s="71" t="n">
        <f aca="false">AZ39+AZ43+AZ47+AZ51+AZ55</f>
        <v>7850</v>
      </c>
      <c r="BA58" s="71" t="n">
        <f aca="false">BA39+BA43+BA47+BA51+BA55</f>
        <v>7850</v>
      </c>
      <c r="BB58" s="65" t="n">
        <f aca="false">SUM(BC58:BN58)</f>
        <v>121200</v>
      </c>
      <c r="BC58" s="71" t="n">
        <f aca="false">BC39+BC43+BC47+BC51+BC55</f>
        <v>10100</v>
      </c>
      <c r="BD58" s="71" t="n">
        <f aca="false">BD39+BD43+BD47+BD51+BD55</f>
        <v>10100</v>
      </c>
      <c r="BE58" s="71" t="n">
        <f aca="false">BE39+BE43+BE47+BE51+BE55</f>
        <v>10100</v>
      </c>
      <c r="BF58" s="71" t="n">
        <f aca="false">BF39+BF43+BF47+BF51+BF55</f>
        <v>10100</v>
      </c>
      <c r="BG58" s="71" t="n">
        <f aca="false">BG39+BG43+BG47+BG51+BG55</f>
        <v>10100</v>
      </c>
      <c r="BH58" s="71" t="n">
        <f aca="false">BH39+BH43+BH47+BH51+BH55</f>
        <v>10100</v>
      </c>
      <c r="BI58" s="71" t="n">
        <f aca="false">BI39+BI43+BI47+BI51+BI55</f>
        <v>10100</v>
      </c>
      <c r="BJ58" s="71" t="n">
        <f aca="false">BJ39+BJ43+BJ47+BJ51+BJ55</f>
        <v>10100</v>
      </c>
      <c r="BK58" s="71" t="n">
        <f aca="false">BK39+BK43+BK47+BK51+BK55</f>
        <v>10100</v>
      </c>
      <c r="BL58" s="71" t="n">
        <f aca="false">BL39+BL43+BL47+BL51+BL55</f>
        <v>10100</v>
      </c>
      <c r="BM58" s="71" t="n">
        <f aca="false">BM39+BM43+BM47+BM51+BM55</f>
        <v>10100</v>
      </c>
      <c r="BN58" s="71" t="n">
        <f aca="false">BN39+BN43+BN47+BN51+BN55</f>
        <v>10100</v>
      </c>
    </row>
    <row r="59" customFormat="false" ht="15" hidden="false" customHeight="false" outlineLevel="0" collapsed="false">
      <c r="A59" s="18" t="s">
        <v>632</v>
      </c>
      <c r="B59" s="79" t="n">
        <f aca="false">SUM(C59:N59)</f>
        <v>1605</v>
      </c>
      <c r="C59" s="83" t="n">
        <f aca="false">C40+C44+C48+C52+C56</f>
        <v>133.75</v>
      </c>
      <c r="D59" s="83" t="n">
        <f aca="false">D40+D44+D48+D52+D56</f>
        <v>133.75</v>
      </c>
      <c r="E59" s="83" t="n">
        <f aca="false">E40+E44+E48+E52+E56</f>
        <v>133.75</v>
      </c>
      <c r="F59" s="83" t="n">
        <f aca="false">F40+F44+F48+F52+F56</f>
        <v>133.75</v>
      </c>
      <c r="G59" s="83" t="n">
        <f aca="false">G40+G44+G48+G52+G56</f>
        <v>133.75</v>
      </c>
      <c r="H59" s="83" t="n">
        <f aca="false">H40+H44+H48+H52+H56</f>
        <v>133.75</v>
      </c>
      <c r="I59" s="83" t="n">
        <f aca="false">I40+I44+I48+I52+I56</f>
        <v>133.75</v>
      </c>
      <c r="J59" s="83" t="n">
        <f aca="false">J40+J44+J48+J52+J56</f>
        <v>133.75</v>
      </c>
      <c r="K59" s="83" t="n">
        <f aca="false">K40+K44+K48+K52+K56</f>
        <v>133.75</v>
      </c>
      <c r="L59" s="83" t="n">
        <f aca="false">L40+L44+L48+L52+L56</f>
        <v>133.75</v>
      </c>
      <c r="M59" s="83" t="n">
        <f aca="false">M40+M44+M48+M52+M56</f>
        <v>133.75</v>
      </c>
      <c r="N59" s="83" t="n">
        <f aca="false">N40+N44+N48+N52+N56</f>
        <v>133.75</v>
      </c>
      <c r="O59" s="79" t="n">
        <f aca="false">SUM(P59:AA59)</f>
        <v>6750</v>
      </c>
      <c r="P59" s="83" t="n">
        <f aca="false">P40+P44+P48+P52+P56</f>
        <v>562.5</v>
      </c>
      <c r="Q59" s="83" t="n">
        <f aca="false">Q40+Q44+Q48+Q52+Q56</f>
        <v>562.5</v>
      </c>
      <c r="R59" s="83" t="n">
        <f aca="false">R40+R44+R48+R52+R56</f>
        <v>562.5</v>
      </c>
      <c r="S59" s="83" t="n">
        <f aca="false">S40+S44+S48+S52+S56</f>
        <v>562.5</v>
      </c>
      <c r="T59" s="83" t="n">
        <f aca="false">T40+T44+T48+T52+T56</f>
        <v>562.5</v>
      </c>
      <c r="U59" s="83" t="n">
        <f aca="false">U40+U44+U48+U52+U56</f>
        <v>562.5</v>
      </c>
      <c r="V59" s="83" t="n">
        <f aca="false">V40+V44+V48+V52+V56</f>
        <v>562.5</v>
      </c>
      <c r="W59" s="83" t="n">
        <f aca="false">W40+W44+W48+W52+W56</f>
        <v>562.5</v>
      </c>
      <c r="X59" s="83" t="n">
        <f aca="false">X40+X44+X48+X52+X56</f>
        <v>562.5</v>
      </c>
      <c r="Y59" s="83" t="n">
        <f aca="false">Y40+Y44+Y48+Y52+Y56</f>
        <v>562.5</v>
      </c>
      <c r="Z59" s="83" t="n">
        <f aca="false">Z40+Z44+Z48+Z52+Z56</f>
        <v>562.5</v>
      </c>
      <c r="AA59" s="83" t="n">
        <f aca="false">AA40+AA44+AA48+AA52+AA56</f>
        <v>562.5</v>
      </c>
      <c r="AB59" s="79" t="n">
        <f aca="false">SUM(AC59:AN59)</f>
        <v>13116</v>
      </c>
      <c r="AC59" s="83" t="n">
        <f aca="false">AC40+AC44+AC48+AC52+AC56</f>
        <v>1093</v>
      </c>
      <c r="AD59" s="83" t="n">
        <f aca="false">AD40+AD44+AD48+AD52+AD56</f>
        <v>1093</v>
      </c>
      <c r="AE59" s="83" t="n">
        <f aca="false">AE40+AE44+AE48+AE52+AE56</f>
        <v>1093</v>
      </c>
      <c r="AF59" s="83" t="n">
        <f aca="false">AF40+AF44+AF48+AF52+AF56</f>
        <v>1093</v>
      </c>
      <c r="AG59" s="83" t="n">
        <f aca="false">AG40+AG44+AG48+AG52+AG56</f>
        <v>1093</v>
      </c>
      <c r="AH59" s="83" t="n">
        <f aca="false">AH40+AH44+AH48+AH52+AH56</f>
        <v>1093</v>
      </c>
      <c r="AI59" s="83" t="n">
        <f aca="false">AI40+AI44+AI48+AI52+AI56</f>
        <v>1093</v>
      </c>
      <c r="AJ59" s="83" t="n">
        <f aca="false">AJ40+AJ44+AJ48+AJ52+AJ56</f>
        <v>1093</v>
      </c>
      <c r="AK59" s="83" t="n">
        <f aca="false">AK40+AK44+AK48+AK52+AK56</f>
        <v>1093</v>
      </c>
      <c r="AL59" s="83" t="n">
        <f aca="false">AL40+AL44+AL48+AL52+AL56</f>
        <v>1093</v>
      </c>
      <c r="AM59" s="83" t="n">
        <f aca="false">AM40+AM44+AM48+AM52+AM56</f>
        <v>1093</v>
      </c>
      <c r="AN59" s="83" t="n">
        <f aca="false">AN40+AN44+AN48+AN52+AN56</f>
        <v>1093</v>
      </c>
      <c r="AO59" s="79" t="n">
        <f aca="false">SUM(AP59:BA59)</f>
        <v>18522</v>
      </c>
      <c r="AP59" s="83" t="n">
        <f aca="false">AP40+AP44+AP48+AP52+AP56</f>
        <v>1543.5</v>
      </c>
      <c r="AQ59" s="83" t="n">
        <f aca="false">AQ40+AQ44+AQ48+AQ52+AQ56</f>
        <v>1543.5</v>
      </c>
      <c r="AR59" s="83" t="n">
        <f aca="false">AR40+AR44+AR48+AR52+AR56</f>
        <v>1543.5</v>
      </c>
      <c r="AS59" s="83" t="n">
        <f aca="false">AS40+AS44+AS48+AS52+AS56</f>
        <v>1543.5</v>
      </c>
      <c r="AT59" s="83" t="n">
        <f aca="false">AT40+AT44+AT48+AT52+AT56</f>
        <v>1543.5</v>
      </c>
      <c r="AU59" s="83" t="n">
        <f aca="false">AU40+AU44+AU48+AU52+AU56</f>
        <v>1543.5</v>
      </c>
      <c r="AV59" s="83" t="n">
        <f aca="false">AV40+AV44+AV48+AV52+AV56</f>
        <v>1543.5</v>
      </c>
      <c r="AW59" s="83" t="n">
        <f aca="false">AW40+AW44+AW48+AW52+AW56</f>
        <v>1543.5</v>
      </c>
      <c r="AX59" s="83" t="n">
        <f aca="false">AX40+AX44+AX48+AX52+AX56</f>
        <v>1543.5</v>
      </c>
      <c r="AY59" s="83" t="n">
        <f aca="false">AY40+AY44+AY48+AY52+AY56</f>
        <v>1543.5</v>
      </c>
      <c r="AZ59" s="83" t="n">
        <f aca="false">AZ40+AZ44+AZ48+AZ52+AZ56</f>
        <v>1543.5</v>
      </c>
      <c r="BA59" s="83" t="n">
        <f aca="false">BA40+BA44+BA48+BA52+BA56</f>
        <v>1543.5</v>
      </c>
      <c r="BB59" s="79" t="n">
        <f aca="false">SUM(BC59:BN59)</f>
        <v>23928</v>
      </c>
      <c r="BC59" s="83" t="n">
        <f aca="false">BC40+BC44+BC48+BC52+BC56</f>
        <v>1994</v>
      </c>
      <c r="BD59" s="83" t="n">
        <f aca="false">BD40+BD44+BD48+BD52+BD56</f>
        <v>1994</v>
      </c>
      <c r="BE59" s="83" t="n">
        <f aca="false">BE40+BE44+BE48+BE52+BE56</f>
        <v>1994</v>
      </c>
      <c r="BF59" s="83" t="n">
        <f aca="false">BF40+BF44+BF48+BF52+BF56</f>
        <v>1994</v>
      </c>
      <c r="BG59" s="83" t="n">
        <f aca="false">BG40+BG44+BG48+BG52+BG56</f>
        <v>1994</v>
      </c>
      <c r="BH59" s="83" t="n">
        <f aca="false">BH40+BH44+BH48+BH52+BH56</f>
        <v>1994</v>
      </c>
      <c r="BI59" s="83" t="n">
        <f aca="false">BI40+BI44+BI48+BI52+BI56</f>
        <v>1994</v>
      </c>
      <c r="BJ59" s="83" t="n">
        <f aca="false">BJ40+BJ44+BJ48+BJ52+BJ56</f>
        <v>1994</v>
      </c>
      <c r="BK59" s="83" t="n">
        <f aca="false">BK40+BK44+BK48+BK52+BK56</f>
        <v>1994</v>
      </c>
      <c r="BL59" s="83" t="n">
        <f aca="false">BL40+BL44+BL48+BL52+BL56</f>
        <v>1994</v>
      </c>
      <c r="BM59" s="83" t="n">
        <f aca="false">BM40+BM44+BM48+BM52+BM56</f>
        <v>1994</v>
      </c>
      <c r="BN59" s="83" t="n">
        <f aca="false">BN40+BN44+BN48+BN52+BN56</f>
        <v>1994</v>
      </c>
    </row>
    <row r="60" customFormat="false" ht="15" hidden="false" customHeight="false" outlineLevel="0" collapsed="false">
      <c r="A60" s="18" t="s">
        <v>633</v>
      </c>
      <c r="B60" s="81" t="n">
        <f aca="false">SUM(C60:N60)</f>
        <v>84.42</v>
      </c>
      <c r="C60" s="84" t="n">
        <f aca="false">C41+C45+C49+C53+C57</f>
        <v>7.035</v>
      </c>
      <c r="D60" s="84" t="n">
        <f aca="false">D41+D45+D49+D53+D57</f>
        <v>7.035</v>
      </c>
      <c r="E60" s="84" t="n">
        <f aca="false">E41+E45+E49+E53+E57</f>
        <v>7.035</v>
      </c>
      <c r="F60" s="84" t="n">
        <f aca="false">F41+F45+F49+F53+F57</f>
        <v>7.035</v>
      </c>
      <c r="G60" s="84" t="n">
        <f aca="false">G41+G45+G49+G53+G57</f>
        <v>7.035</v>
      </c>
      <c r="H60" s="84" t="n">
        <f aca="false">H41+H45+H49+H53+H57</f>
        <v>7.035</v>
      </c>
      <c r="I60" s="84" t="n">
        <f aca="false">I41+I45+I49+I53+I57</f>
        <v>7.035</v>
      </c>
      <c r="J60" s="84" t="n">
        <f aca="false">J41+J45+J49+J53+J57</f>
        <v>7.035</v>
      </c>
      <c r="K60" s="84" t="n">
        <f aca="false">K41+K45+K49+K53+K57</f>
        <v>7.035</v>
      </c>
      <c r="L60" s="84" t="n">
        <f aca="false">L41+L45+L49+L53+L57</f>
        <v>7.035</v>
      </c>
      <c r="M60" s="84" t="n">
        <f aca="false">M41+M45+M49+M53+M57</f>
        <v>7.035</v>
      </c>
      <c r="N60" s="84" t="n">
        <f aca="false">N41+N45+N49+N53+N57</f>
        <v>7.035</v>
      </c>
      <c r="O60" s="81" t="n">
        <f aca="false">SUM(P60:AA60)</f>
        <v>394.2</v>
      </c>
      <c r="P60" s="84" t="n">
        <f aca="false">P41+P45+P49+P53+P57</f>
        <v>32.85</v>
      </c>
      <c r="Q60" s="84" t="n">
        <f aca="false">Q41+Q45+Q49+Q53+Q57</f>
        <v>32.85</v>
      </c>
      <c r="R60" s="84" t="n">
        <f aca="false">R41+R45+R49+R53+R57</f>
        <v>32.85</v>
      </c>
      <c r="S60" s="84" t="n">
        <f aca="false">S41+S45+S49+S53+S57</f>
        <v>32.85</v>
      </c>
      <c r="T60" s="84" t="n">
        <f aca="false">T41+T45+T49+T53+T57</f>
        <v>32.85</v>
      </c>
      <c r="U60" s="84" t="n">
        <f aca="false">U41+U45+U49+U53+U57</f>
        <v>32.85</v>
      </c>
      <c r="V60" s="84" t="n">
        <f aca="false">V41+V45+V49+V53+V57</f>
        <v>32.85</v>
      </c>
      <c r="W60" s="84" t="n">
        <f aca="false">W41+W45+W49+W53+W57</f>
        <v>32.85</v>
      </c>
      <c r="X60" s="84" t="n">
        <f aca="false">X41+X45+X49+X53+X57</f>
        <v>32.85</v>
      </c>
      <c r="Y60" s="84" t="n">
        <f aca="false">Y41+Y45+Y49+Y53+Y57</f>
        <v>32.85</v>
      </c>
      <c r="Z60" s="84" t="n">
        <f aca="false">Z41+Z45+Z49+Z53+Z57</f>
        <v>32.85</v>
      </c>
      <c r="AA60" s="84" t="n">
        <f aca="false">AA41+AA45+AA49+AA53+AA57</f>
        <v>32.85</v>
      </c>
      <c r="AB60" s="81" t="n">
        <f aca="false">SUM(AC60:AN60)</f>
        <v>748.8</v>
      </c>
      <c r="AC60" s="84" t="n">
        <f aca="false">AC41+AC45+AC49+AC53+AC57</f>
        <v>62.4</v>
      </c>
      <c r="AD60" s="84" t="n">
        <f aca="false">AD41+AD45+AD49+AD53+AD57</f>
        <v>62.4</v>
      </c>
      <c r="AE60" s="84" t="n">
        <f aca="false">AE41+AE45+AE49+AE53+AE57</f>
        <v>62.4</v>
      </c>
      <c r="AF60" s="84" t="n">
        <f aca="false">AF41+AF45+AF49+AF53+AF57</f>
        <v>62.4</v>
      </c>
      <c r="AG60" s="84" t="n">
        <f aca="false">AG41+AG45+AG49+AG53+AG57</f>
        <v>62.4</v>
      </c>
      <c r="AH60" s="84" t="n">
        <f aca="false">AH41+AH45+AH49+AH53+AH57</f>
        <v>62.4</v>
      </c>
      <c r="AI60" s="84" t="n">
        <f aca="false">AI41+AI45+AI49+AI53+AI57</f>
        <v>62.4</v>
      </c>
      <c r="AJ60" s="84" t="n">
        <f aca="false">AJ41+AJ45+AJ49+AJ53+AJ57</f>
        <v>62.4</v>
      </c>
      <c r="AK60" s="84" t="n">
        <f aca="false">AK41+AK45+AK49+AK53+AK57</f>
        <v>62.4</v>
      </c>
      <c r="AL60" s="84" t="n">
        <f aca="false">AL41+AL45+AL49+AL53+AL57</f>
        <v>62.4</v>
      </c>
      <c r="AM60" s="84" t="n">
        <f aca="false">AM41+AM45+AM49+AM53+AM57</f>
        <v>62.4</v>
      </c>
      <c r="AN60" s="84" t="n">
        <f aca="false">AN41+AN45+AN49+AN53+AN57</f>
        <v>62.4</v>
      </c>
      <c r="AO60" s="81" t="n">
        <f aca="false">SUM(AP60:BA60)</f>
        <v>973.8</v>
      </c>
      <c r="AP60" s="84" t="n">
        <f aca="false">AP41+AP45+AP49+AP53+AP57</f>
        <v>81.15</v>
      </c>
      <c r="AQ60" s="84" t="n">
        <f aca="false">AQ41+AQ45+AQ49+AQ53+AQ57</f>
        <v>81.15</v>
      </c>
      <c r="AR60" s="84" t="n">
        <f aca="false">AR41+AR45+AR49+AR53+AR57</f>
        <v>81.15</v>
      </c>
      <c r="AS60" s="84" t="n">
        <f aca="false">AS41+AS45+AS49+AS53+AS57</f>
        <v>81.15</v>
      </c>
      <c r="AT60" s="84" t="n">
        <f aca="false">AT41+AT45+AT49+AT53+AT57</f>
        <v>81.15</v>
      </c>
      <c r="AU60" s="84" t="n">
        <f aca="false">AU41+AU45+AU49+AU53+AU57</f>
        <v>81.15</v>
      </c>
      <c r="AV60" s="84" t="n">
        <f aca="false">AV41+AV45+AV49+AV53+AV57</f>
        <v>81.15</v>
      </c>
      <c r="AW60" s="84" t="n">
        <f aca="false">AW41+AW45+AW49+AW53+AW57</f>
        <v>81.15</v>
      </c>
      <c r="AX60" s="84" t="n">
        <f aca="false">AX41+AX45+AX49+AX53+AX57</f>
        <v>81.15</v>
      </c>
      <c r="AY60" s="84" t="n">
        <f aca="false">AY41+AY45+AY49+AY53+AY57</f>
        <v>81.15</v>
      </c>
      <c r="AZ60" s="84" t="n">
        <f aca="false">AZ41+AZ45+AZ49+AZ53+AZ57</f>
        <v>81.15</v>
      </c>
      <c r="BA60" s="84" t="n">
        <f aca="false">BA41+BA45+BA49+BA53+BA57</f>
        <v>81.15</v>
      </c>
      <c r="BB60" s="81" t="n">
        <f aca="false">SUM(BC60:BN60)</f>
        <v>1198.8</v>
      </c>
      <c r="BC60" s="84" t="n">
        <f aca="false">BC41+BC45+BC49+BC53+BC57</f>
        <v>99.9</v>
      </c>
      <c r="BD60" s="84" t="n">
        <f aca="false">BD41+BD45+BD49+BD53+BD57</f>
        <v>99.9</v>
      </c>
      <c r="BE60" s="84" t="n">
        <f aca="false">BE41+BE45+BE49+BE53+BE57</f>
        <v>99.9</v>
      </c>
      <c r="BF60" s="84" t="n">
        <f aca="false">BF41+BF45+BF49+BF53+BF57</f>
        <v>99.9</v>
      </c>
      <c r="BG60" s="84" t="n">
        <f aca="false">BG41+BG45+BG49+BG53+BG57</f>
        <v>99.9</v>
      </c>
      <c r="BH60" s="84" t="n">
        <f aca="false">BH41+BH45+BH49+BH53+BH57</f>
        <v>99.9</v>
      </c>
      <c r="BI60" s="84" t="n">
        <f aca="false">BI41+BI45+BI49+BI53+BI57</f>
        <v>99.9</v>
      </c>
      <c r="BJ60" s="84" t="n">
        <f aca="false">BJ41+BJ45+BJ49+BJ53+BJ57</f>
        <v>99.9</v>
      </c>
      <c r="BK60" s="84" t="n">
        <f aca="false">BK41+BK45+BK49+BK53+BK57</f>
        <v>99.9</v>
      </c>
      <c r="BL60" s="84" t="n">
        <f aca="false">BL41+BL45+BL49+BL53+BL57</f>
        <v>99.9</v>
      </c>
      <c r="BM60" s="84" t="n">
        <f aca="false">BM41+BM45+BM49+BM53+BM57</f>
        <v>99.9</v>
      </c>
      <c r="BN60" s="84" t="n">
        <f aca="false">BN41+BN45+BN49+BN53+BN57</f>
        <v>99.9</v>
      </c>
    </row>
    <row r="61" customFormat="false" ht="15" hidden="false" customHeight="false" outlineLevel="0" collapsed="false">
      <c r="A61" s="67" t="s">
        <v>634</v>
      </c>
      <c r="B61" s="68" t="n">
        <f aca="false">SUM(C61:N61)</f>
        <v>15960</v>
      </c>
      <c r="C61" s="69" t="n">
        <f aca="false">C31+C58</f>
        <v>1330</v>
      </c>
      <c r="D61" s="69" t="n">
        <f aca="false">D31+D58</f>
        <v>1330</v>
      </c>
      <c r="E61" s="69" t="n">
        <f aca="false">E31+E58</f>
        <v>1330</v>
      </c>
      <c r="F61" s="69" t="n">
        <f aca="false">F31+F58</f>
        <v>1330</v>
      </c>
      <c r="G61" s="69" t="n">
        <f aca="false">G31+G58</f>
        <v>1330</v>
      </c>
      <c r="H61" s="69" t="n">
        <f aca="false">H31+H58</f>
        <v>1330</v>
      </c>
      <c r="I61" s="69" t="n">
        <f aca="false">I31+I58</f>
        <v>1330</v>
      </c>
      <c r="J61" s="69" t="n">
        <f aca="false">J31+J58</f>
        <v>1330</v>
      </c>
      <c r="K61" s="69" t="n">
        <f aca="false">K31+K58</f>
        <v>1330</v>
      </c>
      <c r="L61" s="69" t="n">
        <f aca="false">L31+L58</f>
        <v>1330</v>
      </c>
      <c r="M61" s="69" t="n">
        <f aca="false">M31+M58</f>
        <v>1330</v>
      </c>
      <c r="N61" s="69" t="n">
        <f aca="false">N31+N58</f>
        <v>1330</v>
      </c>
      <c r="O61" s="68" t="n">
        <f aca="false">SUM(P61:AA61)</f>
        <v>78600</v>
      </c>
      <c r="P61" s="69" t="n">
        <f aca="false">P31+P58</f>
        <v>6550</v>
      </c>
      <c r="Q61" s="69" t="n">
        <f aca="false">Q31+Q58</f>
        <v>6550</v>
      </c>
      <c r="R61" s="69" t="n">
        <f aca="false">R31+R58</f>
        <v>6550</v>
      </c>
      <c r="S61" s="69" t="n">
        <f aca="false">S31+S58</f>
        <v>6550</v>
      </c>
      <c r="T61" s="69" t="n">
        <f aca="false">T31+T58</f>
        <v>6550</v>
      </c>
      <c r="U61" s="69" t="n">
        <f aca="false">U31+U58</f>
        <v>6550</v>
      </c>
      <c r="V61" s="69" t="n">
        <f aca="false">V31+V58</f>
        <v>6550</v>
      </c>
      <c r="W61" s="69" t="n">
        <f aca="false">W31+W58</f>
        <v>6550</v>
      </c>
      <c r="X61" s="69" t="n">
        <f aca="false">X31+X58</f>
        <v>6550</v>
      </c>
      <c r="Y61" s="69" t="n">
        <f aca="false">Y31+Y58</f>
        <v>6550</v>
      </c>
      <c r="Z61" s="69" t="n">
        <f aca="false">Z31+Z58</f>
        <v>6550</v>
      </c>
      <c r="AA61" s="69" t="n">
        <f aca="false">AA31+AA58</f>
        <v>6550</v>
      </c>
      <c r="AB61" s="68" t="n">
        <f aca="false">SUM(AC61:AN61)</f>
        <v>168000</v>
      </c>
      <c r="AC61" s="69" t="n">
        <f aca="false">AC31+AC58</f>
        <v>14000</v>
      </c>
      <c r="AD61" s="69" t="n">
        <f aca="false">AD31+AD58</f>
        <v>14000</v>
      </c>
      <c r="AE61" s="69" t="n">
        <f aca="false">AE31+AE58</f>
        <v>14000</v>
      </c>
      <c r="AF61" s="69" t="n">
        <f aca="false">AF31+AF58</f>
        <v>14000</v>
      </c>
      <c r="AG61" s="69" t="n">
        <f aca="false">AG31+AG58</f>
        <v>14000</v>
      </c>
      <c r="AH61" s="69" t="n">
        <f aca="false">AH31+AH58</f>
        <v>14000</v>
      </c>
      <c r="AI61" s="69" t="n">
        <f aca="false">AI31+AI58</f>
        <v>14000</v>
      </c>
      <c r="AJ61" s="69" t="n">
        <f aca="false">AJ31+AJ58</f>
        <v>14000</v>
      </c>
      <c r="AK61" s="69" t="n">
        <f aca="false">AK31+AK58</f>
        <v>14000</v>
      </c>
      <c r="AL61" s="69" t="n">
        <f aca="false">AL31+AL58</f>
        <v>14000</v>
      </c>
      <c r="AM61" s="69" t="n">
        <f aca="false">AM31+AM58</f>
        <v>14000</v>
      </c>
      <c r="AN61" s="69" t="n">
        <f aca="false">AN31+AN58</f>
        <v>14000</v>
      </c>
      <c r="AO61" s="68" t="n">
        <f aca="false">SUM(AP61:BA61)</f>
        <v>261000</v>
      </c>
      <c r="AP61" s="69" t="n">
        <f aca="false">AP31+AP58</f>
        <v>21750</v>
      </c>
      <c r="AQ61" s="69" t="n">
        <f aca="false">AQ31+AQ58</f>
        <v>21750</v>
      </c>
      <c r="AR61" s="69" t="n">
        <f aca="false">AR31+AR58</f>
        <v>21750</v>
      </c>
      <c r="AS61" s="69" t="n">
        <f aca="false">AS31+AS58</f>
        <v>21750</v>
      </c>
      <c r="AT61" s="69" t="n">
        <f aca="false">AT31+AT58</f>
        <v>21750</v>
      </c>
      <c r="AU61" s="69" t="n">
        <f aca="false">AU31+AU58</f>
        <v>21750</v>
      </c>
      <c r="AV61" s="69" t="n">
        <f aca="false">AV31+AV58</f>
        <v>21750</v>
      </c>
      <c r="AW61" s="69" t="n">
        <f aca="false">AW31+AW58</f>
        <v>21750</v>
      </c>
      <c r="AX61" s="69" t="n">
        <f aca="false">AX31+AX58</f>
        <v>21750</v>
      </c>
      <c r="AY61" s="69" t="n">
        <f aca="false">AY31+AY58</f>
        <v>21750</v>
      </c>
      <c r="AZ61" s="69" t="n">
        <f aca="false">AZ31+AZ58</f>
        <v>21750</v>
      </c>
      <c r="BA61" s="69" t="n">
        <f aca="false">BA31+BA58</f>
        <v>21750</v>
      </c>
      <c r="BB61" s="68" t="n">
        <f aca="false">SUM(BC61:BN61)</f>
        <v>356400</v>
      </c>
      <c r="BC61" s="69" t="n">
        <f aca="false">BC31+BC58</f>
        <v>29700</v>
      </c>
      <c r="BD61" s="69" t="n">
        <f aca="false">BD31+BD58</f>
        <v>29700</v>
      </c>
      <c r="BE61" s="69" t="n">
        <f aca="false">BE31+BE58</f>
        <v>29700</v>
      </c>
      <c r="BF61" s="69" t="n">
        <f aca="false">BF31+BF58</f>
        <v>29700</v>
      </c>
      <c r="BG61" s="69" t="n">
        <f aca="false">BG31+BG58</f>
        <v>29700</v>
      </c>
      <c r="BH61" s="69" t="n">
        <f aca="false">BH31+BH58</f>
        <v>29700</v>
      </c>
      <c r="BI61" s="69" t="n">
        <f aca="false">BI31+BI58</f>
        <v>29700</v>
      </c>
      <c r="BJ61" s="69" t="n">
        <f aca="false">BJ31+BJ58</f>
        <v>29700</v>
      </c>
      <c r="BK61" s="69" t="n">
        <f aca="false">BK31+BK58</f>
        <v>29700</v>
      </c>
      <c r="BL61" s="69" t="n">
        <f aca="false">BL31+BL58</f>
        <v>29700</v>
      </c>
      <c r="BM61" s="69" t="n">
        <f aca="false">BM31+BM58</f>
        <v>29700</v>
      </c>
      <c r="BN61" s="69" t="n">
        <f aca="false">BN31+BN58</f>
        <v>29700</v>
      </c>
    </row>
    <row r="63" customFormat="false" ht="16.5" hidden="false" customHeight="true" outlineLevel="0" collapsed="false">
      <c r="A63" s="15" t="s">
        <v>635</v>
      </c>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row>
    <row r="64" customFormat="false" ht="15" hidden="false" customHeight="true" outlineLevel="0" collapsed="false">
      <c r="A64" s="26" t="s">
        <v>505</v>
      </c>
      <c r="B64" s="62" t="s">
        <v>80</v>
      </c>
      <c r="C64" s="63" t="s">
        <v>506</v>
      </c>
      <c r="D64" s="63" t="s">
        <v>507</v>
      </c>
      <c r="E64" s="63" t="s">
        <v>508</v>
      </c>
      <c r="F64" s="63" t="s">
        <v>509</v>
      </c>
      <c r="G64" s="63" t="s">
        <v>510</v>
      </c>
      <c r="H64" s="63" t="s">
        <v>511</v>
      </c>
      <c r="I64" s="63" t="s">
        <v>512</v>
      </c>
      <c r="J64" s="63" t="s">
        <v>513</v>
      </c>
      <c r="K64" s="63" t="s">
        <v>514</v>
      </c>
      <c r="L64" s="63" t="s">
        <v>515</v>
      </c>
      <c r="M64" s="63" t="s">
        <v>516</v>
      </c>
      <c r="N64" s="63" t="s">
        <v>517</v>
      </c>
      <c r="O64" s="62" t="s">
        <v>81</v>
      </c>
      <c r="P64" s="64" t="s">
        <v>518</v>
      </c>
      <c r="Q64" s="64" t="s">
        <v>519</v>
      </c>
      <c r="R64" s="64" t="s">
        <v>520</v>
      </c>
      <c r="S64" s="64" t="s">
        <v>521</v>
      </c>
      <c r="T64" s="64" t="s">
        <v>522</v>
      </c>
      <c r="U64" s="64" t="s">
        <v>523</v>
      </c>
      <c r="V64" s="64" t="s">
        <v>524</v>
      </c>
      <c r="W64" s="64" t="s">
        <v>525</v>
      </c>
      <c r="X64" s="64" t="s">
        <v>526</v>
      </c>
      <c r="Y64" s="64" t="s">
        <v>527</v>
      </c>
      <c r="Z64" s="64" t="s">
        <v>528</v>
      </c>
      <c r="AA64" s="64" t="s">
        <v>529</v>
      </c>
      <c r="AB64" s="62" t="s">
        <v>82</v>
      </c>
      <c r="AC64" s="63" t="s">
        <v>530</v>
      </c>
      <c r="AD64" s="63" t="s">
        <v>531</v>
      </c>
      <c r="AE64" s="63" t="s">
        <v>532</v>
      </c>
      <c r="AF64" s="63" t="s">
        <v>533</v>
      </c>
      <c r="AG64" s="63" t="s">
        <v>534</v>
      </c>
      <c r="AH64" s="63" t="s">
        <v>535</v>
      </c>
      <c r="AI64" s="63" t="s">
        <v>536</v>
      </c>
      <c r="AJ64" s="63" t="s">
        <v>537</v>
      </c>
      <c r="AK64" s="63" t="s">
        <v>538</v>
      </c>
      <c r="AL64" s="63" t="s">
        <v>539</v>
      </c>
      <c r="AM64" s="63" t="s">
        <v>540</v>
      </c>
      <c r="AN64" s="63" t="s">
        <v>541</v>
      </c>
      <c r="AO64" s="62" t="s">
        <v>83</v>
      </c>
      <c r="AP64" s="64" t="s">
        <v>542</v>
      </c>
      <c r="AQ64" s="64" t="s">
        <v>543</v>
      </c>
      <c r="AR64" s="64" t="s">
        <v>544</v>
      </c>
      <c r="AS64" s="64" t="s">
        <v>545</v>
      </c>
      <c r="AT64" s="64" t="s">
        <v>546</v>
      </c>
      <c r="AU64" s="64" t="s">
        <v>547</v>
      </c>
      <c r="AV64" s="64" t="s">
        <v>548</v>
      </c>
      <c r="AW64" s="64" t="s">
        <v>549</v>
      </c>
      <c r="AX64" s="64" t="s">
        <v>550</v>
      </c>
      <c r="AY64" s="64" t="s">
        <v>551</v>
      </c>
      <c r="AZ64" s="64" t="s">
        <v>552</v>
      </c>
      <c r="BA64" s="64" t="s">
        <v>553</v>
      </c>
      <c r="BB64" s="62" t="s">
        <v>84</v>
      </c>
      <c r="BC64" s="63" t="s">
        <v>554</v>
      </c>
      <c r="BD64" s="63" t="s">
        <v>555</v>
      </c>
      <c r="BE64" s="63" t="s">
        <v>556</v>
      </c>
      <c r="BF64" s="63" t="s">
        <v>557</v>
      </c>
      <c r="BG64" s="63" t="s">
        <v>558</v>
      </c>
      <c r="BH64" s="63" t="s">
        <v>559</v>
      </c>
      <c r="BI64" s="63" t="s">
        <v>560</v>
      </c>
      <c r="BJ64" s="63" t="s">
        <v>561</v>
      </c>
      <c r="BK64" s="63" t="s">
        <v>562</v>
      </c>
      <c r="BL64" s="63" t="s">
        <v>563</v>
      </c>
      <c r="BM64" s="63" t="s">
        <v>564</v>
      </c>
      <c r="BN64" s="63" t="s">
        <v>565</v>
      </c>
    </row>
    <row r="65" customFormat="false" ht="15" hidden="false" customHeight="false" outlineLevel="0" collapsed="false">
      <c r="A65" s="12" t="s">
        <v>636</v>
      </c>
      <c r="B65" s="79" t="n">
        <f aca="false">SUM(C65:N65)</f>
        <v>350</v>
      </c>
      <c r="C65" s="80" t="n">
        <f aca="false">('Revenue Streams'!C$7+'Revenue Streams'!C$8+'Revenue Streams'!C$9)*'Assumption Setting'!$C$75+('Revenue Streams'!C$11+'Revenue Streams'!C$13)*'Assumption Setting'!$C$76</f>
        <v>21</v>
      </c>
      <c r="D65" s="80" t="n">
        <f aca="false">('Revenue Streams'!D$7+'Revenue Streams'!D$8+'Revenue Streams'!D$9)*'Assumption Setting'!$C$75+('Revenue Streams'!D$11+'Revenue Streams'!D$13)*'Assumption Setting'!$C$76</f>
        <v>24.75</v>
      </c>
      <c r="E65" s="80" t="n">
        <f aca="false">('Revenue Streams'!E$7+'Revenue Streams'!E$8+'Revenue Streams'!E$9)*'Assumption Setting'!$C$75+('Revenue Streams'!E$11+'Revenue Streams'!E$13)*'Assumption Setting'!$C$76</f>
        <v>29.25</v>
      </c>
      <c r="F65" s="80" t="n">
        <f aca="false">('Revenue Streams'!F$7+'Revenue Streams'!F$8+'Revenue Streams'!F$9)*'Assumption Setting'!$C$75+('Revenue Streams'!F$11+'Revenue Streams'!F$13)*'Assumption Setting'!$C$76</f>
        <v>21</v>
      </c>
      <c r="G65" s="80" t="n">
        <f aca="false">('Revenue Streams'!G$7+'Revenue Streams'!G$8+'Revenue Streams'!G$9)*'Assumption Setting'!$C$75+('Revenue Streams'!G$11+'Revenue Streams'!G$13)*'Assumption Setting'!$C$76</f>
        <v>24.75</v>
      </c>
      <c r="H65" s="80" t="n">
        <f aca="false">('Revenue Streams'!H$7+'Revenue Streams'!H$8+'Revenue Streams'!H$9)*'Assumption Setting'!$C$75+('Revenue Streams'!H$11+'Revenue Streams'!H$13)*'Assumption Setting'!$C$76</f>
        <v>29.25</v>
      </c>
      <c r="I65" s="80" t="n">
        <f aca="false">('Revenue Streams'!I$7+'Revenue Streams'!I$8+'Revenue Streams'!I$9)*'Assumption Setting'!$C$75+('Revenue Streams'!I$11+'Revenue Streams'!I$13)*'Assumption Setting'!$C$76</f>
        <v>28</v>
      </c>
      <c r="J65" s="80" t="n">
        <f aca="false">('Revenue Streams'!J$7+'Revenue Streams'!J$8+'Revenue Streams'!J$9)*'Assumption Setting'!$C$75+('Revenue Streams'!J$11+'Revenue Streams'!J$13)*'Assumption Setting'!$C$76</f>
        <v>33</v>
      </c>
      <c r="K65" s="80" t="n">
        <f aca="false">('Revenue Streams'!K$7+'Revenue Streams'!K$8+'Revenue Streams'!K$9)*'Assumption Setting'!$C$75+('Revenue Streams'!K$11+'Revenue Streams'!K$13)*'Assumption Setting'!$C$76</f>
        <v>39</v>
      </c>
      <c r="L65" s="80" t="n">
        <f aca="false">('Revenue Streams'!L$7+'Revenue Streams'!L$8+'Revenue Streams'!L$9)*'Assumption Setting'!$C$75+('Revenue Streams'!L$11+'Revenue Streams'!L$13)*'Assumption Setting'!$C$76</f>
        <v>28</v>
      </c>
      <c r="M65" s="80" t="n">
        <f aca="false">('Revenue Streams'!M$7+'Revenue Streams'!M$8+'Revenue Streams'!M$9)*'Assumption Setting'!$C$75+('Revenue Streams'!M$11+'Revenue Streams'!M$13)*'Assumption Setting'!$C$76</f>
        <v>33</v>
      </c>
      <c r="N65" s="80" t="n">
        <f aca="false">('Revenue Streams'!N$7+'Revenue Streams'!N$8+'Revenue Streams'!N$9)*'Assumption Setting'!$C$75+('Revenue Streams'!N$11+'Revenue Streams'!N$13)*'Assumption Setting'!$C$76</f>
        <v>39</v>
      </c>
      <c r="O65" s="79" t="n">
        <f aca="false">SUM(P65:AA65)</f>
        <v>1260</v>
      </c>
      <c r="P65" s="80" t="n">
        <f aca="false">('Revenue Streams'!P$7+'Revenue Streams'!P$8+'Revenue Streams'!P$9)*'Assumption Setting'!$C$75+('Revenue Streams'!P$11+'Revenue Streams'!P$13)*'Assumption Setting'!$C$76</f>
        <v>42</v>
      </c>
      <c r="Q65" s="80" t="n">
        <f aca="false">('Revenue Streams'!Q$7+'Revenue Streams'!Q$8+'Revenue Streams'!Q$9)*'Assumption Setting'!$C$75+('Revenue Streams'!Q$11+'Revenue Streams'!Q$13)*'Assumption Setting'!$C$76</f>
        <v>49.5</v>
      </c>
      <c r="R65" s="80" t="n">
        <f aca="false">('Revenue Streams'!R$7+'Revenue Streams'!R$8+'Revenue Streams'!R$9)*'Assumption Setting'!$C$75+('Revenue Streams'!R$11+'Revenue Streams'!R$13)*'Assumption Setting'!$C$76</f>
        <v>58.5</v>
      </c>
      <c r="S65" s="80" t="n">
        <f aca="false">('Revenue Streams'!S$7+'Revenue Streams'!S$8+'Revenue Streams'!S$9)*'Assumption Setting'!$C$75+('Revenue Streams'!S$11+'Revenue Streams'!S$13)*'Assumption Setting'!$C$76</f>
        <v>72.8</v>
      </c>
      <c r="T65" s="80" t="n">
        <f aca="false">('Revenue Streams'!T$7+'Revenue Streams'!T$8+'Revenue Streams'!T$9)*'Assumption Setting'!$C$75+('Revenue Streams'!T$11+'Revenue Streams'!T$13)*'Assumption Setting'!$C$76</f>
        <v>85.8</v>
      </c>
      <c r="U65" s="80" t="n">
        <f aca="false">('Revenue Streams'!U$7+'Revenue Streams'!U$8+'Revenue Streams'!U$9)*'Assumption Setting'!$C$75+('Revenue Streams'!U$11+'Revenue Streams'!U$13)*'Assumption Setting'!$C$76</f>
        <v>101.4</v>
      </c>
      <c r="V65" s="80" t="n">
        <f aca="false">('Revenue Streams'!V$7+'Revenue Streams'!V$8+'Revenue Streams'!V$9)*'Assumption Setting'!$C$75+('Revenue Streams'!V$11+'Revenue Streams'!V$13)*'Assumption Setting'!$C$76</f>
        <v>103.6</v>
      </c>
      <c r="W65" s="80" t="n">
        <f aca="false">('Revenue Streams'!W$7+'Revenue Streams'!W$8+'Revenue Streams'!W$9)*'Assumption Setting'!$C$75+('Revenue Streams'!W$11+'Revenue Streams'!W$13)*'Assumption Setting'!$C$76</f>
        <v>122.1</v>
      </c>
      <c r="X65" s="80" t="n">
        <f aca="false">('Revenue Streams'!X$7+'Revenue Streams'!X$8+'Revenue Streams'!X$9)*'Assumption Setting'!$C$75+('Revenue Streams'!X$11+'Revenue Streams'!X$13)*'Assumption Setting'!$C$76</f>
        <v>144.3</v>
      </c>
      <c r="Y65" s="80" t="n">
        <f aca="false">('Revenue Streams'!Y$7+'Revenue Streams'!Y$8+'Revenue Streams'!Y$9)*'Assumption Setting'!$C$75+('Revenue Streams'!Y$11+'Revenue Streams'!Y$13)*'Assumption Setting'!$C$76</f>
        <v>134.4</v>
      </c>
      <c r="Z65" s="80" t="n">
        <f aca="false">('Revenue Streams'!Z$7+'Revenue Streams'!Z$8+'Revenue Streams'!Z$9)*'Assumption Setting'!$C$75+('Revenue Streams'!Z$11+'Revenue Streams'!Z$13)*'Assumption Setting'!$C$76</f>
        <v>158.4</v>
      </c>
      <c r="AA65" s="80" t="n">
        <f aca="false">('Revenue Streams'!AA$7+'Revenue Streams'!AA$8+'Revenue Streams'!AA$9)*'Assumption Setting'!$C$75+('Revenue Streams'!AA$11+'Revenue Streams'!AA$13)*'Assumption Setting'!$C$76</f>
        <v>187.2</v>
      </c>
      <c r="AB65" s="79" t="n">
        <f aca="false">SUM(AC65:AN65)</f>
        <v>3670</v>
      </c>
      <c r="AC65" s="80" t="n">
        <f aca="false">('Revenue Streams'!AC$7+'Revenue Streams'!AC$8+'Revenue Streams'!AC$9)*'Assumption Setting'!$C$75+('Revenue Streams'!AC$11+'Revenue Streams'!AC$13)*'Assumption Setting'!$C$76</f>
        <v>187.6</v>
      </c>
      <c r="AD65" s="80" t="n">
        <f aca="false">('Revenue Streams'!AD$7+'Revenue Streams'!AD$8+'Revenue Streams'!AD$9)*'Assumption Setting'!$C$75+('Revenue Streams'!AD$11+'Revenue Streams'!AD$13)*'Assumption Setting'!$C$76</f>
        <v>221.1</v>
      </c>
      <c r="AE65" s="80" t="n">
        <f aca="false">('Revenue Streams'!AE$7+'Revenue Streams'!AE$8+'Revenue Streams'!AE$9)*'Assumption Setting'!$C$75+('Revenue Streams'!AE$11+'Revenue Streams'!AE$13)*'Assumption Setting'!$C$76</f>
        <v>261.3</v>
      </c>
      <c r="AF65" s="80" t="n">
        <f aca="false">('Revenue Streams'!AF$7+'Revenue Streams'!AF$8+'Revenue Streams'!AF$9)*'Assumption Setting'!$C$75+('Revenue Streams'!AF$11+'Revenue Streams'!AF$13)*'Assumption Setting'!$C$76</f>
        <v>233.8</v>
      </c>
      <c r="AG65" s="80" t="n">
        <f aca="false">('Revenue Streams'!AG$7+'Revenue Streams'!AG$8+'Revenue Streams'!AG$9)*'Assumption Setting'!$C$75+('Revenue Streams'!AG$11+'Revenue Streams'!AG$13)*'Assumption Setting'!$C$76</f>
        <v>275.55</v>
      </c>
      <c r="AH65" s="80" t="n">
        <f aca="false">('Revenue Streams'!AH$7+'Revenue Streams'!AH$8+'Revenue Streams'!AH$9)*'Assumption Setting'!$C$75+('Revenue Streams'!AH$11+'Revenue Streams'!AH$13)*'Assumption Setting'!$C$76</f>
        <v>325.65</v>
      </c>
      <c r="AI65" s="80" t="n">
        <f aca="false">('Revenue Streams'!AI$7+'Revenue Streams'!AI$8+'Revenue Streams'!AI$9)*'Assumption Setting'!$C$75+('Revenue Streams'!AI$11+'Revenue Streams'!AI$13)*'Assumption Setting'!$C$76</f>
        <v>280</v>
      </c>
      <c r="AJ65" s="80" t="n">
        <f aca="false">('Revenue Streams'!AJ$7+'Revenue Streams'!AJ$8+'Revenue Streams'!AJ$9)*'Assumption Setting'!$C$75+('Revenue Streams'!AJ$11+'Revenue Streams'!AJ$13)*'Assumption Setting'!$C$76</f>
        <v>330</v>
      </c>
      <c r="AK65" s="80" t="n">
        <f aca="false">('Revenue Streams'!AK$7+'Revenue Streams'!AK$8+'Revenue Streams'!AK$9)*'Assumption Setting'!$C$75+('Revenue Streams'!AK$11+'Revenue Streams'!AK$13)*'Assumption Setting'!$C$76</f>
        <v>390</v>
      </c>
      <c r="AL65" s="80" t="n">
        <f aca="false">('Revenue Streams'!AL$7+'Revenue Streams'!AL$8+'Revenue Streams'!AL$9)*'Assumption Setting'!$C$75+('Revenue Streams'!AL$11+'Revenue Streams'!AL$13)*'Assumption Setting'!$C$76</f>
        <v>326.2</v>
      </c>
      <c r="AM65" s="80" t="n">
        <f aca="false">('Revenue Streams'!AM$7+'Revenue Streams'!AM$8+'Revenue Streams'!AM$9)*'Assumption Setting'!$C$75+('Revenue Streams'!AM$11+'Revenue Streams'!AM$13)*'Assumption Setting'!$C$76</f>
        <v>384.45</v>
      </c>
      <c r="AN65" s="80" t="n">
        <f aca="false">('Revenue Streams'!AN$7+'Revenue Streams'!AN$8+'Revenue Streams'!AN$9)*'Assumption Setting'!$C$75+('Revenue Streams'!AN$11+'Revenue Streams'!AN$13)*'Assumption Setting'!$C$76</f>
        <v>454.35</v>
      </c>
      <c r="AO65" s="79" t="n">
        <f aca="false">SUM(AP65:BA65)</f>
        <v>6310</v>
      </c>
      <c r="AP65" s="80" t="n">
        <f aca="false">('Revenue Streams'!AP$7+'Revenue Streams'!AP$8+'Revenue Streams'!AP$9)*'Assumption Setting'!$C$75+('Revenue Streams'!AP$11+'Revenue Streams'!AP$13)*'Assumption Setting'!$C$76</f>
        <v>372.4</v>
      </c>
      <c r="AQ65" s="80" t="n">
        <f aca="false">('Revenue Streams'!AQ$7+'Revenue Streams'!AQ$8+'Revenue Streams'!AQ$9)*'Assumption Setting'!$C$75+('Revenue Streams'!AQ$11+'Revenue Streams'!AQ$13)*'Assumption Setting'!$C$76</f>
        <v>438.9</v>
      </c>
      <c r="AR65" s="80" t="n">
        <f aca="false">('Revenue Streams'!AR$7+'Revenue Streams'!AR$8+'Revenue Streams'!AR$9)*'Assumption Setting'!$C$75+('Revenue Streams'!AR$11+'Revenue Streams'!AR$13)*'Assumption Setting'!$C$76</f>
        <v>518.7</v>
      </c>
      <c r="AS65" s="80" t="n">
        <f aca="false">('Revenue Streams'!AS$7+'Revenue Streams'!AS$8+'Revenue Streams'!AS$9)*'Assumption Setting'!$C$75+('Revenue Streams'!AS$11+'Revenue Streams'!AS$13)*'Assumption Setting'!$C$76</f>
        <v>418.6</v>
      </c>
      <c r="AT65" s="80" t="n">
        <f aca="false">('Revenue Streams'!AT$7+'Revenue Streams'!AT$8+'Revenue Streams'!AT$9)*'Assumption Setting'!$C$75+('Revenue Streams'!AT$11+'Revenue Streams'!AT$13)*'Assumption Setting'!$C$76</f>
        <v>493.35</v>
      </c>
      <c r="AU65" s="80" t="n">
        <f aca="false">('Revenue Streams'!AU$7+'Revenue Streams'!AU$8+'Revenue Streams'!AU$9)*'Assumption Setting'!$C$75+('Revenue Streams'!AU$11+'Revenue Streams'!AU$13)*'Assumption Setting'!$C$76</f>
        <v>583.05</v>
      </c>
      <c r="AV65" s="80" t="n">
        <f aca="false">('Revenue Streams'!AV$7+'Revenue Streams'!AV$8+'Revenue Streams'!AV$9)*'Assumption Setting'!$C$75+('Revenue Streams'!AV$11+'Revenue Streams'!AV$13)*'Assumption Setting'!$C$76</f>
        <v>464.8</v>
      </c>
      <c r="AW65" s="80" t="n">
        <f aca="false">('Revenue Streams'!AW$7+'Revenue Streams'!AW$8+'Revenue Streams'!AW$9)*'Assumption Setting'!$C$75+('Revenue Streams'!AW$11+'Revenue Streams'!AW$13)*'Assumption Setting'!$C$76</f>
        <v>547.8</v>
      </c>
      <c r="AX65" s="80" t="n">
        <f aca="false">('Revenue Streams'!AX$7+'Revenue Streams'!AX$8+'Revenue Streams'!AX$9)*'Assumption Setting'!$C$75+('Revenue Streams'!AX$11+'Revenue Streams'!AX$13)*'Assumption Setting'!$C$76</f>
        <v>647.4</v>
      </c>
      <c r="AY65" s="80" t="n">
        <f aca="false">('Revenue Streams'!AY$7+'Revenue Streams'!AY$8+'Revenue Streams'!AY$9)*'Assumption Setting'!$C$75+('Revenue Streams'!AY$11+'Revenue Streams'!AY$13)*'Assumption Setting'!$C$76</f>
        <v>511</v>
      </c>
      <c r="AZ65" s="80" t="n">
        <f aca="false">('Revenue Streams'!AZ$7+'Revenue Streams'!AZ$8+'Revenue Streams'!AZ$9)*'Assumption Setting'!$C$75+('Revenue Streams'!AZ$11+'Revenue Streams'!AZ$13)*'Assumption Setting'!$C$76</f>
        <v>602.25</v>
      </c>
      <c r="BA65" s="80" t="n">
        <f aca="false">('Revenue Streams'!BA$7+'Revenue Streams'!BA$8+'Revenue Streams'!BA$9)*'Assumption Setting'!$C$75+('Revenue Streams'!BA$11+'Revenue Streams'!BA$13)*'Assumption Setting'!$C$76</f>
        <v>711.75</v>
      </c>
      <c r="BB65" s="79" t="n">
        <f aca="false">SUM(BC65:BN65)</f>
        <v>8950</v>
      </c>
      <c r="BC65" s="80" t="n">
        <f aca="false">('Revenue Streams'!BC$7+'Revenue Streams'!BC$8+'Revenue Streams'!BC$9)*'Assumption Setting'!$C$75+('Revenue Streams'!BC$11+'Revenue Streams'!BC$13)*'Assumption Setting'!$C$76</f>
        <v>557.2</v>
      </c>
      <c r="BD65" s="80" t="n">
        <f aca="false">('Revenue Streams'!BD$7+'Revenue Streams'!BD$8+'Revenue Streams'!BD$9)*'Assumption Setting'!$C$75+('Revenue Streams'!BD$11+'Revenue Streams'!BD$13)*'Assumption Setting'!$C$76</f>
        <v>656.7</v>
      </c>
      <c r="BE65" s="80" t="n">
        <f aca="false">('Revenue Streams'!BE$7+'Revenue Streams'!BE$8+'Revenue Streams'!BE$9)*'Assumption Setting'!$C$75+('Revenue Streams'!BE$11+'Revenue Streams'!BE$13)*'Assumption Setting'!$C$76</f>
        <v>776.1</v>
      </c>
      <c r="BF65" s="80" t="n">
        <f aca="false">('Revenue Streams'!BF$7+'Revenue Streams'!BF$8+'Revenue Streams'!BF$9)*'Assumption Setting'!$C$75+('Revenue Streams'!BF$11+'Revenue Streams'!BF$13)*'Assumption Setting'!$C$76</f>
        <v>603.4</v>
      </c>
      <c r="BG65" s="80" t="n">
        <f aca="false">('Revenue Streams'!BG$7+'Revenue Streams'!BG$8+'Revenue Streams'!BG$9)*'Assumption Setting'!$C$75+('Revenue Streams'!BG$11+'Revenue Streams'!BG$13)*'Assumption Setting'!$C$76</f>
        <v>711.15</v>
      </c>
      <c r="BH65" s="80" t="n">
        <f aca="false">('Revenue Streams'!BH$7+'Revenue Streams'!BH$8+'Revenue Streams'!BH$9)*'Assumption Setting'!$C$75+('Revenue Streams'!BH$11+'Revenue Streams'!BH$13)*'Assumption Setting'!$C$76</f>
        <v>840.45</v>
      </c>
      <c r="BI65" s="80" t="n">
        <f aca="false">('Revenue Streams'!BI$7+'Revenue Streams'!BI$8+'Revenue Streams'!BI$9)*'Assumption Setting'!$C$75+('Revenue Streams'!BI$11+'Revenue Streams'!BI$13)*'Assumption Setting'!$C$76</f>
        <v>649.6</v>
      </c>
      <c r="BJ65" s="80" t="n">
        <f aca="false">('Revenue Streams'!BJ$7+'Revenue Streams'!BJ$8+'Revenue Streams'!BJ$9)*'Assumption Setting'!$C$75+('Revenue Streams'!BJ$11+'Revenue Streams'!BJ$13)*'Assumption Setting'!$C$76</f>
        <v>765.6</v>
      </c>
      <c r="BK65" s="80" t="n">
        <f aca="false">('Revenue Streams'!BK$7+'Revenue Streams'!BK$8+'Revenue Streams'!BK$9)*'Assumption Setting'!$C$75+('Revenue Streams'!BK$11+'Revenue Streams'!BK$13)*'Assumption Setting'!$C$76</f>
        <v>904.8</v>
      </c>
      <c r="BL65" s="80" t="n">
        <f aca="false">('Revenue Streams'!BL$7+'Revenue Streams'!BL$8+'Revenue Streams'!BL$9)*'Assumption Setting'!$C$75+('Revenue Streams'!BL$11+'Revenue Streams'!BL$13)*'Assumption Setting'!$C$76</f>
        <v>695.8</v>
      </c>
      <c r="BM65" s="80" t="n">
        <f aca="false">('Revenue Streams'!BM$7+'Revenue Streams'!BM$8+'Revenue Streams'!BM$9)*'Assumption Setting'!$C$75+('Revenue Streams'!BM$11+'Revenue Streams'!BM$13)*'Assumption Setting'!$C$76</f>
        <v>820.05</v>
      </c>
      <c r="BN65" s="80" t="n">
        <f aca="false">('Revenue Streams'!BN$7+'Revenue Streams'!BN$8+'Revenue Streams'!BN$9)*'Assumption Setting'!$C$75+('Revenue Streams'!BN$11+'Revenue Streams'!BN$13)*'Assumption Setting'!$C$76</f>
        <v>969.15</v>
      </c>
    </row>
    <row r="66" customFormat="false" ht="15" hidden="false" customHeight="false" outlineLevel="0" collapsed="false">
      <c r="A66" s="12" t="s">
        <v>637</v>
      </c>
      <c r="B66" s="79" t="n">
        <f aca="false">SUM(C66:N66)</f>
        <v>1400</v>
      </c>
      <c r="C66" s="80" t="n">
        <f aca="false">('Revenue Streams'!C$17+'Revenue Streams'!C$18)*'Assumption Setting'!$C$77</f>
        <v>196</v>
      </c>
      <c r="D66" s="80" t="n">
        <f aca="false">('Revenue Streams'!D$17+'Revenue Streams'!D$18)*'Assumption Setting'!$C$77</f>
        <v>231</v>
      </c>
      <c r="E66" s="80" t="n">
        <f aca="false">('Revenue Streams'!E$17+'Revenue Streams'!E$18)*'Assumption Setting'!$C$77</f>
        <v>273</v>
      </c>
      <c r="F66" s="80" t="n">
        <f aca="false">('Revenue Streams'!F$17+'Revenue Streams'!F$18)*'Assumption Setting'!$C$77</f>
        <v>0</v>
      </c>
      <c r="G66" s="80" t="n">
        <f aca="false">('Revenue Streams'!G$17+'Revenue Streams'!G$18)*'Assumption Setting'!$C$77</f>
        <v>0</v>
      </c>
      <c r="H66" s="80" t="n">
        <f aca="false">('Revenue Streams'!H$17+'Revenue Streams'!H$18)*'Assumption Setting'!$C$77</f>
        <v>0</v>
      </c>
      <c r="I66" s="80" t="n">
        <f aca="false">('Revenue Streams'!I$17+'Revenue Streams'!I$18)*'Assumption Setting'!$C$77</f>
        <v>0</v>
      </c>
      <c r="J66" s="80" t="n">
        <f aca="false">('Revenue Streams'!J$17+'Revenue Streams'!J$18)*'Assumption Setting'!$C$77</f>
        <v>0</v>
      </c>
      <c r="K66" s="80" t="n">
        <f aca="false">('Revenue Streams'!K$17+'Revenue Streams'!K$18)*'Assumption Setting'!$C$77</f>
        <v>0</v>
      </c>
      <c r="L66" s="80" t="n">
        <f aca="false">('Revenue Streams'!L$17+'Revenue Streams'!L$18)*'Assumption Setting'!$C$77</f>
        <v>196</v>
      </c>
      <c r="M66" s="80" t="n">
        <f aca="false">('Revenue Streams'!M$17+'Revenue Streams'!M$18)*'Assumption Setting'!$C$77</f>
        <v>231</v>
      </c>
      <c r="N66" s="80" t="n">
        <f aca="false">('Revenue Streams'!N$17+'Revenue Streams'!N$18)*'Assumption Setting'!$C$77</f>
        <v>273</v>
      </c>
      <c r="O66" s="79" t="n">
        <f aca="false">SUM(P66:AA66)</f>
        <v>3500</v>
      </c>
      <c r="P66" s="80" t="n">
        <f aca="false">('Revenue Streams'!P$17+'Revenue Streams'!P$18)*'Assumption Setting'!$C$77</f>
        <v>196</v>
      </c>
      <c r="Q66" s="80" t="n">
        <f aca="false">('Revenue Streams'!Q$17+'Revenue Streams'!Q$18)*'Assumption Setting'!$C$77</f>
        <v>231</v>
      </c>
      <c r="R66" s="80" t="n">
        <f aca="false">('Revenue Streams'!R$17+'Revenue Streams'!R$18)*'Assumption Setting'!$C$77</f>
        <v>273</v>
      </c>
      <c r="S66" s="80" t="n">
        <f aca="false">('Revenue Streams'!S$17+'Revenue Streams'!S$18)*'Assumption Setting'!$C$77</f>
        <v>196</v>
      </c>
      <c r="T66" s="80" t="n">
        <f aca="false">('Revenue Streams'!T$17+'Revenue Streams'!T$18)*'Assumption Setting'!$C$77</f>
        <v>231</v>
      </c>
      <c r="U66" s="80" t="n">
        <f aca="false">('Revenue Streams'!U$17+'Revenue Streams'!U$18)*'Assumption Setting'!$C$77</f>
        <v>273</v>
      </c>
      <c r="V66" s="80" t="n">
        <f aca="false">('Revenue Streams'!V$17+'Revenue Streams'!V$18)*'Assumption Setting'!$C$77</f>
        <v>196</v>
      </c>
      <c r="W66" s="80" t="n">
        <f aca="false">('Revenue Streams'!W$17+'Revenue Streams'!W$18)*'Assumption Setting'!$C$77</f>
        <v>231</v>
      </c>
      <c r="X66" s="80" t="n">
        <f aca="false">('Revenue Streams'!X$17+'Revenue Streams'!X$18)*'Assumption Setting'!$C$77</f>
        <v>273</v>
      </c>
      <c r="Y66" s="80" t="n">
        <f aca="false">('Revenue Streams'!Y$17+'Revenue Streams'!Y$18)*'Assumption Setting'!$C$77</f>
        <v>392</v>
      </c>
      <c r="Z66" s="80" t="n">
        <f aca="false">('Revenue Streams'!Z$17+'Revenue Streams'!Z$18)*'Assumption Setting'!$C$77</f>
        <v>462</v>
      </c>
      <c r="AA66" s="80" t="n">
        <f aca="false">('Revenue Streams'!AA$17+'Revenue Streams'!AA$18)*'Assumption Setting'!$C$77</f>
        <v>546</v>
      </c>
      <c r="AB66" s="79" t="n">
        <f aca="false">SUM(AC66:AN66)</f>
        <v>7000</v>
      </c>
      <c r="AC66" s="80" t="n">
        <f aca="false">('Revenue Streams'!AC$17+'Revenue Streams'!AC$18)*'Assumption Setting'!$C$77</f>
        <v>392</v>
      </c>
      <c r="AD66" s="80" t="n">
        <f aca="false">('Revenue Streams'!AD$17+'Revenue Streams'!AD$18)*'Assumption Setting'!$C$77</f>
        <v>462</v>
      </c>
      <c r="AE66" s="80" t="n">
        <f aca="false">('Revenue Streams'!AE$17+'Revenue Streams'!AE$18)*'Assumption Setting'!$C$77</f>
        <v>546</v>
      </c>
      <c r="AF66" s="80" t="n">
        <f aca="false">('Revenue Streams'!AF$17+'Revenue Streams'!AF$18)*'Assumption Setting'!$C$77</f>
        <v>392</v>
      </c>
      <c r="AG66" s="80" t="n">
        <f aca="false">('Revenue Streams'!AG$17+'Revenue Streams'!AG$18)*'Assumption Setting'!$C$77</f>
        <v>462</v>
      </c>
      <c r="AH66" s="80" t="n">
        <f aca="false">('Revenue Streams'!AH$17+'Revenue Streams'!AH$18)*'Assumption Setting'!$C$77</f>
        <v>546</v>
      </c>
      <c r="AI66" s="80" t="n">
        <f aca="false">('Revenue Streams'!AI$17+'Revenue Streams'!AI$18)*'Assumption Setting'!$C$77</f>
        <v>588</v>
      </c>
      <c r="AJ66" s="80" t="n">
        <f aca="false">('Revenue Streams'!AJ$17+'Revenue Streams'!AJ$18)*'Assumption Setting'!$C$77</f>
        <v>693</v>
      </c>
      <c r="AK66" s="80" t="n">
        <f aca="false">('Revenue Streams'!AK$17+'Revenue Streams'!AK$18)*'Assumption Setting'!$C$77</f>
        <v>819</v>
      </c>
      <c r="AL66" s="80" t="n">
        <f aca="false">('Revenue Streams'!AL$17+'Revenue Streams'!AL$18)*'Assumption Setting'!$C$77</f>
        <v>588</v>
      </c>
      <c r="AM66" s="80" t="n">
        <f aca="false">('Revenue Streams'!AM$17+'Revenue Streams'!AM$18)*'Assumption Setting'!$C$77</f>
        <v>693</v>
      </c>
      <c r="AN66" s="80" t="n">
        <f aca="false">('Revenue Streams'!AN$17+'Revenue Streams'!AN$18)*'Assumption Setting'!$C$77</f>
        <v>819</v>
      </c>
      <c r="AO66" s="79" t="n">
        <f aca="false">SUM(AP66:BA66)</f>
        <v>11200</v>
      </c>
      <c r="AP66" s="80" t="n">
        <f aca="false">('Revenue Streams'!AP$17+'Revenue Streams'!AP$18)*'Assumption Setting'!$C$77</f>
        <v>588</v>
      </c>
      <c r="AQ66" s="80" t="n">
        <f aca="false">('Revenue Streams'!AQ$17+'Revenue Streams'!AQ$18)*'Assumption Setting'!$C$77</f>
        <v>693</v>
      </c>
      <c r="AR66" s="80" t="n">
        <f aca="false">('Revenue Streams'!AR$17+'Revenue Streams'!AR$18)*'Assumption Setting'!$C$77</f>
        <v>819</v>
      </c>
      <c r="AS66" s="80" t="n">
        <f aca="false">('Revenue Streams'!AS$17+'Revenue Streams'!AS$18)*'Assumption Setting'!$C$77</f>
        <v>784</v>
      </c>
      <c r="AT66" s="80" t="n">
        <f aca="false">('Revenue Streams'!AT$17+'Revenue Streams'!AT$18)*'Assumption Setting'!$C$77</f>
        <v>924</v>
      </c>
      <c r="AU66" s="80" t="n">
        <f aca="false">('Revenue Streams'!AU$17+'Revenue Streams'!AU$18)*'Assumption Setting'!$C$77</f>
        <v>1092</v>
      </c>
      <c r="AV66" s="80" t="n">
        <f aca="false">('Revenue Streams'!AV$17+'Revenue Streams'!AV$18)*'Assumption Setting'!$C$77</f>
        <v>784</v>
      </c>
      <c r="AW66" s="80" t="n">
        <f aca="false">('Revenue Streams'!AW$17+'Revenue Streams'!AW$18)*'Assumption Setting'!$C$77</f>
        <v>924</v>
      </c>
      <c r="AX66" s="80" t="n">
        <f aca="false">('Revenue Streams'!AX$17+'Revenue Streams'!AX$18)*'Assumption Setting'!$C$77</f>
        <v>1092</v>
      </c>
      <c r="AY66" s="80" t="n">
        <f aca="false">('Revenue Streams'!AY$17+'Revenue Streams'!AY$18)*'Assumption Setting'!$C$77</f>
        <v>980</v>
      </c>
      <c r="AZ66" s="80" t="n">
        <f aca="false">('Revenue Streams'!AZ$17+'Revenue Streams'!AZ$18)*'Assumption Setting'!$C$77</f>
        <v>1155</v>
      </c>
      <c r="BA66" s="80" t="n">
        <f aca="false">('Revenue Streams'!BA$17+'Revenue Streams'!BA$18)*'Assumption Setting'!$C$77</f>
        <v>1365</v>
      </c>
      <c r="BB66" s="79" t="n">
        <f aca="false">SUM(BC66:BN66)</f>
        <v>15400</v>
      </c>
      <c r="BC66" s="80" t="n">
        <f aca="false">('Revenue Streams'!BC$17+'Revenue Streams'!BC$18)*'Assumption Setting'!$C$77</f>
        <v>980</v>
      </c>
      <c r="BD66" s="80" t="n">
        <f aca="false">('Revenue Streams'!BD$17+'Revenue Streams'!BD$18)*'Assumption Setting'!$C$77</f>
        <v>1155</v>
      </c>
      <c r="BE66" s="80" t="n">
        <f aca="false">('Revenue Streams'!BE$17+'Revenue Streams'!BE$18)*'Assumption Setting'!$C$77</f>
        <v>1365</v>
      </c>
      <c r="BF66" s="80" t="n">
        <f aca="false">('Revenue Streams'!BF$17+'Revenue Streams'!BF$18)*'Assumption Setting'!$C$77</f>
        <v>980</v>
      </c>
      <c r="BG66" s="80" t="n">
        <f aca="false">('Revenue Streams'!BG$17+'Revenue Streams'!BG$18)*'Assumption Setting'!$C$77</f>
        <v>1155</v>
      </c>
      <c r="BH66" s="80" t="n">
        <f aca="false">('Revenue Streams'!BH$17+'Revenue Streams'!BH$18)*'Assumption Setting'!$C$77</f>
        <v>1365</v>
      </c>
      <c r="BI66" s="80" t="n">
        <f aca="false">('Revenue Streams'!BI$17+'Revenue Streams'!BI$18)*'Assumption Setting'!$C$77</f>
        <v>1176</v>
      </c>
      <c r="BJ66" s="80" t="n">
        <f aca="false">('Revenue Streams'!BJ$17+'Revenue Streams'!BJ$18)*'Assumption Setting'!$C$77</f>
        <v>1386</v>
      </c>
      <c r="BK66" s="80" t="n">
        <f aca="false">('Revenue Streams'!BK$17+'Revenue Streams'!BK$18)*'Assumption Setting'!$C$77</f>
        <v>1638</v>
      </c>
      <c r="BL66" s="80" t="n">
        <f aca="false">('Revenue Streams'!BL$17+'Revenue Streams'!BL$18)*'Assumption Setting'!$C$77</f>
        <v>1176</v>
      </c>
      <c r="BM66" s="80" t="n">
        <f aca="false">('Revenue Streams'!BM$17+'Revenue Streams'!BM$18)*'Assumption Setting'!$C$77</f>
        <v>1386</v>
      </c>
      <c r="BN66" s="80" t="n">
        <f aca="false">('Revenue Streams'!BN$17+'Revenue Streams'!BN$18)*'Assumption Setting'!$C$77</f>
        <v>1638</v>
      </c>
    </row>
    <row r="67" customFormat="false" ht="15" hidden="false" customHeight="false" outlineLevel="0" collapsed="false">
      <c r="A67" s="12" t="s">
        <v>638</v>
      </c>
      <c r="B67" s="79" t="n">
        <f aca="false">SUM(C67:N67)</f>
        <v>240</v>
      </c>
      <c r="C67" s="80" t="n">
        <f aca="false">'Revenue Streams'!C$14+'Revenue Streams'!C$22</f>
        <v>0</v>
      </c>
      <c r="D67" s="80" t="n">
        <f aca="false">'Revenue Streams'!D$14+'Revenue Streams'!D$22</f>
        <v>0</v>
      </c>
      <c r="E67" s="80" t="n">
        <f aca="false">'Revenue Streams'!E$14+'Revenue Streams'!E$22</f>
        <v>0</v>
      </c>
      <c r="F67" s="80" t="n">
        <f aca="false">'Revenue Streams'!F$14+'Revenue Streams'!F$22</f>
        <v>16.8</v>
      </c>
      <c r="G67" s="80" t="n">
        <f aca="false">'Revenue Streams'!G$14+'Revenue Streams'!G$22</f>
        <v>19.8</v>
      </c>
      <c r="H67" s="80" t="n">
        <f aca="false">'Revenue Streams'!H$14+'Revenue Streams'!H$22</f>
        <v>23.4</v>
      </c>
      <c r="I67" s="80" t="n">
        <f aca="false">'Revenue Streams'!I$14+'Revenue Streams'!I$22</f>
        <v>16.8</v>
      </c>
      <c r="J67" s="80" t="n">
        <f aca="false">'Revenue Streams'!J$14+'Revenue Streams'!J$22</f>
        <v>19.8</v>
      </c>
      <c r="K67" s="80" t="n">
        <f aca="false">'Revenue Streams'!K$14+'Revenue Streams'!K$22</f>
        <v>23.4</v>
      </c>
      <c r="L67" s="80" t="n">
        <f aca="false">'Revenue Streams'!L$14+'Revenue Streams'!L$22</f>
        <v>33.6</v>
      </c>
      <c r="M67" s="80" t="n">
        <f aca="false">'Revenue Streams'!M$14+'Revenue Streams'!M$22</f>
        <v>39.6</v>
      </c>
      <c r="N67" s="80" t="n">
        <f aca="false">'Revenue Streams'!N$14+'Revenue Streams'!N$22</f>
        <v>46.8</v>
      </c>
      <c r="O67" s="79" t="n">
        <f aca="false">SUM(P67:AA67)</f>
        <v>5260</v>
      </c>
      <c r="P67" s="80" t="n">
        <f aca="false">'Revenue Streams'!P$14+'Revenue Streams'!P$22</f>
        <v>58.8</v>
      </c>
      <c r="Q67" s="80" t="n">
        <f aca="false">'Revenue Streams'!Q$14+'Revenue Streams'!Q$22</f>
        <v>69.3</v>
      </c>
      <c r="R67" s="80" t="n">
        <f aca="false">'Revenue Streams'!R$14+'Revenue Streams'!R$22</f>
        <v>81.9</v>
      </c>
      <c r="S67" s="80" t="n">
        <f aca="false">'Revenue Streams'!S$14+'Revenue Streams'!S$22</f>
        <v>78.4</v>
      </c>
      <c r="T67" s="80" t="n">
        <f aca="false">'Revenue Streams'!T$14+'Revenue Streams'!T$22</f>
        <v>92.4</v>
      </c>
      <c r="U67" s="80" t="n">
        <f aca="false">'Revenue Streams'!U$14+'Revenue Streams'!U$22</f>
        <v>109.2</v>
      </c>
      <c r="V67" s="80" t="n">
        <f aca="false">'Revenue Streams'!V$14+'Revenue Streams'!V$22</f>
        <v>518</v>
      </c>
      <c r="W67" s="80" t="n">
        <f aca="false">'Revenue Streams'!W$14+'Revenue Streams'!W$22</f>
        <v>610.5</v>
      </c>
      <c r="X67" s="80" t="n">
        <f aca="false">'Revenue Streams'!X$14+'Revenue Streams'!X$22</f>
        <v>721.5</v>
      </c>
      <c r="Y67" s="80" t="n">
        <f aca="false">'Revenue Streams'!Y$14+'Revenue Streams'!Y$22</f>
        <v>817.6</v>
      </c>
      <c r="Z67" s="80" t="n">
        <f aca="false">'Revenue Streams'!Z$14+'Revenue Streams'!Z$22</f>
        <v>963.6</v>
      </c>
      <c r="AA67" s="80" t="n">
        <f aca="false">'Revenue Streams'!AA$14+'Revenue Streams'!AA$22</f>
        <v>1138.8</v>
      </c>
      <c r="AB67" s="79" t="n">
        <f aca="false">SUM(AC67:AN67)</f>
        <v>30720</v>
      </c>
      <c r="AC67" s="80" t="n">
        <f aca="false">'Revenue Streams'!AC$14+'Revenue Streams'!AC$22</f>
        <v>1276.8</v>
      </c>
      <c r="AD67" s="80" t="n">
        <f aca="false">'Revenue Streams'!AD$14+'Revenue Streams'!AD$22</f>
        <v>1504.8</v>
      </c>
      <c r="AE67" s="80" t="n">
        <f aca="false">'Revenue Streams'!AE$14+'Revenue Streams'!AE$22</f>
        <v>1778.4</v>
      </c>
      <c r="AF67" s="80" t="n">
        <f aca="false">'Revenue Streams'!AF$14+'Revenue Streams'!AF$22</f>
        <v>1859.2</v>
      </c>
      <c r="AG67" s="80" t="n">
        <f aca="false">'Revenue Streams'!AG$14+'Revenue Streams'!AG$22</f>
        <v>2191.2</v>
      </c>
      <c r="AH67" s="80" t="n">
        <f aca="false">'Revenue Streams'!AH$14+'Revenue Streams'!AH$22</f>
        <v>2589.6</v>
      </c>
      <c r="AI67" s="80" t="n">
        <f aca="false">'Revenue Streams'!AI$14+'Revenue Streams'!AI$22</f>
        <v>2441.6</v>
      </c>
      <c r="AJ67" s="80" t="n">
        <f aca="false">'Revenue Streams'!AJ$14+'Revenue Streams'!AJ$22</f>
        <v>2877.6</v>
      </c>
      <c r="AK67" s="80" t="n">
        <f aca="false">'Revenue Streams'!AK$14+'Revenue Streams'!AK$22</f>
        <v>3400.8</v>
      </c>
      <c r="AL67" s="80" t="n">
        <f aca="false">'Revenue Streams'!AL$14+'Revenue Streams'!AL$22</f>
        <v>3024</v>
      </c>
      <c r="AM67" s="80" t="n">
        <f aca="false">'Revenue Streams'!AM$14+'Revenue Streams'!AM$22</f>
        <v>3564</v>
      </c>
      <c r="AN67" s="80" t="n">
        <f aca="false">'Revenue Streams'!AN$14+'Revenue Streams'!AN$22</f>
        <v>4212</v>
      </c>
      <c r="AO67" s="79" t="n">
        <f aca="false">SUM(AP67:BA67)</f>
        <v>78250</v>
      </c>
      <c r="AP67" s="80" t="n">
        <f aca="false">'Revenue Streams'!AP$14+'Revenue Streams'!AP$22</f>
        <v>4181.8</v>
      </c>
      <c r="AQ67" s="80" t="n">
        <f aca="false">'Revenue Streams'!AQ$14+'Revenue Streams'!AQ$22</f>
        <v>4928.55</v>
      </c>
      <c r="AR67" s="80" t="n">
        <f aca="false">'Revenue Streams'!AR$14+'Revenue Streams'!AR$22</f>
        <v>5824.65</v>
      </c>
      <c r="AS67" s="80" t="n">
        <f aca="false">'Revenue Streams'!AS$14+'Revenue Streams'!AS$22</f>
        <v>5045.6</v>
      </c>
      <c r="AT67" s="80" t="n">
        <f aca="false">'Revenue Streams'!AT$14+'Revenue Streams'!AT$22</f>
        <v>5946.6</v>
      </c>
      <c r="AU67" s="80" t="n">
        <f aca="false">'Revenue Streams'!AU$14+'Revenue Streams'!AU$22</f>
        <v>7027.8</v>
      </c>
      <c r="AV67" s="80" t="n">
        <f aca="false">'Revenue Streams'!AV$14+'Revenue Streams'!AV$22</f>
        <v>5909.4</v>
      </c>
      <c r="AW67" s="80" t="n">
        <f aca="false">'Revenue Streams'!AW$14+'Revenue Streams'!AW$22</f>
        <v>6964.65</v>
      </c>
      <c r="AX67" s="80" t="n">
        <f aca="false">'Revenue Streams'!AX$14+'Revenue Streams'!AX$22</f>
        <v>8230.95</v>
      </c>
      <c r="AY67" s="80" t="n">
        <f aca="false">'Revenue Streams'!AY$14+'Revenue Streams'!AY$22</f>
        <v>6773.2</v>
      </c>
      <c r="AZ67" s="80" t="n">
        <f aca="false">'Revenue Streams'!AZ$14+'Revenue Streams'!AZ$22</f>
        <v>7982.7</v>
      </c>
      <c r="BA67" s="80" t="n">
        <f aca="false">'Revenue Streams'!BA$14+'Revenue Streams'!BA$22</f>
        <v>9434.1</v>
      </c>
      <c r="BB67" s="79" t="n">
        <f aca="false">SUM(BC67:BN67)</f>
        <v>127940</v>
      </c>
      <c r="BC67" s="80" t="n">
        <f aca="false">'Revenue Streams'!BC$14+'Revenue Streams'!BC$22</f>
        <v>7658</v>
      </c>
      <c r="BD67" s="80" t="n">
        <f aca="false">'Revenue Streams'!BD$14+'Revenue Streams'!BD$22</f>
        <v>9025.5</v>
      </c>
      <c r="BE67" s="80" t="n">
        <f aca="false">'Revenue Streams'!BE$14+'Revenue Streams'!BE$22</f>
        <v>10666.5</v>
      </c>
      <c r="BF67" s="80" t="n">
        <f aca="false">'Revenue Streams'!BF$14+'Revenue Streams'!BF$22</f>
        <v>8523.2</v>
      </c>
      <c r="BG67" s="80" t="n">
        <f aca="false">'Revenue Streams'!BG$14+'Revenue Streams'!BG$22</f>
        <v>10045.2</v>
      </c>
      <c r="BH67" s="80" t="n">
        <f aca="false">'Revenue Streams'!BH$14+'Revenue Streams'!BH$22</f>
        <v>11871.6</v>
      </c>
      <c r="BI67" s="80" t="n">
        <f aca="false">'Revenue Streams'!BI$14+'Revenue Streams'!BI$22</f>
        <v>9388.4</v>
      </c>
      <c r="BJ67" s="80" t="n">
        <f aca="false">'Revenue Streams'!BJ$14+'Revenue Streams'!BJ$22</f>
        <v>11064.9</v>
      </c>
      <c r="BK67" s="80" t="n">
        <f aca="false">'Revenue Streams'!BK$14+'Revenue Streams'!BK$22</f>
        <v>13076.7</v>
      </c>
      <c r="BL67" s="80" t="n">
        <f aca="false">'Revenue Streams'!BL$14+'Revenue Streams'!BL$22</f>
        <v>10253.6</v>
      </c>
      <c r="BM67" s="80" t="n">
        <f aca="false">'Revenue Streams'!BM$14+'Revenue Streams'!BM$22</f>
        <v>12084.6</v>
      </c>
      <c r="BN67" s="80" t="n">
        <f aca="false">'Revenue Streams'!BN$14+'Revenue Streams'!BN$22</f>
        <v>14281.8</v>
      </c>
    </row>
    <row r="68" customFormat="false" ht="15" hidden="false" customHeight="false" outlineLevel="0" collapsed="false">
      <c r="A68" s="12" t="s">
        <v>639</v>
      </c>
      <c r="B68" s="79" t="n">
        <f aca="false">SUM(C68:N68)</f>
        <v>0</v>
      </c>
      <c r="C68" s="80" t="n">
        <f aca="false">'Revenue Streams'!C$16*'Assumption Setting'!$C$78+'Revenue Streams'!C$19*'Assumption Setting'!$C$79</f>
        <v>0</v>
      </c>
      <c r="D68" s="80" t="n">
        <f aca="false">'Revenue Streams'!D$16*'Assumption Setting'!$C$78+'Revenue Streams'!D$19*'Assumption Setting'!$C$79</f>
        <v>0</v>
      </c>
      <c r="E68" s="80" t="n">
        <f aca="false">'Revenue Streams'!E$16*'Assumption Setting'!$C$78+'Revenue Streams'!E$19*'Assumption Setting'!$C$79</f>
        <v>0</v>
      </c>
      <c r="F68" s="80" t="n">
        <f aca="false">'Revenue Streams'!F$16*'Assumption Setting'!$C$78+'Revenue Streams'!F$19*'Assumption Setting'!$C$79</f>
        <v>0</v>
      </c>
      <c r="G68" s="80" t="n">
        <f aca="false">'Revenue Streams'!G$16*'Assumption Setting'!$C$78+'Revenue Streams'!G$19*'Assumption Setting'!$C$79</f>
        <v>0</v>
      </c>
      <c r="H68" s="80" t="n">
        <f aca="false">'Revenue Streams'!H$16*'Assumption Setting'!$C$78+'Revenue Streams'!H$19*'Assumption Setting'!$C$79</f>
        <v>0</v>
      </c>
      <c r="I68" s="80" t="n">
        <f aca="false">'Revenue Streams'!I$16*'Assumption Setting'!$C$78+'Revenue Streams'!I$19*'Assumption Setting'!$C$79</f>
        <v>0</v>
      </c>
      <c r="J68" s="80" t="n">
        <f aca="false">'Revenue Streams'!J$16*'Assumption Setting'!$C$78+'Revenue Streams'!J$19*'Assumption Setting'!$C$79</f>
        <v>0</v>
      </c>
      <c r="K68" s="80" t="n">
        <f aca="false">'Revenue Streams'!K$16*'Assumption Setting'!$C$78+'Revenue Streams'!K$19*'Assumption Setting'!$C$79</f>
        <v>0</v>
      </c>
      <c r="L68" s="80" t="n">
        <f aca="false">'Revenue Streams'!L$16*'Assumption Setting'!$C$78+'Revenue Streams'!L$19*'Assumption Setting'!$C$79</f>
        <v>0</v>
      </c>
      <c r="M68" s="80" t="n">
        <f aca="false">'Revenue Streams'!M$16*'Assumption Setting'!$C$78+'Revenue Streams'!M$19*'Assumption Setting'!$C$79</f>
        <v>0</v>
      </c>
      <c r="N68" s="80" t="n">
        <f aca="false">'Revenue Streams'!N$16*'Assumption Setting'!$C$78+'Revenue Streams'!N$19*'Assumption Setting'!$C$79</f>
        <v>0</v>
      </c>
      <c r="O68" s="79" t="n">
        <f aca="false">SUM(P68:AA68)</f>
        <v>620</v>
      </c>
      <c r="P68" s="80" t="n">
        <f aca="false">'Revenue Streams'!P$16*'Assumption Setting'!$C$78+'Revenue Streams'!P$19*'Assumption Setting'!$C$79</f>
        <v>0</v>
      </c>
      <c r="Q68" s="80" t="n">
        <f aca="false">'Revenue Streams'!Q$16*'Assumption Setting'!$C$78+'Revenue Streams'!Q$19*'Assumption Setting'!$C$79</f>
        <v>0</v>
      </c>
      <c r="R68" s="80" t="n">
        <f aca="false">'Revenue Streams'!R$16*'Assumption Setting'!$C$78+'Revenue Streams'!R$19*'Assumption Setting'!$C$79</f>
        <v>0</v>
      </c>
      <c r="S68" s="80" t="n">
        <f aca="false">'Revenue Streams'!S$16*'Assumption Setting'!$C$78+'Revenue Streams'!S$19*'Assumption Setting'!$C$79</f>
        <v>39.2</v>
      </c>
      <c r="T68" s="80" t="n">
        <f aca="false">'Revenue Streams'!T$16*'Assumption Setting'!$C$78+'Revenue Streams'!T$19*'Assumption Setting'!$C$79</f>
        <v>46.2</v>
      </c>
      <c r="U68" s="80" t="n">
        <f aca="false">'Revenue Streams'!U$16*'Assumption Setting'!$C$78+'Revenue Streams'!U$19*'Assumption Setting'!$C$79</f>
        <v>54.6</v>
      </c>
      <c r="V68" s="80" t="n">
        <f aca="false">'Revenue Streams'!V$16*'Assumption Setting'!$C$78+'Revenue Streams'!V$19*'Assumption Setting'!$C$79</f>
        <v>39.2</v>
      </c>
      <c r="W68" s="80" t="n">
        <f aca="false">'Revenue Streams'!W$16*'Assumption Setting'!$C$78+'Revenue Streams'!W$19*'Assumption Setting'!$C$79</f>
        <v>46.2</v>
      </c>
      <c r="X68" s="80" t="n">
        <f aca="false">'Revenue Streams'!X$16*'Assumption Setting'!$C$78+'Revenue Streams'!X$19*'Assumption Setting'!$C$79</f>
        <v>54.6</v>
      </c>
      <c r="Y68" s="80" t="n">
        <f aca="false">'Revenue Streams'!Y$16*'Assumption Setting'!$C$78+'Revenue Streams'!Y$19*'Assumption Setting'!$C$79</f>
        <v>95.2</v>
      </c>
      <c r="Z68" s="80" t="n">
        <f aca="false">'Revenue Streams'!Z$16*'Assumption Setting'!$C$78+'Revenue Streams'!Z$19*'Assumption Setting'!$C$79</f>
        <v>112.2</v>
      </c>
      <c r="AA68" s="80" t="n">
        <f aca="false">'Revenue Streams'!AA$16*'Assumption Setting'!$C$78+'Revenue Streams'!AA$19*'Assumption Setting'!$C$79</f>
        <v>132.6</v>
      </c>
      <c r="AB68" s="79" t="n">
        <f aca="false">SUM(AC68:AN68)</f>
        <v>2040</v>
      </c>
      <c r="AC68" s="80" t="n">
        <f aca="false">'Revenue Streams'!AC$16*'Assumption Setting'!$C$78+'Revenue Streams'!AC$19*'Assumption Setting'!$C$79</f>
        <v>95.2</v>
      </c>
      <c r="AD68" s="80" t="n">
        <f aca="false">'Revenue Streams'!AD$16*'Assumption Setting'!$C$78+'Revenue Streams'!AD$19*'Assumption Setting'!$C$79</f>
        <v>112.2</v>
      </c>
      <c r="AE68" s="80" t="n">
        <f aca="false">'Revenue Streams'!AE$16*'Assumption Setting'!$C$78+'Revenue Streams'!AE$19*'Assumption Setting'!$C$79</f>
        <v>132.6</v>
      </c>
      <c r="AF68" s="80" t="n">
        <f aca="false">'Revenue Streams'!AF$16*'Assumption Setting'!$C$78+'Revenue Streams'!AF$19*'Assumption Setting'!$C$79</f>
        <v>134.4</v>
      </c>
      <c r="AG68" s="80" t="n">
        <f aca="false">'Revenue Streams'!AG$16*'Assumption Setting'!$C$78+'Revenue Streams'!AG$19*'Assumption Setting'!$C$79</f>
        <v>158.4</v>
      </c>
      <c r="AH68" s="80" t="n">
        <f aca="false">'Revenue Streams'!AH$16*'Assumption Setting'!$C$78+'Revenue Streams'!AH$19*'Assumption Setting'!$C$79</f>
        <v>187.2</v>
      </c>
      <c r="AI68" s="80" t="n">
        <f aca="false">'Revenue Streams'!AI$16*'Assumption Setting'!$C$78+'Revenue Streams'!AI$19*'Assumption Setting'!$C$79</f>
        <v>151.2</v>
      </c>
      <c r="AJ68" s="80" t="n">
        <f aca="false">'Revenue Streams'!AJ$16*'Assumption Setting'!$C$78+'Revenue Streams'!AJ$19*'Assumption Setting'!$C$79</f>
        <v>178.2</v>
      </c>
      <c r="AK68" s="80" t="n">
        <f aca="false">'Revenue Streams'!AK$16*'Assumption Setting'!$C$78+'Revenue Streams'!AK$19*'Assumption Setting'!$C$79</f>
        <v>210.6</v>
      </c>
      <c r="AL68" s="80" t="n">
        <f aca="false">'Revenue Streams'!AL$16*'Assumption Setting'!$C$78+'Revenue Streams'!AL$19*'Assumption Setting'!$C$79</f>
        <v>190.4</v>
      </c>
      <c r="AM68" s="80" t="n">
        <f aca="false">'Revenue Streams'!AM$16*'Assumption Setting'!$C$78+'Revenue Streams'!AM$19*'Assumption Setting'!$C$79</f>
        <v>224.4</v>
      </c>
      <c r="AN68" s="80" t="n">
        <f aca="false">'Revenue Streams'!AN$16*'Assumption Setting'!$C$78+'Revenue Streams'!AN$19*'Assumption Setting'!$C$79</f>
        <v>265.2</v>
      </c>
      <c r="AO68" s="79" t="n">
        <f aca="false">SUM(AP68:BA68)</f>
        <v>3520</v>
      </c>
      <c r="AP68" s="80" t="n">
        <f aca="false">'Revenue Streams'!AP$16*'Assumption Setting'!$C$78+'Revenue Streams'!AP$19*'Assumption Setting'!$C$79</f>
        <v>190.4</v>
      </c>
      <c r="AQ68" s="80" t="n">
        <f aca="false">'Revenue Streams'!AQ$16*'Assumption Setting'!$C$78+'Revenue Streams'!AQ$19*'Assumption Setting'!$C$79</f>
        <v>224.4</v>
      </c>
      <c r="AR68" s="80" t="n">
        <f aca="false">'Revenue Streams'!AR$16*'Assumption Setting'!$C$78+'Revenue Streams'!AR$19*'Assumption Setting'!$C$79</f>
        <v>265.2</v>
      </c>
      <c r="AS68" s="80" t="n">
        <f aca="false">'Revenue Streams'!AS$16*'Assumption Setting'!$C$78+'Revenue Streams'!AS$19*'Assumption Setting'!$C$79</f>
        <v>246.4</v>
      </c>
      <c r="AT68" s="80" t="n">
        <f aca="false">'Revenue Streams'!AT$16*'Assumption Setting'!$C$78+'Revenue Streams'!AT$19*'Assumption Setting'!$C$79</f>
        <v>290.4</v>
      </c>
      <c r="AU68" s="80" t="n">
        <f aca="false">'Revenue Streams'!AU$16*'Assumption Setting'!$C$78+'Revenue Streams'!AU$19*'Assumption Setting'!$C$79</f>
        <v>343.2</v>
      </c>
      <c r="AV68" s="80" t="n">
        <f aca="false">'Revenue Streams'!AV$16*'Assumption Setting'!$C$78+'Revenue Streams'!AV$19*'Assumption Setting'!$C$79</f>
        <v>246.4</v>
      </c>
      <c r="AW68" s="80" t="n">
        <f aca="false">'Revenue Streams'!AW$16*'Assumption Setting'!$C$78+'Revenue Streams'!AW$19*'Assumption Setting'!$C$79</f>
        <v>290.4</v>
      </c>
      <c r="AX68" s="80" t="n">
        <f aca="false">'Revenue Streams'!AX$16*'Assumption Setting'!$C$78+'Revenue Streams'!AX$19*'Assumption Setting'!$C$79</f>
        <v>343.2</v>
      </c>
      <c r="AY68" s="80" t="n">
        <f aca="false">'Revenue Streams'!AY$16*'Assumption Setting'!$C$78+'Revenue Streams'!AY$19*'Assumption Setting'!$C$79</f>
        <v>302.4</v>
      </c>
      <c r="AZ68" s="80" t="n">
        <f aca="false">'Revenue Streams'!AZ$16*'Assumption Setting'!$C$78+'Revenue Streams'!AZ$19*'Assumption Setting'!$C$79</f>
        <v>356.4</v>
      </c>
      <c r="BA68" s="80" t="n">
        <f aca="false">'Revenue Streams'!BA$16*'Assumption Setting'!$C$78+'Revenue Streams'!BA$19*'Assumption Setting'!$C$79</f>
        <v>421.2</v>
      </c>
      <c r="BB68" s="79" t="n">
        <f aca="false">SUM(BC68:BN68)</f>
        <v>5000</v>
      </c>
      <c r="BC68" s="80" t="n">
        <f aca="false">'Revenue Streams'!BC$16*'Assumption Setting'!$C$78+'Revenue Streams'!BC$19*'Assumption Setting'!$C$79</f>
        <v>302.4</v>
      </c>
      <c r="BD68" s="80" t="n">
        <f aca="false">'Revenue Streams'!BD$16*'Assumption Setting'!$C$78+'Revenue Streams'!BD$19*'Assumption Setting'!$C$79</f>
        <v>356.4</v>
      </c>
      <c r="BE68" s="80" t="n">
        <f aca="false">'Revenue Streams'!BE$16*'Assumption Setting'!$C$78+'Revenue Streams'!BE$19*'Assumption Setting'!$C$79</f>
        <v>421.2</v>
      </c>
      <c r="BF68" s="80" t="n">
        <f aca="false">'Revenue Streams'!BF$16*'Assumption Setting'!$C$78+'Revenue Streams'!BF$19*'Assumption Setting'!$C$79</f>
        <v>341.6</v>
      </c>
      <c r="BG68" s="80" t="n">
        <f aca="false">'Revenue Streams'!BG$16*'Assumption Setting'!$C$78+'Revenue Streams'!BG$19*'Assumption Setting'!$C$79</f>
        <v>402.6</v>
      </c>
      <c r="BH68" s="80" t="n">
        <f aca="false">'Revenue Streams'!BH$16*'Assumption Setting'!$C$78+'Revenue Streams'!BH$19*'Assumption Setting'!$C$79</f>
        <v>475.8</v>
      </c>
      <c r="BI68" s="80" t="n">
        <f aca="false">'Revenue Streams'!BI$16*'Assumption Setting'!$C$78+'Revenue Streams'!BI$19*'Assumption Setting'!$C$79</f>
        <v>358.4</v>
      </c>
      <c r="BJ68" s="80" t="n">
        <f aca="false">'Revenue Streams'!BJ$16*'Assumption Setting'!$C$78+'Revenue Streams'!BJ$19*'Assumption Setting'!$C$79</f>
        <v>422.4</v>
      </c>
      <c r="BK68" s="80" t="n">
        <f aca="false">'Revenue Streams'!BK$16*'Assumption Setting'!$C$78+'Revenue Streams'!BK$19*'Assumption Setting'!$C$79</f>
        <v>499.2</v>
      </c>
      <c r="BL68" s="80" t="n">
        <f aca="false">'Revenue Streams'!BL$16*'Assumption Setting'!$C$78+'Revenue Streams'!BL$19*'Assumption Setting'!$C$79</f>
        <v>397.6</v>
      </c>
      <c r="BM68" s="80" t="n">
        <f aca="false">'Revenue Streams'!BM$16*'Assumption Setting'!$C$78+'Revenue Streams'!BM$19*'Assumption Setting'!$C$79</f>
        <v>468.6</v>
      </c>
      <c r="BN68" s="80" t="n">
        <f aca="false">'Revenue Streams'!BN$16*'Assumption Setting'!$C$78+'Revenue Streams'!BN$19*'Assumption Setting'!$C$79</f>
        <v>553.8</v>
      </c>
    </row>
    <row r="69" customFormat="false" ht="15" hidden="false" customHeight="false" outlineLevel="0" collapsed="false">
      <c r="A69" s="18" t="s">
        <v>640</v>
      </c>
      <c r="B69" s="79" t="n">
        <f aca="false">SUM(C69:N69)</f>
        <v>1990</v>
      </c>
      <c r="C69" s="83" t="n">
        <f aca="false">C65+C66+C67+C68</f>
        <v>217</v>
      </c>
      <c r="D69" s="83" t="n">
        <f aca="false">D65+D66+D67+D68</f>
        <v>255.75</v>
      </c>
      <c r="E69" s="83" t="n">
        <f aca="false">E65+E66+E67+E68</f>
        <v>302.25</v>
      </c>
      <c r="F69" s="83" t="n">
        <f aca="false">F65+F66+F67+F68</f>
        <v>37.8</v>
      </c>
      <c r="G69" s="83" t="n">
        <f aca="false">G65+G66+G67+G68</f>
        <v>44.55</v>
      </c>
      <c r="H69" s="83" t="n">
        <f aca="false">H65+H66+H67+H68</f>
        <v>52.65</v>
      </c>
      <c r="I69" s="83" t="n">
        <f aca="false">I65+I66+I67+I68</f>
        <v>44.8</v>
      </c>
      <c r="J69" s="83" t="n">
        <f aca="false">J65+J66+J67+J68</f>
        <v>52.8</v>
      </c>
      <c r="K69" s="83" t="n">
        <f aca="false">K65+K66+K67+K68</f>
        <v>62.4</v>
      </c>
      <c r="L69" s="83" t="n">
        <f aca="false">L65+L66+L67+L68</f>
        <v>257.6</v>
      </c>
      <c r="M69" s="83" t="n">
        <f aca="false">M65+M66+M67+M68</f>
        <v>303.6</v>
      </c>
      <c r="N69" s="83" t="n">
        <f aca="false">N65+N66+N67+N68</f>
        <v>358.8</v>
      </c>
      <c r="O69" s="79" t="n">
        <f aca="false">SUM(P69:AA69)</f>
        <v>10640</v>
      </c>
      <c r="P69" s="83" t="n">
        <f aca="false">P65+P66+P67+P68</f>
        <v>296.8</v>
      </c>
      <c r="Q69" s="83" t="n">
        <f aca="false">Q65+Q66+Q67+Q68</f>
        <v>349.8</v>
      </c>
      <c r="R69" s="83" t="n">
        <f aca="false">R65+R66+R67+R68</f>
        <v>413.4</v>
      </c>
      <c r="S69" s="83" t="n">
        <f aca="false">S65+S66+S67+S68</f>
        <v>386.4</v>
      </c>
      <c r="T69" s="83" t="n">
        <f aca="false">T65+T66+T67+T68</f>
        <v>455.4</v>
      </c>
      <c r="U69" s="83" t="n">
        <f aca="false">U65+U66+U67+U68</f>
        <v>538.2</v>
      </c>
      <c r="V69" s="83" t="n">
        <f aca="false">V65+V66+V67+V68</f>
        <v>856.8</v>
      </c>
      <c r="W69" s="83" t="n">
        <f aca="false">W65+W66+W67+W68</f>
        <v>1009.8</v>
      </c>
      <c r="X69" s="83" t="n">
        <f aca="false">X65+X66+X67+X68</f>
        <v>1193.4</v>
      </c>
      <c r="Y69" s="83" t="n">
        <f aca="false">Y65+Y66+Y67+Y68</f>
        <v>1439.2</v>
      </c>
      <c r="Z69" s="83" t="n">
        <f aca="false">Z65+Z66+Z67+Z68</f>
        <v>1696.2</v>
      </c>
      <c r="AA69" s="83" t="n">
        <f aca="false">AA65+AA66+AA67+AA68</f>
        <v>2004.6</v>
      </c>
      <c r="AB69" s="79" t="n">
        <f aca="false">SUM(AC69:AN69)</f>
        <v>43430</v>
      </c>
      <c r="AC69" s="83" t="n">
        <f aca="false">AC65+AC66+AC67+AC68</f>
        <v>1951.6</v>
      </c>
      <c r="AD69" s="83" t="n">
        <f aca="false">AD65+AD66+AD67+AD68</f>
        <v>2300.1</v>
      </c>
      <c r="AE69" s="83" t="n">
        <f aca="false">AE65+AE66+AE67+AE68</f>
        <v>2718.3</v>
      </c>
      <c r="AF69" s="83" t="n">
        <f aca="false">AF65+AF66+AF67+AF68</f>
        <v>2619.4</v>
      </c>
      <c r="AG69" s="83" t="n">
        <f aca="false">AG65+AG66+AG67+AG68</f>
        <v>3087.15</v>
      </c>
      <c r="AH69" s="83" t="n">
        <f aca="false">AH65+AH66+AH67+AH68</f>
        <v>3648.45</v>
      </c>
      <c r="AI69" s="83" t="n">
        <f aca="false">AI65+AI66+AI67+AI68</f>
        <v>3460.8</v>
      </c>
      <c r="AJ69" s="83" t="n">
        <f aca="false">AJ65+AJ66+AJ67+AJ68</f>
        <v>4078.8</v>
      </c>
      <c r="AK69" s="83" t="n">
        <f aca="false">AK65+AK66+AK67+AK68</f>
        <v>4820.4</v>
      </c>
      <c r="AL69" s="83" t="n">
        <f aca="false">AL65+AL66+AL67+AL68</f>
        <v>4128.6</v>
      </c>
      <c r="AM69" s="83" t="n">
        <f aca="false">AM65+AM66+AM67+AM68</f>
        <v>4865.85</v>
      </c>
      <c r="AN69" s="83" t="n">
        <f aca="false">AN65+AN66+AN67+AN68</f>
        <v>5750.55</v>
      </c>
      <c r="AO69" s="79" t="n">
        <f aca="false">SUM(AP69:BA69)</f>
        <v>99280</v>
      </c>
      <c r="AP69" s="83" t="n">
        <f aca="false">AP65+AP66+AP67+AP68</f>
        <v>5332.6</v>
      </c>
      <c r="AQ69" s="83" t="n">
        <f aca="false">AQ65+AQ66+AQ67+AQ68</f>
        <v>6284.85</v>
      </c>
      <c r="AR69" s="83" t="n">
        <f aca="false">AR65+AR66+AR67+AR68</f>
        <v>7427.55</v>
      </c>
      <c r="AS69" s="83" t="n">
        <f aca="false">AS65+AS66+AS67+AS68</f>
        <v>6494.6</v>
      </c>
      <c r="AT69" s="83" t="n">
        <f aca="false">AT65+AT66+AT67+AT68</f>
        <v>7654.35</v>
      </c>
      <c r="AU69" s="83" t="n">
        <f aca="false">AU65+AU66+AU67+AU68</f>
        <v>9046.05</v>
      </c>
      <c r="AV69" s="83" t="n">
        <f aca="false">AV65+AV66+AV67+AV68</f>
        <v>7404.6</v>
      </c>
      <c r="AW69" s="83" t="n">
        <f aca="false">AW65+AW66+AW67+AW68</f>
        <v>8726.85</v>
      </c>
      <c r="AX69" s="83" t="n">
        <f aca="false">AX65+AX66+AX67+AX68</f>
        <v>10313.55</v>
      </c>
      <c r="AY69" s="83" t="n">
        <f aca="false">AY65+AY66+AY67+AY68</f>
        <v>8566.6</v>
      </c>
      <c r="AZ69" s="83" t="n">
        <f aca="false">AZ65+AZ66+AZ67+AZ68</f>
        <v>10096.35</v>
      </c>
      <c r="BA69" s="83" t="n">
        <f aca="false">BA65+BA66+BA67+BA68</f>
        <v>11932.05</v>
      </c>
      <c r="BB69" s="79" t="n">
        <f aca="false">SUM(BC69:BN69)</f>
        <v>157290</v>
      </c>
      <c r="BC69" s="83" t="n">
        <f aca="false">BC65+BC66+BC67+BC68</f>
        <v>9497.6</v>
      </c>
      <c r="BD69" s="83" t="n">
        <f aca="false">BD65+BD66+BD67+BD68</f>
        <v>11193.6</v>
      </c>
      <c r="BE69" s="83" t="n">
        <f aca="false">BE65+BE66+BE67+BE68</f>
        <v>13228.8</v>
      </c>
      <c r="BF69" s="83" t="n">
        <f aca="false">BF65+BF66+BF67+BF68</f>
        <v>10448.2</v>
      </c>
      <c r="BG69" s="83" t="n">
        <f aca="false">BG65+BG66+BG67+BG68</f>
        <v>12313.95</v>
      </c>
      <c r="BH69" s="83" t="n">
        <f aca="false">BH65+BH66+BH67+BH68</f>
        <v>14552.85</v>
      </c>
      <c r="BI69" s="83" t="n">
        <f aca="false">BI65+BI66+BI67+BI68</f>
        <v>11572.4</v>
      </c>
      <c r="BJ69" s="83" t="n">
        <f aca="false">BJ65+BJ66+BJ67+BJ68</f>
        <v>13638.9</v>
      </c>
      <c r="BK69" s="83" t="n">
        <f aca="false">BK65+BK66+BK67+BK68</f>
        <v>16118.7</v>
      </c>
      <c r="BL69" s="83" t="n">
        <f aca="false">BL65+BL66+BL67+BL68</f>
        <v>12523</v>
      </c>
      <c r="BM69" s="83" t="n">
        <f aca="false">BM65+BM66+BM67+BM68</f>
        <v>14759.25</v>
      </c>
      <c r="BN69" s="83" t="n">
        <f aca="false">BN65+BN66+BN67+BN68</f>
        <v>17442.75</v>
      </c>
    </row>
    <row r="70" customFormat="false" ht="15" hidden="false" customHeight="false" outlineLevel="0" collapsed="false">
      <c r="A70" s="18" t="s">
        <v>641</v>
      </c>
      <c r="B70" s="79" t="n">
        <f aca="false">SUM(C70:N70)</f>
        <v>2115.80590909091</v>
      </c>
      <c r="C70" s="83" t="n">
        <f aca="false">C33*'Assumption Setting'!$C$92</f>
        <v>176.317159090909</v>
      </c>
      <c r="D70" s="83" t="n">
        <f aca="false">D33*'Assumption Setting'!$C$92</f>
        <v>176.317159090909</v>
      </c>
      <c r="E70" s="83" t="n">
        <f aca="false">E33*'Assumption Setting'!$C$92</f>
        <v>176.317159090909</v>
      </c>
      <c r="F70" s="83" t="n">
        <f aca="false">F33*'Assumption Setting'!$C$92</f>
        <v>176.317159090909</v>
      </c>
      <c r="G70" s="83" t="n">
        <f aca="false">G33*'Assumption Setting'!$C$92</f>
        <v>176.317159090909</v>
      </c>
      <c r="H70" s="83" t="n">
        <f aca="false">H33*'Assumption Setting'!$C$92</f>
        <v>176.317159090909</v>
      </c>
      <c r="I70" s="83" t="n">
        <f aca="false">I33*'Assumption Setting'!$C$92</f>
        <v>176.317159090909</v>
      </c>
      <c r="J70" s="83" t="n">
        <f aca="false">J33*'Assumption Setting'!$C$92</f>
        <v>176.317159090909</v>
      </c>
      <c r="K70" s="83" t="n">
        <f aca="false">K33*'Assumption Setting'!$C$92</f>
        <v>176.317159090909</v>
      </c>
      <c r="L70" s="83" t="n">
        <f aca="false">L33*'Assumption Setting'!$C$92</f>
        <v>176.317159090909</v>
      </c>
      <c r="M70" s="83" t="n">
        <f aca="false">M33*'Assumption Setting'!$C$92</f>
        <v>176.317159090909</v>
      </c>
      <c r="N70" s="83" t="n">
        <f aca="false">N33*'Assumption Setting'!$C$92</f>
        <v>176.317159090909</v>
      </c>
      <c r="O70" s="79" t="n">
        <f aca="false">SUM(P70:AA70)</f>
        <v>11796.3454545455</v>
      </c>
      <c r="P70" s="83" t="n">
        <f aca="false">P33*'Assumption Setting'!$D$92</f>
        <v>983.028787878788</v>
      </c>
      <c r="Q70" s="83" t="n">
        <f aca="false">Q33*'Assumption Setting'!$D$92</f>
        <v>983.028787878788</v>
      </c>
      <c r="R70" s="83" t="n">
        <f aca="false">R33*'Assumption Setting'!$D$92</f>
        <v>983.028787878788</v>
      </c>
      <c r="S70" s="83" t="n">
        <f aca="false">S33*'Assumption Setting'!$D$92</f>
        <v>983.028787878788</v>
      </c>
      <c r="T70" s="83" t="n">
        <f aca="false">T33*'Assumption Setting'!$D$92</f>
        <v>983.028787878788</v>
      </c>
      <c r="U70" s="83" t="n">
        <f aca="false">U33*'Assumption Setting'!$D$92</f>
        <v>983.028787878788</v>
      </c>
      <c r="V70" s="83" t="n">
        <f aca="false">V33*'Assumption Setting'!$D$92</f>
        <v>983.028787878788</v>
      </c>
      <c r="W70" s="83" t="n">
        <f aca="false">W33*'Assumption Setting'!$D$92</f>
        <v>983.028787878788</v>
      </c>
      <c r="X70" s="83" t="n">
        <f aca="false">X33*'Assumption Setting'!$D$92</f>
        <v>983.028787878788</v>
      </c>
      <c r="Y70" s="83" t="n">
        <f aca="false">Y33*'Assumption Setting'!$D$92</f>
        <v>983.028787878788</v>
      </c>
      <c r="Z70" s="83" t="n">
        <f aca="false">Z33*'Assumption Setting'!$D$92</f>
        <v>983.028787878788</v>
      </c>
      <c r="AA70" s="83" t="n">
        <f aca="false">AA33*'Assumption Setting'!$D$92</f>
        <v>983.028787878788</v>
      </c>
      <c r="AB70" s="79" t="n">
        <f aca="false">SUM(AC70:AN70)</f>
        <v>29292.4063636364</v>
      </c>
      <c r="AC70" s="83" t="n">
        <f aca="false">AC33*'Assumption Setting'!$E$92</f>
        <v>2441.03386363636</v>
      </c>
      <c r="AD70" s="83" t="n">
        <f aca="false">AD33*'Assumption Setting'!$E$92</f>
        <v>2441.03386363636</v>
      </c>
      <c r="AE70" s="83" t="n">
        <f aca="false">AE33*'Assumption Setting'!$E$92</f>
        <v>2441.03386363636</v>
      </c>
      <c r="AF70" s="83" t="n">
        <f aca="false">AF33*'Assumption Setting'!$E$92</f>
        <v>2441.03386363636</v>
      </c>
      <c r="AG70" s="83" t="n">
        <f aca="false">AG33*'Assumption Setting'!$E$92</f>
        <v>2441.03386363636</v>
      </c>
      <c r="AH70" s="83" t="n">
        <f aca="false">AH33*'Assumption Setting'!$E$92</f>
        <v>2441.03386363636</v>
      </c>
      <c r="AI70" s="83" t="n">
        <f aca="false">AI33*'Assumption Setting'!$E$92</f>
        <v>2441.03386363636</v>
      </c>
      <c r="AJ70" s="83" t="n">
        <f aca="false">AJ33*'Assumption Setting'!$E$92</f>
        <v>2441.03386363636</v>
      </c>
      <c r="AK70" s="83" t="n">
        <f aca="false">AK33*'Assumption Setting'!$E$92</f>
        <v>2441.03386363636</v>
      </c>
      <c r="AL70" s="83" t="n">
        <f aca="false">AL33*'Assumption Setting'!$E$92</f>
        <v>2441.03386363636</v>
      </c>
      <c r="AM70" s="83" t="n">
        <f aca="false">AM33*'Assumption Setting'!$E$92</f>
        <v>2441.03386363636</v>
      </c>
      <c r="AN70" s="83" t="n">
        <f aca="false">AN33*'Assumption Setting'!$E$92</f>
        <v>2441.03386363636</v>
      </c>
      <c r="AO70" s="79" t="n">
        <f aca="false">SUM(AP70:BA70)</f>
        <v>50116.9284848485</v>
      </c>
      <c r="AP70" s="83" t="n">
        <f aca="false">AP33*'Assumption Setting'!$F$92</f>
        <v>4176.41070707071</v>
      </c>
      <c r="AQ70" s="83" t="n">
        <f aca="false">AQ33*'Assumption Setting'!$F$92</f>
        <v>4176.41070707071</v>
      </c>
      <c r="AR70" s="83" t="n">
        <f aca="false">AR33*'Assumption Setting'!$F$92</f>
        <v>4176.41070707071</v>
      </c>
      <c r="AS70" s="83" t="n">
        <f aca="false">AS33*'Assumption Setting'!$F$92</f>
        <v>4176.41070707071</v>
      </c>
      <c r="AT70" s="83" t="n">
        <f aca="false">AT33*'Assumption Setting'!$F$92</f>
        <v>4176.41070707071</v>
      </c>
      <c r="AU70" s="83" t="n">
        <f aca="false">AU33*'Assumption Setting'!$F$92</f>
        <v>4176.41070707071</v>
      </c>
      <c r="AV70" s="83" t="n">
        <f aca="false">AV33*'Assumption Setting'!$F$92</f>
        <v>4176.41070707071</v>
      </c>
      <c r="AW70" s="83" t="n">
        <f aca="false">AW33*'Assumption Setting'!$F$92</f>
        <v>4176.41070707071</v>
      </c>
      <c r="AX70" s="83" t="n">
        <f aca="false">AX33*'Assumption Setting'!$F$92</f>
        <v>4176.41070707071</v>
      </c>
      <c r="AY70" s="83" t="n">
        <f aca="false">AY33*'Assumption Setting'!$F$92</f>
        <v>4176.41070707071</v>
      </c>
      <c r="AZ70" s="83" t="n">
        <f aca="false">AZ33*'Assumption Setting'!$F$92</f>
        <v>4176.41070707071</v>
      </c>
      <c r="BA70" s="83" t="n">
        <f aca="false">BA33*'Assumption Setting'!$F$92</f>
        <v>4176.41070707071</v>
      </c>
      <c r="BB70" s="79" t="n">
        <f aca="false">SUM(BC70:BN70)</f>
        <v>73985.5291666667</v>
      </c>
      <c r="BC70" s="83" t="n">
        <f aca="false">BC33*'Assumption Setting'!$G$92</f>
        <v>6165.46076388889</v>
      </c>
      <c r="BD70" s="83" t="n">
        <f aca="false">BD33*'Assumption Setting'!$G$92</f>
        <v>6165.46076388889</v>
      </c>
      <c r="BE70" s="83" t="n">
        <f aca="false">BE33*'Assumption Setting'!$G$92</f>
        <v>6165.46076388889</v>
      </c>
      <c r="BF70" s="83" t="n">
        <f aca="false">BF33*'Assumption Setting'!$G$92</f>
        <v>6165.46076388889</v>
      </c>
      <c r="BG70" s="83" t="n">
        <f aca="false">BG33*'Assumption Setting'!$G$92</f>
        <v>6165.46076388889</v>
      </c>
      <c r="BH70" s="83" t="n">
        <f aca="false">BH33*'Assumption Setting'!$G$92</f>
        <v>6165.46076388889</v>
      </c>
      <c r="BI70" s="83" t="n">
        <f aca="false">BI33*'Assumption Setting'!$G$92</f>
        <v>6165.46076388889</v>
      </c>
      <c r="BJ70" s="83" t="n">
        <f aca="false">BJ33*'Assumption Setting'!$G$92</f>
        <v>6165.46076388889</v>
      </c>
      <c r="BK70" s="83" t="n">
        <f aca="false">BK33*'Assumption Setting'!$G$92</f>
        <v>6165.46076388889</v>
      </c>
      <c r="BL70" s="83" t="n">
        <f aca="false">BL33*'Assumption Setting'!$G$92</f>
        <v>6165.46076388889</v>
      </c>
      <c r="BM70" s="83" t="n">
        <f aca="false">BM33*'Assumption Setting'!$G$92</f>
        <v>6165.46076388889</v>
      </c>
      <c r="BN70" s="83" t="n">
        <f aca="false">BN33*'Assumption Setting'!$G$92</f>
        <v>6165.46076388889</v>
      </c>
    </row>
    <row r="71" customFormat="false" ht="15" hidden="false" customHeight="false" outlineLevel="0" collapsed="false">
      <c r="A71" s="18" t="s">
        <v>642</v>
      </c>
      <c r="B71" s="79" t="n">
        <f aca="false">SUM(C71:N71)</f>
        <v>722.25</v>
      </c>
      <c r="C71" s="83" t="n">
        <f aca="false">C59*'Assumption Setting'!$C$92</f>
        <v>60.1875</v>
      </c>
      <c r="D71" s="83" t="n">
        <f aca="false">D59*'Assumption Setting'!$C$92</f>
        <v>60.1875</v>
      </c>
      <c r="E71" s="83" t="n">
        <f aca="false">E59*'Assumption Setting'!$C$92</f>
        <v>60.1875</v>
      </c>
      <c r="F71" s="83" t="n">
        <f aca="false">F59*'Assumption Setting'!$C$92</f>
        <v>60.1875</v>
      </c>
      <c r="G71" s="83" t="n">
        <f aca="false">G59*'Assumption Setting'!$C$92</f>
        <v>60.1875</v>
      </c>
      <c r="H71" s="83" t="n">
        <f aca="false">H59*'Assumption Setting'!$C$92</f>
        <v>60.1875</v>
      </c>
      <c r="I71" s="83" t="n">
        <f aca="false">I59*'Assumption Setting'!$C$92</f>
        <v>60.1875</v>
      </c>
      <c r="J71" s="83" t="n">
        <f aca="false">J59*'Assumption Setting'!$C$92</f>
        <v>60.1875</v>
      </c>
      <c r="K71" s="83" t="n">
        <f aca="false">K59*'Assumption Setting'!$C$92</f>
        <v>60.1875</v>
      </c>
      <c r="L71" s="83" t="n">
        <f aca="false">L59*'Assumption Setting'!$C$92</f>
        <v>60.1875</v>
      </c>
      <c r="M71" s="83" t="n">
        <f aca="false">M59*'Assumption Setting'!$C$92</f>
        <v>60.1875</v>
      </c>
      <c r="N71" s="83" t="n">
        <f aca="false">N59*'Assumption Setting'!$C$92</f>
        <v>60.1875</v>
      </c>
      <c r="O71" s="79" t="n">
        <f aca="false">SUM(P71:AA71)</f>
        <v>3240</v>
      </c>
      <c r="P71" s="83" t="n">
        <f aca="false">P59*'Assumption Setting'!$D$92</f>
        <v>270</v>
      </c>
      <c r="Q71" s="83" t="n">
        <f aca="false">Q59*'Assumption Setting'!$D$92</f>
        <v>270</v>
      </c>
      <c r="R71" s="83" t="n">
        <f aca="false">R59*'Assumption Setting'!$D$92</f>
        <v>270</v>
      </c>
      <c r="S71" s="83" t="n">
        <f aca="false">S59*'Assumption Setting'!$D$92</f>
        <v>270</v>
      </c>
      <c r="T71" s="83" t="n">
        <f aca="false">T59*'Assumption Setting'!$D$92</f>
        <v>270</v>
      </c>
      <c r="U71" s="83" t="n">
        <f aca="false">U59*'Assumption Setting'!$D$92</f>
        <v>270</v>
      </c>
      <c r="V71" s="83" t="n">
        <f aca="false">V59*'Assumption Setting'!$D$92</f>
        <v>270</v>
      </c>
      <c r="W71" s="83" t="n">
        <f aca="false">W59*'Assumption Setting'!$D$92</f>
        <v>270</v>
      </c>
      <c r="X71" s="83" t="n">
        <f aca="false">X59*'Assumption Setting'!$D$92</f>
        <v>270</v>
      </c>
      <c r="Y71" s="83" t="n">
        <f aca="false">Y59*'Assumption Setting'!$D$92</f>
        <v>270</v>
      </c>
      <c r="Z71" s="83" t="n">
        <f aca="false">Z59*'Assumption Setting'!$D$92</f>
        <v>270</v>
      </c>
      <c r="AA71" s="83" t="n">
        <f aca="false">AA59*'Assumption Setting'!$D$92</f>
        <v>270</v>
      </c>
      <c r="AB71" s="79" t="n">
        <f aca="false">SUM(AC71:AN71)</f>
        <v>6689.16</v>
      </c>
      <c r="AC71" s="83" t="n">
        <f aca="false">AC59*'Assumption Setting'!$E$92</f>
        <v>557.43</v>
      </c>
      <c r="AD71" s="83" t="n">
        <f aca="false">AD59*'Assumption Setting'!$E$92</f>
        <v>557.43</v>
      </c>
      <c r="AE71" s="83" t="n">
        <f aca="false">AE59*'Assumption Setting'!$E$92</f>
        <v>557.43</v>
      </c>
      <c r="AF71" s="83" t="n">
        <f aca="false">AF59*'Assumption Setting'!$E$92</f>
        <v>557.43</v>
      </c>
      <c r="AG71" s="83" t="n">
        <f aca="false">AG59*'Assumption Setting'!$E$92</f>
        <v>557.43</v>
      </c>
      <c r="AH71" s="83" t="n">
        <f aca="false">AH59*'Assumption Setting'!$E$92</f>
        <v>557.43</v>
      </c>
      <c r="AI71" s="83" t="n">
        <f aca="false">AI59*'Assumption Setting'!$E$92</f>
        <v>557.43</v>
      </c>
      <c r="AJ71" s="83" t="n">
        <f aca="false">AJ59*'Assumption Setting'!$E$92</f>
        <v>557.43</v>
      </c>
      <c r="AK71" s="83" t="n">
        <f aca="false">AK59*'Assumption Setting'!$E$92</f>
        <v>557.43</v>
      </c>
      <c r="AL71" s="83" t="n">
        <f aca="false">AL59*'Assumption Setting'!$E$92</f>
        <v>557.43</v>
      </c>
      <c r="AM71" s="83" t="n">
        <f aca="false">AM59*'Assumption Setting'!$E$92</f>
        <v>557.43</v>
      </c>
      <c r="AN71" s="83" t="n">
        <f aca="false">AN59*'Assumption Setting'!$E$92</f>
        <v>557.43</v>
      </c>
      <c r="AO71" s="79" t="n">
        <f aca="false">SUM(AP71:BA71)</f>
        <v>9816.66</v>
      </c>
      <c r="AP71" s="83" t="n">
        <f aca="false">AP59*'Assumption Setting'!$F$92</f>
        <v>818.055</v>
      </c>
      <c r="AQ71" s="83" t="n">
        <f aca="false">AQ59*'Assumption Setting'!$F$92</f>
        <v>818.055</v>
      </c>
      <c r="AR71" s="83" t="n">
        <f aca="false">AR59*'Assumption Setting'!$F$92</f>
        <v>818.055</v>
      </c>
      <c r="AS71" s="83" t="n">
        <f aca="false">AS59*'Assumption Setting'!$F$92</f>
        <v>818.055</v>
      </c>
      <c r="AT71" s="83" t="n">
        <f aca="false">AT59*'Assumption Setting'!$F$92</f>
        <v>818.055</v>
      </c>
      <c r="AU71" s="83" t="n">
        <f aca="false">AU59*'Assumption Setting'!$F$92</f>
        <v>818.055</v>
      </c>
      <c r="AV71" s="83" t="n">
        <f aca="false">AV59*'Assumption Setting'!$F$92</f>
        <v>818.055</v>
      </c>
      <c r="AW71" s="83" t="n">
        <f aca="false">AW59*'Assumption Setting'!$F$92</f>
        <v>818.055</v>
      </c>
      <c r="AX71" s="83" t="n">
        <f aca="false">AX59*'Assumption Setting'!$F$92</f>
        <v>818.055</v>
      </c>
      <c r="AY71" s="83" t="n">
        <f aca="false">AY59*'Assumption Setting'!$F$92</f>
        <v>818.055</v>
      </c>
      <c r="AZ71" s="83" t="n">
        <f aca="false">AZ59*'Assumption Setting'!$F$92</f>
        <v>818.055</v>
      </c>
      <c r="BA71" s="83" t="n">
        <f aca="false">BA59*'Assumption Setting'!$F$92</f>
        <v>818.055</v>
      </c>
      <c r="BB71" s="79" t="n">
        <f aca="false">SUM(BC71:BN71)</f>
        <v>13160.4</v>
      </c>
      <c r="BC71" s="83" t="n">
        <f aca="false">BC59*'Assumption Setting'!$G$92</f>
        <v>1096.7</v>
      </c>
      <c r="BD71" s="83" t="n">
        <f aca="false">BD59*'Assumption Setting'!$G$92</f>
        <v>1096.7</v>
      </c>
      <c r="BE71" s="83" t="n">
        <f aca="false">BE59*'Assumption Setting'!$G$92</f>
        <v>1096.7</v>
      </c>
      <c r="BF71" s="83" t="n">
        <f aca="false">BF59*'Assumption Setting'!$G$92</f>
        <v>1096.7</v>
      </c>
      <c r="BG71" s="83" t="n">
        <f aca="false">BG59*'Assumption Setting'!$G$92</f>
        <v>1096.7</v>
      </c>
      <c r="BH71" s="83" t="n">
        <f aca="false">BH59*'Assumption Setting'!$G$92</f>
        <v>1096.7</v>
      </c>
      <c r="BI71" s="83" t="n">
        <f aca="false">BI59*'Assumption Setting'!$G$92</f>
        <v>1096.7</v>
      </c>
      <c r="BJ71" s="83" t="n">
        <f aca="false">BJ59*'Assumption Setting'!$G$92</f>
        <v>1096.7</v>
      </c>
      <c r="BK71" s="83" t="n">
        <f aca="false">BK59*'Assumption Setting'!$G$92</f>
        <v>1096.7</v>
      </c>
      <c r="BL71" s="83" t="n">
        <f aca="false">BL59*'Assumption Setting'!$G$92</f>
        <v>1096.7</v>
      </c>
      <c r="BM71" s="83" t="n">
        <f aca="false">BM59*'Assumption Setting'!$G$92</f>
        <v>1096.7</v>
      </c>
      <c r="BN71" s="83" t="n">
        <f aca="false">BN59*'Assumption Setting'!$G$92</f>
        <v>1096.7</v>
      </c>
    </row>
    <row r="72" customFormat="false" ht="15" hidden="false" customHeight="false" outlineLevel="0" collapsed="false">
      <c r="A72" s="70" t="s">
        <v>643</v>
      </c>
      <c r="B72" s="79" t="n">
        <f aca="false">SUM(C72:N72)</f>
        <v>4828.05590909091</v>
      </c>
      <c r="C72" s="87" t="n">
        <f aca="false">C69+C70+C71</f>
        <v>453.504659090909</v>
      </c>
      <c r="D72" s="87" t="n">
        <f aca="false">D69+D70+D71</f>
        <v>492.254659090909</v>
      </c>
      <c r="E72" s="87" t="n">
        <f aca="false">E69+E70+E71</f>
        <v>538.754659090909</v>
      </c>
      <c r="F72" s="87" t="n">
        <f aca="false">F69+F70+F71</f>
        <v>274.304659090909</v>
      </c>
      <c r="G72" s="87" t="n">
        <f aca="false">G69+G70+G71</f>
        <v>281.054659090909</v>
      </c>
      <c r="H72" s="87" t="n">
        <f aca="false">H69+H70+H71</f>
        <v>289.154659090909</v>
      </c>
      <c r="I72" s="87" t="n">
        <f aca="false">I69+I70+I71</f>
        <v>281.304659090909</v>
      </c>
      <c r="J72" s="87" t="n">
        <f aca="false">J69+J70+J71</f>
        <v>289.304659090909</v>
      </c>
      <c r="K72" s="87" t="n">
        <f aca="false">K69+K70+K71</f>
        <v>298.904659090909</v>
      </c>
      <c r="L72" s="87" t="n">
        <f aca="false">L69+L70+L71</f>
        <v>494.104659090909</v>
      </c>
      <c r="M72" s="87" t="n">
        <f aca="false">M69+M70+M71</f>
        <v>540.104659090909</v>
      </c>
      <c r="N72" s="87" t="n">
        <f aca="false">N69+N70+N71</f>
        <v>595.304659090909</v>
      </c>
      <c r="O72" s="79" t="n">
        <f aca="false">SUM(P72:AA72)</f>
        <v>25676.3454545455</v>
      </c>
      <c r="P72" s="87" t="n">
        <f aca="false">P69+P70+P71</f>
        <v>1549.82878787879</v>
      </c>
      <c r="Q72" s="87" t="n">
        <f aca="false">Q69+Q70+Q71</f>
        <v>1602.82878787879</v>
      </c>
      <c r="R72" s="87" t="n">
        <f aca="false">R69+R70+R71</f>
        <v>1666.42878787879</v>
      </c>
      <c r="S72" s="87" t="n">
        <f aca="false">S69+S70+S71</f>
        <v>1639.42878787879</v>
      </c>
      <c r="T72" s="87" t="n">
        <f aca="false">T69+T70+T71</f>
        <v>1708.42878787879</v>
      </c>
      <c r="U72" s="87" t="n">
        <f aca="false">U69+U70+U71</f>
        <v>1791.22878787879</v>
      </c>
      <c r="V72" s="87" t="n">
        <f aca="false">V69+V70+V71</f>
        <v>2109.82878787879</v>
      </c>
      <c r="W72" s="87" t="n">
        <f aca="false">W69+W70+W71</f>
        <v>2262.82878787879</v>
      </c>
      <c r="X72" s="87" t="n">
        <f aca="false">X69+X70+X71</f>
        <v>2446.42878787879</v>
      </c>
      <c r="Y72" s="87" t="n">
        <f aca="false">Y69+Y70+Y71</f>
        <v>2692.22878787879</v>
      </c>
      <c r="Z72" s="87" t="n">
        <f aca="false">Z69+Z70+Z71</f>
        <v>2949.22878787879</v>
      </c>
      <c r="AA72" s="87" t="n">
        <f aca="false">AA69+AA70+AA71</f>
        <v>3257.62878787879</v>
      </c>
      <c r="AB72" s="79" t="n">
        <f aca="false">SUM(AC72:AN72)</f>
        <v>79411.5663636364</v>
      </c>
      <c r="AC72" s="87" t="n">
        <f aca="false">AC69+AC70+AC71</f>
        <v>4950.06386363636</v>
      </c>
      <c r="AD72" s="87" t="n">
        <f aca="false">AD69+AD70+AD71</f>
        <v>5298.56386363636</v>
      </c>
      <c r="AE72" s="87" t="n">
        <f aca="false">AE69+AE70+AE71</f>
        <v>5716.76386363636</v>
      </c>
      <c r="AF72" s="87" t="n">
        <f aca="false">AF69+AF70+AF71</f>
        <v>5617.86386363637</v>
      </c>
      <c r="AG72" s="87" t="n">
        <f aca="false">AG69+AG70+AG71</f>
        <v>6085.61386363636</v>
      </c>
      <c r="AH72" s="87" t="n">
        <f aca="false">AH69+AH70+AH71</f>
        <v>6646.91386363636</v>
      </c>
      <c r="AI72" s="87" t="n">
        <f aca="false">AI69+AI70+AI71</f>
        <v>6459.26386363636</v>
      </c>
      <c r="AJ72" s="87" t="n">
        <f aca="false">AJ69+AJ70+AJ71</f>
        <v>7077.26386363636</v>
      </c>
      <c r="AK72" s="87" t="n">
        <f aca="false">AK69+AK70+AK71</f>
        <v>7818.86386363637</v>
      </c>
      <c r="AL72" s="87" t="n">
        <f aca="false">AL69+AL70+AL71</f>
        <v>7127.06386363636</v>
      </c>
      <c r="AM72" s="87" t="n">
        <f aca="false">AM69+AM70+AM71</f>
        <v>7864.31386363636</v>
      </c>
      <c r="AN72" s="87" t="n">
        <f aca="false">AN69+AN70+AN71</f>
        <v>8749.01386363636</v>
      </c>
      <c r="AO72" s="79" t="n">
        <f aca="false">SUM(AP72:BA72)</f>
        <v>159213.588484849</v>
      </c>
      <c r="AP72" s="87" t="n">
        <f aca="false">AP69+AP70+AP71</f>
        <v>10327.0657070707</v>
      </c>
      <c r="AQ72" s="87" t="n">
        <f aca="false">AQ69+AQ70+AQ71</f>
        <v>11279.3157070707</v>
      </c>
      <c r="AR72" s="87" t="n">
        <f aca="false">AR69+AR70+AR71</f>
        <v>12422.0157070707</v>
      </c>
      <c r="AS72" s="87" t="n">
        <f aca="false">AS69+AS70+AS71</f>
        <v>11489.0657070707</v>
      </c>
      <c r="AT72" s="87" t="n">
        <f aca="false">AT69+AT70+AT71</f>
        <v>12648.8157070707</v>
      </c>
      <c r="AU72" s="87" t="n">
        <f aca="false">AU69+AU70+AU71</f>
        <v>14040.5157070707</v>
      </c>
      <c r="AV72" s="87" t="n">
        <f aca="false">AV69+AV70+AV71</f>
        <v>12399.0657070707</v>
      </c>
      <c r="AW72" s="87" t="n">
        <f aca="false">AW69+AW70+AW71</f>
        <v>13721.3157070707</v>
      </c>
      <c r="AX72" s="87" t="n">
        <f aca="false">AX69+AX70+AX71</f>
        <v>15308.0157070707</v>
      </c>
      <c r="AY72" s="87" t="n">
        <f aca="false">AY69+AY70+AY71</f>
        <v>13561.0657070707</v>
      </c>
      <c r="AZ72" s="87" t="n">
        <f aca="false">AZ69+AZ70+AZ71</f>
        <v>15090.8157070707</v>
      </c>
      <c r="BA72" s="87" t="n">
        <f aca="false">BA69+BA70+BA71</f>
        <v>16926.5157070707</v>
      </c>
      <c r="BB72" s="79" t="n">
        <f aca="false">SUM(BC72:BN72)</f>
        <v>244435.929166667</v>
      </c>
      <c r="BC72" s="87" t="n">
        <f aca="false">BC69+BC70+BC71</f>
        <v>16759.7607638889</v>
      </c>
      <c r="BD72" s="87" t="n">
        <f aca="false">BD69+BD70+BD71</f>
        <v>18455.7607638889</v>
      </c>
      <c r="BE72" s="87" t="n">
        <f aca="false">BE69+BE70+BE71</f>
        <v>20490.9607638889</v>
      </c>
      <c r="BF72" s="87" t="n">
        <f aca="false">BF69+BF70+BF71</f>
        <v>17710.3607638889</v>
      </c>
      <c r="BG72" s="87" t="n">
        <f aca="false">BG69+BG70+BG71</f>
        <v>19576.1107638889</v>
      </c>
      <c r="BH72" s="87" t="n">
        <f aca="false">BH69+BH70+BH71</f>
        <v>21815.0107638889</v>
      </c>
      <c r="BI72" s="87" t="n">
        <f aca="false">BI69+BI70+BI71</f>
        <v>18834.5607638889</v>
      </c>
      <c r="BJ72" s="87" t="n">
        <f aca="false">BJ69+BJ70+BJ71</f>
        <v>20901.0607638889</v>
      </c>
      <c r="BK72" s="87" t="n">
        <f aca="false">BK69+BK70+BK71</f>
        <v>23380.8607638889</v>
      </c>
      <c r="BL72" s="87" t="n">
        <f aca="false">BL69+BL70+BL71</f>
        <v>19785.1607638889</v>
      </c>
      <c r="BM72" s="87" t="n">
        <f aca="false">BM69+BM70+BM71</f>
        <v>22021.4107638889</v>
      </c>
      <c r="BN72" s="87" t="n">
        <f aca="false">BN69+BN70+BN71</f>
        <v>24704.9107638889</v>
      </c>
    </row>
    <row r="73" customFormat="false" ht="15" hidden="false" customHeight="false" outlineLevel="0" collapsed="false">
      <c r="A73" s="18" t="s">
        <v>644</v>
      </c>
      <c r="B73" s="79" t="n">
        <f aca="false">N73</f>
        <v>5128.05590909091</v>
      </c>
      <c r="C73" s="83" t="n">
        <f aca="false">'Assumption Setting'!$C$14+C72</f>
        <v>753.504659090909</v>
      </c>
      <c r="D73" s="83" t="n">
        <f aca="false">C73+D72</f>
        <v>1245.75931818182</v>
      </c>
      <c r="E73" s="83" t="n">
        <f aca="false">D73+E72</f>
        <v>1784.51397727273</v>
      </c>
      <c r="F73" s="83" t="n">
        <f aca="false">E73+F72</f>
        <v>2058.81863636364</v>
      </c>
      <c r="G73" s="83" t="n">
        <f aca="false">F73+G72</f>
        <v>2339.87329545455</v>
      </c>
      <c r="H73" s="83" t="n">
        <f aca="false">G73+H72</f>
        <v>2629.02795454546</v>
      </c>
      <c r="I73" s="83" t="n">
        <f aca="false">H73+I72</f>
        <v>2910.33261363636</v>
      </c>
      <c r="J73" s="83" t="n">
        <f aca="false">I73+J72</f>
        <v>3199.63727272727</v>
      </c>
      <c r="K73" s="83" t="n">
        <f aca="false">J73+K72</f>
        <v>3498.54193181818</v>
      </c>
      <c r="L73" s="83" t="n">
        <f aca="false">K73+L72</f>
        <v>3992.64659090909</v>
      </c>
      <c r="M73" s="83" t="n">
        <f aca="false">L73+M72</f>
        <v>4532.75125</v>
      </c>
      <c r="N73" s="83" t="n">
        <f aca="false">M73+N72</f>
        <v>5128.05590909091</v>
      </c>
      <c r="O73" s="79" t="n">
        <f aca="false">AA73</f>
        <v>30804.4013636364</v>
      </c>
      <c r="P73" s="83" t="n">
        <f aca="false">N73+P72</f>
        <v>6677.8846969697</v>
      </c>
      <c r="Q73" s="83" t="n">
        <f aca="false">P73+Q72</f>
        <v>8280.71348484849</v>
      </c>
      <c r="R73" s="83" t="n">
        <f aca="false">Q73+R72</f>
        <v>9947.14227272727</v>
      </c>
      <c r="S73" s="83" t="n">
        <f aca="false">R73+S72</f>
        <v>11586.5710606061</v>
      </c>
      <c r="T73" s="83" t="n">
        <f aca="false">S73+T72</f>
        <v>13294.9998484848</v>
      </c>
      <c r="U73" s="83" t="n">
        <f aca="false">T73+U72</f>
        <v>15086.2286363636</v>
      </c>
      <c r="V73" s="83" t="n">
        <f aca="false">U73+V72</f>
        <v>17196.0574242424</v>
      </c>
      <c r="W73" s="83" t="n">
        <f aca="false">V73+W72</f>
        <v>19458.8862121212</v>
      </c>
      <c r="X73" s="83" t="n">
        <f aca="false">W73+X72</f>
        <v>21905.315</v>
      </c>
      <c r="Y73" s="83" t="n">
        <f aca="false">X73+Y72</f>
        <v>24597.5437878788</v>
      </c>
      <c r="Z73" s="83" t="n">
        <f aca="false">Y73+Z72</f>
        <v>27546.7725757576</v>
      </c>
      <c r="AA73" s="83" t="n">
        <f aca="false">Z73+AA72</f>
        <v>30804.4013636364</v>
      </c>
      <c r="AB73" s="79" t="n">
        <f aca="false">AN73</f>
        <v>110215.967727273</v>
      </c>
      <c r="AC73" s="83" t="n">
        <f aca="false">AA73+AC72</f>
        <v>35754.4652272727</v>
      </c>
      <c r="AD73" s="83" t="n">
        <f aca="false">AC73+AD72</f>
        <v>41053.0290909091</v>
      </c>
      <c r="AE73" s="83" t="n">
        <f aca="false">AD73+AE72</f>
        <v>46769.7929545455</v>
      </c>
      <c r="AF73" s="83" t="n">
        <f aca="false">AE73+AF72</f>
        <v>52387.6568181818</v>
      </c>
      <c r="AG73" s="83" t="n">
        <f aca="false">AF73+AG72</f>
        <v>58473.2706818182</v>
      </c>
      <c r="AH73" s="83" t="n">
        <f aca="false">AG73+AH72</f>
        <v>65120.1845454545</v>
      </c>
      <c r="AI73" s="83" t="n">
        <f aca="false">AH73+AI72</f>
        <v>71579.4484090909</v>
      </c>
      <c r="AJ73" s="83" t="n">
        <f aca="false">AI73+AJ72</f>
        <v>78656.7122727273</v>
      </c>
      <c r="AK73" s="83" t="n">
        <f aca="false">AJ73+AK72</f>
        <v>86475.5761363636</v>
      </c>
      <c r="AL73" s="83" t="n">
        <f aca="false">AK73+AL72</f>
        <v>93602.64</v>
      </c>
      <c r="AM73" s="83" t="n">
        <f aca="false">AL73+AM72</f>
        <v>101466.953863636</v>
      </c>
      <c r="AN73" s="83" t="n">
        <f aca="false">AM73+AN72</f>
        <v>110215.967727273</v>
      </c>
      <c r="AO73" s="79" t="n">
        <f aca="false">BA73</f>
        <v>269429.556212121</v>
      </c>
      <c r="AP73" s="83" t="n">
        <f aca="false">AN73+AP72</f>
        <v>120543.033434343</v>
      </c>
      <c r="AQ73" s="83" t="n">
        <f aca="false">AP73+AQ72</f>
        <v>131822.349141414</v>
      </c>
      <c r="AR73" s="83" t="n">
        <f aca="false">AQ73+AR72</f>
        <v>144244.364848485</v>
      </c>
      <c r="AS73" s="83" t="n">
        <f aca="false">AR73+AS72</f>
        <v>155733.430555556</v>
      </c>
      <c r="AT73" s="83" t="n">
        <f aca="false">AS73+AT72</f>
        <v>168382.246262626</v>
      </c>
      <c r="AU73" s="83" t="n">
        <f aca="false">AT73+AU72</f>
        <v>182422.761969697</v>
      </c>
      <c r="AV73" s="83" t="n">
        <f aca="false">AU73+AV72</f>
        <v>194821.827676768</v>
      </c>
      <c r="AW73" s="83" t="n">
        <f aca="false">AV73+AW72</f>
        <v>208543.143383838</v>
      </c>
      <c r="AX73" s="83" t="n">
        <f aca="false">AW73+AX72</f>
        <v>223851.159090909</v>
      </c>
      <c r="AY73" s="83" t="n">
        <f aca="false">AX73+AY72</f>
        <v>237412.22479798</v>
      </c>
      <c r="AZ73" s="83" t="n">
        <f aca="false">AY73+AZ72</f>
        <v>252503.04050505</v>
      </c>
      <c r="BA73" s="83" t="n">
        <f aca="false">AZ73+BA72</f>
        <v>269429.556212121</v>
      </c>
      <c r="BB73" s="79" t="n">
        <f aca="false">BN73</f>
        <v>513865.485378788</v>
      </c>
      <c r="BC73" s="83" t="n">
        <f aca="false">BA73+BC72</f>
        <v>286189.31697601</v>
      </c>
      <c r="BD73" s="83" t="n">
        <f aca="false">BC73+BD72</f>
        <v>304645.077739899</v>
      </c>
      <c r="BE73" s="83" t="n">
        <f aca="false">BD73+BE72</f>
        <v>325136.038503788</v>
      </c>
      <c r="BF73" s="83" t="n">
        <f aca="false">BE73+BF72</f>
        <v>342846.399267677</v>
      </c>
      <c r="BG73" s="83" t="n">
        <f aca="false">BF73+BG72</f>
        <v>362422.510031566</v>
      </c>
      <c r="BH73" s="83" t="n">
        <f aca="false">BG73+BH72</f>
        <v>384237.520795454</v>
      </c>
      <c r="BI73" s="83" t="n">
        <f aca="false">BH73+BI72</f>
        <v>403072.081559343</v>
      </c>
      <c r="BJ73" s="83" t="n">
        <f aca="false">BI73+BJ72</f>
        <v>423973.142323232</v>
      </c>
      <c r="BK73" s="83" t="n">
        <f aca="false">BJ73+BK72</f>
        <v>447354.003087121</v>
      </c>
      <c r="BL73" s="83" t="n">
        <f aca="false">BK73+BL72</f>
        <v>467139.16385101</v>
      </c>
      <c r="BM73" s="83" t="n">
        <f aca="false">BL73+BM72</f>
        <v>489160.574614899</v>
      </c>
      <c r="BN73" s="83" t="n">
        <f aca="false">BM73+BN72</f>
        <v>513865.485378788</v>
      </c>
    </row>
    <row r="74" customFormat="false" ht="15" hidden="false" customHeight="false" outlineLevel="0" collapsed="false">
      <c r="A74" s="67" t="s">
        <v>645</v>
      </c>
      <c r="B74" s="88" t="n">
        <f aca="false">SUM(C74:N74)</f>
        <v>176.161118181818</v>
      </c>
      <c r="C74" s="89" t="n">
        <f aca="false">C69*'Assumption Setting'!$C$94+(C70+C71)*'Assumption Setting'!$C$93</f>
        <v>17.7500931818182</v>
      </c>
      <c r="D74" s="89" t="n">
        <f aca="false">D69*'Assumption Setting'!$C$94+(D70+D71)*'Assumption Setting'!$C$93</f>
        <v>20.0750931818182</v>
      </c>
      <c r="E74" s="89" t="n">
        <f aca="false">E69*'Assumption Setting'!$C$94+(E70+E71)*'Assumption Setting'!$C$93</f>
        <v>22.8650931818182</v>
      </c>
      <c r="F74" s="89" t="n">
        <f aca="false">F69*'Assumption Setting'!$C$94+(F70+F71)*'Assumption Setting'!$C$93</f>
        <v>6.99809318181818</v>
      </c>
      <c r="G74" s="89" t="n">
        <f aca="false">G69*'Assumption Setting'!$C$94+(G70+G71)*'Assumption Setting'!$C$93</f>
        <v>7.40309318181818</v>
      </c>
      <c r="H74" s="89" t="n">
        <f aca="false">H69*'Assumption Setting'!$C$94+(H70+H71)*'Assumption Setting'!$C$93</f>
        <v>7.88909318181818</v>
      </c>
      <c r="I74" s="89" t="n">
        <f aca="false">I69*'Assumption Setting'!$C$94+(I70+I71)*'Assumption Setting'!$C$93</f>
        <v>7.41809318181818</v>
      </c>
      <c r="J74" s="89" t="n">
        <f aca="false">J69*'Assumption Setting'!$C$94+(J70+J71)*'Assumption Setting'!$C$93</f>
        <v>7.89809318181818</v>
      </c>
      <c r="K74" s="89" t="n">
        <f aca="false">K69*'Assumption Setting'!$C$94+(K70+K71)*'Assumption Setting'!$C$93</f>
        <v>8.47409318181818</v>
      </c>
      <c r="L74" s="89" t="n">
        <f aca="false">L69*'Assumption Setting'!$C$94+(L70+L71)*'Assumption Setting'!$C$93</f>
        <v>20.1860931818182</v>
      </c>
      <c r="M74" s="89" t="n">
        <f aca="false">M69*'Assumption Setting'!$C$94+(M70+M71)*'Assumption Setting'!$C$93</f>
        <v>22.9460931818182</v>
      </c>
      <c r="N74" s="89" t="n">
        <f aca="false">N69*'Assumption Setting'!$C$94+(N70+N71)*'Assumption Setting'!$C$93</f>
        <v>26.2580931818182</v>
      </c>
      <c r="O74" s="88" t="n">
        <f aca="false">SUM(P74:AA74)</f>
        <v>1135.74498181818</v>
      </c>
      <c r="P74" s="89" t="n">
        <f aca="false">P69*'Assumption Setting'!$D$94+(P70+P71)*'Assumption Setting'!$D$93</f>
        <v>53.3547484848485</v>
      </c>
      <c r="Q74" s="89" t="n">
        <f aca="false">Q69*'Assumption Setting'!$D$94+(Q70+Q71)*'Assumption Setting'!$D$93</f>
        <v>57.0647484848485</v>
      </c>
      <c r="R74" s="89" t="n">
        <f aca="false">R69*'Assumption Setting'!$D$94+(R70+R71)*'Assumption Setting'!$D$93</f>
        <v>61.5167484848485</v>
      </c>
      <c r="S74" s="89" t="n">
        <f aca="false">S69*'Assumption Setting'!$D$94+(S70+S71)*'Assumption Setting'!$D$93</f>
        <v>59.6267484848485</v>
      </c>
      <c r="T74" s="89" t="n">
        <f aca="false">T69*'Assumption Setting'!$D$94+(T70+T71)*'Assumption Setting'!$D$93</f>
        <v>64.4567484848485</v>
      </c>
      <c r="U74" s="89" t="n">
        <f aca="false">U69*'Assumption Setting'!$D$94+(U70+U71)*'Assumption Setting'!$D$93</f>
        <v>70.2527484848485</v>
      </c>
      <c r="V74" s="89" t="n">
        <f aca="false">V69*'Assumption Setting'!$D$94+(V70+V71)*'Assumption Setting'!$D$93</f>
        <v>92.5547484848485</v>
      </c>
      <c r="W74" s="89" t="n">
        <f aca="false">W69*'Assumption Setting'!$D$94+(W70+W71)*'Assumption Setting'!$D$93</f>
        <v>103.264748484849</v>
      </c>
      <c r="X74" s="89" t="n">
        <f aca="false">X69*'Assumption Setting'!$D$94+(X70+X71)*'Assumption Setting'!$D$93</f>
        <v>116.116748484848</v>
      </c>
      <c r="Y74" s="89" t="n">
        <f aca="false">Y69*'Assumption Setting'!$D$94+(Y70+Y71)*'Assumption Setting'!$D$93</f>
        <v>133.322748484849</v>
      </c>
      <c r="Z74" s="89" t="n">
        <f aca="false">Z69*'Assumption Setting'!$D$94+(Z70+Z71)*'Assumption Setting'!$D$93</f>
        <v>151.312748484849</v>
      </c>
      <c r="AA74" s="89" t="n">
        <f aca="false">AA69*'Assumption Setting'!$D$94+(AA70+AA71)*'Assumption Setting'!$D$93</f>
        <v>172.900748484849</v>
      </c>
      <c r="AB74" s="88" t="n">
        <f aca="false">SUM(AC74:AN74)</f>
        <v>4625.81012363636</v>
      </c>
      <c r="AC74" s="89" t="n">
        <f aca="false">AC69*'Assumption Setting'!$E$94+(AC70+AC71)*'Assumption Setting'!$E$93</f>
        <v>252.078843636364</v>
      </c>
      <c r="AD74" s="89" t="n">
        <f aca="false">AD69*'Assumption Setting'!$E$94+(AD70+AD71)*'Assumption Setting'!$E$93</f>
        <v>279.958843636364</v>
      </c>
      <c r="AE74" s="89" t="n">
        <f aca="false">AE69*'Assumption Setting'!$E$94+(AE70+AE71)*'Assumption Setting'!$E$93</f>
        <v>313.414843636364</v>
      </c>
      <c r="AF74" s="89" t="n">
        <f aca="false">AF69*'Assumption Setting'!$E$94+(AF70+AF71)*'Assumption Setting'!$E$93</f>
        <v>305.502843636364</v>
      </c>
      <c r="AG74" s="89" t="n">
        <f aca="false">AG69*'Assumption Setting'!$E$94+(AG70+AG71)*'Assumption Setting'!$E$93</f>
        <v>342.922843636364</v>
      </c>
      <c r="AH74" s="89" t="n">
        <f aca="false">AH69*'Assumption Setting'!$E$94+(AH70+AH71)*'Assumption Setting'!$E$93</f>
        <v>387.826843636364</v>
      </c>
      <c r="AI74" s="89" t="n">
        <f aca="false">AI69*'Assumption Setting'!$E$94+(AI70+AI71)*'Assumption Setting'!$E$93</f>
        <v>372.814843636364</v>
      </c>
      <c r="AJ74" s="89" t="n">
        <f aca="false">AJ69*'Assumption Setting'!$E$94+(AJ70+AJ71)*'Assumption Setting'!$E$93</f>
        <v>422.254843636364</v>
      </c>
      <c r="AK74" s="89" t="n">
        <f aca="false">AK69*'Assumption Setting'!$E$94+(AK70+AK71)*'Assumption Setting'!$E$93</f>
        <v>481.582843636364</v>
      </c>
      <c r="AL74" s="89" t="n">
        <f aca="false">AL69*'Assumption Setting'!$E$94+(AL70+AL71)*'Assumption Setting'!$E$93</f>
        <v>426.238843636364</v>
      </c>
      <c r="AM74" s="89" t="n">
        <f aca="false">AM69*'Assumption Setting'!$E$94+(AM70+AM71)*'Assumption Setting'!$E$93</f>
        <v>485.218843636364</v>
      </c>
      <c r="AN74" s="89" t="n">
        <f aca="false">AN69*'Assumption Setting'!$E$94+(AN70+AN71)*'Assumption Setting'!$E$93</f>
        <v>555.994843636364</v>
      </c>
      <c r="AO74" s="88" t="n">
        <f aca="false">SUM(AP74:BA74)</f>
        <v>10894.2491854545</v>
      </c>
      <c r="AP74" s="89" t="n">
        <f aca="false">AP69*'Assumption Setting'!$F$94+(AP70+AP71)*'Assumption Setting'!$F$93</f>
        <v>649.069565454546</v>
      </c>
      <c r="AQ74" s="89" t="n">
        <f aca="false">AQ69*'Assumption Setting'!$F$94+(AQ70+AQ71)*'Assumption Setting'!$F$93</f>
        <v>732.867565454546</v>
      </c>
      <c r="AR74" s="89" t="n">
        <f aca="false">AR69*'Assumption Setting'!$F$94+(AR70+AR71)*'Assumption Setting'!$F$93</f>
        <v>833.425165454545</v>
      </c>
      <c r="AS74" s="89" t="n">
        <f aca="false">AS69*'Assumption Setting'!$F$94+(AS70+AS71)*'Assumption Setting'!$F$93</f>
        <v>751.325565454546</v>
      </c>
      <c r="AT74" s="89" t="n">
        <f aca="false">AT69*'Assumption Setting'!$F$94+(AT70+AT71)*'Assumption Setting'!$F$93</f>
        <v>853.383565454546</v>
      </c>
      <c r="AU74" s="89" t="n">
        <f aca="false">AU69*'Assumption Setting'!$F$94+(AU70+AU71)*'Assumption Setting'!$F$93</f>
        <v>975.853165454546</v>
      </c>
      <c r="AV74" s="89" t="n">
        <f aca="false">AV69*'Assumption Setting'!$F$94+(AV70+AV71)*'Assumption Setting'!$F$93</f>
        <v>831.405565454546</v>
      </c>
      <c r="AW74" s="89" t="n">
        <f aca="false">AW69*'Assumption Setting'!$F$94+(AW70+AW71)*'Assumption Setting'!$F$93</f>
        <v>947.763565454545</v>
      </c>
      <c r="AX74" s="89" t="n">
        <f aca="false">AX69*'Assumption Setting'!$F$94+(AX70+AX71)*'Assumption Setting'!$F$93</f>
        <v>1087.39316545455</v>
      </c>
      <c r="AY74" s="89" t="n">
        <f aca="false">AY69*'Assumption Setting'!$F$94+(AY70+AY71)*'Assumption Setting'!$F$93</f>
        <v>933.661565454546</v>
      </c>
      <c r="AZ74" s="89" t="n">
        <f aca="false">AZ69*'Assumption Setting'!$F$94+(AZ70+AZ71)*'Assumption Setting'!$F$93</f>
        <v>1068.27956545455</v>
      </c>
      <c r="BA74" s="89" t="n">
        <f aca="false">BA69*'Assumption Setting'!$F$94+(BA70+BA71)*'Assumption Setting'!$F$93</f>
        <v>1229.82116545455</v>
      </c>
      <c r="BB74" s="88" t="n">
        <f aca="false">SUM(BC74:BN74)</f>
        <v>18428.3871666667</v>
      </c>
      <c r="BC74" s="89" t="n">
        <f aca="false">BC69*'Assumption Setting'!$G$94+(BC70+BC71)*'Assumption Setting'!$G$93</f>
        <v>1192.75843055556</v>
      </c>
      <c r="BD74" s="89" t="n">
        <f aca="false">BD69*'Assumption Setting'!$G$94+(BD70+BD71)*'Assumption Setting'!$G$93</f>
        <v>1353.87843055556</v>
      </c>
      <c r="BE74" s="89" t="n">
        <f aca="false">BE69*'Assumption Setting'!$G$94+(BE70+BE71)*'Assumption Setting'!$G$93</f>
        <v>1547.22243055556</v>
      </c>
      <c r="BF74" s="89" t="n">
        <f aca="false">BF69*'Assumption Setting'!$G$94+(BF70+BF71)*'Assumption Setting'!$G$93</f>
        <v>1283.06543055556</v>
      </c>
      <c r="BG74" s="89" t="n">
        <f aca="false">BG69*'Assumption Setting'!$G$94+(BG70+BG71)*'Assumption Setting'!$G$93</f>
        <v>1460.31168055556</v>
      </c>
      <c r="BH74" s="89" t="n">
        <f aca="false">BH69*'Assumption Setting'!$G$94+(BH70+BH71)*'Assumption Setting'!$G$93</f>
        <v>1673.00718055556</v>
      </c>
      <c r="BI74" s="89" t="n">
        <f aca="false">BI69*'Assumption Setting'!$G$94+(BI70+BI71)*'Assumption Setting'!$G$93</f>
        <v>1389.86443055556</v>
      </c>
      <c r="BJ74" s="89" t="n">
        <f aca="false">BJ69*'Assumption Setting'!$G$94+(BJ70+BJ71)*'Assumption Setting'!$G$93</f>
        <v>1586.18193055556</v>
      </c>
      <c r="BK74" s="89" t="n">
        <f aca="false">BK69*'Assumption Setting'!$G$94+(BK70+BK71)*'Assumption Setting'!$G$93</f>
        <v>1821.76293055556</v>
      </c>
      <c r="BL74" s="89" t="n">
        <f aca="false">BL69*'Assumption Setting'!$G$94+(BL70+BL71)*'Assumption Setting'!$G$93</f>
        <v>1480.17143055556</v>
      </c>
      <c r="BM74" s="89" t="n">
        <f aca="false">BM69*'Assumption Setting'!$G$94+(BM70+BM71)*'Assumption Setting'!$G$93</f>
        <v>1692.61518055556</v>
      </c>
      <c r="BN74" s="89" t="n">
        <f aca="false">BN69*'Assumption Setting'!$G$94+(BN70+BN71)*'Assumption Setting'!$G$93</f>
        <v>1947.54768055556</v>
      </c>
    </row>
    <row r="75" customFormat="false" ht="15" hidden="false" customHeight="false" outlineLevel="0" collapsed="false">
      <c r="A75" s="18" t="s">
        <v>646</v>
      </c>
      <c r="B75" s="81" t="n">
        <f aca="false">N75</f>
        <v>138.989340445837</v>
      </c>
      <c r="C75" s="84" t="n">
        <f aca="false">'Assumption Setting'!$C$15+C74</f>
        <v>19.7500931818182</v>
      </c>
      <c r="D75" s="84" t="n">
        <f aca="false">C75*(1-'Assumption Setting'!$C$74)+D74</f>
        <v>38.8376817045455</v>
      </c>
      <c r="E75" s="84" t="n">
        <f aca="false">D75*(1-'Assumption Setting'!$C$74)+E74</f>
        <v>59.7608908011364</v>
      </c>
      <c r="F75" s="84" t="n">
        <f aca="false">E75*(1-'Assumption Setting'!$C$74)+F74</f>
        <v>63.7709394428977</v>
      </c>
      <c r="G75" s="84" t="n">
        <f aca="false">F75*(1-'Assumption Setting'!$C$74)+G74</f>
        <v>67.985485652571</v>
      </c>
      <c r="H75" s="84" t="n">
        <f aca="false">G75*(1-'Assumption Setting'!$C$74)+H74</f>
        <v>72.4753045517607</v>
      </c>
      <c r="I75" s="84" t="n">
        <f aca="false">H75*(1-'Assumption Setting'!$C$74)+I74</f>
        <v>76.2696325059908</v>
      </c>
      <c r="J75" s="84" t="n">
        <f aca="false">I75*(1-'Assumption Setting'!$C$74)+J74</f>
        <v>80.3542440625094</v>
      </c>
      <c r="K75" s="84" t="n">
        <f aca="false">J75*(1-'Assumption Setting'!$C$74)+K74</f>
        <v>84.8106250412021</v>
      </c>
      <c r="L75" s="84" t="n">
        <f aca="false">K75*(1-'Assumption Setting'!$C$74)+L74</f>
        <v>100.75618697096</v>
      </c>
      <c r="M75" s="84" t="n">
        <f aca="false">L75*(1-'Assumption Setting'!$C$74)+M74</f>
        <v>118.66447080423</v>
      </c>
      <c r="N75" s="84" t="n">
        <f aca="false">M75*(1-'Assumption Setting'!$C$74)+N74</f>
        <v>138.989340445837</v>
      </c>
      <c r="O75" s="81" t="n">
        <f aca="false">AA75</f>
        <v>1006.85664605295</v>
      </c>
      <c r="P75" s="84" t="n">
        <f aca="false">N75*(1-'Assumption Setting'!$C$74)+P74</f>
        <v>185.394621908394</v>
      </c>
      <c r="Q75" s="84" t="n">
        <f aca="false">P75*(1-'Assumption Setting'!$C$74)+Q74</f>
        <v>233.189639297823</v>
      </c>
      <c r="R75" s="84" t="n">
        <f aca="false">Q75*(1-'Assumption Setting'!$C$74)+R74</f>
        <v>283.04690581778</v>
      </c>
      <c r="S75" s="84" t="n">
        <f aca="false">R75*(1-'Assumption Setting'!$C$74)+S74</f>
        <v>328.521309011739</v>
      </c>
      <c r="T75" s="84" t="n">
        <f aca="false">S75*(1-'Assumption Setting'!$C$74)+T74</f>
        <v>376.551992046001</v>
      </c>
      <c r="U75" s="84" t="n">
        <f aca="false">T75*(1-'Assumption Setting'!$C$74)+U74</f>
        <v>427.977140928549</v>
      </c>
      <c r="V75" s="84" t="n">
        <f aca="false">U75*(1-'Assumption Setting'!$C$74)+V74</f>
        <v>499.13303236697</v>
      </c>
      <c r="W75" s="84" t="n">
        <f aca="false">V75*(1-'Assumption Setting'!$C$74)+W74</f>
        <v>577.44112923347</v>
      </c>
      <c r="X75" s="84" t="n">
        <f aca="false">W75*(1-'Assumption Setting'!$C$74)+X74</f>
        <v>664.685821256645</v>
      </c>
      <c r="Y75" s="84" t="n">
        <f aca="false">X75*(1-'Assumption Setting'!$C$74)+Y74</f>
        <v>764.774278678661</v>
      </c>
      <c r="Z75" s="84" t="n">
        <f aca="false">Y75*(1-'Assumption Setting'!$C$74)+Z74</f>
        <v>877.848313229577</v>
      </c>
      <c r="AA75" s="84" t="n">
        <f aca="false">Z75*(1-'Assumption Setting'!$C$74)+AA74</f>
        <v>1006.85664605295</v>
      </c>
      <c r="AB75" s="81" t="n">
        <f aca="false">AN75</f>
        <v>4226.77646429424</v>
      </c>
      <c r="AC75" s="84" t="n">
        <f aca="false">AA75*(1-'Assumption Setting'!$C$74)+AC74</f>
        <v>1208.59265738666</v>
      </c>
      <c r="AD75" s="84" t="n">
        <f aca="false">AC75*(1-'Assumption Setting'!$C$74)+AD74</f>
        <v>1428.12186815369</v>
      </c>
      <c r="AE75" s="84" t="n">
        <f aca="false">AD75*(1-'Assumption Setting'!$C$74)+AE74</f>
        <v>1670.13061838237</v>
      </c>
      <c r="AF75" s="84" t="n">
        <f aca="false">AE75*(1-'Assumption Setting'!$C$74)+AF74</f>
        <v>1892.12693109962</v>
      </c>
      <c r="AG75" s="84" t="n">
        <f aca="false">AF75*(1-'Assumption Setting'!$C$74)+AG74</f>
        <v>2140.443428181</v>
      </c>
      <c r="AH75" s="84" t="n">
        <f aca="false">AG75*(1-'Assumption Setting'!$C$74)+AH74</f>
        <v>2421.24810040831</v>
      </c>
      <c r="AI75" s="84" t="n">
        <f aca="false">AH75*(1-'Assumption Setting'!$C$74)+AI74</f>
        <v>2673.00053902426</v>
      </c>
      <c r="AJ75" s="84" t="n">
        <f aca="false">AI75*(1-'Assumption Setting'!$C$74)+AJ74</f>
        <v>2961.60535570941</v>
      </c>
      <c r="AK75" s="84" t="n">
        <f aca="false">AJ75*(1-'Assumption Setting'!$C$74)+AK74</f>
        <v>3295.1079315603</v>
      </c>
      <c r="AL75" s="84" t="n">
        <f aca="false">AK75*(1-'Assumption Setting'!$C$74)+AL74</f>
        <v>3556.59137861865</v>
      </c>
      <c r="AM75" s="84" t="n">
        <f aca="false">AL75*(1-'Assumption Setting'!$C$74)+AM74</f>
        <v>3863.98065332408</v>
      </c>
      <c r="AN75" s="84" t="n">
        <f aca="false">AM75*(1-'Assumption Setting'!$C$74)+AN74</f>
        <v>4226.77646429424</v>
      </c>
      <c r="AO75" s="81" t="n">
        <f aca="false">BA75</f>
        <v>10863.8739379104</v>
      </c>
      <c r="AP75" s="84" t="n">
        <f aca="false">AN75*(1-'Assumption Setting'!$C$74)+AP74</f>
        <v>4664.50720653408</v>
      </c>
      <c r="AQ75" s="84" t="n">
        <f aca="false">AP75*(1-'Assumption Setting'!$C$74)+AQ74</f>
        <v>5164.14941166192</v>
      </c>
      <c r="AR75" s="84" t="n">
        <f aca="false">AQ75*(1-'Assumption Setting'!$C$74)+AR74</f>
        <v>5739.36710653337</v>
      </c>
      <c r="AS75" s="84" t="n">
        <f aca="false">AR75*(1-'Assumption Setting'!$C$74)+AS74</f>
        <v>6203.72431666124</v>
      </c>
      <c r="AT75" s="84" t="n">
        <f aca="false">AS75*(1-'Assumption Setting'!$C$74)+AT74</f>
        <v>6746.92166628273</v>
      </c>
      <c r="AU75" s="84" t="n">
        <f aca="false">AT75*(1-'Assumption Setting'!$C$74)+AU74</f>
        <v>7385.42874842314</v>
      </c>
      <c r="AV75" s="84" t="n">
        <f aca="false">AU75*(1-'Assumption Setting'!$C$74)+AV74</f>
        <v>7847.56287645652</v>
      </c>
      <c r="AW75" s="84" t="n">
        <f aca="false">AV75*(1-'Assumption Setting'!$C$74)+AW74</f>
        <v>8402.94829808824</v>
      </c>
      <c r="AX75" s="84" t="n">
        <f aca="false">AW75*(1-'Assumption Setting'!$C$74)+AX74</f>
        <v>9070.19404863838</v>
      </c>
      <c r="AY75" s="84" t="n">
        <f aca="false">AX75*(1-'Assumption Setting'!$C$74)+AY74</f>
        <v>9550.34591166101</v>
      </c>
      <c r="AZ75" s="84" t="n">
        <f aca="false">AY75*(1-'Assumption Setting'!$C$74)+AZ74</f>
        <v>10141.1081815325</v>
      </c>
      <c r="BA75" s="84" t="n">
        <f aca="false">AZ75*(1-'Assumption Setting'!$C$74)+BA74</f>
        <v>10863.8739379104</v>
      </c>
      <c r="BB75" s="81" t="n">
        <f aca="false">BN75</f>
        <v>20256.1404820315</v>
      </c>
      <c r="BC75" s="84" t="n">
        <f aca="false">BA75*(1-'Assumption Setting'!$C$74)+BC74</f>
        <v>11513.4386715705</v>
      </c>
      <c r="BD75" s="84" t="n">
        <f aca="false">BC75*(1-'Assumption Setting'!$C$74)+BD74</f>
        <v>12291.6451685475</v>
      </c>
      <c r="BE75" s="84" t="n">
        <f aca="false">BD75*(1-'Assumption Setting'!$C$74)+BE74</f>
        <v>13224.2853406757</v>
      </c>
      <c r="BF75" s="84" t="n">
        <f aca="false">BE75*(1-'Assumption Setting'!$C$74)+BF74</f>
        <v>13846.1365041974</v>
      </c>
      <c r="BG75" s="84" t="n">
        <f aca="false">BF75*(1-'Assumption Setting'!$C$74)+BG74</f>
        <v>14614.1413595431</v>
      </c>
      <c r="BH75" s="84" t="n">
        <f aca="false">BG75*(1-'Assumption Setting'!$C$74)+BH74</f>
        <v>15556.4414721215</v>
      </c>
      <c r="BI75" s="84" t="n">
        <f aca="false">BH75*(1-'Assumption Setting'!$C$74)+BI74</f>
        <v>16168.483829071</v>
      </c>
      <c r="BJ75" s="84" t="n">
        <f aca="false">BI75*(1-'Assumption Setting'!$C$74)+BJ74</f>
        <v>16946.241568173</v>
      </c>
      <c r="BK75" s="84" t="n">
        <f aca="false">BJ75*(1-'Assumption Setting'!$C$74)+BK74</f>
        <v>17920.6924203199</v>
      </c>
      <c r="BL75" s="84" t="n">
        <f aca="false">BK75*(1-'Assumption Setting'!$C$74)+BL74</f>
        <v>18504.8292298595</v>
      </c>
      <c r="BM75" s="84" t="n">
        <f aca="false">BL75*(1-'Assumption Setting'!$C$74)+BM74</f>
        <v>19272.2029489221</v>
      </c>
      <c r="BN75" s="84" t="n">
        <f aca="false">BM75*(1-'Assumption Setting'!$C$74)+BN74</f>
        <v>20256.1404820315</v>
      </c>
    </row>
    <row r="76" customFormat="false" ht="15" hidden="false" customHeight="false" outlineLevel="0" collapsed="false">
      <c r="A76" s="12" t="s">
        <v>647</v>
      </c>
      <c r="B76" s="85" t="n">
        <f aca="false">IFERROR(AVERAGE(C76:N76),0)</f>
        <v>44.7403137410859</v>
      </c>
      <c r="C76" s="86" t="n">
        <f aca="false">IFERROR(C31*(1-'Assumption Setting'!$C$105)/C74,0)</f>
        <v>28.3942171366322</v>
      </c>
      <c r="D76" s="86" t="n">
        <f aca="false">IFERROR(D31*(1-'Assumption Setting'!$C$105)/D74,0)</f>
        <v>25.1057365181482</v>
      </c>
      <c r="E76" s="86" t="n">
        <f aca="false">IFERROR(E31*(1-'Assumption Setting'!$C$105)/E74,0)</f>
        <v>22.0423330879215</v>
      </c>
      <c r="F76" s="86" t="n">
        <f aca="false">IFERROR(F31*(1-'Assumption Setting'!$C$105)/F74,0)</f>
        <v>72.0196183310973</v>
      </c>
      <c r="G76" s="86" t="n">
        <f aca="false">IFERROR(G31*(1-'Assumption Setting'!$C$105)/G74,0)</f>
        <v>68.0796509812698</v>
      </c>
      <c r="H76" s="86" t="n">
        <f aca="false">IFERROR(H31*(1-'Assumption Setting'!$C$105)/H74,0)</f>
        <v>63.8856695420403</v>
      </c>
      <c r="I76" s="86" t="n">
        <f aca="false">IFERROR(I31*(1-'Assumption Setting'!$C$105)/I74,0)</f>
        <v>67.9419882774335</v>
      </c>
      <c r="J76" s="86" t="n">
        <f aca="false">IFERROR(J31*(1-'Assumption Setting'!$C$105)/J74,0)</f>
        <v>63.8128708281429</v>
      </c>
      <c r="K76" s="86" t="n">
        <f aca="false">IFERROR(K31*(1-'Assumption Setting'!$C$105)/K74,0)</f>
        <v>59.4753903675936</v>
      </c>
      <c r="L76" s="86" t="n">
        <f aca="false">IFERROR(L31*(1-'Assumption Setting'!$C$105)/L74,0)</f>
        <v>24.9676842101352</v>
      </c>
      <c r="M76" s="86" t="n">
        <f aca="false">IFERROR(M31*(1-'Assumption Setting'!$C$105)/M74,0)</f>
        <v>21.9645233725171</v>
      </c>
      <c r="N76" s="86" t="n">
        <f aca="false">IFERROR(N31*(1-'Assumption Setting'!$C$105)/N74,0)</f>
        <v>19.194082240099</v>
      </c>
      <c r="O76" s="85" t="n">
        <f aca="false">IFERROR(AVERAGE(P76:AA76),0)</f>
        <v>31.9509158952802</v>
      </c>
      <c r="P76" s="86" t="n">
        <f aca="false">IFERROR(P31*(1-'Assumption Setting'!$C$105)/P74,0)</f>
        <v>48.5430083272813</v>
      </c>
      <c r="Q76" s="86" t="n">
        <f aca="false">IFERROR(Q31*(1-'Assumption Setting'!$C$105)/Q74,0)</f>
        <v>45.3870396132155</v>
      </c>
      <c r="R76" s="86" t="n">
        <f aca="false">IFERROR(R31*(1-'Assumption Setting'!$C$105)/R74,0)</f>
        <v>42.1023552738311</v>
      </c>
      <c r="S76" s="86" t="n">
        <f aca="false">IFERROR(S31*(1-'Assumption Setting'!$C$105)/S74,0)</f>
        <v>43.4368813630368</v>
      </c>
      <c r="T76" s="86" t="n">
        <f aca="false">IFERROR(T31*(1-'Assumption Setting'!$C$105)/T74,0)</f>
        <v>40.1819834366733</v>
      </c>
      <c r="U76" s="86" t="n">
        <f aca="false">IFERROR(U31*(1-'Assumption Setting'!$C$105)/U74,0)</f>
        <v>36.8668850096105</v>
      </c>
      <c r="V76" s="86" t="n">
        <f aca="false">IFERROR(V31*(1-'Assumption Setting'!$C$105)/V74,0)</f>
        <v>27.9834372887307</v>
      </c>
      <c r="W76" s="86" t="n">
        <f aca="false">IFERROR(W31*(1-'Assumption Setting'!$C$105)/W74,0)</f>
        <v>25.0811631074666</v>
      </c>
      <c r="X76" s="86" t="n">
        <f aca="false">IFERROR(X31*(1-'Assumption Setting'!$C$105)/X74,0)</f>
        <v>22.3051371468428</v>
      </c>
      <c r="Y76" s="86" t="n">
        <f aca="false">IFERROR(Y31*(1-'Assumption Setting'!$C$105)/Y74,0)</f>
        <v>19.4265422025435</v>
      </c>
      <c r="Z76" s="86" t="n">
        <f aca="false">IFERROR(Z31*(1-'Assumption Setting'!$C$105)/Z74,0)</f>
        <v>17.1168657362624</v>
      </c>
      <c r="AA76" s="86" t="n">
        <f aca="false">IFERROR(AA31*(1-'Assumption Setting'!$C$105)/AA74,0)</f>
        <v>14.9796922378677</v>
      </c>
      <c r="AB76" s="85" t="n">
        <f aca="false">IFERROR(AVERAGE(AC76:AN76),0)</f>
        <v>16.0867600444078</v>
      </c>
      <c r="AC76" s="86" t="n">
        <f aca="false">IFERROR(AC31*(1-'Assumption Setting'!$C$105)/AC74,0)</f>
        <v>23.3260352799864</v>
      </c>
      <c r="AD76" s="86" t="n">
        <f aca="false">IFERROR(AD31*(1-'Assumption Setting'!$C$105)/AD74,0)</f>
        <v>21.0030871810482</v>
      </c>
      <c r="AE76" s="86" t="n">
        <f aca="false">IFERROR(AE31*(1-'Assumption Setting'!$C$105)/AE74,0)</f>
        <v>18.7610769540393</v>
      </c>
      <c r="AF76" s="86" t="n">
        <f aca="false">IFERROR(AF31*(1-'Assumption Setting'!$C$105)/AF74,0)</f>
        <v>19.2469566895387</v>
      </c>
      <c r="AG76" s="86" t="n">
        <f aca="false">IFERROR(AG31*(1-'Assumption Setting'!$C$105)/AG74,0)</f>
        <v>17.1467142219174</v>
      </c>
      <c r="AH76" s="86" t="n">
        <f aca="false">IFERROR(AH31*(1-'Assumption Setting'!$C$105)/AH74,0)</f>
        <v>15.1614053964589</v>
      </c>
      <c r="AI76" s="86" t="n">
        <f aca="false">IFERROR(AI31*(1-'Assumption Setting'!$C$105)/AI74,0)</f>
        <v>15.7719042049067</v>
      </c>
      <c r="AJ76" s="86" t="n">
        <f aca="false">IFERROR(AJ31*(1-'Assumption Setting'!$C$105)/AJ74,0)</f>
        <v>13.9252399081151</v>
      </c>
      <c r="AK76" s="86" t="n">
        <f aca="false">IFERROR(AK31*(1-'Assumption Setting'!$C$105)/AK74,0)</f>
        <v>12.2097372813387</v>
      </c>
      <c r="AL76" s="86" t="n">
        <f aca="false">IFERROR(AL31*(1-'Assumption Setting'!$C$105)/AL74,0)</f>
        <v>13.795082470279</v>
      </c>
      <c r="AM76" s="86" t="n">
        <f aca="false">IFERROR(AM31*(1-'Assumption Setting'!$C$105)/AM74,0)</f>
        <v>12.1182432980831</v>
      </c>
      <c r="AN76" s="86" t="n">
        <f aca="false">IFERROR(AN31*(1-'Assumption Setting'!$C$105)/AN74,0)</f>
        <v>10.5756376471824</v>
      </c>
      <c r="AO76" s="85" t="n">
        <f aca="false">IFERROR(AVERAGE(AP76:BA76),0)</f>
        <v>11.0519504420959</v>
      </c>
      <c r="AP76" s="86" t="n">
        <f aca="false">IFERROR(AP31*(1-'Assumption Setting'!$C$105)/AP74,0)</f>
        <v>14.9906890075582</v>
      </c>
      <c r="AQ76" s="86" t="n">
        <f aca="false">IFERROR(AQ31*(1-'Assumption Setting'!$C$105)/AQ74,0)</f>
        <v>13.276614300655</v>
      </c>
      <c r="AR76" s="86" t="n">
        <f aca="false">IFERROR(AR31*(1-'Assumption Setting'!$C$105)/AR74,0)</f>
        <v>11.6747134635577</v>
      </c>
      <c r="AS76" s="86" t="n">
        <f aca="false">IFERROR(AS31*(1-'Assumption Setting'!$C$105)/AS74,0)</f>
        <v>12.9504444509531</v>
      </c>
      <c r="AT76" s="86" t="n">
        <f aca="false">IFERROR(AT31*(1-'Assumption Setting'!$C$105)/AT74,0)</f>
        <v>11.4016725817979</v>
      </c>
      <c r="AU76" s="86" t="n">
        <f aca="false">IFERROR(AU31*(1-'Assumption Setting'!$C$105)/AU74,0)</f>
        <v>9.97076234872675</v>
      </c>
      <c r="AV76" s="86" t="n">
        <f aca="false">IFERROR(AV31*(1-'Assumption Setting'!$C$105)/AV74,0)</f>
        <v>11.7030729697851</v>
      </c>
      <c r="AW76" s="86" t="n">
        <f aca="false">IFERROR(AW31*(1-'Assumption Setting'!$C$105)/AW74,0)</f>
        <v>10.2662735250152</v>
      </c>
      <c r="AX76" s="86" t="n">
        <f aca="false">IFERROR(AX31*(1-'Assumption Setting'!$C$105)/AX74,0)</f>
        <v>8.94800547687158</v>
      </c>
      <c r="AY76" s="86" t="n">
        <f aca="false">IFERROR(AY31*(1-'Assumption Setting'!$C$105)/AY74,0)</f>
        <v>10.4213350533103</v>
      </c>
      <c r="AZ76" s="86" t="n">
        <f aca="false">IFERROR(AZ31*(1-'Assumption Setting'!$C$105)/AZ74,0)</f>
        <v>9.10810270517526</v>
      </c>
      <c r="BA76" s="86" t="n">
        <f aca="false">IFERROR(BA31*(1-'Assumption Setting'!$C$105)/BA74,0)</f>
        <v>7.91171942174516</v>
      </c>
      <c r="BB76" s="85" t="n">
        <f aca="false">IFERROR(AVERAGE(BC76:BN76),0)</f>
        <v>9.10544884595372</v>
      </c>
      <c r="BC76" s="86" t="n">
        <f aca="false">IFERROR(BC31*(1-'Assumption Setting'!$C$105)/BC74,0)</f>
        <v>11.5027482921329</v>
      </c>
      <c r="BD76" s="86" t="n">
        <f aca="false">IFERROR(BD31*(1-'Assumption Setting'!$C$105)/BD74,0)</f>
        <v>10.1338493105102</v>
      </c>
      <c r="BE76" s="86" t="n">
        <f aca="false">IFERROR(BE31*(1-'Assumption Setting'!$C$105)/BE74,0)</f>
        <v>8.86750329432182</v>
      </c>
      <c r="BF76" s="86" t="n">
        <f aca="false">IFERROR(BF31*(1-'Assumption Setting'!$C$105)/BF74,0)</f>
        <v>10.6931413420276</v>
      </c>
      <c r="BG76" s="86" t="n">
        <f aca="false">IFERROR(BG31*(1-'Assumption Setting'!$C$105)/BG74,0)</f>
        <v>9.39525457659862</v>
      </c>
      <c r="BH76" s="86" t="n">
        <f aca="false">IFERROR(BH31*(1-'Assumption Setting'!$C$105)/BH74,0)</f>
        <v>8.20080162204922</v>
      </c>
      <c r="BI76" s="86" t="n">
        <f aca="false">IFERROR(BI31*(1-'Assumption Setting'!$C$105)/BI74,0)</f>
        <v>9.87146638072884</v>
      </c>
      <c r="BJ76" s="86" t="n">
        <f aca="false">IFERROR(BJ31*(1-'Assumption Setting'!$C$105)/BJ74,0)</f>
        <v>8.64970135878084</v>
      </c>
      <c r="BK76" s="86" t="n">
        <f aca="false">IFERROR(BK31*(1-'Assumption Setting'!$C$105)/BK74,0)</f>
        <v>7.53116652550177</v>
      </c>
      <c r="BL76" s="86" t="n">
        <f aca="false">IFERROR(BL31*(1-'Assumption Setting'!$C$105)/BL74,0)</f>
        <v>9.26919660572725</v>
      </c>
      <c r="BM76" s="86" t="n">
        <f aca="false">IFERROR(BM31*(1-'Assumption Setting'!$C$105)/BM74,0)</f>
        <v>8.10579992287247</v>
      </c>
      <c r="BN76" s="86" t="n">
        <f aca="false">IFERROR(BN31*(1-'Assumption Setting'!$C$105)/BN74,0)</f>
        <v>7.04475692019322</v>
      </c>
    </row>
    <row r="78" customFormat="false" ht="16.5" hidden="false" customHeight="true" outlineLevel="0" collapsed="false">
      <c r="A78" s="15" t="s">
        <v>648</v>
      </c>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row>
    <row r="79" customFormat="false" ht="15" hidden="false" customHeight="true" outlineLevel="0" collapsed="false">
      <c r="A79" s="26" t="s">
        <v>505</v>
      </c>
      <c r="B79" s="62" t="s">
        <v>80</v>
      </c>
      <c r="C79" s="63" t="s">
        <v>506</v>
      </c>
      <c r="D79" s="63" t="s">
        <v>507</v>
      </c>
      <c r="E79" s="63" t="s">
        <v>508</v>
      </c>
      <c r="F79" s="63" t="s">
        <v>509</v>
      </c>
      <c r="G79" s="63" t="s">
        <v>510</v>
      </c>
      <c r="H79" s="63" t="s">
        <v>511</v>
      </c>
      <c r="I79" s="63" t="s">
        <v>512</v>
      </c>
      <c r="J79" s="63" t="s">
        <v>513</v>
      </c>
      <c r="K79" s="63" t="s">
        <v>514</v>
      </c>
      <c r="L79" s="63" t="s">
        <v>515</v>
      </c>
      <c r="M79" s="63" t="s">
        <v>516</v>
      </c>
      <c r="N79" s="63" t="s">
        <v>517</v>
      </c>
      <c r="O79" s="62" t="s">
        <v>81</v>
      </c>
      <c r="P79" s="64" t="s">
        <v>518</v>
      </c>
      <c r="Q79" s="64" t="s">
        <v>519</v>
      </c>
      <c r="R79" s="64" t="s">
        <v>520</v>
      </c>
      <c r="S79" s="64" t="s">
        <v>521</v>
      </c>
      <c r="T79" s="64" t="s">
        <v>522</v>
      </c>
      <c r="U79" s="64" t="s">
        <v>523</v>
      </c>
      <c r="V79" s="64" t="s">
        <v>524</v>
      </c>
      <c r="W79" s="64" t="s">
        <v>525</v>
      </c>
      <c r="X79" s="64" t="s">
        <v>526</v>
      </c>
      <c r="Y79" s="64" t="s">
        <v>527</v>
      </c>
      <c r="Z79" s="64" t="s">
        <v>528</v>
      </c>
      <c r="AA79" s="64" t="s">
        <v>529</v>
      </c>
      <c r="AB79" s="62" t="s">
        <v>82</v>
      </c>
      <c r="AC79" s="63" t="s">
        <v>530</v>
      </c>
      <c r="AD79" s="63" t="s">
        <v>531</v>
      </c>
      <c r="AE79" s="63" t="s">
        <v>532</v>
      </c>
      <c r="AF79" s="63" t="s">
        <v>533</v>
      </c>
      <c r="AG79" s="63" t="s">
        <v>534</v>
      </c>
      <c r="AH79" s="63" t="s">
        <v>535</v>
      </c>
      <c r="AI79" s="63" t="s">
        <v>536</v>
      </c>
      <c r="AJ79" s="63" t="s">
        <v>537</v>
      </c>
      <c r="AK79" s="63" t="s">
        <v>538</v>
      </c>
      <c r="AL79" s="63" t="s">
        <v>539</v>
      </c>
      <c r="AM79" s="63" t="s">
        <v>540</v>
      </c>
      <c r="AN79" s="63" t="s">
        <v>541</v>
      </c>
      <c r="AO79" s="62" t="s">
        <v>83</v>
      </c>
      <c r="AP79" s="64" t="s">
        <v>542</v>
      </c>
      <c r="AQ79" s="64" t="s">
        <v>543</v>
      </c>
      <c r="AR79" s="64" t="s">
        <v>544</v>
      </c>
      <c r="AS79" s="64" t="s">
        <v>545</v>
      </c>
      <c r="AT79" s="64" t="s">
        <v>546</v>
      </c>
      <c r="AU79" s="64" t="s">
        <v>547</v>
      </c>
      <c r="AV79" s="64" t="s">
        <v>548</v>
      </c>
      <c r="AW79" s="64" t="s">
        <v>549</v>
      </c>
      <c r="AX79" s="64" t="s">
        <v>550</v>
      </c>
      <c r="AY79" s="64" t="s">
        <v>551</v>
      </c>
      <c r="AZ79" s="64" t="s">
        <v>552</v>
      </c>
      <c r="BA79" s="64" t="s">
        <v>553</v>
      </c>
      <c r="BB79" s="62" t="s">
        <v>84</v>
      </c>
      <c r="BC79" s="63" t="s">
        <v>554</v>
      </c>
      <c r="BD79" s="63" t="s">
        <v>555</v>
      </c>
      <c r="BE79" s="63" t="s">
        <v>556</v>
      </c>
      <c r="BF79" s="63" t="s">
        <v>557</v>
      </c>
      <c r="BG79" s="63" t="s">
        <v>558</v>
      </c>
      <c r="BH79" s="63" t="s">
        <v>559</v>
      </c>
      <c r="BI79" s="63" t="s">
        <v>560</v>
      </c>
      <c r="BJ79" s="63" t="s">
        <v>561</v>
      </c>
      <c r="BK79" s="63" t="s">
        <v>562</v>
      </c>
      <c r="BL79" s="63" t="s">
        <v>563</v>
      </c>
      <c r="BM79" s="63" t="s">
        <v>564</v>
      </c>
      <c r="BN79" s="63" t="s">
        <v>565</v>
      </c>
    </row>
    <row r="80" customFormat="false" ht="15" hidden="false" customHeight="false" outlineLevel="0" collapsed="false">
      <c r="A80" s="12" t="s">
        <v>649</v>
      </c>
      <c r="B80" s="81" t="n">
        <f aca="false">SUM(C80:N80)</f>
        <v>34.0566709090909</v>
      </c>
      <c r="C80" s="82" t="n">
        <f aca="false">(C70+C71)/1000*'Assumption Setting'!$C$104</f>
        <v>2.83805590909091</v>
      </c>
      <c r="D80" s="82" t="n">
        <f aca="false">(D70+D71)/1000*'Assumption Setting'!$C$104</f>
        <v>2.83805590909091</v>
      </c>
      <c r="E80" s="82" t="n">
        <f aca="false">(E70+E71)/1000*'Assumption Setting'!$C$104</f>
        <v>2.83805590909091</v>
      </c>
      <c r="F80" s="82" t="n">
        <f aca="false">(F70+F71)/1000*'Assumption Setting'!$C$104</f>
        <v>2.83805590909091</v>
      </c>
      <c r="G80" s="82" t="n">
        <f aca="false">(G70+G71)/1000*'Assumption Setting'!$C$104</f>
        <v>2.83805590909091</v>
      </c>
      <c r="H80" s="82" t="n">
        <f aca="false">(H70+H71)/1000*'Assumption Setting'!$C$104</f>
        <v>2.83805590909091</v>
      </c>
      <c r="I80" s="82" t="n">
        <f aca="false">(I70+I71)/1000*'Assumption Setting'!$C$104</f>
        <v>2.83805590909091</v>
      </c>
      <c r="J80" s="82" t="n">
        <f aca="false">(J70+J71)/1000*'Assumption Setting'!$C$104</f>
        <v>2.83805590909091</v>
      </c>
      <c r="K80" s="82" t="n">
        <f aca="false">(K70+K71)/1000*'Assumption Setting'!$C$104</f>
        <v>2.83805590909091</v>
      </c>
      <c r="L80" s="82" t="n">
        <f aca="false">(L70+L71)/1000*'Assumption Setting'!$C$104</f>
        <v>2.83805590909091</v>
      </c>
      <c r="M80" s="82" t="n">
        <f aca="false">(M70+M71)/1000*'Assumption Setting'!$C$104</f>
        <v>2.83805590909091</v>
      </c>
      <c r="N80" s="82" t="n">
        <f aca="false">(N70+N71)/1000*'Assumption Setting'!$C$104</f>
        <v>2.83805590909091</v>
      </c>
      <c r="O80" s="81" t="n">
        <f aca="false">SUM(P80:AA80)</f>
        <v>180.436145454545</v>
      </c>
      <c r="P80" s="82" t="n">
        <f aca="false">(P70+P71)/1000*'Assumption Setting'!$C$104</f>
        <v>15.0363454545455</v>
      </c>
      <c r="Q80" s="82" t="n">
        <f aca="false">(Q70+Q71)/1000*'Assumption Setting'!$C$104</f>
        <v>15.0363454545455</v>
      </c>
      <c r="R80" s="82" t="n">
        <f aca="false">(R70+R71)/1000*'Assumption Setting'!$C$104</f>
        <v>15.0363454545455</v>
      </c>
      <c r="S80" s="82" t="n">
        <f aca="false">(S70+S71)/1000*'Assumption Setting'!$C$104</f>
        <v>15.0363454545455</v>
      </c>
      <c r="T80" s="82" t="n">
        <f aca="false">(T70+T71)/1000*'Assumption Setting'!$C$104</f>
        <v>15.0363454545455</v>
      </c>
      <c r="U80" s="82" t="n">
        <f aca="false">(U70+U71)/1000*'Assumption Setting'!$C$104</f>
        <v>15.0363454545455</v>
      </c>
      <c r="V80" s="82" t="n">
        <f aca="false">(V70+V71)/1000*'Assumption Setting'!$C$104</f>
        <v>15.0363454545455</v>
      </c>
      <c r="W80" s="82" t="n">
        <f aca="false">(W70+W71)/1000*'Assumption Setting'!$C$104</f>
        <v>15.0363454545455</v>
      </c>
      <c r="X80" s="82" t="n">
        <f aca="false">(X70+X71)/1000*'Assumption Setting'!$C$104</f>
        <v>15.0363454545455</v>
      </c>
      <c r="Y80" s="82" t="n">
        <f aca="false">(Y70+Y71)/1000*'Assumption Setting'!$C$104</f>
        <v>15.0363454545455</v>
      </c>
      <c r="Z80" s="82" t="n">
        <f aca="false">(Z70+Z71)/1000*'Assumption Setting'!$C$104</f>
        <v>15.0363454545455</v>
      </c>
      <c r="AA80" s="82" t="n">
        <f aca="false">(AA70+AA71)/1000*'Assumption Setting'!$C$104</f>
        <v>15.0363454545455</v>
      </c>
      <c r="AB80" s="81" t="n">
        <f aca="false">SUM(AC80:AN80)</f>
        <v>431.778796363636</v>
      </c>
      <c r="AC80" s="82" t="n">
        <f aca="false">(AC70+AC71)/1000*'Assumption Setting'!$C$104</f>
        <v>35.9815663636364</v>
      </c>
      <c r="AD80" s="82" t="n">
        <f aca="false">(AD70+AD71)/1000*'Assumption Setting'!$C$104</f>
        <v>35.9815663636364</v>
      </c>
      <c r="AE80" s="82" t="n">
        <f aca="false">(AE70+AE71)/1000*'Assumption Setting'!$C$104</f>
        <v>35.9815663636364</v>
      </c>
      <c r="AF80" s="82" t="n">
        <f aca="false">(AF70+AF71)/1000*'Assumption Setting'!$C$104</f>
        <v>35.9815663636364</v>
      </c>
      <c r="AG80" s="82" t="n">
        <f aca="false">(AG70+AG71)/1000*'Assumption Setting'!$C$104</f>
        <v>35.9815663636364</v>
      </c>
      <c r="AH80" s="82" t="n">
        <f aca="false">(AH70+AH71)/1000*'Assumption Setting'!$C$104</f>
        <v>35.9815663636364</v>
      </c>
      <c r="AI80" s="82" t="n">
        <f aca="false">(AI70+AI71)/1000*'Assumption Setting'!$C$104</f>
        <v>35.9815663636364</v>
      </c>
      <c r="AJ80" s="82" t="n">
        <f aca="false">(AJ70+AJ71)/1000*'Assumption Setting'!$C$104</f>
        <v>35.9815663636364</v>
      </c>
      <c r="AK80" s="82" t="n">
        <f aca="false">(AK70+AK71)/1000*'Assumption Setting'!$C$104</f>
        <v>35.9815663636364</v>
      </c>
      <c r="AL80" s="82" t="n">
        <f aca="false">(AL70+AL71)/1000*'Assumption Setting'!$C$104</f>
        <v>35.9815663636364</v>
      </c>
      <c r="AM80" s="82" t="n">
        <f aca="false">(AM70+AM71)/1000*'Assumption Setting'!$C$104</f>
        <v>35.9815663636364</v>
      </c>
      <c r="AN80" s="82" t="n">
        <f aca="false">(AN70+AN71)/1000*'Assumption Setting'!$C$104</f>
        <v>35.9815663636364</v>
      </c>
      <c r="AO80" s="81" t="n">
        <f aca="false">SUM(AP80:BA80)</f>
        <v>719.203061818182</v>
      </c>
      <c r="AP80" s="82" t="n">
        <f aca="false">(AP70+AP71)/1000*'Assumption Setting'!$C$104</f>
        <v>59.9335884848485</v>
      </c>
      <c r="AQ80" s="82" t="n">
        <f aca="false">(AQ70+AQ71)/1000*'Assumption Setting'!$C$104</f>
        <v>59.9335884848485</v>
      </c>
      <c r="AR80" s="82" t="n">
        <f aca="false">(AR70+AR71)/1000*'Assumption Setting'!$C$104</f>
        <v>59.9335884848485</v>
      </c>
      <c r="AS80" s="82" t="n">
        <f aca="false">(AS70+AS71)/1000*'Assumption Setting'!$C$104</f>
        <v>59.9335884848485</v>
      </c>
      <c r="AT80" s="82" t="n">
        <f aca="false">(AT70+AT71)/1000*'Assumption Setting'!$C$104</f>
        <v>59.9335884848485</v>
      </c>
      <c r="AU80" s="82" t="n">
        <f aca="false">(AU70+AU71)/1000*'Assumption Setting'!$C$104</f>
        <v>59.9335884848485</v>
      </c>
      <c r="AV80" s="82" t="n">
        <f aca="false">(AV70+AV71)/1000*'Assumption Setting'!$C$104</f>
        <v>59.9335884848485</v>
      </c>
      <c r="AW80" s="82" t="n">
        <f aca="false">(AW70+AW71)/1000*'Assumption Setting'!$C$104</f>
        <v>59.9335884848485</v>
      </c>
      <c r="AX80" s="82" t="n">
        <f aca="false">(AX70+AX71)/1000*'Assumption Setting'!$C$104</f>
        <v>59.9335884848485</v>
      </c>
      <c r="AY80" s="82" t="n">
        <f aca="false">(AY70+AY71)/1000*'Assumption Setting'!$C$104</f>
        <v>59.9335884848485</v>
      </c>
      <c r="AZ80" s="82" t="n">
        <f aca="false">(AZ70+AZ71)/1000*'Assumption Setting'!$C$104</f>
        <v>59.9335884848485</v>
      </c>
      <c r="BA80" s="82" t="n">
        <f aca="false">(BA70+BA71)/1000*'Assumption Setting'!$C$104</f>
        <v>59.9335884848485</v>
      </c>
      <c r="BB80" s="81" t="n">
        <f aca="false">SUM(BC80:BN80)</f>
        <v>1045.75115</v>
      </c>
      <c r="BC80" s="82" t="n">
        <f aca="false">(BC70+BC71)/1000*'Assumption Setting'!$C$104</f>
        <v>87.1459291666667</v>
      </c>
      <c r="BD80" s="82" t="n">
        <f aca="false">(BD70+BD71)/1000*'Assumption Setting'!$C$104</f>
        <v>87.1459291666667</v>
      </c>
      <c r="BE80" s="82" t="n">
        <f aca="false">(BE70+BE71)/1000*'Assumption Setting'!$C$104</f>
        <v>87.1459291666667</v>
      </c>
      <c r="BF80" s="82" t="n">
        <f aca="false">(BF70+BF71)/1000*'Assumption Setting'!$C$104</f>
        <v>87.1459291666667</v>
      </c>
      <c r="BG80" s="82" t="n">
        <f aca="false">(BG70+BG71)/1000*'Assumption Setting'!$C$104</f>
        <v>87.1459291666667</v>
      </c>
      <c r="BH80" s="82" t="n">
        <f aca="false">(BH70+BH71)/1000*'Assumption Setting'!$C$104</f>
        <v>87.1459291666667</v>
      </c>
      <c r="BI80" s="82" t="n">
        <f aca="false">(BI70+BI71)/1000*'Assumption Setting'!$C$104</f>
        <v>87.1459291666667</v>
      </c>
      <c r="BJ80" s="82" t="n">
        <f aca="false">(BJ70+BJ71)/1000*'Assumption Setting'!$C$104</f>
        <v>87.1459291666667</v>
      </c>
      <c r="BK80" s="82" t="n">
        <f aca="false">(BK70+BK71)/1000*'Assumption Setting'!$C$104</f>
        <v>87.1459291666667</v>
      </c>
      <c r="BL80" s="82" t="n">
        <f aca="false">(BL70+BL71)/1000*'Assumption Setting'!$C$104</f>
        <v>87.1459291666667</v>
      </c>
      <c r="BM80" s="82" t="n">
        <f aca="false">(BM70+BM71)/1000*'Assumption Setting'!$C$104</f>
        <v>87.1459291666667</v>
      </c>
      <c r="BN80" s="82" t="n">
        <f aca="false">(BN70+BN71)/1000*'Assumption Setting'!$C$104</f>
        <v>87.1459291666667</v>
      </c>
    </row>
    <row r="81" customFormat="false" ht="15" hidden="false" customHeight="false" outlineLevel="0" collapsed="false">
      <c r="A81" s="18" t="s">
        <v>650</v>
      </c>
      <c r="B81" s="81" t="n">
        <f aca="false">SUM(C81:N81)</f>
        <v>118.476670909091</v>
      </c>
      <c r="C81" s="84" t="n">
        <f aca="false">C60+C80</f>
        <v>9.87305590909091</v>
      </c>
      <c r="D81" s="84" t="n">
        <f aca="false">D60+D80</f>
        <v>9.87305590909091</v>
      </c>
      <c r="E81" s="84" t="n">
        <f aca="false">E60+E80</f>
        <v>9.87305590909091</v>
      </c>
      <c r="F81" s="84" t="n">
        <f aca="false">F60+F80</f>
        <v>9.87305590909091</v>
      </c>
      <c r="G81" s="84" t="n">
        <f aca="false">G60+G80</f>
        <v>9.87305590909091</v>
      </c>
      <c r="H81" s="84" t="n">
        <f aca="false">H60+H80</f>
        <v>9.87305590909091</v>
      </c>
      <c r="I81" s="84" t="n">
        <f aca="false">I60+I80</f>
        <v>9.87305590909091</v>
      </c>
      <c r="J81" s="84" t="n">
        <f aca="false">J60+J80</f>
        <v>9.87305590909091</v>
      </c>
      <c r="K81" s="84" t="n">
        <f aca="false">K60+K80</f>
        <v>9.87305590909091</v>
      </c>
      <c r="L81" s="84" t="n">
        <f aca="false">L60+L80</f>
        <v>9.87305590909091</v>
      </c>
      <c r="M81" s="84" t="n">
        <f aca="false">M60+M80</f>
        <v>9.87305590909091</v>
      </c>
      <c r="N81" s="84" t="n">
        <f aca="false">N60+N80</f>
        <v>9.87305590909091</v>
      </c>
      <c r="O81" s="81" t="n">
        <f aca="false">SUM(P81:AA81)</f>
        <v>574.636145454545</v>
      </c>
      <c r="P81" s="84" t="n">
        <f aca="false">P60+P80</f>
        <v>47.8863454545455</v>
      </c>
      <c r="Q81" s="84" t="n">
        <f aca="false">Q60+Q80</f>
        <v>47.8863454545455</v>
      </c>
      <c r="R81" s="84" t="n">
        <f aca="false">R60+R80</f>
        <v>47.8863454545455</v>
      </c>
      <c r="S81" s="84" t="n">
        <f aca="false">S60+S80</f>
        <v>47.8863454545455</v>
      </c>
      <c r="T81" s="84" t="n">
        <f aca="false">T60+T80</f>
        <v>47.8863454545455</v>
      </c>
      <c r="U81" s="84" t="n">
        <f aca="false">U60+U80</f>
        <v>47.8863454545455</v>
      </c>
      <c r="V81" s="84" t="n">
        <f aca="false">V60+V80</f>
        <v>47.8863454545455</v>
      </c>
      <c r="W81" s="84" t="n">
        <f aca="false">W60+W80</f>
        <v>47.8863454545455</v>
      </c>
      <c r="X81" s="84" t="n">
        <f aca="false">X60+X80</f>
        <v>47.8863454545455</v>
      </c>
      <c r="Y81" s="84" t="n">
        <f aca="false">Y60+Y80</f>
        <v>47.8863454545455</v>
      </c>
      <c r="Z81" s="84" t="n">
        <f aca="false">Z60+Z80</f>
        <v>47.8863454545455</v>
      </c>
      <c r="AA81" s="84" t="n">
        <f aca="false">AA60+AA80</f>
        <v>47.8863454545455</v>
      </c>
      <c r="AB81" s="81" t="n">
        <f aca="false">SUM(AC81:AN81)</f>
        <v>1180.57879636364</v>
      </c>
      <c r="AC81" s="84" t="n">
        <f aca="false">AC60+AC80</f>
        <v>98.3815663636364</v>
      </c>
      <c r="AD81" s="84" t="n">
        <f aca="false">AD60+AD80</f>
        <v>98.3815663636364</v>
      </c>
      <c r="AE81" s="84" t="n">
        <f aca="false">AE60+AE80</f>
        <v>98.3815663636364</v>
      </c>
      <c r="AF81" s="84" t="n">
        <f aca="false">AF60+AF80</f>
        <v>98.3815663636364</v>
      </c>
      <c r="AG81" s="84" t="n">
        <f aca="false">AG60+AG80</f>
        <v>98.3815663636364</v>
      </c>
      <c r="AH81" s="84" t="n">
        <f aca="false">AH60+AH80</f>
        <v>98.3815663636364</v>
      </c>
      <c r="AI81" s="84" t="n">
        <f aca="false">AI60+AI80</f>
        <v>98.3815663636364</v>
      </c>
      <c r="AJ81" s="84" t="n">
        <f aca="false">AJ60+AJ80</f>
        <v>98.3815663636364</v>
      </c>
      <c r="AK81" s="84" t="n">
        <f aca="false">AK60+AK80</f>
        <v>98.3815663636364</v>
      </c>
      <c r="AL81" s="84" t="n">
        <f aca="false">AL60+AL80</f>
        <v>98.3815663636364</v>
      </c>
      <c r="AM81" s="84" t="n">
        <f aca="false">AM60+AM80</f>
        <v>98.3815663636364</v>
      </c>
      <c r="AN81" s="84" t="n">
        <f aca="false">AN60+AN80</f>
        <v>98.3815663636364</v>
      </c>
      <c r="AO81" s="81" t="n">
        <f aca="false">SUM(AP81:BA81)</f>
        <v>1693.00306181818</v>
      </c>
      <c r="AP81" s="84" t="n">
        <f aca="false">AP60+AP80</f>
        <v>141.083588484849</v>
      </c>
      <c r="AQ81" s="84" t="n">
        <f aca="false">AQ60+AQ80</f>
        <v>141.083588484849</v>
      </c>
      <c r="AR81" s="84" t="n">
        <f aca="false">AR60+AR80</f>
        <v>141.083588484849</v>
      </c>
      <c r="AS81" s="84" t="n">
        <f aca="false">AS60+AS80</f>
        <v>141.083588484849</v>
      </c>
      <c r="AT81" s="84" t="n">
        <f aca="false">AT60+AT80</f>
        <v>141.083588484849</v>
      </c>
      <c r="AU81" s="84" t="n">
        <f aca="false">AU60+AU80</f>
        <v>141.083588484849</v>
      </c>
      <c r="AV81" s="84" t="n">
        <f aca="false">AV60+AV80</f>
        <v>141.083588484849</v>
      </c>
      <c r="AW81" s="84" t="n">
        <f aca="false">AW60+AW80</f>
        <v>141.083588484849</v>
      </c>
      <c r="AX81" s="84" t="n">
        <f aca="false">AX60+AX80</f>
        <v>141.083588484849</v>
      </c>
      <c r="AY81" s="84" t="n">
        <f aca="false">AY60+AY80</f>
        <v>141.083588484849</v>
      </c>
      <c r="AZ81" s="84" t="n">
        <f aca="false">AZ60+AZ80</f>
        <v>141.083588484849</v>
      </c>
      <c r="BA81" s="84" t="n">
        <f aca="false">BA60+BA80</f>
        <v>141.083588484849</v>
      </c>
      <c r="BB81" s="81" t="n">
        <f aca="false">SUM(BC81:BN81)</f>
        <v>2244.55115</v>
      </c>
      <c r="BC81" s="84" t="n">
        <f aca="false">BC60+BC80</f>
        <v>187.045929166667</v>
      </c>
      <c r="BD81" s="84" t="n">
        <f aca="false">BD60+BD80</f>
        <v>187.045929166667</v>
      </c>
      <c r="BE81" s="84" t="n">
        <f aca="false">BE60+BE80</f>
        <v>187.045929166667</v>
      </c>
      <c r="BF81" s="84" t="n">
        <f aca="false">BF60+BF80</f>
        <v>187.045929166667</v>
      </c>
      <c r="BG81" s="84" t="n">
        <f aca="false">BG60+BG80</f>
        <v>187.045929166667</v>
      </c>
      <c r="BH81" s="84" t="n">
        <f aca="false">BH60+BH80</f>
        <v>187.045929166667</v>
      </c>
      <c r="BI81" s="84" t="n">
        <f aca="false">BI60+BI80</f>
        <v>187.045929166667</v>
      </c>
      <c r="BJ81" s="84" t="n">
        <f aca="false">BJ60+BJ80</f>
        <v>187.045929166667</v>
      </c>
      <c r="BK81" s="84" t="n">
        <f aca="false">BK60+BK80</f>
        <v>187.045929166667</v>
      </c>
      <c r="BL81" s="84" t="n">
        <f aca="false">BL60+BL80</f>
        <v>187.045929166667</v>
      </c>
      <c r="BM81" s="84" t="n">
        <f aca="false">BM60+BM80</f>
        <v>187.045929166667</v>
      </c>
      <c r="BN81" s="84" t="n">
        <f aca="false">BN60+BN80</f>
        <v>187.045929166667</v>
      </c>
    </row>
    <row r="82" customFormat="false" ht="15" hidden="false" customHeight="false" outlineLevel="0" collapsed="false">
      <c r="A82" s="18" t="s">
        <v>378</v>
      </c>
      <c r="B82" s="81" t="n">
        <f aca="false">SUM(C82:N82)</f>
        <v>53.3145019090909</v>
      </c>
      <c r="C82" s="84" t="n">
        <f aca="false">C81*'Assumption Setting'!$C$109</f>
        <v>4.44287515909091</v>
      </c>
      <c r="D82" s="84" t="n">
        <f aca="false">D81*'Assumption Setting'!$C$109</f>
        <v>4.44287515909091</v>
      </c>
      <c r="E82" s="84" t="n">
        <f aca="false">E81*'Assumption Setting'!$C$109</f>
        <v>4.44287515909091</v>
      </c>
      <c r="F82" s="84" t="n">
        <f aca="false">F81*'Assumption Setting'!$C$109</f>
        <v>4.44287515909091</v>
      </c>
      <c r="G82" s="84" t="n">
        <f aca="false">G81*'Assumption Setting'!$C$109</f>
        <v>4.44287515909091</v>
      </c>
      <c r="H82" s="84" t="n">
        <f aca="false">H81*'Assumption Setting'!$C$109</f>
        <v>4.44287515909091</v>
      </c>
      <c r="I82" s="84" t="n">
        <f aca="false">I81*'Assumption Setting'!$C$109</f>
        <v>4.44287515909091</v>
      </c>
      <c r="J82" s="84" t="n">
        <f aca="false">J81*'Assumption Setting'!$C$109</f>
        <v>4.44287515909091</v>
      </c>
      <c r="K82" s="84" t="n">
        <f aca="false">K81*'Assumption Setting'!$C$109</f>
        <v>4.44287515909091</v>
      </c>
      <c r="L82" s="84" t="n">
        <f aca="false">L81*'Assumption Setting'!$C$109</f>
        <v>4.44287515909091</v>
      </c>
      <c r="M82" s="84" t="n">
        <f aca="false">M81*'Assumption Setting'!$C$109</f>
        <v>4.44287515909091</v>
      </c>
      <c r="N82" s="84" t="n">
        <f aca="false">N81*'Assumption Setting'!$C$109</f>
        <v>4.44287515909091</v>
      </c>
      <c r="O82" s="81" t="n">
        <f aca="false">SUM(P82:AA82)</f>
        <v>258.586265454545</v>
      </c>
      <c r="P82" s="84" t="n">
        <f aca="false">P81*'Assumption Setting'!$C$109</f>
        <v>21.5488554545455</v>
      </c>
      <c r="Q82" s="84" t="n">
        <f aca="false">Q81*'Assumption Setting'!$C$109</f>
        <v>21.5488554545455</v>
      </c>
      <c r="R82" s="84" t="n">
        <f aca="false">R81*'Assumption Setting'!$C$109</f>
        <v>21.5488554545455</v>
      </c>
      <c r="S82" s="84" t="n">
        <f aca="false">S81*'Assumption Setting'!$C$109</f>
        <v>21.5488554545455</v>
      </c>
      <c r="T82" s="84" t="n">
        <f aca="false">T81*'Assumption Setting'!$C$109</f>
        <v>21.5488554545455</v>
      </c>
      <c r="U82" s="84" t="n">
        <f aca="false">U81*'Assumption Setting'!$C$109</f>
        <v>21.5488554545455</v>
      </c>
      <c r="V82" s="84" t="n">
        <f aca="false">V81*'Assumption Setting'!$C$109</f>
        <v>21.5488554545455</v>
      </c>
      <c r="W82" s="84" t="n">
        <f aca="false">W81*'Assumption Setting'!$C$109</f>
        <v>21.5488554545455</v>
      </c>
      <c r="X82" s="84" t="n">
        <f aca="false">X81*'Assumption Setting'!$C$109</f>
        <v>21.5488554545455</v>
      </c>
      <c r="Y82" s="84" t="n">
        <f aca="false">Y81*'Assumption Setting'!$C$109</f>
        <v>21.5488554545455</v>
      </c>
      <c r="Z82" s="84" t="n">
        <f aca="false">Z81*'Assumption Setting'!$C$109</f>
        <v>21.5488554545455</v>
      </c>
      <c r="AA82" s="84" t="n">
        <f aca="false">AA81*'Assumption Setting'!$C$109</f>
        <v>21.5488554545455</v>
      </c>
      <c r="AB82" s="81" t="n">
        <f aca="false">SUM(AC82:AN82)</f>
        <v>531.260458363636</v>
      </c>
      <c r="AC82" s="84" t="n">
        <f aca="false">AC81*'Assumption Setting'!$C$109</f>
        <v>44.2717048636364</v>
      </c>
      <c r="AD82" s="84" t="n">
        <f aca="false">AD81*'Assumption Setting'!$C$109</f>
        <v>44.2717048636364</v>
      </c>
      <c r="AE82" s="84" t="n">
        <f aca="false">AE81*'Assumption Setting'!$C$109</f>
        <v>44.2717048636364</v>
      </c>
      <c r="AF82" s="84" t="n">
        <f aca="false">AF81*'Assumption Setting'!$C$109</f>
        <v>44.2717048636364</v>
      </c>
      <c r="AG82" s="84" t="n">
        <f aca="false">AG81*'Assumption Setting'!$C$109</f>
        <v>44.2717048636364</v>
      </c>
      <c r="AH82" s="84" t="n">
        <f aca="false">AH81*'Assumption Setting'!$C$109</f>
        <v>44.2717048636364</v>
      </c>
      <c r="AI82" s="84" t="n">
        <f aca="false">AI81*'Assumption Setting'!$C$109</f>
        <v>44.2717048636364</v>
      </c>
      <c r="AJ82" s="84" t="n">
        <f aca="false">AJ81*'Assumption Setting'!$C$109</f>
        <v>44.2717048636364</v>
      </c>
      <c r="AK82" s="84" t="n">
        <f aca="false">AK81*'Assumption Setting'!$C$109</f>
        <v>44.2717048636364</v>
      </c>
      <c r="AL82" s="84" t="n">
        <f aca="false">AL81*'Assumption Setting'!$C$109</f>
        <v>44.2717048636364</v>
      </c>
      <c r="AM82" s="84" t="n">
        <f aca="false">AM81*'Assumption Setting'!$C$109</f>
        <v>44.2717048636364</v>
      </c>
      <c r="AN82" s="84" t="n">
        <f aca="false">AN81*'Assumption Setting'!$C$109</f>
        <v>44.2717048636364</v>
      </c>
      <c r="AO82" s="81" t="n">
        <f aca="false">SUM(AP82:BA82)</f>
        <v>761.851377818182</v>
      </c>
      <c r="AP82" s="84" t="n">
        <f aca="false">AP81*'Assumption Setting'!$C$109</f>
        <v>63.4876148181818</v>
      </c>
      <c r="AQ82" s="84" t="n">
        <f aca="false">AQ81*'Assumption Setting'!$C$109</f>
        <v>63.4876148181818</v>
      </c>
      <c r="AR82" s="84" t="n">
        <f aca="false">AR81*'Assumption Setting'!$C$109</f>
        <v>63.4876148181818</v>
      </c>
      <c r="AS82" s="84" t="n">
        <f aca="false">AS81*'Assumption Setting'!$C$109</f>
        <v>63.4876148181818</v>
      </c>
      <c r="AT82" s="84" t="n">
        <f aca="false">AT81*'Assumption Setting'!$C$109</f>
        <v>63.4876148181818</v>
      </c>
      <c r="AU82" s="84" t="n">
        <f aca="false">AU81*'Assumption Setting'!$C$109</f>
        <v>63.4876148181818</v>
      </c>
      <c r="AV82" s="84" t="n">
        <f aca="false">AV81*'Assumption Setting'!$C$109</f>
        <v>63.4876148181818</v>
      </c>
      <c r="AW82" s="84" t="n">
        <f aca="false">AW81*'Assumption Setting'!$C$109</f>
        <v>63.4876148181818</v>
      </c>
      <c r="AX82" s="84" t="n">
        <f aca="false">AX81*'Assumption Setting'!$C$109</f>
        <v>63.4876148181818</v>
      </c>
      <c r="AY82" s="84" t="n">
        <f aca="false">AY81*'Assumption Setting'!$C$109</f>
        <v>63.4876148181818</v>
      </c>
      <c r="AZ82" s="84" t="n">
        <f aca="false">AZ81*'Assumption Setting'!$C$109</f>
        <v>63.4876148181818</v>
      </c>
      <c r="BA82" s="84" t="n">
        <f aca="false">BA81*'Assumption Setting'!$C$109</f>
        <v>63.4876148181818</v>
      </c>
      <c r="BB82" s="81" t="n">
        <f aca="false">SUM(BC82:BN82)</f>
        <v>1010.0480175</v>
      </c>
      <c r="BC82" s="84" t="n">
        <f aca="false">BC81*'Assumption Setting'!$C$109</f>
        <v>84.170668125</v>
      </c>
      <c r="BD82" s="84" t="n">
        <f aca="false">BD81*'Assumption Setting'!$C$109</f>
        <v>84.170668125</v>
      </c>
      <c r="BE82" s="84" t="n">
        <f aca="false">BE81*'Assumption Setting'!$C$109</f>
        <v>84.170668125</v>
      </c>
      <c r="BF82" s="84" t="n">
        <f aca="false">BF81*'Assumption Setting'!$C$109</f>
        <v>84.170668125</v>
      </c>
      <c r="BG82" s="84" t="n">
        <f aca="false">BG81*'Assumption Setting'!$C$109</f>
        <v>84.170668125</v>
      </c>
      <c r="BH82" s="84" t="n">
        <f aca="false">BH81*'Assumption Setting'!$C$109</f>
        <v>84.170668125</v>
      </c>
      <c r="BI82" s="84" t="n">
        <f aca="false">BI81*'Assumption Setting'!$C$109</f>
        <v>84.170668125</v>
      </c>
      <c r="BJ82" s="84" t="n">
        <f aca="false">BJ81*'Assumption Setting'!$C$109</f>
        <v>84.170668125</v>
      </c>
      <c r="BK82" s="84" t="n">
        <f aca="false">BK81*'Assumption Setting'!$C$109</f>
        <v>84.170668125</v>
      </c>
      <c r="BL82" s="84" t="n">
        <f aca="false">BL81*'Assumption Setting'!$C$109</f>
        <v>84.170668125</v>
      </c>
      <c r="BM82" s="84" t="n">
        <f aca="false">BM81*'Assumption Setting'!$C$109</f>
        <v>84.170668125</v>
      </c>
      <c r="BN82" s="84" t="n">
        <f aca="false">BN81*'Assumption Setting'!$C$109</f>
        <v>84.170668125</v>
      </c>
    </row>
    <row r="83" customFormat="false" ht="15" hidden="false" customHeight="false" outlineLevel="0" collapsed="false">
      <c r="A83" s="12" t="s">
        <v>651</v>
      </c>
      <c r="B83" s="81" t="n">
        <f aca="false">SUM(C83:N83)</f>
        <v>23.9915258590909</v>
      </c>
      <c r="C83" s="82" t="n">
        <f aca="false">C82*'Assumption Setting'!$D$109</f>
        <v>1.99929382159091</v>
      </c>
      <c r="D83" s="82" t="n">
        <f aca="false">D82*'Assumption Setting'!$D$109</f>
        <v>1.99929382159091</v>
      </c>
      <c r="E83" s="82" t="n">
        <f aca="false">E82*'Assumption Setting'!$D$109</f>
        <v>1.99929382159091</v>
      </c>
      <c r="F83" s="82" t="n">
        <f aca="false">F82*'Assumption Setting'!$D$109</f>
        <v>1.99929382159091</v>
      </c>
      <c r="G83" s="82" t="n">
        <f aca="false">G82*'Assumption Setting'!$D$109</f>
        <v>1.99929382159091</v>
      </c>
      <c r="H83" s="82" t="n">
        <f aca="false">H82*'Assumption Setting'!$D$109</f>
        <v>1.99929382159091</v>
      </c>
      <c r="I83" s="82" t="n">
        <f aca="false">I82*'Assumption Setting'!$D$109</f>
        <v>1.99929382159091</v>
      </c>
      <c r="J83" s="82" t="n">
        <f aca="false">J82*'Assumption Setting'!$D$109</f>
        <v>1.99929382159091</v>
      </c>
      <c r="K83" s="82" t="n">
        <f aca="false">K82*'Assumption Setting'!$D$109</f>
        <v>1.99929382159091</v>
      </c>
      <c r="L83" s="82" t="n">
        <f aca="false">L82*'Assumption Setting'!$D$109</f>
        <v>1.99929382159091</v>
      </c>
      <c r="M83" s="82" t="n">
        <f aca="false">M82*'Assumption Setting'!$D$109</f>
        <v>1.99929382159091</v>
      </c>
      <c r="N83" s="82" t="n">
        <f aca="false">N82*'Assumption Setting'!$D$109</f>
        <v>1.99929382159091</v>
      </c>
      <c r="O83" s="81" t="n">
        <f aca="false">SUM(P83:AA83)</f>
        <v>116.363819454545</v>
      </c>
      <c r="P83" s="82" t="n">
        <f aca="false">P82*'Assumption Setting'!$D$109</f>
        <v>9.69698495454546</v>
      </c>
      <c r="Q83" s="82" t="n">
        <f aca="false">Q82*'Assumption Setting'!$D$109</f>
        <v>9.69698495454546</v>
      </c>
      <c r="R83" s="82" t="n">
        <f aca="false">R82*'Assumption Setting'!$D$109</f>
        <v>9.69698495454546</v>
      </c>
      <c r="S83" s="82" t="n">
        <f aca="false">S82*'Assumption Setting'!$D$109</f>
        <v>9.69698495454546</v>
      </c>
      <c r="T83" s="82" t="n">
        <f aca="false">T82*'Assumption Setting'!$D$109</f>
        <v>9.69698495454546</v>
      </c>
      <c r="U83" s="82" t="n">
        <f aca="false">U82*'Assumption Setting'!$D$109</f>
        <v>9.69698495454546</v>
      </c>
      <c r="V83" s="82" t="n">
        <f aca="false">V82*'Assumption Setting'!$D$109</f>
        <v>9.69698495454546</v>
      </c>
      <c r="W83" s="82" t="n">
        <f aca="false">W82*'Assumption Setting'!$D$109</f>
        <v>9.69698495454546</v>
      </c>
      <c r="X83" s="82" t="n">
        <f aca="false">X82*'Assumption Setting'!$D$109</f>
        <v>9.69698495454546</v>
      </c>
      <c r="Y83" s="82" t="n">
        <f aca="false">Y82*'Assumption Setting'!$D$109</f>
        <v>9.69698495454546</v>
      </c>
      <c r="Z83" s="82" t="n">
        <f aca="false">Z82*'Assumption Setting'!$D$109</f>
        <v>9.69698495454546</v>
      </c>
      <c r="AA83" s="82" t="n">
        <f aca="false">AA82*'Assumption Setting'!$D$109</f>
        <v>9.69698495454546</v>
      </c>
      <c r="AB83" s="81" t="n">
        <f aca="false">SUM(AC83:AN83)</f>
        <v>239.067206263636</v>
      </c>
      <c r="AC83" s="82" t="n">
        <f aca="false">AC82*'Assumption Setting'!$D$109</f>
        <v>19.9222671886364</v>
      </c>
      <c r="AD83" s="82" t="n">
        <f aca="false">AD82*'Assumption Setting'!$D$109</f>
        <v>19.9222671886364</v>
      </c>
      <c r="AE83" s="82" t="n">
        <f aca="false">AE82*'Assumption Setting'!$D$109</f>
        <v>19.9222671886364</v>
      </c>
      <c r="AF83" s="82" t="n">
        <f aca="false">AF82*'Assumption Setting'!$D$109</f>
        <v>19.9222671886364</v>
      </c>
      <c r="AG83" s="82" t="n">
        <f aca="false">AG82*'Assumption Setting'!$D$109</f>
        <v>19.9222671886364</v>
      </c>
      <c r="AH83" s="82" t="n">
        <f aca="false">AH82*'Assumption Setting'!$D$109</f>
        <v>19.9222671886364</v>
      </c>
      <c r="AI83" s="82" t="n">
        <f aca="false">AI82*'Assumption Setting'!$D$109</f>
        <v>19.9222671886364</v>
      </c>
      <c r="AJ83" s="82" t="n">
        <f aca="false">AJ82*'Assumption Setting'!$D$109</f>
        <v>19.9222671886364</v>
      </c>
      <c r="AK83" s="82" t="n">
        <f aca="false">AK82*'Assumption Setting'!$D$109</f>
        <v>19.9222671886364</v>
      </c>
      <c r="AL83" s="82" t="n">
        <f aca="false">AL82*'Assumption Setting'!$D$109</f>
        <v>19.9222671886364</v>
      </c>
      <c r="AM83" s="82" t="n">
        <f aca="false">AM82*'Assumption Setting'!$D$109</f>
        <v>19.9222671886364</v>
      </c>
      <c r="AN83" s="82" t="n">
        <f aca="false">AN82*'Assumption Setting'!$D$109</f>
        <v>19.9222671886364</v>
      </c>
      <c r="AO83" s="81" t="n">
        <f aca="false">SUM(AP83:BA83)</f>
        <v>342.833120018182</v>
      </c>
      <c r="AP83" s="82" t="n">
        <f aca="false">AP82*'Assumption Setting'!$D$109</f>
        <v>28.5694266681818</v>
      </c>
      <c r="AQ83" s="82" t="n">
        <f aca="false">AQ82*'Assumption Setting'!$D$109</f>
        <v>28.5694266681818</v>
      </c>
      <c r="AR83" s="82" t="n">
        <f aca="false">AR82*'Assumption Setting'!$D$109</f>
        <v>28.5694266681818</v>
      </c>
      <c r="AS83" s="82" t="n">
        <f aca="false">AS82*'Assumption Setting'!$D$109</f>
        <v>28.5694266681818</v>
      </c>
      <c r="AT83" s="82" t="n">
        <f aca="false">AT82*'Assumption Setting'!$D$109</f>
        <v>28.5694266681818</v>
      </c>
      <c r="AU83" s="82" t="n">
        <f aca="false">AU82*'Assumption Setting'!$D$109</f>
        <v>28.5694266681818</v>
      </c>
      <c r="AV83" s="82" t="n">
        <f aca="false">AV82*'Assumption Setting'!$D$109</f>
        <v>28.5694266681818</v>
      </c>
      <c r="AW83" s="82" t="n">
        <f aca="false">AW82*'Assumption Setting'!$D$109</f>
        <v>28.5694266681818</v>
      </c>
      <c r="AX83" s="82" t="n">
        <f aca="false">AX82*'Assumption Setting'!$D$109</f>
        <v>28.5694266681818</v>
      </c>
      <c r="AY83" s="82" t="n">
        <f aca="false">AY82*'Assumption Setting'!$D$109</f>
        <v>28.5694266681818</v>
      </c>
      <c r="AZ83" s="82" t="n">
        <f aca="false">AZ82*'Assumption Setting'!$D$109</f>
        <v>28.5694266681818</v>
      </c>
      <c r="BA83" s="82" t="n">
        <f aca="false">BA82*'Assumption Setting'!$D$109</f>
        <v>28.5694266681818</v>
      </c>
      <c r="BB83" s="81" t="n">
        <f aca="false">SUM(BC83:BN83)</f>
        <v>454.521607875</v>
      </c>
      <c r="BC83" s="82" t="n">
        <f aca="false">BC82*'Assumption Setting'!$D$109</f>
        <v>37.87680065625</v>
      </c>
      <c r="BD83" s="82" t="n">
        <f aca="false">BD82*'Assumption Setting'!$D$109</f>
        <v>37.87680065625</v>
      </c>
      <c r="BE83" s="82" t="n">
        <f aca="false">BE82*'Assumption Setting'!$D$109</f>
        <v>37.87680065625</v>
      </c>
      <c r="BF83" s="82" t="n">
        <f aca="false">BF82*'Assumption Setting'!$D$109</f>
        <v>37.87680065625</v>
      </c>
      <c r="BG83" s="82" t="n">
        <f aca="false">BG82*'Assumption Setting'!$D$109</f>
        <v>37.87680065625</v>
      </c>
      <c r="BH83" s="82" t="n">
        <f aca="false">BH82*'Assumption Setting'!$D$109</f>
        <v>37.87680065625</v>
      </c>
      <c r="BI83" s="82" t="n">
        <f aca="false">BI82*'Assumption Setting'!$D$109</f>
        <v>37.87680065625</v>
      </c>
      <c r="BJ83" s="82" t="n">
        <f aca="false">BJ82*'Assumption Setting'!$D$109</f>
        <v>37.87680065625</v>
      </c>
      <c r="BK83" s="82" t="n">
        <f aca="false">BK82*'Assumption Setting'!$D$109</f>
        <v>37.87680065625</v>
      </c>
      <c r="BL83" s="82" t="n">
        <f aca="false">BL82*'Assumption Setting'!$D$109</f>
        <v>37.87680065625</v>
      </c>
      <c r="BM83" s="82" t="n">
        <f aca="false">BM82*'Assumption Setting'!$D$109</f>
        <v>37.87680065625</v>
      </c>
      <c r="BN83" s="82" t="n">
        <f aca="false">BN82*'Assumption Setting'!$D$109</f>
        <v>37.87680065625</v>
      </c>
    </row>
    <row r="84" customFormat="false" ht="15" hidden="false" customHeight="false" outlineLevel="0" collapsed="false">
      <c r="A84" s="12" t="s">
        <v>652</v>
      </c>
      <c r="B84" s="81" t="n">
        <f aca="false">SUM(C84:N84)</f>
        <v>13.1953392225</v>
      </c>
      <c r="C84" s="82" t="n">
        <f aca="false">C83*'Assumption Setting'!$E$109</f>
        <v>1.099611601875</v>
      </c>
      <c r="D84" s="82" t="n">
        <f aca="false">D83*'Assumption Setting'!$E$109</f>
        <v>1.099611601875</v>
      </c>
      <c r="E84" s="82" t="n">
        <f aca="false">E83*'Assumption Setting'!$E$109</f>
        <v>1.099611601875</v>
      </c>
      <c r="F84" s="82" t="n">
        <f aca="false">F83*'Assumption Setting'!$E$109</f>
        <v>1.099611601875</v>
      </c>
      <c r="G84" s="82" t="n">
        <f aca="false">G83*'Assumption Setting'!$E$109</f>
        <v>1.099611601875</v>
      </c>
      <c r="H84" s="82" t="n">
        <f aca="false">H83*'Assumption Setting'!$E$109</f>
        <v>1.099611601875</v>
      </c>
      <c r="I84" s="82" t="n">
        <f aca="false">I83*'Assumption Setting'!$E$109</f>
        <v>1.099611601875</v>
      </c>
      <c r="J84" s="82" t="n">
        <f aca="false">J83*'Assumption Setting'!$E$109</f>
        <v>1.099611601875</v>
      </c>
      <c r="K84" s="82" t="n">
        <f aca="false">K83*'Assumption Setting'!$E$109</f>
        <v>1.099611601875</v>
      </c>
      <c r="L84" s="82" t="n">
        <f aca="false">L83*'Assumption Setting'!$E$109</f>
        <v>1.099611601875</v>
      </c>
      <c r="M84" s="82" t="n">
        <f aca="false">M83*'Assumption Setting'!$E$109</f>
        <v>1.099611601875</v>
      </c>
      <c r="N84" s="82" t="n">
        <f aca="false">N83*'Assumption Setting'!$E$109</f>
        <v>1.099611601875</v>
      </c>
      <c r="O84" s="81" t="n">
        <f aca="false">SUM(P84:AA84)</f>
        <v>64.0001007</v>
      </c>
      <c r="P84" s="82" t="n">
        <f aca="false">P83*'Assumption Setting'!$E$109</f>
        <v>5.333341725</v>
      </c>
      <c r="Q84" s="82" t="n">
        <f aca="false">Q83*'Assumption Setting'!$E$109</f>
        <v>5.333341725</v>
      </c>
      <c r="R84" s="82" t="n">
        <f aca="false">R83*'Assumption Setting'!$E$109</f>
        <v>5.333341725</v>
      </c>
      <c r="S84" s="82" t="n">
        <f aca="false">S83*'Assumption Setting'!$E$109</f>
        <v>5.333341725</v>
      </c>
      <c r="T84" s="82" t="n">
        <f aca="false">T83*'Assumption Setting'!$E$109</f>
        <v>5.333341725</v>
      </c>
      <c r="U84" s="82" t="n">
        <f aca="false">U83*'Assumption Setting'!$E$109</f>
        <v>5.333341725</v>
      </c>
      <c r="V84" s="82" t="n">
        <f aca="false">V83*'Assumption Setting'!$E$109</f>
        <v>5.333341725</v>
      </c>
      <c r="W84" s="82" t="n">
        <f aca="false">W83*'Assumption Setting'!$E$109</f>
        <v>5.333341725</v>
      </c>
      <c r="X84" s="82" t="n">
        <f aca="false">X83*'Assumption Setting'!$E$109</f>
        <v>5.333341725</v>
      </c>
      <c r="Y84" s="82" t="n">
        <f aca="false">Y83*'Assumption Setting'!$E$109</f>
        <v>5.333341725</v>
      </c>
      <c r="Z84" s="82" t="n">
        <f aca="false">Z83*'Assumption Setting'!$E$109</f>
        <v>5.333341725</v>
      </c>
      <c r="AA84" s="82" t="n">
        <f aca="false">AA83*'Assumption Setting'!$E$109</f>
        <v>5.333341725</v>
      </c>
      <c r="AB84" s="81" t="n">
        <f aca="false">SUM(AC84:AN84)</f>
        <v>131.486963445</v>
      </c>
      <c r="AC84" s="82" t="n">
        <f aca="false">AC83*'Assumption Setting'!$E$109</f>
        <v>10.95724695375</v>
      </c>
      <c r="AD84" s="82" t="n">
        <f aca="false">AD83*'Assumption Setting'!$E$109</f>
        <v>10.95724695375</v>
      </c>
      <c r="AE84" s="82" t="n">
        <f aca="false">AE83*'Assumption Setting'!$E$109</f>
        <v>10.95724695375</v>
      </c>
      <c r="AF84" s="82" t="n">
        <f aca="false">AF83*'Assumption Setting'!$E$109</f>
        <v>10.95724695375</v>
      </c>
      <c r="AG84" s="82" t="n">
        <f aca="false">AG83*'Assumption Setting'!$E$109</f>
        <v>10.95724695375</v>
      </c>
      <c r="AH84" s="82" t="n">
        <f aca="false">AH83*'Assumption Setting'!$E$109</f>
        <v>10.95724695375</v>
      </c>
      <c r="AI84" s="82" t="n">
        <f aca="false">AI83*'Assumption Setting'!$E$109</f>
        <v>10.95724695375</v>
      </c>
      <c r="AJ84" s="82" t="n">
        <f aca="false">AJ83*'Assumption Setting'!$E$109</f>
        <v>10.95724695375</v>
      </c>
      <c r="AK84" s="82" t="n">
        <f aca="false">AK83*'Assumption Setting'!$E$109</f>
        <v>10.95724695375</v>
      </c>
      <c r="AL84" s="82" t="n">
        <f aca="false">AL83*'Assumption Setting'!$E$109</f>
        <v>10.95724695375</v>
      </c>
      <c r="AM84" s="82" t="n">
        <f aca="false">AM83*'Assumption Setting'!$E$109</f>
        <v>10.95724695375</v>
      </c>
      <c r="AN84" s="82" t="n">
        <f aca="false">AN83*'Assumption Setting'!$E$109</f>
        <v>10.95724695375</v>
      </c>
      <c r="AO84" s="81" t="n">
        <f aca="false">SUM(AP84:BA84)</f>
        <v>188.55821601</v>
      </c>
      <c r="AP84" s="82" t="n">
        <f aca="false">AP83*'Assumption Setting'!$E$109</f>
        <v>15.7131846675</v>
      </c>
      <c r="AQ84" s="82" t="n">
        <f aca="false">AQ83*'Assumption Setting'!$E$109</f>
        <v>15.7131846675</v>
      </c>
      <c r="AR84" s="82" t="n">
        <f aca="false">AR83*'Assumption Setting'!$E$109</f>
        <v>15.7131846675</v>
      </c>
      <c r="AS84" s="82" t="n">
        <f aca="false">AS83*'Assumption Setting'!$E$109</f>
        <v>15.7131846675</v>
      </c>
      <c r="AT84" s="82" t="n">
        <f aca="false">AT83*'Assumption Setting'!$E$109</f>
        <v>15.7131846675</v>
      </c>
      <c r="AU84" s="82" t="n">
        <f aca="false">AU83*'Assumption Setting'!$E$109</f>
        <v>15.7131846675</v>
      </c>
      <c r="AV84" s="82" t="n">
        <f aca="false">AV83*'Assumption Setting'!$E$109</f>
        <v>15.7131846675</v>
      </c>
      <c r="AW84" s="82" t="n">
        <f aca="false">AW83*'Assumption Setting'!$E$109</f>
        <v>15.7131846675</v>
      </c>
      <c r="AX84" s="82" t="n">
        <f aca="false">AX83*'Assumption Setting'!$E$109</f>
        <v>15.7131846675</v>
      </c>
      <c r="AY84" s="82" t="n">
        <f aca="false">AY83*'Assumption Setting'!$E$109</f>
        <v>15.7131846675</v>
      </c>
      <c r="AZ84" s="82" t="n">
        <f aca="false">AZ83*'Assumption Setting'!$E$109</f>
        <v>15.7131846675</v>
      </c>
      <c r="BA84" s="82" t="n">
        <f aca="false">BA83*'Assumption Setting'!$E$109</f>
        <v>15.7131846675</v>
      </c>
      <c r="BB84" s="81" t="n">
        <f aca="false">SUM(BC84:BN84)</f>
        <v>249.98688433125</v>
      </c>
      <c r="BC84" s="82" t="n">
        <f aca="false">BC83*'Assumption Setting'!$E$109</f>
        <v>20.8322403609375</v>
      </c>
      <c r="BD84" s="82" t="n">
        <f aca="false">BD83*'Assumption Setting'!$E$109</f>
        <v>20.8322403609375</v>
      </c>
      <c r="BE84" s="82" t="n">
        <f aca="false">BE83*'Assumption Setting'!$E$109</f>
        <v>20.8322403609375</v>
      </c>
      <c r="BF84" s="82" t="n">
        <f aca="false">BF83*'Assumption Setting'!$E$109</f>
        <v>20.8322403609375</v>
      </c>
      <c r="BG84" s="82" t="n">
        <f aca="false">BG83*'Assumption Setting'!$E$109</f>
        <v>20.8322403609375</v>
      </c>
      <c r="BH84" s="82" t="n">
        <f aca="false">BH83*'Assumption Setting'!$E$109</f>
        <v>20.8322403609375</v>
      </c>
      <c r="BI84" s="82" t="n">
        <f aca="false">BI83*'Assumption Setting'!$E$109</f>
        <v>20.8322403609375</v>
      </c>
      <c r="BJ84" s="82" t="n">
        <f aca="false">BJ83*'Assumption Setting'!$E$109</f>
        <v>20.8322403609375</v>
      </c>
      <c r="BK84" s="82" t="n">
        <f aca="false">BK83*'Assumption Setting'!$E$109</f>
        <v>20.8322403609375</v>
      </c>
      <c r="BL84" s="82" t="n">
        <f aca="false">BL83*'Assumption Setting'!$E$109</f>
        <v>20.8322403609375</v>
      </c>
      <c r="BM84" s="82" t="n">
        <f aca="false">BM83*'Assumption Setting'!$E$109</f>
        <v>20.8322403609375</v>
      </c>
      <c r="BN84" s="82" t="n">
        <f aca="false">BN83*'Assumption Setting'!$E$109</f>
        <v>20.8322403609375</v>
      </c>
    </row>
    <row r="85" customFormat="false" ht="15" hidden="false" customHeight="false" outlineLevel="0" collapsed="false">
      <c r="A85" s="18" t="s">
        <v>653</v>
      </c>
      <c r="B85" s="81" t="n">
        <f aca="false">SUM(C85:N85)</f>
        <v>3.518757126</v>
      </c>
      <c r="C85" s="84" t="n">
        <f aca="true">IF((1-'Assumption Setting'!$G$109)&lt;1,0,OFFSET($A$84,0,2+13*INT(((1-'Assumption Setting'!$G$109)-1)/12)+MOD((1-'Assumption Setting'!$G$109)-1,12))*'Assumption Setting'!$F$109*'Assumption Setting'!$C$117)</f>
        <v>0</v>
      </c>
      <c r="D85" s="84" t="n">
        <f aca="true">IF((2-'Assumption Setting'!$G$109)&lt;1,0,OFFSET($A$84,0,2+13*INT(((2-'Assumption Setting'!$G$109)-1)/12)+MOD((2-'Assumption Setting'!$G$109)-1,12))*'Assumption Setting'!$F$109*'Assumption Setting'!$C$117)</f>
        <v>0</v>
      </c>
      <c r="E85" s="84" t="n">
        <f aca="true">IF((3-'Assumption Setting'!$G$109)&lt;1,0,OFFSET($A$84,0,2+13*INT(((3-'Assumption Setting'!$G$109)-1)/12)+MOD((3-'Assumption Setting'!$G$109)-1,12))*'Assumption Setting'!$F$109*'Assumption Setting'!$C$117)</f>
        <v>0</v>
      </c>
      <c r="F85" s="84" t="n">
        <f aca="true">IF((4-'Assumption Setting'!$G$109)&lt;1,0,OFFSET($A$84,0,2+13*INT(((4-'Assumption Setting'!$G$109)-1)/12)+MOD((4-'Assumption Setting'!$G$109)-1,12))*'Assumption Setting'!$F$109*'Assumption Setting'!$C$117)</f>
        <v>0</v>
      </c>
      <c r="G85" s="84" t="n">
        <f aca="true">IF((5-'Assumption Setting'!$G$109)&lt;1,0,OFFSET($A$84,0,2+13*INT(((5-'Assumption Setting'!$G$109)-1)/12)+MOD((5-'Assumption Setting'!$G$109)-1,12))*'Assumption Setting'!$F$109*'Assumption Setting'!$C$117)</f>
        <v>0.43984464075</v>
      </c>
      <c r="H85" s="84" t="n">
        <f aca="true">IF((6-'Assumption Setting'!$G$109)&lt;1,0,OFFSET($A$84,0,2+13*INT(((6-'Assumption Setting'!$G$109)-1)/12)+MOD((6-'Assumption Setting'!$G$109)-1,12))*'Assumption Setting'!$F$109*'Assumption Setting'!$C$117)</f>
        <v>0.43984464075</v>
      </c>
      <c r="I85" s="84" t="n">
        <f aca="true">IF((7-'Assumption Setting'!$G$109)&lt;1,0,OFFSET($A$84,0,2+13*INT(((7-'Assumption Setting'!$G$109)-1)/12)+MOD((7-'Assumption Setting'!$G$109)-1,12))*'Assumption Setting'!$F$109*'Assumption Setting'!$C$117)</f>
        <v>0.43984464075</v>
      </c>
      <c r="J85" s="84" t="n">
        <f aca="true">IF((8-'Assumption Setting'!$G$109)&lt;1,0,OFFSET($A$84,0,2+13*INT(((8-'Assumption Setting'!$G$109)-1)/12)+MOD((8-'Assumption Setting'!$G$109)-1,12))*'Assumption Setting'!$F$109*'Assumption Setting'!$C$117)</f>
        <v>0.43984464075</v>
      </c>
      <c r="K85" s="84" t="n">
        <f aca="true">IF((9-'Assumption Setting'!$G$109)&lt;1,0,OFFSET($A$84,0,2+13*INT(((9-'Assumption Setting'!$G$109)-1)/12)+MOD((9-'Assumption Setting'!$G$109)-1,12))*'Assumption Setting'!$F$109*'Assumption Setting'!$C$117)</f>
        <v>0.43984464075</v>
      </c>
      <c r="L85" s="84" t="n">
        <f aca="true">IF((10-'Assumption Setting'!$G$109)&lt;1,0,OFFSET($A$84,0,2+13*INT(((10-'Assumption Setting'!$G$109)-1)/12)+MOD((10-'Assumption Setting'!$G$109)-1,12))*'Assumption Setting'!$F$109*'Assumption Setting'!$C$117)</f>
        <v>0.43984464075</v>
      </c>
      <c r="M85" s="84" t="n">
        <f aca="true">IF((11-'Assumption Setting'!$G$109)&lt;1,0,OFFSET($A$84,0,2+13*INT(((11-'Assumption Setting'!$G$109)-1)/12)+MOD((11-'Assumption Setting'!$G$109)-1,12))*'Assumption Setting'!$F$109*'Assumption Setting'!$C$117)</f>
        <v>0.43984464075</v>
      </c>
      <c r="N85" s="84" t="n">
        <f aca="true">IF((12-'Assumption Setting'!$G$109)&lt;1,0,OFFSET($A$84,0,2+13*INT(((12-'Assumption Setting'!$G$109)-1)/12)+MOD((12-'Assumption Setting'!$G$109)-1,12))*'Assumption Setting'!$F$109*'Assumption Setting'!$C$117)</f>
        <v>0.43984464075</v>
      </c>
      <c r="O85" s="81" t="n">
        <f aca="false">SUM(P85:AA85)</f>
        <v>21.64998289545</v>
      </c>
      <c r="P85" s="84" t="n">
        <f aca="true">IF((13-'Assumption Setting'!$G$109)&lt;1,0,OFFSET($A$84,0,2+13*INT(((13-'Assumption Setting'!$G$109)-1)/12)+MOD((13-'Assumption Setting'!$G$109)-1,12))*'Assumption Setting'!$F$109*'Assumption Setting'!$D$117)</f>
        <v>0.5058213368625</v>
      </c>
      <c r="Q85" s="84" t="n">
        <f aca="true">IF((14-'Assumption Setting'!$G$109)&lt;1,0,OFFSET($A$84,0,2+13*INT(((14-'Assumption Setting'!$G$109)-1)/12)+MOD((14-'Assumption Setting'!$G$109)-1,12))*'Assumption Setting'!$F$109*'Assumption Setting'!$D$117)</f>
        <v>0.5058213368625</v>
      </c>
      <c r="R85" s="84" t="n">
        <f aca="true">IF((15-'Assumption Setting'!$G$109)&lt;1,0,OFFSET($A$84,0,2+13*INT(((15-'Assumption Setting'!$G$109)-1)/12)+MOD((15-'Assumption Setting'!$G$109)-1,12))*'Assumption Setting'!$F$109*'Assumption Setting'!$D$117)</f>
        <v>0.5058213368625</v>
      </c>
      <c r="S85" s="84" t="n">
        <f aca="true">IF((16-'Assumption Setting'!$G$109)&lt;1,0,OFFSET($A$84,0,2+13*INT(((16-'Assumption Setting'!$G$109)-1)/12)+MOD((16-'Assumption Setting'!$G$109)-1,12))*'Assumption Setting'!$F$109*'Assumption Setting'!$D$117)</f>
        <v>0.5058213368625</v>
      </c>
      <c r="T85" s="84" t="n">
        <f aca="true">IF((17-'Assumption Setting'!$G$109)&lt;1,0,OFFSET($A$84,0,2+13*INT(((17-'Assumption Setting'!$G$109)-1)/12)+MOD((17-'Assumption Setting'!$G$109)-1,12))*'Assumption Setting'!$F$109*'Assumption Setting'!$D$117)</f>
        <v>2.4533371935</v>
      </c>
      <c r="U85" s="84" t="n">
        <f aca="true">IF((18-'Assumption Setting'!$G$109)&lt;1,0,OFFSET($A$84,0,2+13*INT(((18-'Assumption Setting'!$G$109)-1)/12)+MOD((18-'Assumption Setting'!$G$109)-1,12))*'Assumption Setting'!$F$109*'Assumption Setting'!$D$117)</f>
        <v>2.4533371935</v>
      </c>
      <c r="V85" s="84" t="n">
        <f aca="true">IF((19-'Assumption Setting'!$G$109)&lt;1,0,OFFSET($A$84,0,2+13*INT(((19-'Assumption Setting'!$G$109)-1)/12)+MOD((19-'Assumption Setting'!$G$109)-1,12))*'Assumption Setting'!$F$109*'Assumption Setting'!$D$117)</f>
        <v>2.4533371935</v>
      </c>
      <c r="W85" s="84" t="n">
        <f aca="true">IF((20-'Assumption Setting'!$G$109)&lt;1,0,OFFSET($A$84,0,2+13*INT(((20-'Assumption Setting'!$G$109)-1)/12)+MOD((20-'Assumption Setting'!$G$109)-1,12))*'Assumption Setting'!$F$109*'Assumption Setting'!$D$117)</f>
        <v>2.4533371935</v>
      </c>
      <c r="X85" s="84" t="n">
        <f aca="true">IF((21-'Assumption Setting'!$G$109)&lt;1,0,OFFSET($A$84,0,2+13*INT(((21-'Assumption Setting'!$G$109)-1)/12)+MOD((21-'Assumption Setting'!$G$109)-1,12))*'Assumption Setting'!$F$109*'Assumption Setting'!$D$117)</f>
        <v>2.4533371935</v>
      </c>
      <c r="Y85" s="84" t="n">
        <f aca="true">IF((22-'Assumption Setting'!$G$109)&lt;1,0,OFFSET($A$84,0,2+13*INT(((22-'Assumption Setting'!$G$109)-1)/12)+MOD((22-'Assumption Setting'!$G$109)-1,12))*'Assumption Setting'!$F$109*'Assumption Setting'!$D$117)</f>
        <v>2.4533371935</v>
      </c>
      <c r="Z85" s="84" t="n">
        <f aca="true">IF((23-'Assumption Setting'!$G$109)&lt;1,0,OFFSET($A$84,0,2+13*INT(((23-'Assumption Setting'!$G$109)-1)/12)+MOD((23-'Assumption Setting'!$G$109)-1,12))*'Assumption Setting'!$F$109*'Assumption Setting'!$D$117)</f>
        <v>2.4533371935</v>
      </c>
      <c r="AA85" s="84" t="n">
        <f aca="true">IF((24-'Assumption Setting'!$G$109)&lt;1,0,OFFSET($A$84,0,2+13*INT(((24-'Assumption Setting'!$G$109)-1)/12)+MOD((24-'Assumption Setting'!$G$109)-1,12))*'Assumption Setting'!$F$109*'Assumption Setting'!$D$117)</f>
        <v>2.4533371935</v>
      </c>
      <c r="AB85" s="81" t="n">
        <f aca="false">SUM(AC85:AN85)</f>
        <v>58.8553249662</v>
      </c>
      <c r="AC85" s="84" t="n">
        <f aca="true">IF((25-'Assumption Setting'!$G$109)&lt;1,0,OFFSET($A$84,0,2+13*INT(((25-'Assumption Setting'!$G$109)-1)/12)+MOD((25-'Assumption Setting'!$G$109)-1,12))*'Assumption Setting'!$F$109*'Assumption Setting'!$E$117)</f>
        <v>2.8800045315</v>
      </c>
      <c r="AD85" s="84" t="n">
        <f aca="true">IF((26-'Assumption Setting'!$G$109)&lt;1,0,OFFSET($A$84,0,2+13*INT(((26-'Assumption Setting'!$G$109)-1)/12)+MOD((26-'Assumption Setting'!$G$109)-1,12))*'Assumption Setting'!$F$109*'Assumption Setting'!$E$117)</f>
        <v>2.8800045315</v>
      </c>
      <c r="AE85" s="84" t="n">
        <f aca="true">IF((27-'Assumption Setting'!$G$109)&lt;1,0,OFFSET($A$84,0,2+13*INT(((27-'Assumption Setting'!$G$109)-1)/12)+MOD((27-'Assumption Setting'!$G$109)-1,12))*'Assumption Setting'!$F$109*'Assumption Setting'!$E$117)</f>
        <v>2.8800045315</v>
      </c>
      <c r="AF85" s="84" t="n">
        <f aca="true">IF((28-'Assumption Setting'!$G$109)&lt;1,0,OFFSET($A$84,0,2+13*INT(((28-'Assumption Setting'!$G$109)-1)/12)+MOD((28-'Assumption Setting'!$G$109)-1,12))*'Assumption Setting'!$F$109*'Assumption Setting'!$E$117)</f>
        <v>2.8800045315</v>
      </c>
      <c r="AG85" s="84" t="n">
        <f aca="true">IF((29-'Assumption Setting'!$G$109)&lt;1,0,OFFSET($A$84,0,2+13*INT(((29-'Assumption Setting'!$G$109)-1)/12)+MOD((29-'Assumption Setting'!$G$109)-1,12))*'Assumption Setting'!$F$109*'Assumption Setting'!$E$117)</f>
        <v>5.916913355025</v>
      </c>
      <c r="AH85" s="84" t="n">
        <f aca="true">IF((30-'Assumption Setting'!$G$109)&lt;1,0,OFFSET($A$84,0,2+13*INT(((30-'Assumption Setting'!$G$109)-1)/12)+MOD((30-'Assumption Setting'!$G$109)-1,12))*'Assumption Setting'!$F$109*'Assumption Setting'!$E$117)</f>
        <v>5.916913355025</v>
      </c>
      <c r="AI85" s="84" t="n">
        <f aca="true">IF((31-'Assumption Setting'!$G$109)&lt;1,0,OFFSET($A$84,0,2+13*INT(((31-'Assumption Setting'!$G$109)-1)/12)+MOD((31-'Assumption Setting'!$G$109)-1,12))*'Assumption Setting'!$F$109*'Assumption Setting'!$E$117)</f>
        <v>5.916913355025</v>
      </c>
      <c r="AJ85" s="84" t="n">
        <f aca="true">IF((32-'Assumption Setting'!$G$109)&lt;1,0,OFFSET($A$84,0,2+13*INT(((32-'Assumption Setting'!$G$109)-1)/12)+MOD((32-'Assumption Setting'!$G$109)-1,12))*'Assumption Setting'!$F$109*'Assumption Setting'!$E$117)</f>
        <v>5.916913355025</v>
      </c>
      <c r="AK85" s="84" t="n">
        <f aca="true">IF((33-'Assumption Setting'!$G$109)&lt;1,0,OFFSET($A$84,0,2+13*INT(((33-'Assumption Setting'!$G$109)-1)/12)+MOD((33-'Assumption Setting'!$G$109)-1,12))*'Assumption Setting'!$F$109*'Assumption Setting'!$E$117)</f>
        <v>5.916913355025</v>
      </c>
      <c r="AL85" s="84" t="n">
        <f aca="true">IF((34-'Assumption Setting'!$G$109)&lt;1,0,OFFSET($A$84,0,2+13*INT(((34-'Assumption Setting'!$G$109)-1)/12)+MOD((34-'Assumption Setting'!$G$109)-1,12))*'Assumption Setting'!$F$109*'Assumption Setting'!$E$117)</f>
        <v>5.916913355025</v>
      </c>
      <c r="AM85" s="84" t="n">
        <f aca="true">IF((35-'Assumption Setting'!$G$109)&lt;1,0,OFFSET($A$84,0,2+13*INT(((35-'Assumption Setting'!$G$109)-1)/12)+MOD((35-'Assumption Setting'!$G$109)-1,12))*'Assumption Setting'!$F$109*'Assumption Setting'!$E$117)</f>
        <v>5.916913355025</v>
      </c>
      <c r="AN85" s="84" t="n">
        <f aca="true">IF((36-'Assumption Setting'!$G$109)&lt;1,0,OFFSET($A$84,0,2+13*INT(((36-'Assumption Setting'!$G$109)-1)/12)+MOD((36-'Assumption Setting'!$G$109)-1,12))*'Assumption Setting'!$F$109*'Assumption Setting'!$E$117)</f>
        <v>5.916913355025</v>
      </c>
      <c r="AO85" s="81" t="n">
        <f aca="false">SUM(AP85:BA85)</f>
        <v>98.3299897899</v>
      </c>
      <c r="AP85" s="84" t="n">
        <f aca="true">IF((37-'Assumption Setting'!$G$109)&lt;1,0,OFFSET($A$84,0,2+13*INT(((37-'Assumption Setting'!$G$109)-1)/12)+MOD((37-'Assumption Setting'!$G$109)-1,12))*'Assumption Setting'!$F$109*'Assumption Setting'!$F$117)</f>
        <v>6.355203233175</v>
      </c>
      <c r="AQ85" s="84" t="n">
        <f aca="true">IF((38-'Assumption Setting'!$G$109)&lt;1,0,OFFSET($A$84,0,2+13*INT(((38-'Assumption Setting'!$G$109)-1)/12)+MOD((38-'Assumption Setting'!$G$109)-1,12))*'Assumption Setting'!$F$109*'Assumption Setting'!$F$117)</f>
        <v>6.355203233175</v>
      </c>
      <c r="AR85" s="84" t="n">
        <f aca="true">IF((39-'Assumption Setting'!$G$109)&lt;1,0,OFFSET($A$84,0,2+13*INT(((39-'Assumption Setting'!$G$109)-1)/12)+MOD((39-'Assumption Setting'!$G$109)-1,12))*'Assumption Setting'!$F$109*'Assumption Setting'!$F$117)</f>
        <v>6.355203233175</v>
      </c>
      <c r="AS85" s="84" t="n">
        <f aca="true">IF((40-'Assumption Setting'!$G$109)&lt;1,0,OFFSET($A$84,0,2+13*INT(((40-'Assumption Setting'!$G$109)-1)/12)+MOD((40-'Assumption Setting'!$G$109)-1,12))*'Assumption Setting'!$F$109*'Assumption Setting'!$F$117)</f>
        <v>6.355203233175</v>
      </c>
      <c r="AT85" s="84" t="n">
        <f aca="true">IF((41-'Assumption Setting'!$G$109)&lt;1,0,OFFSET($A$84,0,2+13*INT(((41-'Assumption Setting'!$G$109)-1)/12)+MOD((41-'Assumption Setting'!$G$109)-1,12))*'Assumption Setting'!$F$109*'Assumption Setting'!$F$117)</f>
        <v>9.11364710715</v>
      </c>
      <c r="AU85" s="84" t="n">
        <f aca="true">IF((42-'Assumption Setting'!$G$109)&lt;1,0,OFFSET($A$84,0,2+13*INT(((42-'Assumption Setting'!$G$109)-1)/12)+MOD((42-'Assumption Setting'!$G$109)-1,12))*'Assumption Setting'!$F$109*'Assumption Setting'!$F$117)</f>
        <v>9.11364710715</v>
      </c>
      <c r="AV85" s="84" t="n">
        <f aca="true">IF((43-'Assumption Setting'!$G$109)&lt;1,0,OFFSET($A$84,0,2+13*INT(((43-'Assumption Setting'!$G$109)-1)/12)+MOD((43-'Assumption Setting'!$G$109)-1,12))*'Assumption Setting'!$F$109*'Assumption Setting'!$F$117)</f>
        <v>9.11364710715</v>
      </c>
      <c r="AW85" s="84" t="n">
        <f aca="true">IF((44-'Assumption Setting'!$G$109)&lt;1,0,OFFSET($A$84,0,2+13*INT(((44-'Assumption Setting'!$G$109)-1)/12)+MOD((44-'Assumption Setting'!$G$109)-1,12))*'Assumption Setting'!$F$109*'Assumption Setting'!$F$117)</f>
        <v>9.11364710715</v>
      </c>
      <c r="AX85" s="84" t="n">
        <f aca="true">IF((45-'Assumption Setting'!$G$109)&lt;1,0,OFFSET($A$84,0,2+13*INT(((45-'Assumption Setting'!$G$109)-1)/12)+MOD((45-'Assumption Setting'!$G$109)-1,12))*'Assumption Setting'!$F$109*'Assumption Setting'!$F$117)</f>
        <v>9.11364710715</v>
      </c>
      <c r="AY85" s="84" t="n">
        <f aca="true">IF((46-'Assumption Setting'!$G$109)&lt;1,0,OFFSET($A$84,0,2+13*INT(((46-'Assumption Setting'!$G$109)-1)/12)+MOD((46-'Assumption Setting'!$G$109)-1,12))*'Assumption Setting'!$F$109*'Assumption Setting'!$F$117)</f>
        <v>9.11364710715</v>
      </c>
      <c r="AZ85" s="84" t="n">
        <f aca="true">IF((47-'Assumption Setting'!$G$109)&lt;1,0,OFFSET($A$84,0,2+13*INT(((47-'Assumption Setting'!$G$109)-1)/12)+MOD((47-'Assumption Setting'!$G$109)-1,12))*'Assumption Setting'!$F$109*'Assumption Setting'!$F$117)</f>
        <v>9.11364710715</v>
      </c>
      <c r="BA85" s="84" t="n">
        <f aca="true">IF((48-'Assumption Setting'!$G$109)&lt;1,0,OFFSET($A$84,0,2+13*INT(((48-'Assumption Setting'!$G$109)-1)/12)+MOD((48-'Assumption Setting'!$G$109)-1,12))*'Assumption Setting'!$F$109*'Assumption Setting'!$F$117)</f>
        <v>9.11364710715</v>
      </c>
      <c r="BB85" s="81" t="n">
        <f aca="false">SUM(BC85:BN85)</f>
        <v>137.7063969345</v>
      </c>
      <c r="BC85" s="84" t="n">
        <f aca="true">IF((49-'Assumption Setting'!$G$109)&lt;1,0,OFFSET($A$84,0,2+13*INT(((49-'Assumption Setting'!$G$109)-1)/12)+MOD((49-'Assumption Setting'!$G$109)-1,12))*'Assumption Setting'!$F$109*'Assumption Setting'!$G$117)</f>
        <v>9.4279108005</v>
      </c>
      <c r="BD85" s="84" t="n">
        <f aca="true">IF((50-'Assumption Setting'!$G$109)&lt;1,0,OFFSET($A$84,0,2+13*INT(((50-'Assumption Setting'!$G$109)-1)/12)+MOD((50-'Assumption Setting'!$G$109)-1,12))*'Assumption Setting'!$F$109*'Assumption Setting'!$G$117)</f>
        <v>9.4279108005</v>
      </c>
      <c r="BE85" s="84" t="n">
        <f aca="true">IF((51-'Assumption Setting'!$G$109)&lt;1,0,OFFSET($A$84,0,2+13*INT(((51-'Assumption Setting'!$G$109)-1)/12)+MOD((51-'Assumption Setting'!$G$109)-1,12))*'Assumption Setting'!$F$109*'Assumption Setting'!$G$117)</f>
        <v>9.4279108005</v>
      </c>
      <c r="BF85" s="84" t="n">
        <f aca="true">IF((52-'Assumption Setting'!$G$109)&lt;1,0,OFFSET($A$84,0,2+13*INT(((52-'Assumption Setting'!$G$109)-1)/12)+MOD((52-'Assumption Setting'!$G$109)-1,12))*'Assumption Setting'!$F$109*'Assumption Setting'!$G$117)</f>
        <v>9.4279108005</v>
      </c>
      <c r="BG85" s="84" t="n">
        <f aca="true">IF((53-'Assumption Setting'!$G$109)&lt;1,0,OFFSET($A$84,0,2+13*INT(((53-'Assumption Setting'!$G$109)-1)/12)+MOD((53-'Assumption Setting'!$G$109)-1,12))*'Assumption Setting'!$F$109*'Assumption Setting'!$G$117)</f>
        <v>12.4993442165625</v>
      </c>
      <c r="BH85" s="84" t="n">
        <f aca="true">IF((54-'Assumption Setting'!$G$109)&lt;1,0,OFFSET($A$84,0,2+13*INT(((54-'Assumption Setting'!$G$109)-1)/12)+MOD((54-'Assumption Setting'!$G$109)-1,12))*'Assumption Setting'!$F$109*'Assumption Setting'!$G$117)</f>
        <v>12.4993442165625</v>
      </c>
      <c r="BI85" s="84" t="n">
        <f aca="true">IF((55-'Assumption Setting'!$G$109)&lt;1,0,OFFSET($A$84,0,2+13*INT(((55-'Assumption Setting'!$G$109)-1)/12)+MOD((55-'Assumption Setting'!$G$109)-1,12))*'Assumption Setting'!$F$109*'Assumption Setting'!$G$117)</f>
        <v>12.4993442165625</v>
      </c>
      <c r="BJ85" s="84" t="n">
        <f aca="true">IF((56-'Assumption Setting'!$G$109)&lt;1,0,OFFSET($A$84,0,2+13*INT(((56-'Assumption Setting'!$G$109)-1)/12)+MOD((56-'Assumption Setting'!$G$109)-1,12))*'Assumption Setting'!$F$109*'Assumption Setting'!$G$117)</f>
        <v>12.4993442165625</v>
      </c>
      <c r="BK85" s="84" t="n">
        <f aca="true">IF((57-'Assumption Setting'!$G$109)&lt;1,0,OFFSET($A$84,0,2+13*INT(((57-'Assumption Setting'!$G$109)-1)/12)+MOD((57-'Assumption Setting'!$G$109)-1,12))*'Assumption Setting'!$F$109*'Assumption Setting'!$G$117)</f>
        <v>12.4993442165625</v>
      </c>
      <c r="BL85" s="84" t="n">
        <f aca="true">IF((58-'Assumption Setting'!$G$109)&lt;1,0,OFFSET($A$84,0,2+13*INT(((58-'Assumption Setting'!$G$109)-1)/12)+MOD((58-'Assumption Setting'!$G$109)-1,12))*'Assumption Setting'!$F$109*'Assumption Setting'!$G$117)</f>
        <v>12.4993442165625</v>
      </c>
      <c r="BM85" s="84" t="n">
        <f aca="true">IF((59-'Assumption Setting'!$G$109)&lt;1,0,OFFSET($A$84,0,2+13*INT(((59-'Assumption Setting'!$G$109)-1)/12)+MOD((59-'Assumption Setting'!$G$109)-1,12))*'Assumption Setting'!$F$109*'Assumption Setting'!$G$117)</f>
        <v>12.4993442165625</v>
      </c>
      <c r="BN85" s="84" t="n">
        <f aca="true">IF((60-'Assumption Setting'!$G$109)&lt;1,0,OFFSET($A$84,0,2+13*INT(((60-'Assumption Setting'!$G$109)-1)/12)+MOD((60-'Assumption Setting'!$G$109)-1,12))*'Assumption Setting'!$F$109*'Assumption Setting'!$G$117)</f>
        <v>12.4993442165625</v>
      </c>
    </row>
    <row r="86" customFormat="false" ht="15" hidden="false" customHeight="false" outlineLevel="0" collapsed="false">
      <c r="A86" s="18" t="s">
        <v>380</v>
      </c>
      <c r="B86" s="81" t="n">
        <f aca="false">SUM(C86:N86)</f>
        <v>17.7715006363636</v>
      </c>
      <c r="C86" s="84" t="n">
        <f aca="false">C81*'Assumption Setting'!$C$110</f>
        <v>1.48095838636364</v>
      </c>
      <c r="D86" s="84" t="n">
        <f aca="false">D81*'Assumption Setting'!$C$110</f>
        <v>1.48095838636364</v>
      </c>
      <c r="E86" s="84" t="n">
        <f aca="false">E81*'Assumption Setting'!$C$110</f>
        <v>1.48095838636364</v>
      </c>
      <c r="F86" s="84" t="n">
        <f aca="false">F81*'Assumption Setting'!$C$110</f>
        <v>1.48095838636364</v>
      </c>
      <c r="G86" s="84" t="n">
        <f aca="false">G81*'Assumption Setting'!$C$110</f>
        <v>1.48095838636364</v>
      </c>
      <c r="H86" s="84" t="n">
        <f aca="false">H81*'Assumption Setting'!$C$110</f>
        <v>1.48095838636364</v>
      </c>
      <c r="I86" s="84" t="n">
        <f aca="false">I81*'Assumption Setting'!$C$110</f>
        <v>1.48095838636364</v>
      </c>
      <c r="J86" s="84" t="n">
        <f aca="false">J81*'Assumption Setting'!$C$110</f>
        <v>1.48095838636364</v>
      </c>
      <c r="K86" s="84" t="n">
        <f aca="false">K81*'Assumption Setting'!$C$110</f>
        <v>1.48095838636364</v>
      </c>
      <c r="L86" s="84" t="n">
        <f aca="false">L81*'Assumption Setting'!$C$110</f>
        <v>1.48095838636364</v>
      </c>
      <c r="M86" s="84" t="n">
        <f aca="false">M81*'Assumption Setting'!$C$110</f>
        <v>1.48095838636364</v>
      </c>
      <c r="N86" s="84" t="n">
        <f aca="false">N81*'Assumption Setting'!$C$110</f>
        <v>1.48095838636364</v>
      </c>
      <c r="O86" s="81" t="n">
        <f aca="false">SUM(P86:AA86)</f>
        <v>86.1954218181818</v>
      </c>
      <c r="P86" s="84" t="n">
        <f aca="false">P81*'Assumption Setting'!$C$110</f>
        <v>7.18295181818182</v>
      </c>
      <c r="Q86" s="84" t="n">
        <f aca="false">Q81*'Assumption Setting'!$C$110</f>
        <v>7.18295181818182</v>
      </c>
      <c r="R86" s="84" t="n">
        <f aca="false">R81*'Assumption Setting'!$C$110</f>
        <v>7.18295181818182</v>
      </c>
      <c r="S86" s="84" t="n">
        <f aca="false">S81*'Assumption Setting'!$C$110</f>
        <v>7.18295181818182</v>
      </c>
      <c r="T86" s="84" t="n">
        <f aca="false">T81*'Assumption Setting'!$C$110</f>
        <v>7.18295181818182</v>
      </c>
      <c r="U86" s="84" t="n">
        <f aca="false">U81*'Assumption Setting'!$C$110</f>
        <v>7.18295181818182</v>
      </c>
      <c r="V86" s="84" t="n">
        <f aca="false">V81*'Assumption Setting'!$C$110</f>
        <v>7.18295181818182</v>
      </c>
      <c r="W86" s="84" t="n">
        <f aca="false">W81*'Assumption Setting'!$C$110</f>
        <v>7.18295181818182</v>
      </c>
      <c r="X86" s="84" t="n">
        <f aca="false">X81*'Assumption Setting'!$C$110</f>
        <v>7.18295181818182</v>
      </c>
      <c r="Y86" s="84" t="n">
        <f aca="false">Y81*'Assumption Setting'!$C$110</f>
        <v>7.18295181818182</v>
      </c>
      <c r="Z86" s="84" t="n">
        <f aca="false">Z81*'Assumption Setting'!$C$110</f>
        <v>7.18295181818182</v>
      </c>
      <c r="AA86" s="84" t="n">
        <f aca="false">AA81*'Assumption Setting'!$C$110</f>
        <v>7.18295181818182</v>
      </c>
      <c r="AB86" s="81" t="n">
        <f aca="false">SUM(AC86:AN86)</f>
        <v>177.086819454545</v>
      </c>
      <c r="AC86" s="84" t="n">
        <f aca="false">AC81*'Assumption Setting'!$C$110</f>
        <v>14.7572349545455</v>
      </c>
      <c r="AD86" s="84" t="n">
        <f aca="false">AD81*'Assumption Setting'!$C$110</f>
        <v>14.7572349545455</v>
      </c>
      <c r="AE86" s="84" t="n">
        <f aca="false">AE81*'Assumption Setting'!$C$110</f>
        <v>14.7572349545455</v>
      </c>
      <c r="AF86" s="84" t="n">
        <f aca="false">AF81*'Assumption Setting'!$C$110</f>
        <v>14.7572349545455</v>
      </c>
      <c r="AG86" s="84" t="n">
        <f aca="false">AG81*'Assumption Setting'!$C$110</f>
        <v>14.7572349545455</v>
      </c>
      <c r="AH86" s="84" t="n">
        <f aca="false">AH81*'Assumption Setting'!$C$110</f>
        <v>14.7572349545455</v>
      </c>
      <c r="AI86" s="84" t="n">
        <f aca="false">AI81*'Assumption Setting'!$C$110</f>
        <v>14.7572349545455</v>
      </c>
      <c r="AJ86" s="84" t="n">
        <f aca="false">AJ81*'Assumption Setting'!$C$110</f>
        <v>14.7572349545455</v>
      </c>
      <c r="AK86" s="84" t="n">
        <f aca="false">AK81*'Assumption Setting'!$C$110</f>
        <v>14.7572349545455</v>
      </c>
      <c r="AL86" s="84" t="n">
        <f aca="false">AL81*'Assumption Setting'!$C$110</f>
        <v>14.7572349545455</v>
      </c>
      <c r="AM86" s="84" t="n">
        <f aca="false">AM81*'Assumption Setting'!$C$110</f>
        <v>14.7572349545455</v>
      </c>
      <c r="AN86" s="84" t="n">
        <f aca="false">AN81*'Assumption Setting'!$C$110</f>
        <v>14.7572349545455</v>
      </c>
      <c r="AO86" s="81" t="n">
        <f aca="false">SUM(AP86:BA86)</f>
        <v>253.950459272727</v>
      </c>
      <c r="AP86" s="84" t="n">
        <f aca="false">AP81*'Assumption Setting'!$C$110</f>
        <v>21.1625382727273</v>
      </c>
      <c r="AQ86" s="84" t="n">
        <f aca="false">AQ81*'Assumption Setting'!$C$110</f>
        <v>21.1625382727273</v>
      </c>
      <c r="AR86" s="84" t="n">
        <f aca="false">AR81*'Assumption Setting'!$C$110</f>
        <v>21.1625382727273</v>
      </c>
      <c r="AS86" s="84" t="n">
        <f aca="false">AS81*'Assumption Setting'!$C$110</f>
        <v>21.1625382727273</v>
      </c>
      <c r="AT86" s="84" t="n">
        <f aca="false">AT81*'Assumption Setting'!$C$110</f>
        <v>21.1625382727273</v>
      </c>
      <c r="AU86" s="84" t="n">
        <f aca="false">AU81*'Assumption Setting'!$C$110</f>
        <v>21.1625382727273</v>
      </c>
      <c r="AV86" s="84" t="n">
        <f aca="false">AV81*'Assumption Setting'!$C$110</f>
        <v>21.1625382727273</v>
      </c>
      <c r="AW86" s="84" t="n">
        <f aca="false">AW81*'Assumption Setting'!$C$110</f>
        <v>21.1625382727273</v>
      </c>
      <c r="AX86" s="84" t="n">
        <f aca="false">AX81*'Assumption Setting'!$C$110</f>
        <v>21.1625382727273</v>
      </c>
      <c r="AY86" s="84" t="n">
        <f aca="false">AY81*'Assumption Setting'!$C$110</f>
        <v>21.1625382727273</v>
      </c>
      <c r="AZ86" s="84" t="n">
        <f aca="false">AZ81*'Assumption Setting'!$C$110</f>
        <v>21.1625382727273</v>
      </c>
      <c r="BA86" s="84" t="n">
        <f aca="false">BA81*'Assumption Setting'!$C$110</f>
        <v>21.1625382727273</v>
      </c>
      <c r="BB86" s="81" t="n">
        <f aca="false">SUM(BC86:BN86)</f>
        <v>336.6826725</v>
      </c>
      <c r="BC86" s="84" t="n">
        <f aca="false">BC81*'Assumption Setting'!$C$110</f>
        <v>28.056889375</v>
      </c>
      <c r="BD86" s="84" t="n">
        <f aca="false">BD81*'Assumption Setting'!$C$110</f>
        <v>28.056889375</v>
      </c>
      <c r="BE86" s="84" t="n">
        <f aca="false">BE81*'Assumption Setting'!$C$110</f>
        <v>28.056889375</v>
      </c>
      <c r="BF86" s="84" t="n">
        <f aca="false">BF81*'Assumption Setting'!$C$110</f>
        <v>28.056889375</v>
      </c>
      <c r="BG86" s="84" t="n">
        <f aca="false">BG81*'Assumption Setting'!$C$110</f>
        <v>28.056889375</v>
      </c>
      <c r="BH86" s="84" t="n">
        <f aca="false">BH81*'Assumption Setting'!$C$110</f>
        <v>28.056889375</v>
      </c>
      <c r="BI86" s="84" t="n">
        <f aca="false">BI81*'Assumption Setting'!$C$110</f>
        <v>28.056889375</v>
      </c>
      <c r="BJ86" s="84" t="n">
        <f aca="false">BJ81*'Assumption Setting'!$C$110</f>
        <v>28.056889375</v>
      </c>
      <c r="BK86" s="84" t="n">
        <f aca="false">BK81*'Assumption Setting'!$C$110</f>
        <v>28.056889375</v>
      </c>
      <c r="BL86" s="84" t="n">
        <f aca="false">BL81*'Assumption Setting'!$C$110</f>
        <v>28.056889375</v>
      </c>
      <c r="BM86" s="84" t="n">
        <f aca="false">BM81*'Assumption Setting'!$C$110</f>
        <v>28.056889375</v>
      </c>
      <c r="BN86" s="84" t="n">
        <f aca="false">BN81*'Assumption Setting'!$C$110</f>
        <v>28.056889375</v>
      </c>
    </row>
    <row r="87" customFormat="false" ht="15" hidden="false" customHeight="false" outlineLevel="0" collapsed="false">
      <c r="A87" s="12" t="s">
        <v>651</v>
      </c>
      <c r="B87" s="81" t="n">
        <f aca="false">SUM(C87:N87)</f>
        <v>7.10860025454545</v>
      </c>
      <c r="C87" s="82" t="n">
        <f aca="false">C86*'Assumption Setting'!$D$110</f>
        <v>0.592383354545455</v>
      </c>
      <c r="D87" s="82" t="n">
        <f aca="false">D86*'Assumption Setting'!$D$110</f>
        <v>0.592383354545455</v>
      </c>
      <c r="E87" s="82" t="n">
        <f aca="false">E86*'Assumption Setting'!$D$110</f>
        <v>0.592383354545455</v>
      </c>
      <c r="F87" s="82" t="n">
        <f aca="false">F86*'Assumption Setting'!$D$110</f>
        <v>0.592383354545455</v>
      </c>
      <c r="G87" s="82" t="n">
        <f aca="false">G86*'Assumption Setting'!$D$110</f>
        <v>0.592383354545455</v>
      </c>
      <c r="H87" s="82" t="n">
        <f aca="false">H86*'Assumption Setting'!$D$110</f>
        <v>0.592383354545455</v>
      </c>
      <c r="I87" s="82" t="n">
        <f aca="false">I86*'Assumption Setting'!$D$110</f>
        <v>0.592383354545455</v>
      </c>
      <c r="J87" s="82" t="n">
        <f aca="false">J86*'Assumption Setting'!$D$110</f>
        <v>0.592383354545455</v>
      </c>
      <c r="K87" s="82" t="n">
        <f aca="false">K86*'Assumption Setting'!$D$110</f>
        <v>0.592383354545455</v>
      </c>
      <c r="L87" s="82" t="n">
        <f aca="false">L86*'Assumption Setting'!$D$110</f>
        <v>0.592383354545455</v>
      </c>
      <c r="M87" s="82" t="n">
        <f aca="false">M86*'Assumption Setting'!$D$110</f>
        <v>0.592383354545455</v>
      </c>
      <c r="N87" s="82" t="n">
        <f aca="false">N86*'Assumption Setting'!$D$110</f>
        <v>0.592383354545455</v>
      </c>
      <c r="O87" s="81" t="n">
        <f aca="false">SUM(P87:AA87)</f>
        <v>34.4781687272727</v>
      </c>
      <c r="P87" s="82" t="n">
        <f aca="false">P86*'Assumption Setting'!$D$110</f>
        <v>2.87318072727273</v>
      </c>
      <c r="Q87" s="82" t="n">
        <f aca="false">Q86*'Assumption Setting'!$D$110</f>
        <v>2.87318072727273</v>
      </c>
      <c r="R87" s="82" t="n">
        <f aca="false">R86*'Assumption Setting'!$D$110</f>
        <v>2.87318072727273</v>
      </c>
      <c r="S87" s="82" t="n">
        <f aca="false">S86*'Assumption Setting'!$D$110</f>
        <v>2.87318072727273</v>
      </c>
      <c r="T87" s="82" t="n">
        <f aca="false">T86*'Assumption Setting'!$D$110</f>
        <v>2.87318072727273</v>
      </c>
      <c r="U87" s="82" t="n">
        <f aca="false">U86*'Assumption Setting'!$D$110</f>
        <v>2.87318072727273</v>
      </c>
      <c r="V87" s="82" t="n">
        <f aca="false">V86*'Assumption Setting'!$D$110</f>
        <v>2.87318072727273</v>
      </c>
      <c r="W87" s="82" t="n">
        <f aca="false">W86*'Assumption Setting'!$D$110</f>
        <v>2.87318072727273</v>
      </c>
      <c r="X87" s="82" t="n">
        <f aca="false">X86*'Assumption Setting'!$D$110</f>
        <v>2.87318072727273</v>
      </c>
      <c r="Y87" s="82" t="n">
        <f aca="false">Y86*'Assumption Setting'!$D$110</f>
        <v>2.87318072727273</v>
      </c>
      <c r="Z87" s="82" t="n">
        <f aca="false">Z86*'Assumption Setting'!$D$110</f>
        <v>2.87318072727273</v>
      </c>
      <c r="AA87" s="82" t="n">
        <f aca="false">AA86*'Assumption Setting'!$D$110</f>
        <v>2.87318072727273</v>
      </c>
      <c r="AB87" s="81" t="n">
        <f aca="false">SUM(AC87:AN87)</f>
        <v>70.8347277818182</v>
      </c>
      <c r="AC87" s="82" t="n">
        <f aca="false">AC86*'Assumption Setting'!$D$110</f>
        <v>5.90289398181818</v>
      </c>
      <c r="AD87" s="82" t="n">
        <f aca="false">AD86*'Assumption Setting'!$D$110</f>
        <v>5.90289398181818</v>
      </c>
      <c r="AE87" s="82" t="n">
        <f aca="false">AE86*'Assumption Setting'!$D$110</f>
        <v>5.90289398181818</v>
      </c>
      <c r="AF87" s="82" t="n">
        <f aca="false">AF86*'Assumption Setting'!$D$110</f>
        <v>5.90289398181818</v>
      </c>
      <c r="AG87" s="82" t="n">
        <f aca="false">AG86*'Assumption Setting'!$D$110</f>
        <v>5.90289398181818</v>
      </c>
      <c r="AH87" s="82" t="n">
        <f aca="false">AH86*'Assumption Setting'!$D$110</f>
        <v>5.90289398181818</v>
      </c>
      <c r="AI87" s="82" t="n">
        <f aca="false">AI86*'Assumption Setting'!$D$110</f>
        <v>5.90289398181818</v>
      </c>
      <c r="AJ87" s="82" t="n">
        <f aca="false">AJ86*'Assumption Setting'!$D$110</f>
        <v>5.90289398181818</v>
      </c>
      <c r="AK87" s="82" t="n">
        <f aca="false">AK86*'Assumption Setting'!$D$110</f>
        <v>5.90289398181818</v>
      </c>
      <c r="AL87" s="82" t="n">
        <f aca="false">AL86*'Assumption Setting'!$D$110</f>
        <v>5.90289398181818</v>
      </c>
      <c r="AM87" s="82" t="n">
        <f aca="false">AM86*'Assumption Setting'!$D$110</f>
        <v>5.90289398181818</v>
      </c>
      <c r="AN87" s="82" t="n">
        <f aca="false">AN86*'Assumption Setting'!$D$110</f>
        <v>5.90289398181818</v>
      </c>
      <c r="AO87" s="81" t="n">
        <f aca="false">SUM(AP87:BA87)</f>
        <v>101.580183709091</v>
      </c>
      <c r="AP87" s="82" t="n">
        <f aca="false">AP86*'Assumption Setting'!$D$110</f>
        <v>8.46501530909091</v>
      </c>
      <c r="AQ87" s="82" t="n">
        <f aca="false">AQ86*'Assumption Setting'!$D$110</f>
        <v>8.46501530909091</v>
      </c>
      <c r="AR87" s="82" t="n">
        <f aca="false">AR86*'Assumption Setting'!$D$110</f>
        <v>8.46501530909091</v>
      </c>
      <c r="AS87" s="82" t="n">
        <f aca="false">AS86*'Assumption Setting'!$D$110</f>
        <v>8.46501530909091</v>
      </c>
      <c r="AT87" s="82" t="n">
        <f aca="false">AT86*'Assumption Setting'!$D$110</f>
        <v>8.46501530909091</v>
      </c>
      <c r="AU87" s="82" t="n">
        <f aca="false">AU86*'Assumption Setting'!$D$110</f>
        <v>8.46501530909091</v>
      </c>
      <c r="AV87" s="82" t="n">
        <f aca="false">AV86*'Assumption Setting'!$D$110</f>
        <v>8.46501530909091</v>
      </c>
      <c r="AW87" s="82" t="n">
        <f aca="false">AW86*'Assumption Setting'!$D$110</f>
        <v>8.46501530909091</v>
      </c>
      <c r="AX87" s="82" t="n">
        <f aca="false">AX86*'Assumption Setting'!$D$110</f>
        <v>8.46501530909091</v>
      </c>
      <c r="AY87" s="82" t="n">
        <f aca="false">AY86*'Assumption Setting'!$D$110</f>
        <v>8.46501530909091</v>
      </c>
      <c r="AZ87" s="82" t="n">
        <f aca="false">AZ86*'Assumption Setting'!$D$110</f>
        <v>8.46501530909091</v>
      </c>
      <c r="BA87" s="82" t="n">
        <f aca="false">BA86*'Assumption Setting'!$D$110</f>
        <v>8.46501530909091</v>
      </c>
      <c r="BB87" s="81" t="n">
        <f aca="false">SUM(BC87:BN87)</f>
        <v>134.673069</v>
      </c>
      <c r="BC87" s="82" t="n">
        <f aca="false">BC86*'Assumption Setting'!$D$110</f>
        <v>11.22275575</v>
      </c>
      <c r="BD87" s="82" t="n">
        <f aca="false">BD86*'Assumption Setting'!$D$110</f>
        <v>11.22275575</v>
      </c>
      <c r="BE87" s="82" t="n">
        <f aca="false">BE86*'Assumption Setting'!$D$110</f>
        <v>11.22275575</v>
      </c>
      <c r="BF87" s="82" t="n">
        <f aca="false">BF86*'Assumption Setting'!$D$110</f>
        <v>11.22275575</v>
      </c>
      <c r="BG87" s="82" t="n">
        <f aca="false">BG86*'Assumption Setting'!$D$110</f>
        <v>11.22275575</v>
      </c>
      <c r="BH87" s="82" t="n">
        <f aca="false">BH86*'Assumption Setting'!$D$110</f>
        <v>11.22275575</v>
      </c>
      <c r="BI87" s="82" t="n">
        <f aca="false">BI86*'Assumption Setting'!$D$110</f>
        <v>11.22275575</v>
      </c>
      <c r="BJ87" s="82" t="n">
        <f aca="false">BJ86*'Assumption Setting'!$D$110</f>
        <v>11.22275575</v>
      </c>
      <c r="BK87" s="82" t="n">
        <f aca="false">BK86*'Assumption Setting'!$D$110</f>
        <v>11.22275575</v>
      </c>
      <c r="BL87" s="82" t="n">
        <f aca="false">BL86*'Assumption Setting'!$D$110</f>
        <v>11.22275575</v>
      </c>
      <c r="BM87" s="82" t="n">
        <f aca="false">BM86*'Assumption Setting'!$D$110</f>
        <v>11.22275575</v>
      </c>
      <c r="BN87" s="82" t="n">
        <f aca="false">BN86*'Assumption Setting'!$D$110</f>
        <v>11.22275575</v>
      </c>
    </row>
    <row r="88" customFormat="false" ht="15" hidden="false" customHeight="false" outlineLevel="0" collapsed="false">
      <c r="A88" s="12" t="s">
        <v>652</v>
      </c>
      <c r="B88" s="81" t="n">
        <f aca="false">SUM(C88:N88)</f>
        <v>3.55430012727273</v>
      </c>
      <c r="C88" s="82" t="n">
        <f aca="false">C87*'Assumption Setting'!$E$110</f>
        <v>0.296191677272727</v>
      </c>
      <c r="D88" s="82" t="n">
        <f aca="false">D87*'Assumption Setting'!$E$110</f>
        <v>0.296191677272727</v>
      </c>
      <c r="E88" s="82" t="n">
        <f aca="false">E87*'Assumption Setting'!$E$110</f>
        <v>0.296191677272727</v>
      </c>
      <c r="F88" s="82" t="n">
        <f aca="false">F87*'Assumption Setting'!$E$110</f>
        <v>0.296191677272727</v>
      </c>
      <c r="G88" s="82" t="n">
        <f aca="false">G87*'Assumption Setting'!$E$110</f>
        <v>0.296191677272727</v>
      </c>
      <c r="H88" s="82" t="n">
        <f aca="false">H87*'Assumption Setting'!$E$110</f>
        <v>0.296191677272727</v>
      </c>
      <c r="I88" s="82" t="n">
        <f aca="false">I87*'Assumption Setting'!$E$110</f>
        <v>0.296191677272727</v>
      </c>
      <c r="J88" s="82" t="n">
        <f aca="false">J87*'Assumption Setting'!$E$110</f>
        <v>0.296191677272727</v>
      </c>
      <c r="K88" s="82" t="n">
        <f aca="false">K87*'Assumption Setting'!$E$110</f>
        <v>0.296191677272727</v>
      </c>
      <c r="L88" s="82" t="n">
        <f aca="false">L87*'Assumption Setting'!$E$110</f>
        <v>0.296191677272727</v>
      </c>
      <c r="M88" s="82" t="n">
        <f aca="false">M87*'Assumption Setting'!$E$110</f>
        <v>0.296191677272727</v>
      </c>
      <c r="N88" s="82" t="n">
        <f aca="false">N87*'Assumption Setting'!$E$110</f>
        <v>0.296191677272727</v>
      </c>
      <c r="O88" s="81" t="n">
        <f aca="false">SUM(P88:AA88)</f>
        <v>17.2390843636364</v>
      </c>
      <c r="P88" s="82" t="n">
        <f aca="false">P87*'Assumption Setting'!$E$110</f>
        <v>1.43659036363636</v>
      </c>
      <c r="Q88" s="82" t="n">
        <f aca="false">Q87*'Assumption Setting'!$E$110</f>
        <v>1.43659036363636</v>
      </c>
      <c r="R88" s="82" t="n">
        <f aca="false">R87*'Assumption Setting'!$E$110</f>
        <v>1.43659036363636</v>
      </c>
      <c r="S88" s="82" t="n">
        <f aca="false">S87*'Assumption Setting'!$E$110</f>
        <v>1.43659036363636</v>
      </c>
      <c r="T88" s="82" t="n">
        <f aca="false">T87*'Assumption Setting'!$E$110</f>
        <v>1.43659036363636</v>
      </c>
      <c r="U88" s="82" t="n">
        <f aca="false">U87*'Assumption Setting'!$E$110</f>
        <v>1.43659036363636</v>
      </c>
      <c r="V88" s="82" t="n">
        <f aca="false">V87*'Assumption Setting'!$E$110</f>
        <v>1.43659036363636</v>
      </c>
      <c r="W88" s="82" t="n">
        <f aca="false">W87*'Assumption Setting'!$E$110</f>
        <v>1.43659036363636</v>
      </c>
      <c r="X88" s="82" t="n">
        <f aca="false">X87*'Assumption Setting'!$E$110</f>
        <v>1.43659036363636</v>
      </c>
      <c r="Y88" s="82" t="n">
        <f aca="false">Y87*'Assumption Setting'!$E$110</f>
        <v>1.43659036363636</v>
      </c>
      <c r="Z88" s="82" t="n">
        <f aca="false">Z87*'Assumption Setting'!$E$110</f>
        <v>1.43659036363636</v>
      </c>
      <c r="AA88" s="82" t="n">
        <f aca="false">AA87*'Assumption Setting'!$E$110</f>
        <v>1.43659036363636</v>
      </c>
      <c r="AB88" s="81" t="n">
        <f aca="false">SUM(AC88:AN88)</f>
        <v>35.4173638909091</v>
      </c>
      <c r="AC88" s="82" t="n">
        <f aca="false">AC87*'Assumption Setting'!$E$110</f>
        <v>2.95144699090909</v>
      </c>
      <c r="AD88" s="82" t="n">
        <f aca="false">AD87*'Assumption Setting'!$E$110</f>
        <v>2.95144699090909</v>
      </c>
      <c r="AE88" s="82" t="n">
        <f aca="false">AE87*'Assumption Setting'!$E$110</f>
        <v>2.95144699090909</v>
      </c>
      <c r="AF88" s="82" t="n">
        <f aca="false">AF87*'Assumption Setting'!$E$110</f>
        <v>2.95144699090909</v>
      </c>
      <c r="AG88" s="82" t="n">
        <f aca="false">AG87*'Assumption Setting'!$E$110</f>
        <v>2.95144699090909</v>
      </c>
      <c r="AH88" s="82" t="n">
        <f aca="false">AH87*'Assumption Setting'!$E$110</f>
        <v>2.95144699090909</v>
      </c>
      <c r="AI88" s="82" t="n">
        <f aca="false">AI87*'Assumption Setting'!$E$110</f>
        <v>2.95144699090909</v>
      </c>
      <c r="AJ88" s="82" t="n">
        <f aca="false">AJ87*'Assumption Setting'!$E$110</f>
        <v>2.95144699090909</v>
      </c>
      <c r="AK88" s="82" t="n">
        <f aca="false">AK87*'Assumption Setting'!$E$110</f>
        <v>2.95144699090909</v>
      </c>
      <c r="AL88" s="82" t="n">
        <f aca="false">AL87*'Assumption Setting'!$E$110</f>
        <v>2.95144699090909</v>
      </c>
      <c r="AM88" s="82" t="n">
        <f aca="false">AM87*'Assumption Setting'!$E$110</f>
        <v>2.95144699090909</v>
      </c>
      <c r="AN88" s="82" t="n">
        <f aca="false">AN87*'Assumption Setting'!$E$110</f>
        <v>2.95144699090909</v>
      </c>
      <c r="AO88" s="81" t="n">
        <f aca="false">SUM(AP88:BA88)</f>
        <v>50.7900918545455</v>
      </c>
      <c r="AP88" s="82" t="n">
        <f aca="false">AP87*'Assumption Setting'!$E$110</f>
        <v>4.23250765454545</v>
      </c>
      <c r="AQ88" s="82" t="n">
        <f aca="false">AQ87*'Assumption Setting'!$E$110</f>
        <v>4.23250765454545</v>
      </c>
      <c r="AR88" s="82" t="n">
        <f aca="false">AR87*'Assumption Setting'!$E$110</f>
        <v>4.23250765454545</v>
      </c>
      <c r="AS88" s="82" t="n">
        <f aca="false">AS87*'Assumption Setting'!$E$110</f>
        <v>4.23250765454545</v>
      </c>
      <c r="AT88" s="82" t="n">
        <f aca="false">AT87*'Assumption Setting'!$E$110</f>
        <v>4.23250765454545</v>
      </c>
      <c r="AU88" s="82" t="n">
        <f aca="false">AU87*'Assumption Setting'!$E$110</f>
        <v>4.23250765454545</v>
      </c>
      <c r="AV88" s="82" t="n">
        <f aca="false">AV87*'Assumption Setting'!$E$110</f>
        <v>4.23250765454545</v>
      </c>
      <c r="AW88" s="82" t="n">
        <f aca="false">AW87*'Assumption Setting'!$E$110</f>
        <v>4.23250765454545</v>
      </c>
      <c r="AX88" s="82" t="n">
        <f aca="false">AX87*'Assumption Setting'!$E$110</f>
        <v>4.23250765454545</v>
      </c>
      <c r="AY88" s="82" t="n">
        <f aca="false">AY87*'Assumption Setting'!$E$110</f>
        <v>4.23250765454545</v>
      </c>
      <c r="AZ88" s="82" t="n">
        <f aca="false">AZ87*'Assumption Setting'!$E$110</f>
        <v>4.23250765454545</v>
      </c>
      <c r="BA88" s="82" t="n">
        <f aca="false">BA87*'Assumption Setting'!$E$110</f>
        <v>4.23250765454545</v>
      </c>
      <c r="BB88" s="81" t="n">
        <f aca="false">SUM(BC88:BN88)</f>
        <v>67.3365345</v>
      </c>
      <c r="BC88" s="82" t="n">
        <f aca="false">BC87*'Assumption Setting'!$E$110</f>
        <v>5.611377875</v>
      </c>
      <c r="BD88" s="82" t="n">
        <f aca="false">BD87*'Assumption Setting'!$E$110</f>
        <v>5.611377875</v>
      </c>
      <c r="BE88" s="82" t="n">
        <f aca="false">BE87*'Assumption Setting'!$E$110</f>
        <v>5.611377875</v>
      </c>
      <c r="BF88" s="82" t="n">
        <f aca="false">BF87*'Assumption Setting'!$E$110</f>
        <v>5.611377875</v>
      </c>
      <c r="BG88" s="82" t="n">
        <f aca="false">BG87*'Assumption Setting'!$E$110</f>
        <v>5.611377875</v>
      </c>
      <c r="BH88" s="82" t="n">
        <f aca="false">BH87*'Assumption Setting'!$E$110</f>
        <v>5.611377875</v>
      </c>
      <c r="BI88" s="82" t="n">
        <f aca="false">BI87*'Assumption Setting'!$E$110</f>
        <v>5.611377875</v>
      </c>
      <c r="BJ88" s="82" t="n">
        <f aca="false">BJ87*'Assumption Setting'!$E$110</f>
        <v>5.611377875</v>
      </c>
      <c r="BK88" s="82" t="n">
        <f aca="false">BK87*'Assumption Setting'!$E$110</f>
        <v>5.611377875</v>
      </c>
      <c r="BL88" s="82" t="n">
        <f aca="false">BL87*'Assumption Setting'!$E$110</f>
        <v>5.611377875</v>
      </c>
      <c r="BM88" s="82" t="n">
        <f aca="false">BM87*'Assumption Setting'!$E$110</f>
        <v>5.611377875</v>
      </c>
      <c r="BN88" s="82" t="n">
        <f aca="false">BN87*'Assumption Setting'!$E$110</f>
        <v>5.611377875</v>
      </c>
    </row>
    <row r="89" customFormat="false" ht="15" hidden="false" customHeight="false" outlineLevel="0" collapsed="false">
      <c r="A89" s="18" t="s">
        <v>653</v>
      </c>
      <c r="B89" s="81" t="n">
        <f aca="false">SUM(C89:N89)</f>
        <v>0.829336696363636</v>
      </c>
      <c r="C89" s="84" t="n">
        <f aca="true">IF((1-'Assumption Setting'!$G$110)&lt;1,0,OFFSET($A$88,0,2+13*INT(((1-'Assumption Setting'!$G$110)-1)/12)+MOD((1-'Assumption Setting'!$G$110)-1,12))*'Assumption Setting'!$F$110*'Assumption Setting'!$C$117)</f>
        <v>0</v>
      </c>
      <c r="D89" s="84" t="n">
        <f aca="true">IF((2-'Assumption Setting'!$G$110)&lt;1,0,OFFSET($A$88,0,2+13*INT(((2-'Assumption Setting'!$G$110)-1)/12)+MOD((2-'Assumption Setting'!$G$110)-1,12))*'Assumption Setting'!$F$110*'Assumption Setting'!$C$117)</f>
        <v>0</v>
      </c>
      <c r="E89" s="84" t="n">
        <f aca="true">IF((3-'Assumption Setting'!$G$110)&lt;1,0,OFFSET($A$88,0,2+13*INT(((3-'Assumption Setting'!$G$110)-1)/12)+MOD((3-'Assumption Setting'!$G$110)-1,12))*'Assumption Setting'!$F$110*'Assumption Setting'!$C$117)</f>
        <v>0</v>
      </c>
      <c r="F89" s="84" t="n">
        <f aca="true">IF((4-'Assumption Setting'!$G$110)&lt;1,0,OFFSET($A$88,0,2+13*INT(((4-'Assumption Setting'!$G$110)-1)/12)+MOD((4-'Assumption Setting'!$G$110)-1,12))*'Assumption Setting'!$F$110*'Assumption Setting'!$C$117)</f>
        <v>0</v>
      </c>
      <c r="G89" s="84" t="n">
        <f aca="true">IF((5-'Assumption Setting'!$G$110)&lt;1,0,OFFSET($A$88,0,2+13*INT(((5-'Assumption Setting'!$G$110)-1)/12)+MOD((5-'Assumption Setting'!$G$110)-1,12))*'Assumption Setting'!$F$110*'Assumption Setting'!$C$117)</f>
        <v>0.103667087045455</v>
      </c>
      <c r="H89" s="84" t="n">
        <f aca="true">IF((6-'Assumption Setting'!$G$110)&lt;1,0,OFFSET($A$88,0,2+13*INT(((6-'Assumption Setting'!$G$110)-1)/12)+MOD((6-'Assumption Setting'!$G$110)-1,12))*'Assumption Setting'!$F$110*'Assumption Setting'!$C$117)</f>
        <v>0.103667087045455</v>
      </c>
      <c r="I89" s="84" t="n">
        <f aca="true">IF((7-'Assumption Setting'!$G$110)&lt;1,0,OFFSET($A$88,0,2+13*INT(((7-'Assumption Setting'!$G$110)-1)/12)+MOD((7-'Assumption Setting'!$G$110)-1,12))*'Assumption Setting'!$F$110*'Assumption Setting'!$C$117)</f>
        <v>0.103667087045455</v>
      </c>
      <c r="J89" s="84" t="n">
        <f aca="true">IF((8-'Assumption Setting'!$G$110)&lt;1,0,OFFSET($A$88,0,2+13*INT(((8-'Assumption Setting'!$G$110)-1)/12)+MOD((8-'Assumption Setting'!$G$110)-1,12))*'Assumption Setting'!$F$110*'Assumption Setting'!$C$117)</f>
        <v>0.103667087045455</v>
      </c>
      <c r="K89" s="84" t="n">
        <f aca="true">IF((9-'Assumption Setting'!$G$110)&lt;1,0,OFFSET($A$88,0,2+13*INT(((9-'Assumption Setting'!$G$110)-1)/12)+MOD((9-'Assumption Setting'!$G$110)-1,12))*'Assumption Setting'!$F$110*'Assumption Setting'!$C$117)</f>
        <v>0.103667087045455</v>
      </c>
      <c r="L89" s="84" t="n">
        <f aca="true">IF((10-'Assumption Setting'!$G$110)&lt;1,0,OFFSET($A$88,0,2+13*INT(((10-'Assumption Setting'!$G$110)-1)/12)+MOD((10-'Assumption Setting'!$G$110)-1,12))*'Assumption Setting'!$F$110*'Assumption Setting'!$C$117)</f>
        <v>0.103667087045455</v>
      </c>
      <c r="M89" s="84" t="n">
        <f aca="true">IF((11-'Assumption Setting'!$G$110)&lt;1,0,OFFSET($A$88,0,2+13*INT(((11-'Assumption Setting'!$G$110)-1)/12)+MOD((11-'Assumption Setting'!$G$110)-1,12))*'Assumption Setting'!$F$110*'Assumption Setting'!$C$117)</f>
        <v>0.103667087045455</v>
      </c>
      <c r="N89" s="84" t="n">
        <f aca="true">IF((12-'Assumption Setting'!$G$110)&lt;1,0,OFFSET($A$88,0,2+13*INT(((12-'Assumption Setting'!$G$110)-1)/12)+MOD((12-'Assumption Setting'!$G$110)-1,12))*'Assumption Setting'!$F$110*'Assumption Setting'!$C$117)</f>
        <v>0.103667087045455</v>
      </c>
      <c r="O89" s="81" t="n">
        <f aca="false">SUM(P89:AA89)</f>
        <v>5.10268957131818</v>
      </c>
      <c r="P89" s="84" t="n">
        <f aca="true">IF((13-'Assumption Setting'!$G$110)&lt;1,0,OFFSET($A$88,0,2+13*INT(((13-'Assumption Setting'!$G$110)-1)/12)+MOD((13-'Assumption Setting'!$G$110)-1,12))*'Assumption Setting'!$F$110*'Assumption Setting'!$D$117)</f>
        <v>0.119217150102273</v>
      </c>
      <c r="Q89" s="84" t="n">
        <f aca="true">IF((14-'Assumption Setting'!$G$110)&lt;1,0,OFFSET($A$88,0,2+13*INT(((14-'Assumption Setting'!$G$110)-1)/12)+MOD((14-'Assumption Setting'!$G$110)-1,12))*'Assumption Setting'!$F$110*'Assumption Setting'!$D$117)</f>
        <v>0.119217150102273</v>
      </c>
      <c r="R89" s="84" t="n">
        <f aca="true">IF((15-'Assumption Setting'!$G$110)&lt;1,0,OFFSET($A$88,0,2+13*INT(((15-'Assumption Setting'!$G$110)-1)/12)+MOD((15-'Assumption Setting'!$G$110)-1,12))*'Assumption Setting'!$F$110*'Assumption Setting'!$D$117)</f>
        <v>0.119217150102273</v>
      </c>
      <c r="S89" s="84" t="n">
        <f aca="true">IF((16-'Assumption Setting'!$G$110)&lt;1,0,OFFSET($A$88,0,2+13*INT(((16-'Assumption Setting'!$G$110)-1)/12)+MOD((16-'Assumption Setting'!$G$110)-1,12))*'Assumption Setting'!$F$110*'Assumption Setting'!$D$117)</f>
        <v>0.119217150102273</v>
      </c>
      <c r="T89" s="84" t="n">
        <f aca="true">IF((17-'Assumption Setting'!$G$110)&lt;1,0,OFFSET($A$88,0,2+13*INT(((17-'Assumption Setting'!$G$110)-1)/12)+MOD((17-'Assumption Setting'!$G$110)-1,12))*'Assumption Setting'!$F$110*'Assumption Setting'!$D$117)</f>
        <v>0.578227621363636</v>
      </c>
      <c r="U89" s="84" t="n">
        <f aca="true">IF((18-'Assumption Setting'!$G$110)&lt;1,0,OFFSET($A$88,0,2+13*INT(((18-'Assumption Setting'!$G$110)-1)/12)+MOD((18-'Assumption Setting'!$G$110)-1,12))*'Assumption Setting'!$F$110*'Assumption Setting'!$D$117)</f>
        <v>0.578227621363636</v>
      </c>
      <c r="V89" s="84" t="n">
        <f aca="true">IF((19-'Assumption Setting'!$G$110)&lt;1,0,OFFSET($A$88,0,2+13*INT(((19-'Assumption Setting'!$G$110)-1)/12)+MOD((19-'Assumption Setting'!$G$110)-1,12))*'Assumption Setting'!$F$110*'Assumption Setting'!$D$117)</f>
        <v>0.578227621363636</v>
      </c>
      <c r="W89" s="84" t="n">
        <f aca="true">IF((20-'Assumption Setting'!$G$110)&lt;1,0,OFFSET($A$88,0,2+13*INT(((20-'Assumption Setting'!$G$110)-1)/12)+MOD((20-'Assumption Setting'!$G$110)-1,12))*'Assumption Setting'!$F$110*'Assumption Setting'!$D$117)</f>
        <v>0.578227621363636</v>
      </c>
      <c r="X89" s="84" t="n">
        <f aca="true">IF((21-'Assumption Setting'!$G$110)&lt;1,0,OFFSET($A$88,0,2+13*INT(((21-'Assumption Setting'!$G$110)-1)/12)+MOD((21-'Assumption Setting'!$G$110)-1,12))*'Assumption Setting'!$F$110*'Assumption Setting'!$D$117)</f>
        <v>0.578227621363636</v>
      </c>
      <c r="Y89" s="84" t="n">
        <f aca="true">IF((22-'Assumption Setting'!$G$110)&lt;1,0,OFFSET($A$88,0,2+13*INT(((22-'Assumption Setting'!$G$110)-1)/12)+MOD((22-'Assumption Setting'!$G$110)-1,12))*'Assumption Setting'!$F$110*'Assumption Setting'!$D$117)</f>
        <v>0.578227621363636</v>
      </c>
      <c r="Z89" s="84" t="n">
        <f aca="true">IF((23-'Assumption Setting'!$G$110)&lt;1,0,OFFSET($A$88,0,2+13*INT(((23-'Assumption Setting'!$G$110)-1)/12)+MOD((23-'Assumption Setting'!$G$110)-1,12))*'Assumption Setting'!$F$110*'Assumption Setting'!$D$117)</f>
        <v>0.578227621363636</v>
      </c>
      <c r="AA89" s="84" t="n">
        <f aca="true">IF((24-'Assumption Setting'!$G$110)&lt;1,0,OFFSET($A$88,0,2+13*INT(((24-'Assumption Setting'!$G$110)-1)/12)+MOD((24-'Assumption Setting'!$G$110)-1,12))*'Assumption Setting'!$F$110*'Assumption Setting'!$D$117)</f>
        <v>0.578227621363636</v>
      </c>
      <c r="AB89" s="81" t="n">
        <f aca="false">SUM(AC89:AN89)</f>
        <v>13.8716254129091</v>
      </c>
      <c r="AC89" s="84" t="n">
        <f aca="true">IF((25-'Assumption Setting'!$G$110)&lt;1,0,OFFSET($A$88,0,2+13*INT(((25-'Assumption Setting'!$G$110)-1)/12)+MOD((25-'Assumption Setting'!$G$110)-1,12))*'Assumption Setting'!$F$110*'Assumption Setting'!$E$117)</f>
        <v>0.678788946818182</v>
      </c>
      <c r="AD89" s="84" t="n">
        <f aca="true">IF((26-'Assumption Setting'!$G$110)&lt;1,0,OFFSET($A$88,0,2+13*INT(((26-'Assumption Setting'!$G$110)-1)/12)+MOD((26-'Assumption Setting'!$G$110)-1,12))*'Assumption Setting'!$F$110*'Assumption Setting'!$E$117)</f>
        <v>0.678788946818182</v>
      </c>
      <c r="AE89" s="84" t="n">
        <f aca="true">IF((27-'Assumption Setting'!$G$110)&lt;1,0,OFFSET($A$88,0,2+13*INT(((27-'Assumption Setting'!$G$110)-1)/12)+MOD((27-'Assumption Setting'!$G$110)-1,12))*'Assumption Setting'!$F$110*'Assumption Setting'!$E$117)</f>
        <v>0.678788946818182</v>
      </c>
      <c r="AF89" s="84" t="n">
        <f aca="true">IF((28-'Assumption Setting'!$G$110)&lt;1,0,OFFSET($A$88,0,2+13*INT(((28-'Assumption Setting'!$G$110)-1)/12)+MOD((28-'Assumption Setting'!$G$110)-1,12))*'Assumption Setting'!$F$110*'Assumption Setting'!$E$117)</f>
        <v>0.678788946818182</v>
      </c>
      <c r="AG89" s="84" t="n">
        <f aca="true">IF((29-'Assumption Setting'!$G$110)&lt;1,0,OFFSET($A$88,0,2+13*INT(((29-'Assumption Setting'!$G$110)-1)/12)+MOD((29-'Assumption Setting'!$G$110)-1,12))*'Assumption Setting'!$F$110*'Assumption Setting'!$E$117)</f>
        <v>1.39455870320455</v>
      </c>
      <c r="AH89" s="84" t="n">
        <f aca="true">IF((30-'Assumption Setting'!$G$110)&lt;1,0,OFFSET($A$88,0,2+13*INT(((30-'Assumption Setting'!$G$110)-1)/12)+MOD((30-'Assumption Setting'!$G$110)-1,12))*'Assumption Setting'!$F$110*'Assumption Setting'!$E$117)</f>
        <v>1.39455870320455</v>
      </c>
      <c r="AI89" s="84" t="n">
        <f aca="true">IF((31-'Assumption Setting'!$G$110)&lt;1,0,OFFSET($A$88,0,2+13*INT(((31-'Assumption Setting'!$G$110)-1)/12)+MOD((31-'Assumption Setting'!$G$110)-1,12))*'Assumption Setting'!$F$110*'Assumption Setting'!$E$117)</f>
        <v>1.39455870320455</v>
      </c>
      <c r="AJ89" s="84" t="n">
        <f aca="true">IF((32-'Assumption Setting'!$G$110)&lt;1,0,OFFSET($A$88,0,2+13*INT(((32-'Assumption Setting'!$G$110)-1)/12)+MOD((32-'Assumption Setting'!$G$110)-1,12))*'Assumption Setting'!$F$110*'Assumption Setting'!$E$117)</f>
        <v>1.39455870320455</v>
      </c>
      <c r="AK89" s="84" t="n">
        <f aca="true">IF((33-'Assumption Setting'!$G$110)&lt;1,0,OFFSET($A$88,0,2+13*INT(((33-'Assumption Setting'!$G$110)-1)/12)+MOD((33-'Assumption Setting'!$G$110)-1,12))*'Assumption Setting'!$F$110*'Assumption Setting'!$E$117)</f>
        <v>1.39455870320455</v>
      </c>
      <c r="AL89" s="84" t="n">
        <f aca="true">IF((34-'Assumption Setting'!$G$110)&lt;1,0,OFFSET($A$88,0,2+13*INT(((34-'Assumption Setting'!$G$110)-1)/12)+MOD((34-'Assumption Setting'!$G$110)-1,12))*'Assumption Setting'!$F$110*'Assumption Setting'!$E$117)</f>
        <v>1.39455870320455</v>
      </c>
      <c r="AM89" s="84" t="n">
        <f aca="true">IF((35-'Assumption Setting'!$G$110)&lt;1,0,OFFSET($A$88,0,2+13*INT(((35-'Assumption Setting'!$G$110)-1)/12)+MOD((35-'Assumption Setting'!$G$110)-1,12))*'Assumption Setting'!$F$110*'Assumption Setting'!$E$117)</f>
        <v>1.39455870320455</v>
      </c>
      <c r="AN89" s="84" t="n">
        <f aca="true">IF((36-'Assumption Setting'!$G$110)&lt;1,0,OFFSET($A$88,0,2+13*INT(((36-'Assumption Setting'!$G$110)-1)/12)+MOD((36-'Assumption Setting'!$G$110)-1,12))*'Assumption Setting'!$F$110*'Assumption Setting'!$E$117)</f>
        <v>1.39455870320455</v>
      </c>
      <c r="AO89" s="81" t="n">
        <f aca="false">SUM(AP89:BA89)</f>
        <v>23.175418469</v>
      </c>
      <c r="AP89" s="84" t="n">
        <f aca="true">IF((37-'Assumption Setting'!$G$110)&lt;1,0,OFFSET($A$88,0,2+13*INT(((37-'Assumption Setting'!$G$110)-1)/12)+MOD((37-'Assumption Setting'!$G$110)-1,12))*'Assumption Setting'!$F$110*'Assumption Setting'!$F$117)</f>
        <v>1.49785934788636</v>
      </c>
      <c r="AQ89" s="84" t="n">
        <f aca="true">IF((38-'Assumption Setting'!$G$110)&lt;1,0,OFFSET($A$88,0,2+13*INT(((38-'Assumption Setting'!$G$110)-1)/12)+MOD((38-'Assumption Setting'!$G$110)-1,12))*'Assumption Setting'!$F$110*'Assumption Setting'!$F$117)</f>
        <v>1.49785934788636</v>
      </c>
      <c r="AR89" s="84" t="n">
        <f aca="true">IF((39-'Assumption Setting'!$G$110)&lt;1,0,OFFSET($A$88,0,2+13*INT(((39-'Assumption Setting'!$G$110)-1)/12)+MOD((39-'Assumption Setting'!$G$110)-1,12))*'Assumption Setting'!$F$110*'Assumption Setting'!$F$117)</f>
        <v>1.49785934788636</v>
      </c>
      <c r="AS89" s="84" t="n">
        <f aca="true">IF((40-'Assumption Setting'!$G$110)&lt;1,0,OFFSET($A$88,0,2+13*INT(((40-'Assumption Setting'!$G$110)-1)/12)+MOD((40-'Assumption Setting'!$G$110)-1,12))*'Assumption Setting'!$F$110*'Assumption Setting'!$F$117)</f>
        <v>1.49785934788636</v>
      </c>
      <c r="AT89" s="84" t="n">
        <f aca="true">IF((41-'Assumption Setting'!$G$110)&lt;1,0,OFFSET($A$88,0,2+13*INT(((41-'Assumption Setting'!$G$110)-1)/12)+MOD((41-'Assumption Setting'!$G$110)-1,12))*'Assumption Setting'!$F$110*'Assumption Setting'!$F$117)</f>
        <v>2.14799763468182</v>
      </c>
      <c r="AU89" s="84" t="n">
        <f aca="true">IF((42-'Assumption Setting'!$G$110)&lt;1,0,OFFSET($A$88,0,2+13*INT(((42-'Assumption Setting'!$G$110)-1)/12)+MOD((42-'Assumption Setting'!$G$110)-1,12))*'Assumption Setting'!$F$110*'Assumption Setting'!$F$117)</f>
        <v>2.14799763468182</v>
      </c>
      <c r="AV89" s="84" t="n">
        <f aca="true">IF((43-'Assumption Setting'!$G$110)&lt;1,0,OFFSET($A$88,0,2+13*INT(((43-'Assumption Setting'!$G$110)-1)/12)+MOD((43-'Assumption Setting'!$G$110)-1,12))*'Assumption Setting'!$F$110*'Assumption Setting'!$F$117)</f>
        <v>2.14799763468182</v>
      </c>
      <c r="AW89" s="84" t="n">
        <f aca="true">IF((44-'Assumption Setting'!$G$110)&lt;1,0,OFFSET($A$88,0,2+13*INT(((44-'Assumption Setting'!$G$110)-1)/12)+MOD((44-'Assumption Setting'!$G$110)-1,12))*'Assumption Setting'!$F$110*'Assumption Setting'!$F$117)</f>
        <v>2.14799763468182</v>
      </c>
      <c r="AX89" s="84" t="n">
        <f aca="true">IF((45-'Assumption Setting'!$G$110)&lt;1,0,OFFSET($A$88,0,2+13*INT(((45-'Assumption Setting'!$G$110)-1)/12)+MOD((45-'Assumption Setting'!$G$110)-1,12))*'Assumption Setting'!$F$110*'Assumption Setting'!$F$117)</f>
        <v>2.14799763468182</v>
      </c>
      <c r="AY89" s="84" t="n">
        <f aca="true">IF((46-'Assumption Setting'!$G$110)&lt;1,0,OFFSET($A$88,0,2+13*INT(((46-'Assumption Setting'!$G$110)-1)/12)+MOD((46-'Assumption Setting'!$G$110)-1,12))*'Assumption Setting'!$F$110*'Assumption Setting'!$F$117)</f>
        <v>2.14799763468182</v>
      </c>
      <c r="AZ89" s="84" t="n">
        <f aca="true">IF((47-'Assumption Setting'!$G$110)&lt;1,0,OFFSET($A$88,0,2+13*INT(((47-'Assumption Setting'!$G$110)-1)/12)+MOD((47-'Assumption Setting'!$G$110)-1,12))*'Assumption Setting'!$F$110*'Assumption Setting'!$F$117)</f>
        <v>2.14799763468182</v>
      </c>
      <c r="BA89" s="84" t="n">
        <f aca="true">IF((48-'Assumption Setting'!$G$110)&lt;1,0,OFFSET($A$88,0,2+13*INT(((48-'Assumption Setting'!$G$110)-1)/12)+MOD((48-'Assumption Setting'!$G$110)-1,12))*'Assumption Setting'!$F$110*'Assumption Setting'!$F$117)</f>
        <v>2.14799763468182</v>
      </c>
      <c r="BB89" s="81" t="n">
        <f aca="false">SUM(BC89:BN89)</f>
        <v>32.4560531495455</v>
      </c>
      <c r="BC89" s="84" t="n">
        <f aca="true">IF((49-'Assumption Setting'!$G$110)&lt;1,0,OFFSET($A$88,0,2+13*INT(((49-'Assumption Setting'!$G$110)-1)/12)+MOD((49-'Assumption Setting'!$G$110)-1,12))*'Assumption Setting'!$F$110*'Assumption Setting'!$G$117)</f>
        <v>2.22206651863636</v>
      </c>
      <c r="BD89" s="84" t="n">
        <f aca="true">IF((50-'Assumption Setting'!$G$110)&lt;1,0,OFFSET($A$88,0,2+13*INT(((50-'Assumption Setting'!$G$110)-1)/12)+MOD((50-'Assumption Setting'!$G$110)-1,12))*'Assumption Setting'!$F$110*'Assumption Setting'!$G$117)</f>
        <v>2.22206651863636</v>
      </c>
      <c r="BE89" s="84" t="n">
        <f aca="true">IF((51-'Assumption Setting'!$G$110)&lt;1,0,OFFSET($A$88,0,2+13*INT(((51-'Assumption Setting'!$G$110)-1)/12)+MOD((51-'Assumption Setting'!$G$110)-1,12))*'Assumption Setting'!$F$110*'Assumption Setting'!$G$117)</f>
        <v>2.22206651863636</v>
      </c>
      <c r="BF89" s="84" t="n">
        <f aca="true">IF((52-'Assumption Setting'!$G$110)&lt;1,0,OFFSET($A$88,0,2+13*INT(((52-'Assumption Setting'!$G$110)-1)/12)+MOD((52-'Assumption Setting'!$G$110)-1,12))*'Assumption Setting'!$F$110*'Assumption Setting'!$G$117)</f>
        <v>2.22206651863636</v>
      </c>
      <c r="BG89" s="84" t="n">
        <f aca="true">IF((53-'Assumption Setting'!$G$110)&lt;1,0,OFFSET($A$88,0,2+13*INT(((53-'Assumption Setting'!$G$110)-1)/12)+MOD((53-'Assumption Setting'!$G$110)-1,12))*'Assumption Setting'!$F$110*'Assumption Setting'!$G$117)</f>
        <v>2.945973384375</v>
      </c>
      <c r="BH89" s="84" t="n">
        <f aca="true">IF((54-'Assumption Setting'!$G$110)&lt;1,0,OFFSET($A$88,0,2+13*INT(((54-'Assumption Setting'!$G$110)-1)/12)+MOD((54-'Assumption Setting'!$G$110)-1,12))*'Assumption Setting'!$F$110*'Assumption Setting'!$G$117)</f>
        <v>2.945973384375</v>
      </c>
      <c r="BI89" s="84" t="n">
        <f aca="true">IF((55-'Assumption Setting'!$G$110)&lt;1,0,OFFSET($A$88,0,2+13*INT(((55-'Assumption Setting'!$G$110)-1)/12)+MOD((55-'Assumption Setting'!$G$110)-1,12))*'Assumption Setting'!$F$110*'Assumption Setting'!$G$117)</f>
        <v>2.945973384375</v>
      </c>
      <c r="BJ89" s="84" t="n">
        <f aca="true">IF((56-'Assumption Setting'!$G$110)&lt;1,0,OFFSET($A$88,0,2+13*INT(((56-'Assumption Setting'!$G$110)-1)/12)+MOD((56-'Assumption Setting'!$G$110)-1,12))*'Assumption Setting'!$F$110*'Assumption Setting'!$G$117)</f>
        <v>2.945973384375</v>
      </c>
      <c r="BK89" s="84" t="n">
        <f aca="true">IF((57-'Assumption Setting'!$G$110)&lt;1,0,OFFSET($A$88,0,2+13*INT(((57-'Assumption Setting'!$G$110)-1)/12)+MOD((57-'Assumption Setting'!$G$110)-1,12))*'Assumption Setting'!$F$110*'Assumption Setting'!$G$117)</f>
        <v>2.945973384375</v>
      </c>
      <c r="BL89" s="84" t="n">
        <f aca="true">IF((58-'Assumption Setting'!$G$110)&lt;1,0,OFFSET($A$88,0,2+13*INT(((58-'Assumption Setting'!$G$110)-1)/12)+MOD((58-'Assumption Setting'!$G$110)-1,12))*'Assumption Setting'!$F$110*'Assumption Setting'!$G$117)</f>
        <v>2.945973384375</v>
      </c>
      <c r="BM89" s="84" t="n">
        <f aca="true">IF((59-'Assumption Setting'!$G$110)&lt;1,0,OFFSET($A$88,0,2+13*INT(((59-'Assumption Setting'!$G$110)-1)/12)+MOD((59-'Assumption Setting'!$G$110)-1,12))*'Assumption Setting'!$F$110*'Assumption Setting'!$G$117)</f>
        <v>2.945973384375</v>
      </c>
      <c r="BN89" s="84" t="n">
        <f aca="true">IF((60-'Assumption Setting'!$G$110)&lt;1,0,OFFSET($A$88,0,2+13*INT(((60-'Assumption Setting'!$G$110)-1)/12)+MOD((60-'Assumption Setting'!$G$110)-1,12))*'Assumption Setting'!$F$110*'Assumption Setting'!$G$117)</f>
        <v>2.945973384375</v>
      </c>
    </row>
    <row r="90" customFormat="false" ht="15" hidden="false" customHeight="false" outlineLevel="0" collapsed="false">
      <c r="A90" s="18" t="s">
        <v>382</v>
      </c>
      <c r="B90" s="81" t="n">
        <f aca="false">SUM(C90:N90)</f>
        <v>17.7715006363636</v>
      </c>
      <c r="C90" s="84" t="n">
        <f aca="false">C81*'Assumption Setting'!$C$111</f>
        <v>1.48095838636364</v>
      </c>
      <c r="D90" s="84" t="n">
        <f aca="false">D81*'Assumption Setting'!$C$111</f>
        <v>1.48095838636364</v>
      </c>
      <c r="E90" s="84" t="n">
        <f aca="false">E81*'Assumption Setting'!$C$111</f>
        <v>1.48095838636364</v>
      </c>
      <c r="F90" s="84" t="n">
        <f aca="false">F81*'Assumption Setting'!$C$111</f>
        <v>1.48095838636364</v>
      </c>
      <c r="G90" s="84" t="n">
        <f aca="false">G81*'Assumption Setting'!$C$111</f>
        <v>1.48095838636364</v>
      </c>
      <c r="H90" s="84" t="n">
        <f aca="false">H81*'Assumption Setting'!$C$111</f>
        <v>1.48095838636364</v>
      </c>
      <c r="I90" s="84" t="n">
        <f aca="false">I81*'Assumption Setting'!$C$111</f>
        <v>1.48095838636364</v>
      </c>
      <c r="J90" s="84" t="n">
        <f aca="false">J81*'Assumption Setting'!$C$111</f>
        <v>1.48095838636364</v>
      </c>
      <c r="K90" s="84" t="n">
        <f aca="false">K81*'Assumption Setting'!$C$111</f>
        <v>1.48095838636364</v>
      </c>
      <c r="L90" s="84" t="n">
        <f aca="false">L81*'Assumption Setting'!$C$111</f>
        <v>1.48095838636364</v>
      </c>
      <c r="M90" s="84" t="n">
        <f aca="false">M81*'Assumption Setting'!$C$111</f>
        <v>1.48095838636364</v>
      </c>
      <c r="N90" s="84" t="n">
        <f aca="false">N81*'Assumption Setting'!$C$111</f>
        <v>1.48095838636364</v>
      </c>
      <c r="O90" s="81" t="n">
        <f aca="false">SUM(P90:AA90)</f>
        <v>86.1954218181818</v>
      </c>
      <c r="P90" s="84" t="n">
        <f aca="false">P81*'Assumption Setting'!$C$111</f>
        <v>7.18295181818182</v>
      </c>
      <c r="Q90" s="84" t="n">
        <f aca="false">Q81*'Assumption Setting'!$C$111</f>
        <v>7.18295181818182</v>
      </c>
      <c r="R90" s="84" t="n">
        <f aca="false">R81*'Assumption Setting'!$C$111</f>
        <v>7.18295181818182</v>
      </c>
      <c r="S90" s="84" t="n">
        <f aca="false">S81*'Assumption Setting'!$C$111</f>
        <v>7.18295181818182</v>
      </c>
      <c r="T90" s="84" t="n">
        <f aca="false">T81*'Assumption Setting'!$C$111</f>
        <v>7.18295181818182</v>
      </c>
      <c r="U90" s="84" t="n">
        <f aca="false">U81*'Assumption Setting'!$C$111</f>
        <v>7.18295181818182</v>
      </c>
      <c r="V90" s="84" t="n">
        <f aca="false">V81*'Assumption Setting'!$C$111</f>
        <v>7.18295181818182</v>
      </c>
      <c r="W90" s="84" t="n">
        <f aca="false">W81*'Assumption Setting'!$C$111</f>
        <v>7.18295181818182</v>
      </c>
      <c r="X90" s="84" t="n">
        <f aca="false">X81*'Assumption Setting'!$C$111</f>
        <v>7.18295181818182</v>
      </c>
      <c r="Y90" s="84" t="n">
        <f aca="false">Y81*'Assumption Setting'!$C$111</f>
        <v>7.18295181818182</v>
      </c>
      <c r="Z90" s="84" t="n">
        <f aca="false">Z81*'Assumption Setting'!$C$111</f>
        <v>7.18295181818182</v>
      </c>
      <c r="AA90" s="84" t="n">
        <f aca="false">AA81*'Assumption Setting'!$C$111</f>
        <v>7.18295181818182</v>
      </c>
      <c r="AB90" s="81" t="n">
        <f aca="false">SUM(AC90:AN90)</f>
        <v>177.086819454545</v>
      </c>
      <c r="AC90" s="84" t="n">
        <f aca="false">AC81*'Assumption Setting'!$C$111</f>
        <v>14.7572349545455</v>
      </c>
      <c r="AD90" s="84" t="n">
        <f aca="false">AD81*'Assumption Setting'!$C$111</f>
        <v>14.7572349545455</v>
      </c>
      <c r="AE90" s="84" t="n">
        <f aca="false">AE81*'Assumption Setting'!$C$111</f>
        <v>14.7572349545455</v>
      </c>
      <c r="AF90" s="84" t="n">
        <f aca="false">AF81*'Assumption Setting'!$C$111</f>
        <v>14.7572349545455</v>
      </c>
      <c r="AG90" s="84" t="n">
        <f aca="false">AG81*'Assumption Setting'!$C$111</f>
        <v>14.7572349545455</v>
      </c>
      <c r="AH90" s="84" t="n">
        <f aca="false">AH81*'Assumption Setting'!$C$111</f>
        <v>14.7572349545455</v>
      </c>
      <c r="AI90" s="84" t="n">
        <f aca="false">AI81*'Assumption Setting'!$C$111</f>
        <v>14.7572349545455</v>
      </c>
      <c r="AJ90" s="84" t="n">
        <f aca="false">AJ81*'Assumption Setting'!$C$111</f>
        <v>14.7572349545455</v>
      </c>
      <c r="AK90" s="84" t="n">
        <f aca="false">AK81*'Assumption Setting'!$C$111</f>
        <v>14.7572349545455</v>
      </c>
      <c r="AL90" s="84" t="n">
        <f aca="false">AL81*'Assumption Setting'!$C$111</f>
        <v>14.7572349545455</v>
      </c>
      <c r="AM90" s="84" t="n">
        <f aca="false">AM81*'Assumption Setting'!$C$111</f>
        <v>14.7572349545455</v>
      </c>
      <c r="AN90" s="84" t="n">
        <f aca="false">AN81*'Assumption Setting'!$C$111</f>
        <v>14.7572349545455</v>
      </c>
      <c r="AO90" s="81" t="n">
        <f aca="false">SUM(AP90:BA90)</f>
        <v>253.950459272727</v>
      </c>
      <c r="AP90" s="84" t="n">
        <f aca="false">AP81*'Assumption Setting'!$C$111</f>
        <v>21.1625382727273</v>
      </c>
      <c r="AQ90" s="84" t="n">
        <f aca="false">AQ81*'Assumption Setting'!$C$111</f>
        <v>21.1625382727273</v>
      </c>
      <c r="AR90" s="84" t="n">
        <f aca="false">AR81*'Assumption Setting'!$C$111</f>
        <v>21.1625382727273</v>
      </c>
      <c r="AS90" s="84" t="n">
        <f aca="false">AS81*'Assumption Setting'!$C$111</f>
        <v>21.1625382727273</v>
      </c>
      <c r="AT90" s="84" t="n">
        <f aca="false">AT81*'Assumption Setting'!$C$111</f>
        <v>21.1625382727273</v>
      </c>
      <c r="AU90" s="84" t="n">
        <f aca="false">AU81*'Assumption Setting'!$C$111</f>
        <v>21.1625382727273</v>
      </c>
      <c r="AV90" s="84" t="n">
        <f aca="false">AV81*'Assumption Setting'!$C$111</f>
        <v>21.1625382727273</v>
      </c>
      <c r="AW90" s="84" t="n">
        <f aca="false">AW81*'Assumption Setting'!$C$111</f>
        <v>21.1625382727273</v>
      </c>
      <c r="AX90" s="84" t="n">
        <f aca="false">AX81*'Assumption Setting'!$C$111</f>
        <v>21.1625382727273</v>
      </c>
      <c r="AY90" s="84" t="n">
        <f aca="false">AY81*'Assumption Setting'!$C$111</f>
        <v>21.1625382727273</v>
      </c>
      <c r="AZ90" s="84" t="n">
        <f aca="false">AZ81*'Assumption Setting'!$C$111</f>
        <v>21.1625382727273</v>
      </c>
      <c r="BA90" s="84" t="n">
        <f aca="false">BA81*'Assumption Setting'!$C$111</f>
        <v>21.1625382727273</v>
      </c>
      <c r="BB90" s="81" t="n">
        <f aca="false">SUM(BC90:BN90)</f>
        <v>336.6826725</v>
      </c>
      <c r="BC90" s="84" t="n">
        <f aca="false">BC81*'Assumption Setting'!$C$111</f>
        <v>28.056889375</v>
      </c>
      <c r="BD90" s="84" t="n">
        <f aca="false">BD81*'Assumption Setting'!$C$111</f>
        <v>28.056889375</v>
      </c>
      <c r="BE90" s="84" t="n">
        <f aca="false">BE81*'Assumption Setting'!$C$111</f>
        <v>28.056889375</v>
      </c>
      <c r="BF90" s="84" t="n">
        <f aca="false">BF81*'Assumption Setting'!$C$111</f>
        <v>28.056889375</v>
      </c>
      <c r="BG90" s="84" t="n">
        <f aca="false">BG81*'Assumption Setting'!$C$111</f>
        <v>28.056889375</v>
      </c>
      <c r="BH90" s="84" t="n">
        <f aca="false">BH81*'Assumption Setting'!$C$111</f>
        <v>28.056889375</v>
      </c>
      <c r="BI90" s="84" t="n">
        <f aca="false">BI81*'Assumption Setting'!$C$111</f>
        <v>28.056889375</v>
      </c>
      <c r="BJ90" s="84" t="n">
        <f aca="false">BJ81*'Assumption Setting'!$C$111</f>
        <v>28.056889375</v>
      </c>
      <c r="BK90" s="84" t="n">
        <f aca="false">BK81*'Assumption Setting'!$C$111</f>
        <v>28.056889375</v>
      </c>
      <c r="BL90" s="84" t="n">
        <f aca="false">BL81*'Assumption Setting'!$C$111</f>
        <v>28.056889375</v>
      </c>
      <c r="BM90" s="84" t="n">
        <f aca="false">BM81*'Assumption Setting'!$C$111</f>
        <v>28.056889375</v>
      </c>
      <c r="BN90" s="84" t="n">
        <f aca="false">BN81*'Assumption Setting'!$C$111</f>
        <v>28.056889375</v>
      </c>
    </row>
    <row r="91" customFormat="false" ht="15" hidden="false" customHeight="false" outlineLevel="0" collapsed="false">
      <c r="A91" s="12" t="s">
        <v>651</v>
      </c>
      <c r="B91" s="81" t="n">
        <f aca="false">SUM(C91:N91)</f>
        <v>6.22002522272727</v>
      </c>
      <c r="C91" s="82" t="n">
        <f aca="false">C90*'Assumption Setting'!$D$111</f>
        <v>0.518335435227273</v>
      </c>
      <c r="D91" s="82" t="n">
        <f aca="false">D90*'Assumption Setting'!$D$111</f>
        <v>0.518335435227273</v>
      </c>
      <c r="E91" s="82" t="n">
        <f aca="false">E90*'Assumption Setting'!$D$111</f>
        <v>0.518335435227273</v>
      </c>
      <c r="F91" s="82" t="n">
        <f aca="false">F90*'Assumption Setting'!$D$111</f>
        <v>0.518335435227273</v>
      </c>
      <c r="G91" s="82" t="n">
        <f aca="false">G90*'Assumption Setting'!$D$111</f>
        <v>0.518335435227273</v>
      </c>
      <c r="H91" s="82" t="n">
        <f aca="false">H90*'Assumption Setting'!$D$111</f>
        <v>0.518335435227273</v>
      </c>
      <c r="I91" s="82" t="n">
        <f aca="false">I90*'Assumption Setting'!$D$111</f>
        <v>0.518335435227273</v>
      </c>
      <c r="J91" s="82" t="n">
        <f aca="false">J90*'Assumption Setting'!$D$111</f>
        <v>0.518335435227273</v>
      </c>
      <c r="K91" s="82" t="n">
        <f aca="false">K90*'Assumption Setting'!$D$111</f>
        <v>0.518335435227273</v>
      </c>
      <c r="L91" s="82" t="n">
        <f aca="false">L90*'Assumption Setting'!$D$111</f>
        <v>0.518335435227273</v>
      </c>
      <c r="M91" s="82" t="n">
        <f aca="false">M90*'Assumption Setting'!$D$111</f>
        <v>0.518335435227273</v>
      </c>
      <c r="N91" s="82" t="n">
        <f aca="false">N90*'Assumption Setting'!$D$111</f>
        <v>0.518335435227273</v>
      </c>
      <c r="O91" s="81" t="n">
        <f aca="false">SUM(P91:AA91)</f>
        <v>30.1683976363636</v>
      </c>
      <c r="P91" s="82" t="n">
        <f aca="false">P90*'Assumption Setting'!$D$111</f>
        <v>2.51403313636364</v>
      </c>
      <c r="Q91" s="82" t="n">
        <f aca="false">Q90*'Assumption Setting'!$D$111</f>
        <v>2.51403313636364</v>
      </c>
      <c r="R91" s="82" t="n">
        <f aca="false">R90*'Assumption Setting'!$D$111</f>
        <v>2.51403313636364</v>
      </c>
      <c r="S91" s="82" t="n">
        <f aca="false">S90*'Assumption Setting'!$D$111</f>
        <v>2.51403313636364</v>
      </c>
      <c r="T91" s="82" t="n">
        <f aca="false">T90*'Assumption Setting'!$D$111</f>
        <v>2.51403313636364</v>
      </c>
      <c r="U91" s="82" t="n">
        <f aca="false">U90*'Assumption Setting'!$D$111</f>
        <v>2.51403313636364</v>
      </c>
      <c r="V91" s="82" t="n">
        <f aca="false">V90*'Assumption Setting'!$D$111</f>
        <v>2.51403313636364</v>
      </c>
      <c r="W91" s="82" t="n">
        <f aca="false">W90*'Assumption Setting'!$D$111</f>
        <v>2.51403313636364</v>
      </c>
      <c r="X91" s="82" t="n">
        <f aca="false">X90*'Assumption Setting'!$D$111</f>
        <v>2.51403313636364</v>
      </c>
      <c r="Y91" s="82" t="n">
        <f aca="false">Y90*'Assumption Setting'!$D$111</f>
        <v>2.51403313636364</v>
      </c>
      <c r="Z91" s="82" t="n">
        <f aca="false">Z90*'Assumption Setting'!$D$111</f>
        <v>2.51403313636364</v>
      </c>
      <c r="AA91" s="82" t="n">
        <f aca="false">AA90*'Assumption Setting'!$D$111</f>
        <v>2.51403313636364</v>
      </c>
      <c r="AB91" s="81" t="n">
        <f aca="false">SUM(AC91:AN91)</f>
        <v>61.9803868090909</v>
      </c>
      <c r="AC91" s="82" t="n">
        <f aca="false">AC90*'Assumption Setting'!$D$111</f>
        <v>5.16503223409091</v>
      </c>
      <c r="AD91" s="82" t="n">
        <f aca="false">AD90*'Assumption Setting'!$D$111</f>
        <v>5.16503223409091</v>
      </c>
      <c r="AE91" s="82" t="n">
        <f aca="false">AE90*'Assumption Setting'!$D$111</f>
        <v>5.16503223409091</v>
      </c>
      <c r="AF91" s="82" t="n">
        <f aca="false">AF90*'Assumption Setting'!$D$111</f>
        <v>5.16503223409091</v>
      </c>
      <c r="AG91" s="82" t="n">
        <f aca="false">AG90*'Assumption Setting'!$D$111</f>
        <v>5.16503223409091</v>
      </c>
      <c r="AH91" s="82" t="n">
        <f aca="false">AH90*'Assumption Setting'!$D$111</f>
        <v>5.16503223409091</v>
      </c>
      <c r="AI91" s="82" t="n">
        <f aca="false">AI90*'Assumption Setting'!$D$111</f>
        <v>5.16503223409091</v>
      </c>
      <c r="AJ91" s="82" t="n">
        <f aca="false">AJ90*'Assumption Setting'!$D$111</f>
        <v>5.16503223409091</v>
      </c>
      <c r="AK91" s="82" t="n">
        <f aca="false">AK90*'Assumption Setting'!$D$111</f>
        <v>5.16503223409091</v>
      </c>
      <c r="AL91" s="82" t="n">
        <f aca="false">AL90*'Assumption Setting'!$D$111</f>
        <v>5.16503223409091</v>
      </c>
      <c r="AM91" s="82" t="n">
        <f aca="false">AM90*'Assumption Setting'!$D$111</f>
        <v>5.16503223409091</v>
      </c>
      <c r="AN91" s="82" t="n">
        <f aca="false">AN90*'Assumption Setting'!$D$111</f>
        <v>5.16503223409091</v>
      </c>
      <c r="AO91" s="81" t="n">
        <f aca="false">SUM(AP91:BA91)</f>
        <v>88.8826607454545</v>
      </c>
      <c r="AP91" s="82" t="n">
        <f aca="false">AP90*'Assumption Setting'!$D$111</f>
        <v>7.40688839545454</v>
      </c>
      <c r="AQ91" s="82" t="n">
        <f aca="false">AQ90*'Assumption Setting'!$D$111</f>
        <v>7.40688839545454</v>
      </c>
      <c r="AR91" s="82" t="n">
        <f aca="false">AR90*'Assumption Setting'!$D$111</f>
        <v>7.40688839545454</v>
      </c>
      <c r="AS91" s="82" t="n">
        <f aca="false">AS90*'Assumption Setting'!$D$111</f>
        <v>7.40688839545454</v>
      </c>
      <c r="AT91" s="82" t="n">
        <f aca="false">AT90*'Assumption Setting'!$D$111</f>
        <v>7.40688839545454</v>
      </c>
      <c r="AU91" s="82" t="n">
        <f aca="false">AU90*'Assumption Setting'!$D$111</f>
        <v>7.40688839545454</v>
      </c>
      <c r="AV91" s="82" t="n">
        <f aca="false">AV90*'Assumption Setting'!$D$111</f>
        <v>7.40688839545454</v>
      </c>
      <c r="AW91" s="82" t="n">
        <f aca="false">AW90*'Assumption Setting'!$D$111</f>
        <v>7.40688839545454</v>
      </c>
      <c r="AX91" s="82" t="n">
        <f aca="false">AX90*'Assumption Setting'!$D$111</f>
        <v>7.40688839545454</v>
      </c>
      <c r="AY91" s="82" t="n">
        <f aca="false">AY90*'Assumption Setting'!$D$111</f>
        <v>7.40688839545454</v>
      </c>
      <c r="AZ91" s="82" t="n">
        <f aca="false">AZ90*'Assumption Setting'!$D$111</f>
        <v>7.40688839545454</v>
      </c>
      <c r="BA91" s="82" t="n">
        <f aca="false">BA90*'Assumption Setting'!$D$111</f>
        <v>7.40688839545454</v>
      </c>
      <c r="BB91" s="81" t="n">
        <f aca="false">SUM(BC91:BN91)</f>
        <v>117.838935375</v>
      </c>
      <c r="BC91" s="82" t="n">
        <f aca="false">BC90*'Assumption Setting'!$D$111</f>
        <v>9.81991128125</v>
      </c>
      <c r="BD91" s="82" t="n">
        <f aca="false">BD90*'Assumption Setting'!$D$111</f>
        <v>9.81991128125</v>
      </c>
      <c r="BE91" s="82" t="n">
        <f aca="false">BE90*'Assumption Setting'!$D$111</f>
        <v>9.81991128125</v>
      </c>
      <c r="BF91" s="82" t="n">
        <f aca="false">BF90*'Assumption Setting'!$D$111</f>
        <v>9.81991128125</v>
      </c>
      <c r="BG91" s="82" t="n">
        <f aca="false">BG90*'Assumption Setting'!$D$111</f>
        <v>9.81991128125</v>
      </c>
      <c r="BH91" s="82" t="n">
        <f aca="false">BH90*'Assumption Setting'!$D$111</f>
        <v>9.81991128125</v>
      </c>
      <c r="BI91" s="82" t="n">
        <f aca="false">BI90*'Assumption Setting'!$D$111</f>
        <v>9.81991128125</v>
      </c>
      <c r="BJ91" s="82" t="n">
        <f aca="false">BJ90*'Assumption Setting'!$D$111</f>
        <v>9.81991128125</v>
      </c>
      <c r="BK91" s="82" t="n">
        <f aca="false">BK90*'Assumption Setting'!$D$111</f>
        <v>9.81991128125</v>
      </c>
      <c r="BL91" s="82" t="n">
        <f aca="false">BL90*'Assumption Setting'!$D$111</f>
        <v>9.81991128125</v>
      </c>
      <c r="BM91" s="82" t="n">
        <f aca="false">BM90*'Assumption Setting'!$D$111</f>
        <v>9.81991128125</v>
      </c>
      <c r="BN91" s="82" t="n">
        <f aca="false">BN90*'Assumption Setting'!$D$111</f>
        <v>9.81991128125</v>
      </c>
    </row>
    <row r="92" customFormat="false" ht="15" hidden="false" customHeight="false" outlineLevel="0" collapsed="false">
      <c r="A92" s="12" t="s">
        <v>652</v>
      </c>
      <c r="B92" s="81" t="n">
        <f aca="false">SUM(C92:N92)</f>
        <v>2.79901135022727</v>
      </c>
      <c r="C92" s="82" t="n">
        <f aca="false">C91*'Assumption Setting'!$E$111</f>
        <v>0.233250945852273</v>
      </c>
      <c r="D92" s="82" t="n">
        <f aca="false">D91*'Assumption Setting'!$E$111</f>
        <v>0.233250945852273</v>
      </c>
      <c r="E92" s="82" t="n">
        <f aca="false">E91*'Assumption Setting'!$E$111</f>
        <v>0.233250945852273</v>
      </c>
      <c r="F92" s="82" t="n">
        <f aca="false">F91*'Assumption Setting'!$E$111</f>
        <v>0.233250945852273</v>
      </c>
      <c r="G92" s="82" t="n">
        <f aca="false">G91*'Assumption Setting'!$E$111</f>
        <v>0.233250945852273</v>
      </c>
      <c r="H92" s="82" t="n">
        <f aca="false">H91*'Assumption Setting'!$E$111</f>
        <v>0.233250945852273</v>
      </c>
      <c r="I92" s="82" t="n">
        <f aca="false">I91*'Assumption Setting'!$E$111</f>
        <v>0.233250945852273</v>
      </c>
      <c r="J92" s="82" t="n">
        <f aca="false">J91*'Assumption Setting'!$E$111</f>
        <v>0.233250945852273</v>
      </c>
      <c r="K92" s="82" t="n">
        <f aca="false">K91*'Assumption Setting'!$E$111</f>
        <v>0.233250945852273</v>
      </c>
      <c r="L92" s="82" t="n">
        <f aca="false">L91*'Assumption Setting'!$E$111</f>
        <v>0.233250945852273</v>
      </c>
      <c r="M92" s="82" t="n">
        <f aca="false">M91*'Assumption Setting'!$E$111</f>
        <v>0.233250945852273</v>
      </c>
      <c r="N92" s="82" t="n">
        <f aca="false">N91*'Assumption Setting'!$E$111</f>
        <v>0.233250945852273</v>
      </c>
      <c r="O92" s="81" t="n">
        <f aca="false">SUM(P92:AA92)</f>
        <v>13.5757789363636</v>
      </c>
      <c r="P92" s="82" t="n">
        <f aca="false">P91*'Assumption Setting'!$E$111</f>
        <v>1.13131491136364</v>
      </c>
      <c r="Q92" s="82" t="n">
        <f aca="false">Q91*'Assumption Setting'!$E$111</f>
        <v>1.13131491136364</v>
      </c>
      <c r="R92" s="82" t="n">
        <f aca="false">R91*'Assumption Setting'!$E$111</f>
        <v>1.13131491136364</v>
      </c>
      <c r="S92" s="82" t="n">
        <f aca="false">S91*'Assumption Setting'!$E$111</f>
        <v>1.13131491136364</v>
      </c>
      <c r="T92" s="82" t="n">
        <f aca="false">T91*'Assumption Setting'!$E$111</f>
        <v>1.13131491136364</v>
      </c>
      <c r="U92" s="82" t="n">
        <f aca="false">U91*'Assumption Setting'!$E$111</f>
        <v>1.13131491136364</v>
      </c>
      <c r="V92" s="82" t="n">
        <f aca="false">V91*'Assumption Setting'!$E$111</f>
        <v>1.13131491136364</v>
      </c>
      <c r="W92" s="82" t="n">
        <f aca="false">W91*'Assumption Setting'!$E$111</f>
        <v>1.13131491136364</v>
      </c>
      <c r="X92" s="82" t="n">
        <f aca="false">X91*'Assumption Setting'!$E$111</f>
        <v>1.13131491136364</v>
      </c>
      <c r="Y92" s="82" t="n">
        <f aca="false">Y91*'Assumption Setting'!$E$111</f>
        <v>1.13131491136364</v>
      </c>
      <c r="Z92" s="82" t="n">
        <f aca="false">Z91*'Assumption Setting'!$E$111</f>
        <v>1.13131491136364</v>
      </c>
      <c r="AA92" s="82" t="n">
        <f aca="false">AA91*'Assumption Setting'!$E$111</f>
        <v>1.13131491136364</v>
      </c>
      <c r="AB92" s="81" t="n">
        <f aca="false">SUM(AC92:AN92)</f>
        <v>27.8911740640909</v>
      </c>
      <c r="AC92" s="82" t="n">
        <f aca="false">AC91*'Assumption Setting'!$E$111</f>
        <v>2.32426450534091</v>
      </c>
      <c r="AD92" s="82" t="n">
        <f aca="false">AD91*'Assumption Setting'!$E$111</f>
        <v>2.32426450534091</v>
      </c>
      <c r="AE92" s="82" t="n">
        <f aca="false">AE91*'Assumption Setting'!$E$111</f>
        <v>2.32426450534091</v>
      </c>
      <c r="AF92" s="82" t="n">
        <f aca="false">AF91*'Assumption Setting'!$E$111</f>
        <v>2.32426450534091</v>
      </c>
      <c r="AG92" s="82" t="n">
        <f aca="false">AG91*'Assumption Setting'!$E$111</f>
        <v>2.32426450534091</v>
      </c>
      <c r="AH92" s="82" t="n">
        <f aca="false">AH91*'Assumption Setting'!$E$111</f>
        <v>2.32426450534091</v>
      </c>
      <c r="AI92" s="82" t="n">
        <f aca="false">AI91*'Assumption Setting'!$E$111</f>
        <v>2.32426450534091</v>
      </c>
      <c r="AJ92" s="82" t="n">
        <f aca="false">AJ91*'Assumption Setting'!$E$111</f>
        <v>2.32426450534091</v>
      </c>
      <c r="AK92" s="82" t="n">
        <f aca="false">AK91*'Assumption Setting'!$E$111</f>
        <v>2.32426450534091</v>
      </c>
      <c r="AL92" s="82" t="n">
        <f aca="false">AL91*'Assumption Setting'!$E$111</f>
        <v>2.32426450534091</v>
      </c>
      <c r="AM92" s="82" t="n">
        <f aca="false">AM91*'Assumption Setting'!$E$111</f>
        <v>2.32426450534091</v>
      </c>
      <c r="AN92" s="82" t="n">
        <f aca="false">AN91*'Assumption Setting'!$E$111</f>
        <v>2.32426450534091</v>
      </c>
      <c r="AO92" s="81" t="n">
        <f aca="false">SUM(AP92:BA92)</f>
        <v>39.9971973354545</v>
      </c>
      <c r="AP92" s="82" t="n">
        <f aca="false">AP91*'Assumption Setting'!$E$111</f>
        <v>3.33309977795455</v>
      </c>
      <c r="AQ92" s="82" t="n">
        <f aca="false">AQ91*'Assumption Setting'!$E$111</f>
        <v>3.33309977795455</v>
      </c>
      <c r="AR92" s="82" t="n">
        <f aca="false">AR91*'Assumption Setting'!$E$111</f>
        <v>3.33309977795455</v>
      </c>
      <c r="AS92" s="82" t="n">
        <f aca="false">AS91*'Assumption Setting'!$E$111</f>
        <v>3.33309977795455</v>
      </c>
      <c r="AT92" s="82" t="n">
        <f aca="false">AT91*'Assumption Setting'!$E$111</f>
        <v>3.33309977795455</v>
      </c>
      <c r="AU92" s="82" t="n">
        <f aca="false">AU91*'Assumption Setting'!$E$111</f>
        <v>3.33309977795455</v>
      </c>
      <c r="AV92" s="82" t="n">
        <f aca="false">AV91*'Assumption Setting'!$E$111</f>
        <v>3.33309977795455</v>
      </c>
      <c r="AW92" s="82" t="n">
        <f aca="false">AW91*'Assumption Setting'!$E$111</f>
        <v>3.33309977795455</v>
      </c>
      <c r="AX92" s="82" t="n">
        <f aca="false">AX91*'Assumption Setting'!$E$111</f>
        <v>3.33309977795455</v>
      </c>
      <c r="AY92" s="82" t="n">
        <f aca="false">AY91*'Assumption Setting'!$E$111</f>
        <v>3.33309977795455</v>
      </c>
      <c r="AZ92" s="82" t="n">
        <f aca="false">AZ91*'Assumption Setting'!$E$111</f>
        <v>3.33309977795455</v>
      </c>
      <c r="BA92" s="82" t="n">
        <f aca="false">BA91*'Assumption Setting'!$E$111</f>
        <v>3.33309977795455</v>
      </c>
      <c r="BB92" s="81" t="n">
        <f aca="false">SUM(BC92:BN92)</f>
        <v>53.02752091875</v>
      </c>
      <c r="BC92" s="82" t="n">
        <f aca="false">BC91*'Assumption Setting'!$E$111</f>
        <v>4.4189600765625</v>
      </c>
      <c r="BD92" s="82" t="n">
        <f aca="false">BD91*'Assumption Setting'!$E$111</f>
        <v>4.4189600765625</v>
      </c>
      <c r="BE92" s="82" t="n">
        <f aca="false">BE91*'Assumption Setting'!$E$111</f>
        <v>4.4189600765625</v>
      </c>
      <c r="BF92" s="82" t="n">
        <f aca="false">BF91*'Assumption Setting'!$E$111</f>
        <v>4.4189600765625</v>
      </c>
      <c r="BG92" s="82" t="n">
        <f aca="false">BG91*'Assumption Setting'!$E$111</f>
        <v>4.4189600765625</v>
      </c>
      <c r="BH92" s="82" t="n">
        <f aca="false">BH91*'Assumption Setting'!$E$111</f>
        <v>4.4189600765625</v>
      </c>
      <c r="BI92" s="82" t="n">
        <f aca="false">BI91*'Assumption Setting'!$E$111</f>
        <v>4.4189600765625</v>
      </c>
      <c r="BJ92" s="82" t="n">
        <f aca="false">BJ91*'Assumption Setting'!$E$111</f>
        <v>4.4189600765625</v>
      </c>
      <c r="BK92" s="82" t="n">
        <f aca="false">BK91*'Assumption Setting'!$E$111</f>
        <v>4.4189600765625</v>
      </c>
      <c r="BL92" s="82" t="n">
        <f aca="false">BL91*'Assumption Setting'!$E$111</f>
        <v>4.4189600765625</v>
      </c>
      <c r="BM92" s="82" t="n">
        <f aca="false">BM91*'Assumption Setting'!$E$111</f>
        <v>4.4189600765625</v>
      </c>
      <c r="BN92" s="82" t="n">
        <f aca="false">BN91*'Assumption Setting'!$E$111</f>
        <v>4.4189600765625</v>
      </c>
    </row>
    <row r="93" customFormat="false" ht="15" hidden="false" customHeight="false" outlineLevel="0" collapsed="false">
      <c r="A93" s="18" t="s">
        <v>653</v>
      </c>
      <c r="B93" s="81" t="n">
        <f aca="false">SUM(C93:N93)</f>
        <v>0</v>
      </c>
      <c r="C93" s="84" t="n">
        <f aca="true">IF((1-'Assumption Setting'!$G$111)&lt;1,0,OFFSET($A$92,0,2+13*INT(((1-'Assumption Setting'!$G$111)-1)/12)+MOD((1-'Assumption Setting'!$G$111)-1,12))*'Assumption Setting'!$F$111*'Assumption Setting'!$C$117)</f>
        <v>0</v>
      </c>
      <c r="D93" s="84" t="n">
        <f aca="true">IF((2-'Assumption Setting'!$G$111)&lt;1,0,OFFSET($A$92,0,2+13*INT(((2-'Assumption Setting'!$G$111)-1)/12)+MOD((2-'Assumption Setting'!$G$111)-1,12))*'Assumption Setting'!$F$111*'Assumption Setting'!$C$117)</f>
        <v>0</v>
      </c>
      <c r="E93" s="84" t="n">
        <f aca="true">IF((3-'Assumption Setting'!$G$111)&lt;1,0,OFFSET($A$92,0,2+13*INT(((3-'Assumption Setting'!$G$111)-1)/12)+MOD((3-'Assumption Setting'!$G$111)-1,12))*'Assumption Setting'!$F$111*'Assumption Setting'!$C$117)</f>
        <v>0</v>
      </c>
      <c r="F93" s="84" t="n">
        <f aca="true">IF((4-'Assumption Setting'!$G$111)&lt;1,0,OFFSET($A$92,0,2+13*INT(((4-'Assumption Setting'!$G$111)-1)/12)+MOD((4-'Assumption Setting'!$G$111)-1,12))*'Assumption Setting'!$F$111*'Assumption Setting'!$C$117)</f>
        <v>0</v>
      </c>
      <c r="G93" s="84" t="n">
        <f aca="true">IF((5-'Assumption Setting'!$G$111)&lt;1,0,OFFSET($A$92,0,2+13*INT(((5-'Assumption Setting'!$G$111)-1)/12)+MOD((5-'Assumption Setting'!$G$111)-1,12))*'Assumption Setting'!$F$111*'Assumption Setting'!$C$117)</f>
        <v>0</v>
      </c>
      <c r="H93" s="84" t="n">
        <f aca="true">IF((6-'Assumption Setting'!$G$111)&lt;1,0,OFFSET($A$92,0,2+13*INT(((6-'Assumption Setting'!$G$111)-1)/12)+MOD((6-'Assumption Setting'!$G$111)-1,12))*'Assumption Setting'!$F$111*'Assumption Setting'!$C$117)</f>
        <v>0</v>
      </c>
      <c r="I93" s="84" t="n">
        <f aca="true">IF((7-'Assumption Setting'!$G$111)&lt;1,0,OFFSET($A$92,0,2+13*INT(((7-'Assumption Setting'!$G$111)-1)/12)+MOD((7-'Assumption Setting'!$G$111)-1,12))*'Assumption Setting'!$F$111*'Assumption Setting'!$C$117)</f>
        <v>0</v>
      </c>
      <c r="J93" s="84" t="n">
        <f aca="true">IF((8-'Assumption Setting'!$G$111)&lt;1,0,OFFSET($A$92,0,2+13*INT(((8-'Assumption Setting'!$G$111)-1)/12)+MOD((8-'Assumption Setting'!$G$111)-1,12))*'Assumption Setting'!$F$111*'Assumption Setting'!$C$117)</f>
        <v>0</v>
      </c>
      <c r="K93" s="84" t="n">
        <f aca="true">IF((9-'Assumption Setting'!$G$111)&lt;1,0,OFFSET($A$92,0,2+13*INT(((9-'Assumption Setting'!$G$111)-1)/12)+MOD((9-'Assumption Setting'!$G$111)-1,12))*'Assumption Setting'!$F$111*'Assumption Setting'!$C$117)</f>
        <v>0</v>
      </c>
      <c r="L93" s="84" t="n">
        <f aca="true">IF((10-'Assumption Setting'!$G$111)&lt;1,0,OFFSET($A$92,0,2+13*INT(((10-'Assumption Setting'!$G$111)-1)/12)+MOD((10-'Assumption Setting'!$G$111)-1,12))*'Assumption Setting'!$F$111*'Assumption Setting'!$C$117)</f>
        <v>0</v>
      </c>
      <c r="M93" s="84" t="n">
        <f aca="true">IF((11-'Assumption Setting'!$G$111)&lt;1,0,OFFSET($A$92,0,2+13*INT(((11-'Assumption Setting'!$G$111)-1)/12)+MOD((11-'Assumption Setting'!$G$111)-1,12))*'Assumption Setting'!$F$111*'Assumption Setting'!$C$117)</f>
        <v>0</v>
      </c>
      <c r="N93" s="84" t="n">
        <f aca="true">IF((12-'Assumption Setting'!$G$111)&lt;1,0,OFFSET($A$92,0,2+13*INT(((12-'Assumption Setting'!$G$111)-1)/12)+MOD((12-'Assumption Setting'!$G$111)-1,12))*'Assumption Setting'!$F$111*'Assumption Setting'!$C$117)</f>
        <v>0</v>
      </c>
      <c r="O93" s="81" t="n">
        <f aca="false">SUM(P93:AA93)</f>
        <v>0.965658915828409</v>
      </c>
      <c r="P93" s="84" t="n">
        <f aca="true">IF((13-'Assumption Setting'!$G$111)&lt;1,0,OFFSET($A$92,0,2+13*INT(((13-'Assumption Setting'!$G$111)-1)/12)+MOD((13-'Assumption Setting'!$G$111)-1,12))*'Assumption Setting'!$F$111*'Assumption Setting'!$D$117)</f>
        <v>0.0804715763190341</v>
      </c>
      <c r="Q93" s="84" t="n">
        <f aca="true">IF((14-'Assumption Setting'!$G$111)&lt;1,0,OFFSET($A$92,0,2+13*INT(((14-'Assumption Setting'!$G$111)-1)/12)+MOD((14-'Assumption Setting'!$G$111)-1,12))*'Assumption Setting'!$F$111*'Assumption Setting'!$D$117)</f>
        <v>0.0804715763190341</v>
      </c>
      <c r="R93" s="84" t="n">
        <f aca="true">IF((15-'Assumption Setting'!$G$111)&lt;1,0,OFFSET($A$92,0,2+13*INT(((15-'Assumption Setting'!$G$111)-1)/12)+MOD((15-'Assumption Setting'!$G$111)-1,12))*'Assumption Setting'!$F$111*'Assumption Setting'!$D$117)</f>
        <v>0.0804715763190341</v>
      </c>
      <c r="S93" s="84" t="n">
        <f aca="true">IF((16-'Assumption Setting'!$G$111)&lt;1,0,OFFSET($A$92,0,2+13*INT(((16-'Assumption Setting'!$G$111)-1)/12)+MOD((16-'Assumption Setting'!$G$111)-1,12))*'Assumption Setting'!$F$111*'Assumption Setting'!$D$117)</f>
        <v>0.0804715763190341</v>
      </c>
      <c r="T93" s="84" t="n">
        <f aca="true">IF((17-'Assumption Setting'!$G$111)&lt;1,0,OFFSET($A$92,0,2+13*INT(((17-'Assumption Setting'!$G$111)-1)/12)+MOD((17-'Assumption Setting'!$G$111)-1,12))*'Assumption Setting'!$F$111*'Assumption Setting'!$D$117)</f>
        <v>0.0804715763190341</v>
      </c>
      <c r="U93" s="84" t="n">
        <f aca="true">IF((18-'Assumption Setting'!$G$111)&lt;1,0,OFFSET($A$92,0,2+13*INT(((18-'Assumption Setting'!$G$111)-1)/12)+MOD((18-'Assumption Setting'!$G$111)-1,12))*'Assumption Setting'!$F$111*'Assumption Setting'!$D$117)</f>
        <v>0.0804715763190341</v>
      </c>
      <c r="V93" s="84" t="n">
        <f aca="true">IF((19-'Assumption Setting'!$G$111)&lt;1,0,OFFSET($A$92,0,2+13*INT(((19-'Assumption Setting'!$G$111)-1)/12)+MOD((19-'Assumption Setting'!$G$111)-1,12))*'Assumption Setting'!$F$111*'Assumption Setting'!$D$117)</f>
        <v>0.0804715763190341</v>
      </c>
      <c r="W93" s="84" t="n">
        <f aca="true">IF((20-'Assumption Setting'!$G$111)&lt;1,0,OFFSET($A$92,0,2+13*INT(((20-'Assumption Setting'!$G$111)-1)/12)+MOD((20-'Assumption Setting'!$G$111)-1,12))*'Assumption Setting'!$F$111*'Assumption Setting'!$D$117)</f>
        <v>0.0804715763190341</v>
      </c>
      <c r="X93" s="84" t="n">
        <f aca="true">IF((21-'Assumption Setting'!$G$111)&lt;1,0,OFFSET($A$92,0,2+13*INT(((21-'Assumption Setting'!$G$111)-1)/12)+MOD((21-'Assumption Setting'!$G$111)-1,12))*'Assumption Setting'!$F$111*'Assumption Setting'!$D$117)</f>
        <v>0.0804715763190341</v>
      </c>
      <c r="Y93" s="84" t="n">
        <f aca="true">IF((22-'Assumption Setting'!$G$111)&lt;1,0,OFFSET($A$92,0,2+13*INT(((22-'Assumption Setting'!$G$111)-1)/12)+MOD((22-'Assumption Setting'!$G$111)-1,12))*'Assumption Setting'!$F$111*'Assumption Setting'!$D$117)</f>
        <v>0.0804715763190341</v>
      </c>
      <c r="Z93" s="84" t="n">
        <f aca="true">IF((23-'Assumption Setting'!$G$111)&lt;1,0,OFFSET($A$92,0,2+13*INT(((23-'Assumption Setting'!$G$111)-1)/12)+MOD((23-'Assumption Setting'!$G$111)-1,12))*'Assumption Setting'!$F$111*'Assumption Setting'!$D$117)</f>
        <v>0.0804715763190341</v>
      </c>
      <c r="AA93" s="84" t="n">
        <f aca="true">IF((24-'Assumption Setting'!$G$111)&lt;1,0,OFFSET($A$92,0,2+13*INT(((24-'Assumption Setting'!$G$111)-1)/12)+MOD((24-'Assumption Setting'!$G$111)-1,12))*'Assumption Setting'!$F$111*'Assumption Setting'!$D$117)</f>
        <v>0.0804715763190341</v>
      </c>
      <c r="AB93" s="81" t="n">
        <f aca="false">SUM(AC93:AN93)</f>
        <v>5.49819046922727</v>
      </c>
      <c r="AC93" s="84" t="n">
        <f aca="true">IF((25-'Assumption Setting'!$G$111)&lt;1,0,OFFSET($A$92,0,2+13*INT(((25-'Assumption Setting'!$G$111)-1)/12)+MOD((25-'Assumption Setting'!$G$111)-1,12))*'Assumption Setting'!$F$111*'Assumption Setting'!$E$117)</f>
        <v>0.458182539102273</v>
      </c>
      <c r="AD93" s="84" t="n">
        <f aca="true">IF((26-'Assumption Setting'!$G$111)&lt;1,0,OFFSET($A$92,0,2+13*INT(((26-'Assumption Setting'!$G$111)-1)/12)+MOD((26-'Assumption Setting'!$G$111)-1,12))*'Assumption Setting'!$F$111*'Assumption Setting'!$E$117)</f>
        <v>0.458182539102273</v>
      </c>
      <c r="AE93" s="84" t="n">
        <f aca="true">IF((27-'Assumption Setting'!$G$111)&lt;1,0,OFFSET($A$92,0,2+13*INT(((27-'Assumption Setting'!$G$111)-1)/12)+MOD((27-'Assumption Setting'!$G$111)-1,12))*'Assumption Setting'!$F$111*'Assumption Setting'!$E$117)</f>
        <v>0.458182539102273</v>
      </c>
      <c r="AF93" s="84" t="n">
        <f aca="true">IF((28-'Assumption Setting'!$G$111)&lt;1,0,OFFSET($A$92,0,2+13*INT(((28-'Assumption Setting'!$G$111)-1)/12)+MOD((28-'Assumption Setting'!$G$111)-1,12))*'Assumption Setting'!$F$111*'Assumption Setting'!$E$117)</f>
        <v>0.458182539102273</v>
      </c>
      <c r="AG93" s="84" t="n">
        <f aca="true">IF((29-'Assumption Setting'!$G$111)&lt;1,0,OFFSET($A$92,0,2+13*INT(((29-'Assumption Setting'!$G$111)-1)/12)+MOD((29-'Assumption Setting'!$G$111)-1,12))*'Assumption Setting'!$F$111*'Assumption Setting'!$E$117)</f>
        <v>0.458182539102273</v>
      </c>
      <c r="AH93" s="84" t="n">
        <f aca="true">IF((30-'Assumption Setting'!$G$111)&lt;1,0,OFFSET($A$92,0,2+13*INT(((30-'Assumption Setting'!$G$111)-1)/12)+MOD((30-'Assumption Setting'!$G$111)-1,12))*'Assumption Setting'!$F$111*'Assumption Setting'!$E$117)</f>
        <v>0.458182539102273</v>
      </c>
      <c r="AI93" s="84" t="n">
        <f aca="true">IF((31-'Assumption Setting'!$G$111)&lt;1,0,OFFSET($A$92,0,2+13*INT(((31-'Assumption Setting'!$G$111)-1)/12)+MOD((31-'Assumption Setting'!$G$111)-1,12))*'Assumption Setting'!$F$111*'Assumption Setting'!$E$117)</f>
        <v>0.458182539102273</v>
      </c>
      <c r="AJ93" s="84" t="n">
        <f aca="true">IF((32-'Assumption Setting'!$G$111)&lt;1,0,OFFSET($A$92,0,2+13*INT(((32-'Assumption Setting'!$G$111)-1)/12)+MOD((32-'Assumption Setting'!$G$111)-1,12))*'Assumption Setting'!$F$111*'Assumption Setting'!$E$117)</f>
        <v>0.458182539102273</v>
      </c>
      <c r="AK93" s="84" t="n">
        <f aca="true">IF((33-'Assumption Setting'!$G$111)&lt;1,0,OFFSET($A$92,0,2+13*INT(((33-'Assumption Setting'!$G$111)-1)/12)+MOD((33-'Assumption Setting'!$G$111)-1,12))*'Assumption Setting'!$F$111*'Assumption Setting'!$E$117)</f>
        <v>0.458182539102273</v>
      </c>
      <c r="AL93" s="84" t="n">
        <f aca="true">IF((34-'Assumption Setting'!$G$111)&lt;1,0,OFFSET($A$92,0,2+13*INT(((34-'Assumption Setting'!$G$111)-1)/12)+MOD((34-'Assumption Setting'!$G$111)-1,12))*'Assumption Setting'!$F$111*'Assumption Setting'!$E$117)</f>
        <v>0.458182539102273</v>
      </c>
      <c r="AM93" s="84" t="n">
        <f aca="true">IF((35-'Assumption Setting'!$G$111)&lt;1,0,OFFSET($A$92,0,2+13*INT(((35-'Assumption Setting'!$G$111)-1)/12)+MOD((35-'Assumption Setting'!$G$111)-1,12))*'Assumption Setting'!$F$111*'Assumption Setting'!$E$117)</f>
        <v>0.458182539102273</v>
      </c>
      <c r="AN93" s="84" t="n">
        <f aca="true">IF((36-'Assumption Setting'!$G$111)&lt;1,0,OFFSET($A$92,0,2+13*INT(((36-'Assumption Setting'!$G$111)-1)/12)+MOD((36-'Assumption Setting'!$G$111)-1,12))*'Assumption Setting'!$F$111*'Assumption Setting'!$E$117)</f>
        <v>0.458182539102273</v>
      </c>
      <c r="AO93" s="81" t="n">
        <f aca="false">SUM(AP93:BA93)</f>
        <v>12.1326607178795</v>
      </c>
      <c r="AP93" s="84" t="n">
        <f aca="true">IF((37-'Assumption Setting'!$G$111)&lt;1,0,OFFSET($A$92,0,2+13*INT(((37-'Assumption Setting'!$G$111)-1)/12)+MOD((37-'Assumption Setting'!$G$111)-1,12))*'Assumption Setting'!$F$111*'Assumption Setting'!$F$117)</f>
        <v>1.0110550598233</v>
      </c>
      <c r="AQ93" s="84" t="n">
        <f aca="true">IF((38-'Assumption Setting'!$G$111)&lt;1,0,OFFSET($A$92,0,2+13*INT(((38-'Assumption Setting'!$G$111)-1)/12)+MOD((38-'Assumption Setting'!$G$111)-1,12))*'Assumption Setting'!$F$111*'Assumption Setting'!$F$117)</f>
        <v>1.0110550598233</v>
      </c>
      <c r="AR93" s="84" t="n">
        <f aca="true">IF((39-'Assumption Setting'!$G$111)&lt;1,0,OFFSET($A$92,0,2+13*INT(((39-'Assumption Setting'!$G$111)-1)/12)+MOD((39-'Assumption Setting'!$G$111)-1,12))*'Assumption Setting'!$F$111*'Assumption Setting'!$F$117)</f>
        <v>1.0110550598233</v>
      </c>
      <c r="AS93" s="84" t="n">
        <f aca="true">IF((40-'Assumption Setting'!$G$111)&lt;1,0,OFFSET($A$92,0,2+13*INT(((40-'Assumption Setting'!$G$111)-1)/12)+MOD((40-'Assumption Setting'!$G$111)-1,12))*'Assumption Setting'!$F$111*'Assumption Setting'!$F$117)</f>
        <v>1.0110550598233</v>
      </c>
      <c r="AT93" s="84" t="n">
        <f aca="true">IF((41-'Assumption Setting'!$G$111)&lt;1,0,OFFSET($A$92,0,2+13*INT(((41-'Assumption Setting'!$G$111)-1)/12)+MOD((41-'Assumption Setting'!$G$111)-1,12))*'Assumption Setting'!$F$111*'Assumption Setting'!$F$117)</f>
        <v>1.0110550598233</v>
      </c>
      <c r="AU93" s="84" t="n">
        <f aca="true">IF((42-'Assumption Setting'!$G$111)&lt;1,0,OFFSET($A$92,0,2+13*INT(((42-'Assumption Setting'!$G$111)-1)/12)+MOD((42-'Assumption Setting'!$G$111)-1,12))*'Assumption Setting'!$F$111*'Assumption Setting'!$F$117)</f>
        <v>1.0110550598233</v>
      </c>
      <c r="AV93" s="84" t="n">
        <f aca="true">IF((43-'Assumption Setting'!$G$111)&lt;1,0,OFFSET($A$92,0,2+13*INT(((43-'Assumption Setting'!$G$111)-1)/12)+MOD((43-'Assumption Setting'!$G$111)-1,12))*'Assumption Setting'!$F$111*'Assumption Setting'!$F$117)</f>
        <v>1.0110550598233</v>
      </c>
      <c r="AW93" s="84" t="n">
        <f aca="true">IF((44-'Assumption Setting'!$G$111)&lt;1,0,OFFSET($A$92,0,2+13*INT(((44-'Assumption Setting'!$G$111)-1)/12)+MOD((44-'Assumption Setting'!$G$111)-1,12))*'Assumption Setting'!$F$111*'Assumption Setting'!$F$117)</f>
        <v>1.0110550598233</v>
      </c>
      <c r="AX93" s="84" t="n">
        <f aca="true">IF((45-'Assumption Setting'!$G$111)&lt;1,0,OFFSET($A$92,0,2+13*INT(((45-'Assumption Setting'!$G$111)-1)/12)+MOD((45-'Assumption Setting'!$G$111)-1,12))*'Assumption Setting'!$F$111*'Assumption Setting'!$F$117)</f>
        <v>1.0110550598233</v>
      </c>
      <c r="AY93" s="84" t="n">
        <f aca="true">IF((46-'Assumption Setting'!$G$111)&lt;1,0,OFFSET($A$92,0,2+13*INT(((46-'Assumption Setting'!$G$111)-1)/12)+MOD((46-'Assumption Setting'!$G$111)-1,12))*'Assumption Setting'!$F$111*'Assumption Setting'!$F$117)</f>
        <v>1.0110550598233</v>
      </c>
      <c r="AZ93" s="84" t="n">
        <f aca="true">IF((47-'Assumption Setting'!$G$111)&lt;1,0,OFFSET($A$92,0,2+13*INT(((47-'Assumption Setting'!$G$111)-1)/12)+MOD((47-'Assumption Setting'!$G$111)-1,12))*'Assumption Setting'!$F$111*'Assumption Setting'!$F$117)</f>
        <v>1.0110550598233</v>
      </c>
      <c r="BA93" s="84" t="n">
        <f aca="true">IF((48-'Assumption Setting'!$G$111)&lt;1,0,OFFSET($A$92,0,2+13*INT(((48-'Assumption Setting'!$G$111)-1)/12)+MOD((48-'Assumption Setting'!$G$111)-1,12))*'Assumption Setting'!$F$111*'Assumption Setting'!$F$117)</f>
        <v>1.0110550598233</v>
      </c>
      <c r="BB93" s="81" t="n">
        <f aca="false">SUM(BC93:BN93)</f>
        <v>17.9987388009545</v>
      </c>
      <c r="BC93" s="84" t="n">
        <f aca="true">IF((49-'Assumption Setting'!$G$111)&lt;1,0,OFFSET($A$92,0,2+13*INT(((49-'Assumption Setting'!$G$111)-1)/12)+MOD((49-'Assumption Setting'!$G$111)-1,12))*'Assumption Setting'!$F$111*'Assumption Setting'!$G$117)</f>
        <v>1.49989490007955</v>
      </c>
      <c r="BD93" s="84" t="n">
        <f aca="true">IF((50-'Assumption Setting'!$G$111)&lt;1,0,OFFSET($A$92,0,2+13*INT(((50-'Assumption Setting'!$G$111)-1)/12)+MOD((50-'Assumption Setting'!$G$111)-1,12))*'Assumption Setting'!$F$111*'Assumption Setting'!$G$117)</f>
        <v>1.49989490007955</v>
      </c>
      <c r="BE93" s="84" t="n">
        <f aca="true">IF((51-'Assumption Setting'!$G$111)&lt;1,0,OFFSET($A$92,0,2+13*INT(((51-'Assumption Setting'!$G$111)-1)/12)+MOD((51-'Assumption Setting'!$G$111)-1,12))*'Assumption Setting'!$F$111*'Assumption Setting'!$G$117)</f>
        <v>1.49989490007955</v>
      </c>
      <c r="BF93" s="84" t="n">
        <f aca="true">IF((52-'Assumption Setting'!$G$111)&lt;1,0,OFFSET($A$92,0,2+13*INT(((52-'Assumption Setting'!$G$111)-1)/12)+MOD((52-'Assumption Setting'!$G$111)-1,12))*'Assumption Setting'!$F$111*'Assumption Setting'!$G$117)</f>
        <v>1.49989490007955</v>
      </c>
      <c r="BG93" s="84" t="n">
        <f aca="true">IF((53-'Assumption Setting'!$G$111)&lt;1,0,OFFSET($A$92,0,2+13*INT(((53-'Assumption Setting'!$G$111)-1)/12)+MOD((53-'Assumption Setting'!$G$111)-1,12))*'Assumption Setting'!$F$111*'Assumption Setting'!$G$117)</f>
        <v>1.49989490007955</v>
      </c>
      <c r="BH93" s="84" t="n">
        <f aca="true">IF((54-'Assumption Setting'!$G$111)&lt;1,0,OFFSET($A$92,0,2+13*INT(((54-'Assumption Setting'!$G$111)-1)/12)+MOD((54-'Assumption Setting'!$G$111)-1,12))*'Assumption Setting'!$F$111*'Assumption Setting'!$G$117)</f>
        <v>1.49989490007955</v>
      </c>
      <c r="BI93" s="84" t="n">
        <f aca="true">IF((55-'Assumption Setting'!$G$111)&lt;1,0,OFFSET($A$92,0,2+13*INT(((55-'Assumption Setting'!$G$111)-1)/12)+MOD((55-'Assumption Setting'!$G$111)-1,12))*'Assumption Setting'!$F$111*'Assumption Setting'!$G$117)</f>
        <v>1.49989490007955</v>
      </c>
      <c r="BJ93" s="84" t="n">
        <f aca="true">IF((56-'Assumption Setting'!$G$111)&lt;1,0,OFFSET($A$92,0,2+13*INT(((56-'Assumption Setting'!$G$111)-1)/12)+MOD((56-'Assumption Setting'!$G$111)-1,12))*'Assumption Setting'!$F$111*'Assumption Setting'!$G$117)</f>
        <v>1.49989490007955</v>
      </c>
      <c r="BK93" s="84" t="n">
        <f aca="true">IF((57-'Assumption Setting'!$G$111)&lt;1,0,OFFSET($A$92,0,2+13*INT(((57-'Assumption Setting'!$G$111)-1)/12)+MOD((57-'Assumption Setting'!$G$111)-1,12))*'Assumption Setting'!$F$111*'Assumption Setting'!$G$117)</f>
        <v>1.49989490007955</v>
      </c>
      <c r="BL93" s="84" t="n">
        <f aca="true">IF((58-'Assumption Setting'!$G$111)&lt;1,0,OFFSET($A$92,0,2+13*INT(((58-'Assumption Setting'!$G$111)-1)/12)+MOD((58-'Assumption Setting'!$G$111)-1,12))*'Assumption Setting'!$F$111*'Assumption Setting'!$G$117)</f>
        <v>1.49989490007955</v>
      </c>
      <c r="BM93" s="84" t="n">
        <f aca="true">IF((59-'Assumption Setting'!$G$111)&lt;1,0,OFFSET($A$92,0,2+13*INT(((59-'Assumption Setting'!$G$111)-1)/12)+MOD((59-'Assumption Setting'!$G$111)-1,12))*'Assumption Setting'!$F$111*'Assumption Setting'!$G$117)</f>
        <v>1.49989490007955</v>
      </c>
      <c r="BN93" s="84" t="n">
        <f aca="true">IF((60-'Assumption Setting'!$G$111)&lt;1,0,OFFSET($A$92,0,2+13*INT(((60-'Assumption Setting'!$G$111)-1)/12)+MOD((60-'Assumption Setting'!$G$111)-1,12))*'Assumption Setting'!$F$111*'Assumption Setting'!$G$117)</f>
        <v>1.49989490007955</v>
      </c>
    </row>
    <row r="94" customFormat="false" ht="15" hidden="false" customHeight="false" outlineLevel="0" collapsed="false">
      <c r="A94" s="18" t="s">
        <v>384</v>
      </c>
      <c r="B94" s="81" t="n">
        <f aca="false">SUM(C94:N94)</f>
        <v>17.7715006363636</v>
      </c>
      <c r="C94" s="84" t="n">
        <f aca="false">C81*'Assumption Setting'!$C$112</f>
        <v>1.48095838636364</v>
      </c>
      <c r="D94" s="84" t="n">
        <f aca="false">D81*'Assumption Setting'!$C$112</f>
        <v>1.48095838636364</v>
      </c>
      <c r="E94" s="84" t="n">
        <f aca="false">E81*'Assumption Setting'!$C$112</f>
        <v>1.48095838636364</v>
      </c>
      <c r="F94" s="84" t="n">
        <f aca="false">F81*'Assumption Setting'!$C$112</f>
        <v>1.48095838636364</v>
      </c>
      <c r="G94" s="84" t="n">
        <f aca="false">G81*'Assumption Setting'!$C$112</f>
        <v>1.48095838636364</v>
      </c>
      <c r="H94" s="84" t="n">
        <f aca="false">H81*'Assumption Setting'!$C$112</f>
        <v>1.48095838636364</v>
      </c>
      <c r="I94" s="84" t="n">
        <f aca="false">I81*'Assumption Setting'!$C$112</f>
        <v>1.48095838636364</v>
      </c>
      <c r="J94" s="84" t="n">
        <f aca="false">J81*'Assumption Setting'!$C$112</f>
        <v>1.48095838636364</v>
      </c>
      <c r="K94" s="84" t="n">
        <f aca="false">K81*'Assumption Setting'!$C$112</f>
        <v>1.48095838636364</v>
      </c>
      <c r="L94" s="84" t="n">
        <f aca="false">L81*'Assumption Setting'!$C$112</f>
        <v>1.48095838636364</v>
      </c>
      <c r="M94" s="84" t="n">
        <f aca="false">M81*'Assumption Setting'!$C$112</f>
        <v>1.48095838636364</v>
      </c>
      <c r="N94" s="84" t="n">
        <f aca="false">N81*'Assumption Setting'!$C$112</f>
        <v>1.48095838636364</v>
      </c>
      <c r="O94" s="81" t="n">
        <f aca="false">SUM(P94:AA94)</f>
        <v>86.1954218181818</v>
      </c>
      <c r="P94" s="84" t="n">
        <f aca="false">P81*'Assumption Setting'!$C$112</f>
        <v>7.18295181818182</v>
      </c>
      <c r="Q94" s="84" t="n">
        <f aca="false">Q81*'Assumption Setting'!$C$112</f>
        <v>7.18295181818182</v>
      </c>
      <c r="R94" s="84" t="n">
        <f aca="false">R81*'Assumption Setting'!$C$112</f>
        <v>7.18295181818182</v>
      </c>
      <c r="S94" s="84" t="n">
        <f aca="false">S81*'Assumption Setting'!$C$112</f>
        <v>7.18295181818182</v>
      </c>
      <c r="T94" s="84" t="n">
        <f aca="false">T81*'Assumption Setting'!$C$112</f>
        <v>7.18295181818182</v>
      </c>
      <c r="U94" s="84" t="n">
        <f aca="false">U81*'Assumption Setting'!$C$112</f>
        <v>7.18295181818182</v>
      </c>
      <c r="V94" s="84" t="n">
        <f aca="false">V81*'Assumption Setting'!$C$112</f>
        <v>7.18295181818182</v>
      </c>
      <c r="W94" s="84" t="n">
        <f aca="false">W81*'Assumption Setting'!$C$112</f>
        <v>7.18295181818182</v>
      </c>
      <c r="X94" s="84" t="n">
        <f aca="false">X81*'Assumption Setting'!$C$112</f>
        <v>7.18295181818182</v>
      </c>
      <c r="Y94" s="84" t="n">
        <f aca="false">Y81*'Assumption Setting'!$C$112</f>
        <v>7.18295181818182</v>
      </c>
      <c r="Z94" s="84" t="n">
        <f aca="false">Z81*'Assumption Setting'!$C$112</f>
        <v>7.18295181818182</v>
      </c>
      <c r="AA94" s="84" t="n">
        <f aca="false">AA81*'Assumption Setting'!$C$112</f>
        <v>7.18295181818182</v>
      </c>
      <c r="AB94" s="81" t="n">
        <f aca="false">SUM(AC94:AN94)</f>
        <v>177.086819454545</v>
      </c>
      <c r="AC94" s="84" t="n">
        <f aca="false">AC81*'Assumption Setting'!$C$112</f>
        <v>14.7572349545455</v>
      </c>
      <c r="AD94" s="84" t="n">
        <f aca="false">AD81*'Assumption Setting'!$C$112</f>
        <v>14.7572349545455</v>
      </c>
      <c r="AE94" s="84" t="n">
        <f aca="false">AE81*'Assumption Setting'!$C$112</f>
        <v>14.7572349545455</v>
      </c>
      <c r="AF94" s="84" t="n">
        <f aca="false">AF81*'Assumption Setting'!$C$112</f>
        <v>14.7572349545455</v>
      </c>
      <c r="AG94" s="84" t="n">
        <f aca="false">AG81*'Assumption Setting'!$C$112</f>
        <v>14.7572349545455</v>
      </c>
      <c r="AH94" s="84" t="n">
        <f aca="false">AH81*'Assumption Setting'!$C$112</f>
        <v>14.7572349545455</v>
      </c>
      <c r="AI94" s="84" t="n">
        <f aca="false">AI81*'Assumption Setting'!$C$112</f>
        <v>14.7572349545455</v>
      </c>
      <c r="AJ94" s="84" t="n">
        <f aca="false">AJ81*'Assumption Setting'!$C$112</f>
        <v>14.7572349545455</v>
      </c>
      <c r="AK94" s="84" t="n">
        <f aca="false">AK81*'Assumption Setting'!$C$112</f>
        <v>14.7572349545455</v>
      </c>
      <c r="AL94" s="84" t="n">
        <f aca="false">AL81*'Assumption Setting'!$C$112</f>
        <v>14.7572349545455</v>
      </c>
      <c r="AM94" s="84" t="n">
        <f aca="false">AM81*'Assumption Setting'!$C$112</f>
        <v>14.7572349545455</v>
      </c>
      <c r="AN94" s="84" t="n">
        <f aca="false">AN81*'Assumption Setting'!$C$112</f>
        <v>14.7572349545455</v>
      </c>
      <c r="AO94" s="81" t="n">
        <f aca="false">SUM(AP94:BA94)</f>
        <v>253.950459272727</v>
      </c>
      <c r="AP94" s="84" t="n">
        <f aca="false">AP81*'Assumption Setting'!$C$112</f>
        <v>21.1625382727273</v>
      </c>
      <c r="AQ94" s="84" t="n">
        <f aca="false">AQ81*'Assumption Setting'!$C$112</f>
        <v>21.1625382727273</v>
      </c>
      <c r="AR94" s="84" t="n">
        <f aca="false">AR81*'Assumption Setting'!$C$112</f>
        <v>21.1625382727273</v>
      </c>
      <c r="AS94" s="84" t="n">
        <f aca="false">AS81*'Assumption Setting'!$C$112</f>
        <v>21.1625382727273</v>
      </c>
      <c r="AT94" s="84" t="n">
        <f aca="false">AT81*'Assumption Setting'!$C$112</f>
        <v>21.1625382727273</v>
      </c>
      <c r="AU94" s="84" t="n">
        <f aca="false">AU81*'Assumption Setting'!$C$112</f>
        <v>21.1625382727273</v>
      </c>
      <c r="AV94" s="84" t="n">
        <f aca="false">AV81*'Assumption Setting'!$C$112</f>
        <v>21.1625382727273</v>
      </c>
      <c r="AW94" s="84" t="n">
        <f aca="false">AW81*'Assumption Setting'!$C$112</f>
        <v>21.1625382727273</v>
      </c>
      <c r="AX94" s="84" t="n">
        <f aca="false">AX81*'Assumption Setting'!$C$112</f>
        <v>21.1625382727273</v>
      </c>
      <c r="AY94" s="84" t="n">
        <f aca="false">AY81*'Assumption Setting'!$C$112</f>
        <v>21.1625382727273</v>
      </c>
      <c r="AZ94" s="84" t="n">
        <f aca="false">AZ81*'Assumption Setting'!$C$112</f>
        <v>21.1625382727273</v>
      </c>
      <c r="BA94" s="84" t="n">
        <f aca="false">BA81*'Assumption Setting'!$C$112</f>
        <v>21.1625382727273</v>
      </c>
      <c r="BB94" s="81" t="n">
        <f aca="false">SUM(BC94:BN94)</f>
        <v>336.6826725</v>
      </c>
      <c r="BC94" s="84" t="n">
        <f aca="false">BC81*'Assumption Setting'!$C$112</f>
        <v>28.056889375</v>
      </c>
      <c r="BD94" s="84" t="n">
        <f aca="false">BD81*'Assumption Setting'!$C$112</f>
        <v>28.056889375</v>
      </c>
      <c r="BE94" s="84" t="n">
        <f aca="false">BE81*'Assumption Setting'!$C$112</f>
        <v>28.056889375</v>
      </c>
      <c r="BF94" s="84" t="n">
        <f aca="false">BF81*'Assumption Setting'!$C$112</f>
        <v>28.056889375</v>
      </c>
      <c r="BG94" s="84" t="n">
        <f aca="false">BG81*'Assumption Setting'!$C$112</f>
        <v>28.056889375</v>
      </c>
      <c r="BH94" s="84" t="n">
        <f aca="false">BH81*'Assumption Setting'!$C$112</f>
        <v>28.056889375</v>
      </c>
      <c r="BI94" s="84" t="n">
        <f aca="false">BI81*'Assumption Setting'!$C$112</f>
        <v>28.056889375</v>
      </c>
      <c r="BJ94" s="84" t="n">
        <f aca="false">BJ81*'Assumption Setting'!$C$112</f>
        <v>28.056889375</v>
      </c>
      <c r="BK94" s="84" t="n">
        <f aca="false">BK81*'Assumption Setting'!$C$112</f>
        <v>28.056889375</v>
      </c>
      <c r="BL94" s="84" t="n">
        <f aca="false">BL81*'Assumption Setting'!$C$112</f>
        <v>28.056889375</v>
      </c>
      <c r="BM94" s="84" t="n">
        <f aca="false">BM81*'Assumption Setting'!$C$112</f>
        <v>28.056889375</v>
      </c>
      <c r="BN94" s="84" t="n">
        <f aca="false">BN81*'Assumption Setting'!$C$112</f>
        <v>28.056889375</v>
      </c>
    </row>
    <row r="95" customFormat="false" ht="15" hidden="false" customHeight="false" outlineLevel="0" collapsed="false">
      <c r="A95" s="12" t="s">
        <v>651</v>
      </c>
      <c r="B95" s="81" t="n">
        <f aca="false">SUM(C95:N95)</f>
        <v>5.33145019090909</v>
      </c>
      <c r="C95" s="82" t="n">
        <f aca="false">C94*'Assumption Setting'!$D$112</f>
        <v>0.444287515909091</v>
      </c>
      <c r="D95" s="82" t="n">
        <f aca="false">D94*'Assumption Setting'!$D$112</f>
        <v>0.444287515909091</v>
      </c>
      <c r="E95" s="82" t="n">
        <f aca="false">E94*'Assumption Setting'!$D$112</f>
        <v>0.444287515909091</v>
      </c>
      <c r="F95" s="82" t="n">
        <f aca="false">F94*'Assumption Setting'!$D$112</f>
        <v>0.444287515909091</v>
      </c>
      <c r="G95" s="82" t="n">
        <f aca="false">G94*'Assumption Setting'!$D$112</f>
        <v>0.444287515909091</v>
      </c>
      <c r="H95" s="82" t="n">
        <f aca="false">H94*'Assumption Setting'!$D$112</f>
        <v>0.444287515909091</v>
      </c>
      <c r="I95" s="82" t="n">
        <f aca="false">I94*'Assumption Setting'!$D$112</f>
        <v>0.444287515909091</v>
      </c>
      <c r="J95" s="82" t="n">
        <f aca="false">J94*'Assumption Setting'!$D$112</f>
        <v>0.444287515909091</v>
      </c>
      <c r="K95" s="82" t="n">
        <f aca="false">K94*'Assumption Setting'!$D$112</f>
        <v>0.444287515909091</v>
      </c>
      <c r="L95" s="82" t="n">
        <f aca="false">L94*'Assumption Setting'!$D$112</f>
        <v>0.444287515909091</v>
      </c>
      <c r="M95" s="82" t="n">
        <f aca="false">M94*'Assumption Setting'!$D$112</f>
        <v>0.444287515909091</v>
      </c>
      <c r="N95" s="82" t="n">
        <f aca="false">N94*'Assumption Setting'!$D$112</f>
        <v>0.444287515909091</v>
      </c>
      <c r="O95" s="81" t="n">
        <f aca="false">SUM(P95:AA95)</f>
        <v>25.8586265454545</v>
      </c>
      <c r="P95" s="82" t="n">
        <f aca="false">P94*'Assumption Setting'!$D$112</f>
        <v>2.15488554545455</v>
      </c>
      <c r="Q95" s="82" t="n">
        <f aca="false">Q94*'Assumption Setting'!$D$112</f>
        <v>2.15488554545455</v>
      </c>
      <c r="R95" s="82" t="n">
        <f aca="false">R94*'Assumption Setting'!$D$112</f>
        <v>2.15488554545455</v>
      </c>
      <c r="S95" s="82" t="n">
        <f aca="false">S94*'Assumption Setting'!$D$112</f>
        <v>2.15488554545455</v>
      </c>
      <c r="T95" s="82" t="n">
        <f aca="false">T94*'Assumption Setting'!$D$112</f>
        <v>2.15488554545455</v>
      </c>
      <c r="U95" s="82" t="n">
        <f aca="false">U94*'Assumption Setting'!$D$112</f>
        <v>2.15488554545455</v>
      </c>
      <c r="V95" s="82" t="n">
        <f aca="false">V94*'Assumption Setting'!$D$112</f>
        <v>2.15488554545455</v>
      </c>
      <c r="W95" s="82" t="n">
        <f aca="false">W94*'Assumption Setting'!$D$112</f>
        <v>2.15488554545455</v>
      </c>
      <c r="X95" s="82" t="n">
        <f aca="false">X94*'Assumption Setting'!$D$112</f>
        <v>2.15488554545455</v>
      </c>
      <c r="Y95" s="82" t="n">
        <f aca="false">Y94*'Assumption Setting'!$D$112</f>
        <v>2.15488554545455</v>
      </c>
      <c r="Z95" s="82" t="n">
        <f aca="false">Z94*'Assumption Setting'!$D$112</f>
        <v>2.15488554545455</v>
      </c>
      <c r="AA95" s="82" t="n">
        <f aca="false">AA94*'Assumption Setting'!$D$112</f>
        <v>2.15488554545455</v>
      </c>
      <c r="AB95" s="81" t="n">
        <f aca="false">SUM(AC95:AN95)</f>
        <v>53.1260458363636</v>
      </c>
      <c r="AC95" s="82" t="n">
        <f aca="false">AC94*'Assumption Setting'!$D$112</f>
        <v>4.42717048636364</v>
      </c>
      <c r="AD95" s="82" t="n">
        <f aca="false">AD94*'Assumption Setting'!$D$112</f>
        <v>4.42717048636364</v>
      </c>
      <c r="AE95" s="82" t="n">
        <f aca="false">AE94*'Assumption Setting'!$D$112</f>
        <v>4.42717048636364</v>
      </c>
      <c r="AF95" s="82" t="n">
        <f aca="false">AF94*'Assumption Setting'!$D$112</f>
        <v>4.42717048636364</v>
      </c>
      <c r="AG95" s="82" t="n">
        <f aca="false">AG94*'Assumption Setting'!$D$112</f>
        <v>4.42717048636364</v>
      </c>
      <c r="AH95" s="82" t="n">
        <f aca="false">AH94*'Assumption Setting'!$D$112</f>
        <v>4.42717048636364</v>
      </c>
      <c r="AI95" s="82" t="n">
        <f aca="false">AI94*'Assumption Setting'!$D$112</f>
        <v>4.42717048636364</v>
      </c>
      <c r="AJ95" s="82" t="n">
        <f aca="false">AJ94*'Assumption Setting'!$D$112</f>
        <v>4.42717048636364</v>
      </c>
      <c r="AK95" s="82" t="n">
        <f aca="false">AK94*'Assumption Setting'!$D$112</f>
        <v>4.42717048636364</v>
      </c>
      <c r="AL95" s="82" t="n">
        <f aca="false">AL94*'Assumption Setting'!$D$112</f>
        <v>4.42717048636364</v>
      </c>
      <c r="AM95" s="82" t="n">
        <f aca="false">AM94*'Assumption Setting'!$D$112</f>
        <v>4.42717048636364</v>
      </c>
      <c r="AN95" s="82" t="n">
        <f aca="false">AN94*'Assumption Setting'!$D$112</f>
        <v>4.42717048636364</v>
      </c>
      <c r="AO95" s="81" t="n">
        <f aca="false">SUM(AP95:BA95)</f>
        <v>76.1851377818182</v>
      </c>
      <c r="AP95" s="82" t="n">
        <f aca="false">AP94*'Assumption Setting'!$D$112</f>
        <v>6.34876148181818</v>
      </c>
      <c r="AQ95" s="82" t="n">
        <f aca="false">AQ94*'Assumption Setting'!$D$112</f>
        <v>6.34876148181818</v>
      </c>
      <c r="AR95" s="82" t="n">
        <f aca="false">AR94*'Assumption Setting'!$D$112</f>
        <v>6.34876148181818</v>
      </c>
      <c r="AS95" s="82" t="n">
        <f aca="false">AS94*'Assumption Setting'!$D$112</f>
        <v>6.34876148181818</v>
      </c>
      <c r="AT95" s="82" t="n">
        <f aca="false">AT94*'Assumption Setting'!$D$112</f>
        <v>6.34876148181818</v>
      </c>
      <c r="AU95" s="82" t="n">
        <f aca="false">AU94*'Assumption Setting'!$D$112</f>
        <v>6.34876148181818</v>
      </c>
      <c r="AV95" s="82" t="n">
        <f aca="false">AV94*'Assumption Setting'!$D$112</f>
        <v>6.34876148181818</v>
      </c>
      <c r="AW95" s="82" t="n">
        <f aca="false">AW94*'Assumption Setting'!$D$112</f>
        <v>6.34876148181818</v>
      </c>
      <c r="AX95" s="82" t="n">
        <f aca="false">AX94*'Assumption Setting'!$D$112</f>
        <v>6.34876148181818</v>
      </c>
      <c r="AY95" s="82" t="n">
        <f aca="false">AY94*'Assumption Setting'!$D$112</f>
        <v>6.34876148181818</v>
      </c>
      <c r="AZ95" s="82" t="n">
        <f aca="false">AZ94*'Assumption Setting'!$D$112</f>
        <v>6.34876148181818</v>
      </c>
      <c r="BA95" s="82" t="n">
        <f aca="false">BA94*'Assumption Setting'!$D$112</f>
        <v>6.34876148181818</v>
      </c>
      <c r="BB95" s="81" t="n">
        <f aca="false">SUM(BC95:BN95)</f>
        <v>101.00480175</v>
      </c>
      <c r="BC95" s="82" t="n">
        <f aca="false">BC94*'Assumption Setting'!$D$112</f>
        <v>8.4170668125</v>
      </c>
      <c r="BD95" s="82" t="n">
        <f aca="false">BD94*'Assumption Setting'!$D$112</f>
        <v>8.4170668125</v>
      </c>
      <c r="BE95" s="82" t="n">
        <f aca="false">BE94*'Assumption Setting'!$D$112</f>
        <v>8.4170668125</v>
      </c>
      <c r="BF95" s="82" t="n">
        <f aca="false">BF94*'Assumption Setting'!$D$112</f>
        <v>8.4170668125</v>
      </c>
      <c r="BG95" s="82" t="n">
        <f aca="false">BG94*'Assumption Setting'!$D$112</f>
        <v>8.4170668125</v>
      </c>
      <c r="BH95" s="82" t="n">
        <f aca="false">BH94*'Assumption Setting'!$D$112</f>
        <v>8.4170668125</v>
      </c>
      <c r="BI95" s="82" t="n">
        <f aca="false">BI94*'Assumption Setting'!$D$112</f>
        <v>8.4170668125</v>
      </c>
      <c r="BJ95" s="82" t="n">
        <f aca="false">BJ94*'Assumption Setting'!$D$112</f>
        <v>8.4170668125</v>
      </c>
      <c r="BK95" s="82" t="n">
        <f aca="false">BK94*'Assumption Setting'!$D$112</f>
        <v>8.4170668125</v>
      </c>
      <c r="BL95" s="82" t="n">
        <f aca="false">BL94*'Assumption Setting'!$D$112</f>
        <v>8.4170668125</v>
      </c>
      <c r="BM95" s="82" t="n">
        <f aca="false">BM94*'Assumption Setting'!$D$112</f>
        <v>8.4170668125</v>
      </c>
      <c r="BN95" s="82" t="n">
        <f aca="false">BN94*'Assumption Setting'!$D$112</f>
        <v>8.4170668125</v>
      </c>
    </row>
    <row r="96" customFormat="false" ht="15" hidden="false" customHeight="false" outlineLevel="0" collapsed="false">
      <c r="A96" s="12" t="s">
        <v>652</v>
      </c>
      <c r="B96" s="81" t="n">
        <f aca="false">SUM(C96:N96)</f>
        <v>2.13258007636364</v>
      </c>
      <c r="C96" s="82" t="n">
        <f aca="false">C95*'Assumption Setting'!$E$112</f>
        <v>0.177715006363636</v>
      </c>
      <c r="D96" s="82" t="n">
        <f aca="false">D95*'Assumption Setting'!$E$112</f>
        <v>0.177715006363636</v>
      </c>
      <c r="E96" s="82" t="n">
        <f aca="false">E95*'Assumption Setting'!$E$112</f>
        <v>0.177715006363636</v>
      </c>
      <c r="F96" s="82" t="n">
        <f aca="false">F95*'Assumption Setting'!$E$112</f>
        <v>0.177715006363636</v>
      </c>
      <c r="G96" s="82" t="n">
        <f aca="false">G95*'Assumption Setting'!$E$112</f>
        <v>0.177715006363636</v>
      </c>
      <c r="H96" s="82" t="n">
        <f aca="false">H95*'Assumption Setting'!$E$112</f>
        <v>0.177715006363636</v>
      </c>
      <c r="I96" s="82" t="n">
        <f aca="false">I95*'Assumption Setting'!$E$112</f>
        <v>0.177715006363636</v>
      </c>
      <c r="J96" s="82" t="n">
        <f aca="false">J95*'Assumption Setting'!$E$112</f>
        <v>0.177715006363636</v>
      </c>
      <c r="K96" s="82" t="n">
        <f aca="false">K95*'Assumption Setting'!$E$112</f>
        <v>0.177715006363636</v>
      </c>
      <c r="L96" s="82" t="n">
        <f aca="false">L95*'Assumption Setting'!$E$112</f>
        <v>0.177715006363636</v>
      </c>
      <c r="M96" s="82" t="n">
        <f aca="false">M95*'Assumption Setting'!$E$112</f>
        <v>0.177715006363636</v>
      </c>
      <c r="N96" s="82" t="n">
        <f aca="false">N95*'Assumption Setting'!$E$112</f>
        <v>0.177715006363636</v>
      </c>
      <c r="O96" s="81" t="n">
        <f aca="false">SUM(P96:AA96)</f>
        <v>10.3434506181818</v>
      </c>
      <c r="P96" s="82" t="n">
        <f aca="false">P95*'Assumption Setting'!$E$112</f>
        <v>0.861954218181818</v>
      </c>
      <c r="Q96" s="82" t="n">
        <f aca="false">Q95*'Assumption Setting'!$E$112</f>
        <v>0.861954218181818</v>
      </c>
      <c r="R96" s="82" t="n">
        <f aca="false">R95*'Assumption Setting'!$E$112</f>
        <v>0.861954218181818</v>
      </c>
      <c r="S96" s="82" t="n">
        <f aca="false">S95*'Assumption Setting'!$E$112</f>
        <v>0.861954218181818</v>
      </c>
      <c r="T96" s="82" t="n">
        <f aca="false">T95*'Assumption Setting'!$E$112</f>
        <v>0.861954218181818</v>
      </c>
      <c r="U96" s="82" t="n">
        <f aca="false">U95*'Assumption Setting'!$E$112</f>
        <v>0.861954218181818</v>
      </c>
      <c r="V96" s="82" t="n">
        <f aca="false">V95*'Assumption Setting'!$E$112</f>
        <v>0.861954218181818</v>
      </c>
      <c r="W96" s="82" t="n">
        <f aca="false">W95*'Assumption Setting'!$E$112</f>
        <v>0.861954218181818</v>
      </c>
      <c r="X96" s="82" t="n">
        <f aca="false">X95*'Assumption Setting'!$E$112</f>
        <v>0.861954218181818</v>
      </c>
      <c r="Y96" s="82" t="n">
        <f aca="false">Y95*'Assumption Setting'!$E$112</f>
        <v>0.861954218181818</v>
      </c>
      <c r="Z96" s="82" t="n">
        <f aca="false">Z95*'Assumption Setting'!$E$112</f>
        <v>0.861954218181818</v>
      </c>
      <c r="AA96" s="82" t="n">
        <f aca="false">AA95*'Assumption Setting'!$E$112</f>
        <v>0.861954218181818</v>
      </c>
      <c r="AB96" s="81" t="n">
        <f aca="false">SUM(AC96:AN96)</f>
        <v>21.2504183345455</v>
      </c>
      <c r="AC96" s="82" t="n">
        <f aca="false">AC95*'Assumption Setting'!$E$112</f>
        <v>1.77086819454545</v>
      </c>
      <c r="AD96" s="82" t="n">
        <f aca="false">AD95*'Assumption Setting'!$E$112</f>
        <v>1.77086819454545</v>
      </c>
      <c r="AE96" s="82" t="n">
        <f aca="false">AE95*'Assumption Setting'!$E$112</f>
        <v>1.77086819454545</v>
      </c>
      <c r="AF96" s="82" t="n">
        <f aca="false">AF95*'Assumption Setting'!$E$112</f>
        <v>1.77086819454545</v>
      </c>
      <c r="AG96" s="82" t="n">
        <f aca="false">AG95*'Assumption Setting'!$E$112</f>
        <v>1.77086819454545</v>
      </c>
      <c r="AH96" s="82" t="n">
        <f aca="false">AH95*'Assumption Setting'!$E$112</f>
        <v>1.77086819454545</v>
      </c>
      <c r="AI96" s="82" t="n">
        <f aca="false">AI95*'Assumption Setting'!$E$112</f>
        <v>1.77086819454545</v>
      </c>
      <c r="AJ96" s="82" t="n">
        <f aca="false">AJ95*'Assumption Setting'!$E$112</f>
        <v>1.77086819454545</v>
      </c>
      <c r="AK96" s="82" t="n">
        <f aca="false">AK95*'Assumption Setting'!$E$112</f>
        <v>1.77086819454545</v>
      </c>
      <c r="AL96" s="82" t="n">
        <f aca="false">AL95*'Assumption Setting'!$E$112</f>
        <v>1.77086819454545</v>
      </c>
      <c r="AM96" s="82" t="n">
        <f aca="false">AM95*'Assumption Setting'!$E$112</f>
        <v>1.77086819454545</v>
      </c>
      <c r="AN96" s="82" t="n">
        <f aca="false">AN95*'Assumption Setting'!$E$112</f>
        <v>1.77086819454545</v>
      </c>
      <c r="AO96" s="81" t="n">
        <f aca="false">SUM(AP96:BA96)</f>
        <v>30.4740551127273</v>
      </c>
      <c r="AP96" s="82" t="n">
        <f aca="false">AP95*'Assumption Setting'!$E$112</f>
        <v>2.53950459272727</v>
      </c>
      <c r="AQ96" s="82" t="n">
        <f aca="false">AQ95*'Assumption Setting'!$E$112</f>
        <v>2.53950459272727</v>
      </c>
      <c r="AR96" s="82" t="n">
        <f aca="false">AR95*'Assumption Setting'!$E$112</f>
        <v>2.53950459272727</v>
      </c>
      <c r="AS96" s="82" t="n">
        <f aca="false">AS95*'Assumption Setting'!$E$112</f>
        <v>2.53950459272727</v>
      </c>
      <c r="AT96" s="82" t="n">
        <f aca="false">AT95*'Assumption Setting'!$E$112</f>
        <v>2.53950459272727</v>
      </c>
      <c r="AU96" s="82" t="n">
        <f aca="false">AU95*'Assumption Setting'!$E$112</f>
        <v>2.53950459272727</v>
      </c>
      <c r="AV96" s="82" t="n">
        <f aca="false">AV95*'Assumption Setting'!$E$112</f>
        <v>2.53950459272727</v>
      </c>
      <c r="AW96" s="82" t="n">
        <f aca="false">AW95*'Assumption Setting'!$E$112</f>
        <v>2.53950459272727</v>
      </c>
      <c r="AX96" s="82" t="n">
        <f aca="false">AX95*'Assumption Setting'!$E$112</f>
        <v>2.53950459272727</v>
      </c>
      <c r="AY96" s="82" t="n">
        <f aca="false">AY95*'Assumption Setting'!$E$112</f>
        <v>2.53950459272727</v>
      </c>
      <c r="AZ96" s="82" t="n">
        <f aca="false">AZ95*'Assumption Setting'!$E$112</f>
        <v>2.53950459272727</v>
      </c>
      <c r="BA96" s="82" t="n">
        <f aca="false">BA95*'Assumption Setting'!$E$112</f>
        <v>2.53950459272727</v>
      </c>
      <c r="BB96" s="81" t="n">
        <f aca="false">SUM(BC96:BN96)</f>
        <v>40.4019207</v>
      </c>
      <c r="BC96" s="82" t="n">
        <f aca="false">BC95*'Assumption Setting'!$E$112</f>
        <v>3.366826725</v>
      </c>
      <c r="BD96" s="82" t="n">
        <f aca="false">BD95*'Assumption Setting'!$E$112</f>
        <v>3.366826725</v>
      </c>
      <c r="BE96" s="82" t="n">
        <f aca="false">BE95*'Assumption Setting'!$E$112</f>
        <v>3.366826725</v>
      </c>
      <c r="BF96" s="82" t="n">
        <f aca="false">BF95*'Assumption Setting'!$E$112</f>
        <v>3.366826725</v>
      </c>
      <c r="BG96" s="82" t="n">
        <f aca="false">BG95*'Assumption Setting'!$E$112</f>
        <v>3.366826725</v>
      </c>
      <c r="BH96" s="82" t="n">
        <f aca="false">BH95*'Assumption Setting'!$E$112</f>
        <v>3.366826725</v>
      </c>
      <c r="BI96" s="82" t="n">
        <f aca="false">BI95*'Assumption Setting'!$E$112</f>
        <v>3.366826725</v>
      </c>
      <c r="BJ96" s="82" t="n">
        <f aca="false">BJ95*'Assumption Setting'!$E$112</f>
        <v>3.366826725</v>
      </c>
      <c r="BK96" s="82" t="n">
        <f aca="false">BK95*'Assumption Setting'!$E$112</f>
        <v>3.366826725</v>
      </c>
      <c r="BL96" s="82" t="n">
        <f aca="false">BL95*'Assumption Setting'!$E$112</f>
        <v>3.366826725</v>
      </c>
      <c r="BM96" s="82" t="n">
        <f aca="false">BM95*'Assumption Setting'!$E$112</f>
        <v>3.366826725</v>
      </c>
      <c r="BN96" s="82" t="n">
        <f aca="false">BN95*'Assumption Setting'!$E$112</f>
        <v>3.366826725</v>
      </c>
    </row>
    <row r="97" customFormat="false" ht="15" hidden="false" customHeight="false" outlineLevel="0" collapsed="false">
      <c r="A97" s="18" t="s">
        <v>653</v>
      </c>
      <c r="B97" s="81" t="n">
        <f aca="false">SUM(C97:N97)</f>
        <v>0.0444287515909091</v>
      </c>
      <c r="C97" s="84" t="n">
        <f aca="true">IF((1-'Assumption Setting'!$G$112)&lt;1,0,OFFSET($A$96,0,2+13*INT(((1-'Assumption Setting'!$G$112)-1)/12)+MOD((1-'Assumption Setting'!$G$112)-1,12))*'Assumption Setting'!$F$112*'Assumption Setting'!$C$117)</f>
        <v>0</v>
      </c>
      <c r="D97" s="84" t="n">
        <f aca="true">IF((2-'Assumption Setting'!$G$112)&lt;1,0,OFFSET($A$96,0,2+13*INT(((2-'Assumption Setting'!$G$112)-1)/12)+MOD((2-'Assumption Setting'!$G$112)-1,12))*'Assumption Setting'!$F$112*'Assumption Setting'!$C$117)</f>
        <v>0</v>
      </c>
      <c r="E97" s="84" t="n">
        <f aca="true">IF((3-'Assumption Setting'!$G$112)&lt;1,0,OFFSET($A$96,0,2+13*INT(((3-'Assumption Setting'!$G$112)-1)/12)+MOD((3-'Assumption Setting'!$G$112)-1,12))*'Assumption Setting'!$F$112*'Assumption Setting'!$C$117)</f>
        <v>0</v>
      </c>
      <c r="F97" s="84" t="n">
        <f aca="true">IF((4-'Assumption Setting'!$G$112)&lt;1,0,OFFSET($A$96,0,2+13*INT(((4-'Assumption Setting'!$G$112)-1)/12)+MOD((4-'Assumption Setting'!$G$112)-1,12))*'Assumption Setting'!$F$112*'Assumption Setting'!$C$117)</f>
        <v>0</v>
      </c>
      <c r="G97" s="84" t="n">
        <f aca="true">IF((5-'Assumption Setting'!$G$112)&lt;1,0,OFFSET($A$96,0,2+13*INT(((5-'Assumption Setting'!$G$112)-1)/12)+MOD((5-'Assumption Setting'!$G$112)-1,12))*'Assumption Setting'!$F$112*'Assumption Setting'!$C$117)</f>
        <v>0</v>
      </c>
      <c r="H97" s="84" t="n">
        <f aca="true">IF((6-'Assumption Setting'!$G$112)&lt;1,0,OFFSET($A$96,0,2+13*INT(((6-'Assumption Setting'!$G$112)-1)/12)+MOD((6-'Assumption Setting'!$G$112)-1,12))*'Assumption Setting'!$F$112*'Assumption Setting'!$C$117)</f>
        <v>0</v>
      </c>
      <c r="I97" s="84" t="n">
        <f aca="true">IF((7-'Assumption Setting'!$G$112)&lt;1,0,OFFSET($A$96,0,2+13*INT(((7-'Assumption Setting'!$G$112)-1)/12)+MOD((7-'Assumption Setting'!$G$112)-1,12))*'Assumption Setting'!$F$112*'Assumption Setting'!$C$117)</f>
        <v>0</v>
      </c>
      <c r="J97" s="84" t="n">
        <f aca="true">IF((8-'Assumption Setting'!$G$112)&lt;1,0,OFFSET($A$96,0,2+13*INT(((8-'Assumption Setting'!$G$112)-1)/12)+MOD((8-'Assumption Setting'!$G$112)-1,12))*'Assumption Setting'!$F$112*'Assumption Setting'!$C$117)</f>
        <v>0</v>
      </c>
      <c r="K97" s="84" t="n">
        <f aca="true">IF((9-'Assumption Setting'!$G$112)&lt;1,0,OFFSET($A$96,0,2+13*INT(((9-'Assumption Setting'!$G$112)-1)/12)+MOD((9-'Assumption Setting'!$G$112)-1,12))*'Assumption Setting'!$F$112*'Assumption Setting'!$C$117)</f>
        <v>0</v>
      </c>
      <c r="L97" s="84" t="n">
        <f aca="true">IF((10-'Assumption Setting'!$G$112)&lt;1,0,OFFSET($A$96,0,2+13*INT(((10-'Assumption Setting'!$G$112)-1)/12)+MOD((10-'Assumption Setting'!$G$112)-1,12))*'Assumption Setting'!$F$112*'Assumption Setting'!$C$117)</f>
        <v>0</v>
      </c>
      <c r="M97" s="84" t="n">
        <f aca="true">IF((11-'Assumption Setting'!$G$112)&lt;1,0,OFFSET($A$96,0,2+13*INT(((11-'Assumption Setting'!$G$112)-1)/12)+MOD((11-'Assumption Setting'!$G$112)-1,12))*'Assumption Setting'!$F$112*'Assumption Setting'!$C$117)</f>
        <v>0</v>
      </c>
      <c r="N97" s="84" t="n">
        <f aca="true">IF((12-'Assumption Setting'!$G$112)&lt;1,0,OFFSET($A$96,0,2+13*INT(((12-'Assumption Setting'!$G$112)-1)/12)+MOD((12-'Assumption Setting'!$G$112)-1,12))*'Assumption Setting'!$F$112*'Assumption Setting'!$C$117)</f>
        <v>0.0444287515909091</v>
      </c>
      <c r="O97" s="81" t="n">
        <f aca="false">SUM(P97:AA97)</f>
        <v>0.809835545352273</v>
      </c>
      <c r="P97" s="84" t="n">
        <f aca="true">IF((13-'Assumption Setting'!$G$112)&lt;1,0,OFFSET($A$96,0,2+13*INT(((13-'Assumption Setting'!$G$112)-1)/12)+MOD((13-'Assumption Setting'!$G$112)-1,12))*'Assumption Setting'!$F$112*'Assumption Setting'!$D$117)</f>
        <v>0.0510930643295455</v>
      </c>
      <c r="Q97" s="84" t="n">
        <f aca="true">IF((14-'Assumption Setting'!$G$112)&lt;1,0,OFFSET($A$96,0,2+13*INT(((14-'Assumption Setting'!$G$112)-1)/12)+MOD((14-'Assumption Setting'!$G$112)-1,12))*'Assumption Setting'!$F$112*'Assumption Setting'!$D$117)</f>
        <v>0.0510930643295455</v>
      </c>
      <c r="R97" s="84" t="n">
        <f aca="true">IF((15-'Assumption Setting'!$G$112)&lt;1,0,OFFSET($A$96,0,2+13*INT(((15-'Assumption Setting'!$G$112)-1)/12)+MOD((15-'Assumption Setting'!$G$112)-1,12))*'Assumption Setting'!$F$112*'Assumption Setting'!$D$117)</f>
        <v>0.0510930643295455</v>
      </c>
      <c r="S97" s="84" t="n">
        <f aca="true">IF((16-'Assumption Setting'!$G$112)&lt;1,0,OFFSET($A$96,0,2+13*INT(((16-'Assumption Setting'!$G$112)-1)/12)+MOD((16-'Assumption Setting'!$G$112)-1,12))*'Assumption Setting'!$F$112*'Assumption Setting'!$D$117)</f>
        <v>0.0510930643295455</v>
      </c>
      <c r="T97" s="84" t="n">
        <f aca="true">IF((17-'Assumption Setting'!$G$112)&lt;1,0,OFFSET($A$96,0,2+13*INT(((17-'Assumption Setting'!$G$112)-1)/12)+MOD((17-'Assumption Setting'!$G$112)-1,12))*'Assumption Setting'!$F$112*'Assumption Setting'!$D$117)</f>
        <v>0.0510930643295455</v>
      </c>
      <c r="U97" s="84" t="n">
        <f aca="true">IF((18-'Assumption Setting'!$G$112)&lt;1,0,OFFSET($A$96,0,2+13*INT(((18-'Assumption Setting'!$G$112)-1)/12)+MOD((18-'Assumption Setting'!$G$112)-1,12))*'Assumption Setting'!$F$112*'Assumption Setting'!$D$117)</f>
        <v>0.0510930643295455</v>
      </c>
      <c r="V97" s="84" t="n">
        <f aca="true">IF((19-'Assumption Setting'!$G$112)&lt;1,0,OFFSET($A$96,0,2+13*INT(((19-'Assumption Setting'!$G$112)-1)/12)+MOD((19-'Assumption Setting'!$G$112)-1,12))*'Assumption Setting'!$F$112*'Assumption Setting'!$D$117)</f>
        <v>0.0510930643295455</v>
      </c>
      <c r="W97" s="84" t="n">
        <f aca="true">IF((20-'Assumption Setting'!$G$112)&lt;1,0,OFFSET($A$96,0,2+13*INT(((20-'Assumption Setting'!$G$112)-1)/12)+MOD((20-'Assumption Setting'!$G$112)-1,12))*'Assumption Setting'!$F$112*'Assumption Setting'!$D$117)</f>
        <v>0.0510930643295455</v>
      </c>
      <c r="X97" s="84" t="n">
        <f aca="true">IF((21-'Assumption Setting'!$G$112)&lt;1,0,OFFSET($A$96,0,2+13*INT(((21-'Assumption Setting'!$G$112)-1)/12)+MOD((21-'Assumption Setting'!$G$112)-1,12))*'Assumption Setting'!$F$112*'Assumption Setting'!$D$117)</f>
        <v>0.0510930643295455</v>
      </c>
      <c r="Y97" s="84" t="n">
        <f aca="true">IF((22-'Assumption Setting'!$G$112)&lt;1,0,OFFSET($A$96,0,2+13*INT(((22-'Assumption Setting'!$G$112)-1)/12)+MOD((22-'Assumption Setting'!$G$112)-1,12))*'Assumption Setting'!$F$112*'Assumption Setting'!$D$117)</f>
        <v>0.0510930643295455</v>
      </c>
      <c r="Z97" s="84" t="n">
        <f aca="true">IF((23-'Assumption Setting'!$G$112)&lt;1,0,OFFSET($A$96,0,2+13*INT(((23-'Assumption Setting'!$G$112)-1)/12)+MOD((23-'Assumption Setting'!$G$112)-1,12))*'Assumption Setting'!$F$112*'Assumption Setting'!$D$117)</f>
        <v>0.0510930643295455</v>
      </c>
      <c r="AA97" s="84" t="n">
        <f aca="true">IF((24-'Assumption Setting'!$G$112)&lt;1,0,OFFSET($A$96,0,2+13*INT(((24-'Assumption Setting'!$G$112)-1)/12)+MOD((24-'Assumption Setting'!$G$112)-1,12))*'Assumption Setting'!$F$112*'Assumption Setting'!$D$117)</f>
        <v>0.247811837727273</v>
      </c>
      <c r="AB97" s="81" t="n">
        <f aca="false">SUM(AC97:AN97)</f>
        <v>3.79767305065909</v>
      </c>
      <c r="AC97" s="84" t="n">
        <f aca="true">IF((25-'Assumption Setting'!$G$112)&lt;1,0,OFFSET($A$96,0,2+13*INT(((25-'Assumption Setting'!$G$112)-1)/12)+MOD((25-'Assumption Setting'!$G$112)-1,12))*'Assumption Setting'!$F$112*'Assumption Setting'!$E$117)</f>
        <v>0.290909548636364</v>
      </c>
      <c r="AD97" s="84" t="n">
        <f aca="true">IF((26-'Assumption Setting'!$G$112)&lt;1,0,OFFSET($A$96,0,2+13*INT(((26-'Assumption Setting'!$G$112)-1)/12)+MOD((26-'Assumption Setting'!$G$112)-1,12))*'Assumption Setting'!$F$112*'Assumption Setting'!$E$117)</f>
        <v>0.290909548636364</v>
      </c>
      <c r="AE97" s="84" t="n">
        <f aca="true">IF((27-'Assumption Setting'!$G$112)&lt;1,0,OFFSET($A$96,0,2+13*INT(((27-'Assumption Setting'!$G$112)-1)/12)+MOD((27-'Assumption Setting'!$G$112)-1,12))*'Assumption Setting'!$F$112*'Assumption Setting'!$E$117)</f>
        <v>0.290909548636364</v>
      </c>
      <c r="AF97" s="84" t="n">
        <f aca="true">IF((28-'Assumption Setting'!$G$112)&lt;1,0,OFFSET($A$96,0,2+13*INT(((28-'Assumption Setting'!$G$112)-1)/12)+MOD((28-'Assumption Setting'!$G$112)-1,12))*'Assumption Setting'!$F$112*'Assumption Setting'!$E$117)</f>
        <v>0.290909548636364</v>
      </c>
      <c r="AG97" s="84" t="n">
        <f aca="true">IF((29-'Assumption Setting'!$G$112)&lt;1,0,OFFSET($A$96,0,2+13*INT(((29-'Assumption Setting'!$G$112)-1)/12)+MOD((29-'Assumption Setting'!$G$112)-1,12))*'Assumption Setting'!$F$112*'Assumption Setting'!$E$117)</f>
        <v>0.290909548636364</v>
      </c>
      <c r="AH97" s="84" t="n">
        <f aca="true">IF((30-'Assumption Setting'!$G$112)&lt;1,0,OFFSET($A$96,0,2+13*INT(((30-'Assumption Setting'!$G$112)-1)/12)+MOD((30-'Assumption Setting'!$G$112)-1,12))*'Assumption Setting'!$F$112*'Assumption Setting'!$E$117)</f>
        <v>0.290909548636364</v>
      </c>
      <c r="AI97" s="84" t="n">
        <f aca="true">IF((31-'Assumption Setting'!$G$112)&lt;1,0,OFFSET($A$96,0,2+13*INT(((31-'Assumption Setting'!$G$112)-1)/12)+MOD((31-'Assumption Setting'!$G$112)-1,12))*'Assumption Setting'!$F$112*'Assumption Setting'!$E$117)</f>
        <v>0.290909548636364</v>
      </c>
      <c r="AJ97" s="84" t="n">
        <f aca="true">IF((32-'Assumption Setting'!$G$112)&lt;1,0,OFFSET($A$96,0,2+13*INT(((32-'Assumption Setting'!$G$112)-1)/12)+MOD((32-'Assumption Setting'!$G$112)-1,12))*'Assumption Setting'!$F$112*'Assumption Setting'!$E$117)</f>
        <v>0.290909548636364</v>
      </c>
      <c r="AK97" s="84" t="n">
        <f aca="true">IF((33-'Assumption Setting'!$G$112)&lt;1,0,OFFSET($A$96,0,2+13*INT(((33-'Assumption Setting'!$G$112)-1)/12)+MOD((33-'Assumption Setting'!$G$112)-1,12))*'Assumption Setting'!$F$112*'Assumption Setting'!$E$117)</f>
        <v>0.290909548636364</v>
      </c>
      <c r="AL97" s="84" t="n">
        <f aca="true">IF((34-'Assumption Setting'!$G$112)&lt;1,0,OFFSET($A$96,0,2+13*INT(((34-'Assumption Setting'!$G$112)-1)/12)+MOD((34-'Assumption Setting'!$G$112)-1,12))*'Assumption Setting'!$F$112*'Assumption Setting'!$E$117)</f>
        <v>0.290909548636364</v>
      </c>
      <c r="AM97" s="84" t="n">
        <f aca="true">IF((35-'Assumption Setting'!$G$112)&lt;1,0,OFFSET($A$96,0,2+13*INT(((35-'Assumption Setting'!$G$112)-1)/12)+MOD((35-'Assumption Setting'!$G$112)-1,12))*'Assumption Setting'!$F$112*'Assumption Setting'!$E$117)</f>
        <v>0.290909548636364</v>
      </c>
      <c r="AN97" s="84" t="n">
        <f aca="true">IF((36-'Assumption Setting'!$G$112)&lt;1,0,OFFSET($A$96,0,2+13*INT(((36-'Assumption Setting'!$G$112)-1)/12)+MOD((36-'Assumption Setting'!$G$112)-1,12))*'Assumption Setting'!$F$112*'Assumption Setting'!$E$117)</f>
        <v>0.597668015659091</v>
      </c>
      <c r="AO97" s="81" t="n">
        <f aca="false">SUM(AP97:BA97)</f>
        <v>7.98190734061364</v>
      </c>
      <c r="AP97" s="84" t="n">
        <f aca="true">IF((37-'Assumption Setting'!$G$112)&lt;1,0,OFFSET($A$96,0,2+13*INT(((37-'Assumption Setting'!$G$112)-1)/12)+MOD((37-'Assumption Setting'!$G$112)-1,12))*'Assumption Setting'!$F$112*'Assumption Setting'!$F$117)</f>
        <v>0.641939720522727</v>
      </c>
      <c r="AQ97" s="84" t="n">
        <f aca="true">IF((38-'Assumption Setting'!$G$112)&lt;1,0,OFFSET($A$96,0,2+13*INT(((38-'Assumption Setting'!$G$112)-1)/12)+MOD((38-'Assumption Setting'!$G$112)-1,12))*'Assumption Setting'!$F$112*'Assumption Setting'!$F$117)</f>
        <v>0.641939720522727</v>
      </c>
      <c r="AR97" s="84" t="n">
        <f aca="true">IF((39-'Assumption Setting'!$G$112)&lt;1,0,OFFSET($A$96,0,2+13*INT(((39-'Assumption Setting'!$G$112)-1)/12)+MOD((39-'Assumption Setting'!$G$112)-1,12))*'Assumption Setting'!$F$112*'Assumption Setting'!$F$117)</f>
        <v>0.641939720522727</v>
      </c>
      <c r="AS97" s="84" t="n">
        <f aca="true">IF((40-'Assumption Setting'!$G$112)&lt;1,0,OFFSET($A$96,0,2+13*INT(((40-'Assumption Setting'!$G$112)-1)/12)+MOD((40-'Assumption Setting'!$G$112)-1,12))*'Assumption Setting'!$F$112*'Assumption Setting'!$F$117)</f>
        <v>0.641939720522727</v>
      </c>
      <c r="AT97" s="84" t="n">
        <f aca="true">IF((41-'Assumption Setting'!$G$112)&lt;1,0,OFFSET($A$96,0,2+13*INT(((41-'Assumption Setting'!$G$112)-1)/12)+MOD((41-'Assumption Setting'!$G$112)-1,12))*'Assumption Setting'!$F$112*'Assumption Setting'!$F$117)</f>
        <v>0.641939720522727</v>
      </c>
      <c r="AU97" s="84" t="n">
        <f aca="true">IF((42-'Assumption Setting'!$G$112)&lt;1,0,OFFSET($A$96,0,2+13*INT(((42-'Assumption Setting'!$G$112)-1)/12)+MOD((42-'Assumption Setting'!$G$112)-1,12))*'Assumption Setting'!$F$112*'Assumption Setting'!$F$117)</f>
        <v>0.641939720522727</v>
      </c>
      <c r="AV97" s="84" t="n">
        <f aca="true">IF((43-'Assumption Setting'!$G$112)&lt;1,0,OFFSET($A$96,0,2+13*INT(((43-'Assumption Setting'!$G$112)-1)/12)+MOD((43-'Assumption Setting'!$G$112)-1,12))*'Assumption Setting'!$F$112*'Assumption Setting'!$F$117)</f>
        <v>0.641939720522727</v>
      </c>
      <c r="AW97" s="84" t="n">
        <f aca="true">IF((44-'Assumption Setting'!$G$112)&lt;1,0,OFFSET($A$96,0,2+13*INT(((44-'Assumption Setting'!$G$112)-1)/12)+MOD((44-'Assumption Setting'!$G$112)-1,12))*'Assumption Setting'!$F$112*'Assumption Setting'!$F$117)</f>
        <v>0.641939720522727</v>
      </c>
      <c r="AX97" s="84" t="n">
        <f aca="true">IF((45-'Assumption Setting'!$G$112)&lt;1,0,OFFSET($A$96,0,2+13*INT(((45-'Assumption Setting'!$G$112)-1)/12)+MOD((45-'Assumption Setting'!$G$112)-1,12))*'Assumption Setting'!$F$112*'Assumption Setting'!$F$117)</f>
        <v>0.641939720522727</v>
      </c>
      <c r="AY97" s="84" t="n">
        <f aca="true">IF((46-'Assumption Setting'!$G$112)&lt;1,0,OFFSET($A$96,0,2+13*INT(((46-'Assumption Setting'!$G$112)-1)/12)+MOD((46-'Assumption Setting'!$G$112)-1,12))*'Assumption Setting'!$F$112*'Assumption Setting'!$F$117)</f>
        <v>0.641939720522727</v>
      </c>
      <c r="AZ97" s="84" t="n">
        <f aca="true">IF((47-'Assumption Setting'!$G$112)&lt;1,0,OFFSET($A$96,0,2+13*INT(((47-'Assumption Setting'!$G$112)-1)/12)+MOD((47-'Assumption Setting'!$G$112)-1,12))*'Assumption Setting'!$F$112*'Assumption Setting'!$F$117)</f>
        <v>0.641939720522727</v>
      </c>
      <c r="BA97" s="84" t="n">
        <f aca="true">IF((48-'Assumption Setting'!$G$112)&lt;1,0,OFFSET($A$96,0,2+13*INT(((48-'Assumption Setting'!$G$112)-1)/12)+MOD((48-'Assumption Setting'!$G$112)-1,12))*'Assumption Setting'!$F$112*'Assumption Setting'!$F$117)</f>
        <v>0.920570414863636</v>
      </c>
      <c r="BB97" s="81" t="n">
        <f aca="false">SUM(BC97:BN97)</f>
        <v>11.738016466875</v>
      </c>
      <c r="BC97" s="84" t="n">
        <f aca="true">IF((49-'Assumption Setting'!$G$112)&lt;1,0,OFFSET($A$96,0,2+13*INT(((49-'Assumption Setting'!$G$112)-1)/12)+MOD((49-'Assumption Setting'!$G$112)-1,12))*'Assumption Setting'!$F$112*'Assumption Setting'!$G$117)</f>
        <v>0.952314222272727</v>
      </c>
      <c r="BD97" s="84" t="n">
        <f aca="true">IF((50-'Assumption Setting'!$G$112)&lt;1,0,OFFSET($A$96,0,2+13*INT(((50-'Assumption Setting'!$G$112)-1)/12)+MOD((50-'Assumption Setting'!$G$112)-1,12))*'Assumption Setting'!$F$112*'Assumption Setting'!$G$117)</f>
        <v>0.952314222272727</v>
      </c>
      <c r="BE97" s="84" t="n">
        <f aca="true">IF((51-'Assumption Setting'!$G$112)&lt;1,0,OFFSET($A$96,0,2+13*INT(((51-'Assumption Setting'!$G$112)-1)/12)+MOD((51-'Assumption Setting'!$G$112)-1,12))*'Assumption Setting'!$F$112*'Assumption Setting'!$G$117)</f>
        <v>0.952314222272727</v>
      </c>
      <c r="BF97" s="84" t="n">
        <f aca="true">IF((52-'Assumption Setting'!$G$112)&lt;1,0,OFFSET($A$96,0,2+13*INT(((52-'Assumption Setting'!$G$112)-1)/12)+MOD((52-'Assumption Setting'!$G$112)-1,12))*'Assumption Setting'!$F$112*'Assumption Setting'!$G$117)</f>
        <v>0.952314222272727</v>
      </c>
      <c r="BG97" s="84" t="n">
        <f aca="true">IF((53-'Assumption Setting'!$G$112)&lt;1,0,OFFSET($A$96,0,2+13*INT(((53-'Assumption Setting'!$G$112)-1)/12)+MOD((53-'Assumption Setting'!$G$112)-1,12))*'Assumption Setting'!$F$112*'Assumption Setting'!$G$117)</f>
        <v>0.952314222272727</v>
      </c>
      <c r="BH97" s="84" t="n">
        <f aca="true">IF((54-'Assumption Setting'!$G$112)&lt;1,0,OFFSET($A$96,0,2+13*INT(((54-'Assumption Setting'!$G$112)-1)/12)+MOD((54-'Assumption Setting'!$G$112)-1,12))*'Assumption Setting'!$F$112*'Assumption Setting'!$G$117)</f>
        <v>0.952314222272727</v>
      </c>
      <c r="BI97" s="84" t="n">
        <f aca="true">IF((55-'Assumption Setting'!$G$112)&lt;1,0,OFFSET($A$96,0,2+13*INT(((55-'Assumption Setting'!$G$112)-1)/12)+MOD((55-'Assumption Setting'!$G$112)-1,12))*'Assumption Setting'!$F$112*'Assumption Setting'!$G$117)</f>
        <v>0.952314222272727</v>
      </c>
      <c r="BJ97" s="84" t="n">
        <f aca="true">IF((56-'Assumption Setting'!$G$112)&lt;1,0,OFFSET($A$96,0,2+13*INT(((56-'Assumption Setting'!$G$112)-1)/12)+MOD((56-'Assumption Setting'!$G$112)-1,12))*'Assumption Setting'!$F$112*'Assumption Setting'!$G$117)</f>
        <v>0.952314222272727</v>
      </c>
      <c r="BK97" s="84" t="n">
        <f aca="true">IF((57-'Assumption Setting'!$G$112)&lt;1,0,OFFSET($A$96,0,2+13*INT(((57-'Assumption Setting'!$G$112)-1)/12)+MOD((57-'Assumption Setting'!$G$112)-1,12))*'Assumption Setting'!$F$112*'Assumption Setting'!$G$117)</f>
        <v>0.952314222272727</v>
      </c>
      <c r="BL97" s="84" t="n">
        <f aca="true">IF((58-'Assumption Setting'!$G$112)&lt;1,0,OFFSET($A$96,0,2+13*INT(((58-'Assumption Setting'!$G$112)-1)/12)+MOD((58-'Assumption Setting'!$G$112)-1,12))*'Assumption Setting'!$F$112*'Assumption Setting'!$G$117)</f>
        <v>0.952314222272727</v>
      </c>
      <c r="BM97" s="84" t="n">
        <f aca="true">IF((59-'Assumption Setting'!$G$112)&lt;1,0,OFFSET($A$96,0,2+13*INT(((59-'Assumption Setting'!$G$112)-1)/12)+MOD((59-'Assumption Setting'!$G$112)-1,12))*'Assumption Setting'!$F$112*'Assumption Setting'!$G$117)</f>
        <v>0.952314222272727</v>
      </c>
      <c r="BN97" s="84" t="n">
        <f aca="true">IF((60-'Assumption Setting'!$G$112)&lt;1,0,OFFSET($A$96,0,2+13*INT(((60-'Assumption Setting'!$G$112)-1)/12)+MOD((60-'Assumption Setting'!$G$112)-1,12))*'Assumption Setting'!$F$112*'Assumption Setting'!$G$117)</f>
        <v>1.262560021875</v>
      </c>
    </row>
    <row r="98" customFormat="false" ht="15" hidden="false" customHeight="false" outlineLevel="0" collapsed="false">
      <c r="A98" s="18" t="s">
        <v>386</v>
      </c>
      <c r="B98" s="81" t="n">
        <f aca="false">SUM(C98:N98)</f>
        <v>11.8476670909091</v>
      </c>
      <c r="C98" s="84" t="n">
        <f aca="false">C81*'Assumption Setting'!$C$113</f>
        <v>0.987305590909091</v>
      </c>
      <c r="D98" s="84" t="n">
        <f aca="false">D81*'Assumption Setting'!$C$113</f>
        <v>0.987305590909091</v>
      </c>
      <c r="E98" s="84" t="n">
        <f aca="false">E81*'Assumption Setting'!$C$113</f>
        <v>0.987305590909091</v>
      </c>
      <c r="F98" s="84" t="n">
        <f aca="false">F81*'Assumption Setting'!$C$113</f>
        <v>0.987305590909091</v>
      </c>
      <c r="G98" s="84" t="n">
        <f aca="false">G81*'Assumption Setting'!$C$113</f>
        <v>0.987305590909091</v>
      </c>
      <c r="H98" s="84" t="n">
        <f aca="false">H81*'Assumption Setting'!$C$113</f>
        <v>0.987305590909091</v>
      </c>
      <c r="I98" s="84" t="n">
        <f aca="false">I81*'Assumption Setting'!$C$113</f>
        <v>0.987305590909091</v>
      </c>
      <c r="J98" s="84" t="n">
        <f aca="false">J81*'Assumption Setting'!$C$113</f>
        <v>0.987305590909091</v>
      </c>
      <c r="K98" s="84" t="n">
        <f aca="false">K81*'Assumption Setting'!$C$113</f>
        <v>0.987305590909091</v>
      </c>
      <c r="L98" s="84" t="n">
        <f aca="false">L81*'Assumption Setting'!$C$113</f>
        <v>0.987305590909091</v>
      </c>
      <c r="M98" s="84" t="n">
        <f aca="false">M81*'Assumption Setting'!$C$113</f>
        <v>0.987305590909091</v>
      </c>
      <c r="N98" s="84" t="n">
        <f aca="false">N81*'Assumption Setting'!$C$113</f>
        <v>0.987305590909091</v>
      </c>
      <c r="O98" s="81" t="n">
        <f aca="false">SUM(P98:AA98)</f>
        <v>57.4636145454545</v>
      </c>
      <c r="P98" s="84" t="n">
        <f aca="false">P81*'Assumption Setting'!$C$113</f>
        <v>4.78863454545455</v>
      </c>
      <c r="Q98" s="84" t="n">
        <f aca="false">Q81*'Assumption Setting'!$C$113</f>
        <v>4.78863454545455</v>
      </c>
      <c r="R98" s="84" t="n">
        <f aca="false">R81*'Assumption Setting'!$C$113</f>
        <v>4.78863454545455</v>
      </c>
      <c r="S98" s="84" t="n">
        <f aca="false">S81*'Assumption Setting'!$C$113</f>
        <v>4.78863454545455</v>
      </c>
      <c r="T98" s="84" t="n">
        <f aca="false">T81*'Assumption Setting'!$C$113</f>
        <v>4.78863454545455</v>
      </c>
      <c r="U98" s="84" t="n">
        <f aca="false">U81*'Assumption Setting'!$C$113</f>
        <v>4.78863454545455</v>
      </c>
      <c r="V98" s="84" t="n">
        <f aca="false">V81*'Assumption Setting'!$C$113</f>
        <v>4.78863454545455</v>
      </c>
      <c r="W98" s="84" t="n">
        <f aca="false">W81*'Assumption Setting'!$C$113</f>
        <v>4.78863454545455</v>
      </c>
      <c r="X98" s="84" t="n">
        <f aca="false">X81*'Assumption Setting'!$C$113</f>
        <v>4.78863454545455</v>
      </c>
      <c r="Y98" s="84" t="n">
        <f aca="false">Y81*'Assumption Setting'!$C$113</f>
        <v>4.78863454545455</v>
      </c>
      <c r="Z98" s="84" t="n">
        <f aca="false">Z81*'Assumption Setting'!$C$113</f>
        <v>4.78863454545455</v>
      </c>
      <c r="AA98" s="84" t="n">
        <f aca="false">AA81*'Assumption Setting'!$C$113</f>
        <v>4.78863454545455</v>
      </c>
      <c r="AB98" s="81" t="n">
        <f aca="false">SUM(AC98:AN98)</f>
        <v>118.057879636364</v>
      </c>
      <c r="AC98" s="84" t="n">
        <f aca="false">AC81*'Assumption Setting'!$C$113</f>
        <v>9.83815663636364</v>
      </c>
      <c r="AD98" s="84" t="n">
        <f aca="false">AD81*'Assumption Setting'!$C$113</f>
        <v>9.83815663636364</v>
      </c>
      <c r="AE98" s="84" t="n">
        <f aca="false">AE81*'Assumption Setting'!$C$113</f>
        <v>9.83815663636364</v>
      </c>
      <c r="AF98" s="84" t="n">
        <f aca="false">AF81*'Assumption Setting'!$C$113</f>
        <v>9.83815663636364</v>
      </c>
      <c r="AG98" s="84" t="n">
        <f aca="false">AG81*'Assumption Setting'!$C$113</f>
        <v>9.83815663636364</v>
      </c>
      <c r="AH98" s="84" t="n">
        <f aca="false">AH81*'Assumption Setting'!$C$113</f>
        <v>9.83815663636364</v>
      </c>
      <c r="AI98" s="84" t="n">
        <f aca="false">AI81*'Assumption Setting'!$C$113</f>
        <v>9.83815663636364</v>
      </c>
      <c r="AJ98" s="84" t="n">
        <f aca="false">AJ81*'Assumption Setting'!$C$113</f>
        <v>9.83815663636364</v>
      </c>
      <c r="AK98" s="84" t="n">
        <f aca="false">AK81*'Assumption Setting'!$C$113</f>
        <v>9.83815663636364</v>
      </c>
      <c r="AL98" s="84" t="n">
        <f aca="false">AL81*'Assumption Setting'!$C$113</f>
        <v>9.83815663636364</v>
      </c>
      <c r="AM98" s="84" t="n">
        <f aca="false">AM81*'Assumption Setting'!$C$113</f>
        <v>9.83815663636364</v>
      </c>
      <c r="AN98" s="84" t="n">
        <f aca="false">AN81*'Assumption Setting'!$C$113</f>
        <v>9.83815663636364</v>
      </c>
      <c r="AO98" s="81" t="n">
        <f aca="false">SUM(AP98:BA98)</f>
        <v>169.300306181818</v>
      </c>
      <c r="AP98" s="84" t="n">
        <f aca="false">AP81*'Assumption Setting'!$C$113</f>
        <v>14.1083588484849</v>
      </c>
      <c r="AQ98" s="84" t="n">
        <f aca="false">AQ81*'Assumption Setting'!$C$113</f>
        <v>14.1083588484849</v>
      </c>
      <c r="AR98" s="84" t="n">
        <f aca="false">AR81*'Assumption Setting'!$C$113</f>
        <v>14.1083588484849</v>
      </c>
      <c r="AS98" s="84" t="n">
        <f aca="false">AS81*'Assumption Setting'!$C$113</f>
        <v>14.1083588484849</v>
      </c>
      <c r="AT98" s="84" t="n">
        <f aca="false">AT81*'Assumption Setting'!$C$113</f>
        <v>14.1083588484849</v>
      </c>
      <c r="AU98" s="84" t="n">
        <f aca="false">AU81*'Assumption Setting'!$C$113</f>
        <v>14.1083588484849</v>
      </c>
      <c r="AV98" s="84" t="n">
        <f aca="false">AV81*'Assumption Setting'!$C$113</f>
        <v>14.1083588484849</v>
      </c>
      <c r="AW98" s="84" t="n">
        <f aca="false">AW81*'Assumption Setting'!$C$113</f>
        <v>14.1083588484849</v>
      </c>
      <c r="AX98" s="84" t="n">
        <f aca="false">AX81*'Assumption Setting'!$C$113</f>
        <v>14.1083588484849</v>
      </c>
      <c r="AY98" s="84" t="n">
        <f aca="false">AY81*'Assumption Setting'!$C$113</f>
        <v>14.1083588484849</v>
      </c>
      <c r="AZ98" s="84" t="n">
        <f aca="false">AZ81*'Assumption Setting'!$C$113</f>
        <v>14.1083588484849</v>
      </c>
      <c r="BA98" s="84" t="n">
        <f aca="false">BA81*'Assumption Setting'!$C$113</f>
        <v>14.1083588484849</v>
      </c>
      <c r="BB98" s="81" t="n">
        <f aca="false">SUM(BC98:BN98)</f>
        <v>224.455115</v>
      </c>
      <c r="BC98" s="84" t="n">
        <f aca="false">BC81*'Assumption Setting'!$C$113</f>
        <v>18.7045929166667</v>
      </c>
      <c r="BD98" s="84" t="n">
        <f aca="false">BD81*'Assumption Setting'!$C$113</f>
        <v>18.7045929166667</v>
      </c>
      <c r="BE98" s="84" t="n">
        <f aca="false">BE81*'Assumption Setting'!$C$113</f>
        <v>18.7045929166667</v>
      </c>
      <c r="BF98" s="84" t="n">
        <f aca="false">BF81*'Assumption Setting'!$C$113</f>
        <v>18.7045929166667</v>
      </c>
      <c r="BG98" s="84" t="n">
        <f aca="false">BG81*'Assumption Setting'!$C$113</f>
        <v>18.7045929166667</v>
      </c>
      <c r="BH98" s="84" t="n">
        <f aca="false">BH81*'Assumption Setting'!$C$113</f>
        <v>18.7045929166667</v>
      </c>
      <c r="BI98" s="84" t="n">
        <f aca="false">BI81*'Assumption Setting'!$C$113</f>
        <v>18.7045929166667</v>
      </c>
      <c r="BJ98" s="84" t="n">
        <f aca="false">BJ81*'Assumption Setting'!$C$113</f>
        <v>18.7045929166667</v>
      </c>
      <c r="BK98" s="84" t="n">
        <f aca="false">BK81*'Assumption Setting'!$C$113</f>
        <v>18.7045929166667</v>
      </c>
      <c r="BL98" s="84" t="n">
        <f aca="false">BL81*'Assumption Setting'!$C$113</f>
        <v>18.7045929166667</v>
      </c>
      <c r="BM98" s="84" t="n">
        <f aca="false">BM81*'Assumption Setting'!$C$113</f>
        <v>18.7045929166667</v>
      </c>
      <c r="BN98" s="84" t="n">
        <f aca="false">BN81*'Assumption Setting'!$C$113</f>
        <v>18.7045929166667</v>
      </c>
    </row>
    <row r="99" customFormat="false" ht="15" hidden="false" customHeight="false" outlineLevel="0" collapsed="false">
      <c r="A99" s="12" t="s">
        <v>651</v>
      </c>
      <c r="B99" s="81" t="n">
        <f aca="false">SUM(C99:N99)</f>
        <v>4.14668348181818</v>
      </c>
      <c r="C99" s="82" t="n">
        <f aca="false">C98*'Assumption Setting'!$D$113</f>
        <v>0.345556956818182</v>
      </c>
      <c r="D99" s="82" t="n">
        <f aca="false">D98*'Assumption Setting'!$D$113</f>
        <v>0.345556956818182</v>
      </c>
      <c r="E99" s="82" t="n">
        <f aca="false">E98*'Assumption Setting'!$D$113</f>
        <v>0.345556956818182</v>
      </c>
      <c r="F99" s="82" t="n">
        <f aca="false">F98*'Assumption Setting'!$D$113</f>
        <v>0.345556956818182</v>
      </c>
      <c r="G99" s="82" t="n">
        <f aca="false">G98*'Assumption Setting'!$D$113</f>
        <v>0.345556956818182</v>
      </c>
      <c r="H99" s="82" t="n">
        <f aca="false">H98*'Assumption Setting'!$D$113</f>
        <v>0.345556956818182</v>
      </c>
      <c r="I99" s="82" t="n">
        <f aca="false">I98*'Assumption Setting'!$D$113</f>
        <v>0.345556956818182</v>
      </c>
      <c r="J99" s="82" t="n">
        <f aca="false">J98*'Assumption Setting'!$D$113</f>
        <v>0.345556956818182</v>
      </c>
      <c r="K99" s="82" t="n">
        <f aca="false">K98*'Assumption Setting'!$D$113</f>
        <v>0.345556956818182</v>
      </c>
      <c r="L99" s="82" t="n">
        <f aca="false">L98*'Assumption Setting'!$D$113</f>
        <v>0.345556956818182</v>
      </c>
      <c r="M99" s="82" t="n">
        <f aca="false">M98*'Assumption Setting'!$D$113</f>
        <v>0.345556956818182</v>
      </c>
      <c r="N99" s="82" t="n">
        <f aca="false">N98*'Assumption Setting'!$D$113</f>
        <v>0.345556956818182</v>
      </c>
      <c r="O99" s="81" t="n">
        <f aca="false">SUM(P99:AA99)</f>
        <v>20.1122650909091</v>
      </c>
      <c r="P99" s="82" t="n">
        <f aca="false">P98*'Assumption Setting'!$D$113</f>
        <v>1.67602209090909</v>
      </c>
      <c r="Q99" s="82" t="n">
        <f aca="false">Q98*'Assumption Setting'!$D$113</f>
        <v>1.67602209090909</v>
      </c>
      <c r="R99" s="82" t="n">
        <f aca="false">R98*'Assumption Setting'!$D$113</f>
        <v>1.67602209090909</v>
      </c>
      <c r="S99" s="82" t="n">
        <f aca="false">S98*'Assumption Setting'!$D$113</f>
        <v>1.67602209090909</v>
      </c>
      <c r="T99" s="82" t="n">
        <f aca="false">T98*'Assumption Setting'!$D$113</f>
        <v>1.67602209090909</v>
      </c>
      <c r="U99" s="82" t="n">
        <f aca="false">U98*'Assumption Setting'!$D$113</f>
        <v>1.67602209090909</v>
      </c>
      <c r="V99" s="82" t="n">
        <f aca="false">V98*'Assumption Setting'!$D$113</f>
        <v>1.67602209090909</v>
      </c>
      <c r="W99" s="82" t="n">
        <f aca="false">W98*'Assumption Setting'!$D$113</f>
        <v>1.67602209090909</v>
      </c>
      <c r="X99" s="82" t="n">
        <f aca="false">X98*'Assumption Setting'!$D$113</f>
        <v>1.67602209090909</v>
      </c>
      <c r="Y99" s="82" t="n">
        <f aca="false">Y98*'Assumption Setting'!$D$113</f>
        <v>1.67602209090909</v>
      </c>
      <c r="Z99" s="82" t="n">
        <f aca="false">Z98*'Assumption Setting'!$D$113</f>
        <v>1.67602209090909</v>
      </c>
      <c r="AA99" s="82" t="n">
        <f aca="false">AA98*'Assumption Setting'!$D$113</f>
        <v>1.67602209090909</v>
      </c>
      <c r="AB99" s="81" t="n">
        <f aca="false">SUM(AC99:AN99)</f>
        <v>41.3202578727273</v>
      </c>
      <c r="AC99" s="82" t="n">
        <f aca="false">AC98*'Assumption Setting'!$D$113</f>
        <v>3.44335482272727</v>
      </c>
      <c r="AD99" s="82" t="n">
        <f aca="false">AD98*'Assumption Setting'!$D$113</f>
        <v>3.44335482272727</v>
      </c>
      <c r="AE99" s="82" t="n">
        <f aca="false">AE98*'Assumption Setting'!$D$113</f>
        <v>3.44335482272727</v>
      </c>
      <c r="AF99" s="82" t="n">
        <f aca="false">AF98*'Assumption Setting'!$D$113</f>
        <v>3.44335482272727</v>
      </c>
      <c r="AG99" s="82" t="n">
        <f aca="false">AG98*'Assumption Setting'!$D$113</f>
        <v>3.44335482272727</v>
      </c>
      <c r="AH99" s="82" t="n">
        <f aca="false">AH98*'Assumption Setting'!$D$113</f>
        <v>3.44335482272727</v>
      </c>
      <c r="AI99" s="82" t="n">
        <f aca="false">AI98*'Assumption Setting'!$D$113</f>
        <v>3.44335482272727</v>
      </c>
      <c r="AJ99" s="82" t="n">
        <f aca="false">AJ98*'Assumption Setting'!$D$113</f>
        <v>3.44335482272727</v>
      </c>
      <c r="AK99" s="82" t="n">
        <f aca="false">AK98*'Assumption Setting'!$D$113</f>
        <v>3.44335482272727</v>
      </c>
      <c r="AL99" s="82" t="n">
        <f aca="false">AL98*'Assumption Setting'!$D$113</f>
        <v>3.44335482272727</v>
      </c>
      <c r="AM99" s="82" t="n">
        <f aca="false">AM98*'Assumption Setting'!$D$113</f>
        <v>3.44335482272727</v>
      </c>
      <c r="AN99" s="82" t="n">
        <f aca="false">AN98*'Assumption Setting'!$D$113</f>
        <v>3.44335482272727</v>
      </c>
      <c r="AO99" s="81" t="n">
        <f aca="false">SUM(AP99:BA99)</f>
        <v>59.2551071636364</v>
      </c>
      <c r="AP99" s="82" t="n">
        <f aca="false">AP98*'Assumption Setting'!$D$113</f>
        <v>4.9379255969697</v>
      </c>
      <c r="AQ99" s="82" t="n">
        <f aca="false">AQ98*'Assumption Setting'!$D$113</f>
        <v>4.9379255969697</v>
      </c>
      <c r="AR99" s="82" t="n">
        <f aca="false">AR98*'Assumption Setting'!$D$113</f>
        <v>4.9379255969697</v>
      </c>
      <c r="AS99" s="82" t="n">
        <f aca="false">AS98*'Assumption Setting'!$D$113</f>
        <v>4.9379255969697</v>
      </c>
      <c r="AT99" s="82" t="n">
        <f aca="false">AT98*'Assumption Setting'!$D$113</f>
        <v>4.9379255969697</v>
      </c>
      <c r="AU99" s="82" t="n">
        <f aca="false">AU98*'Assumption Setting'!$D$113</f>
        <v>4.9379255969697</v>
      </c>
      <c r="AV99" s="82" t="n">
        <f aca="false">AV98*'Assumption Setting'!$D$113</f>
        <v>4.9379255969697</v>
      </c>
      <c r="AW99" s="82" t="n">
        <f aca="false">AW98*'Assumption Setting'!$D$113</f>
        <v>4.9379255969697</v>
      </c>
      <c r="AX99" s="82" t="n">
        <f aca="false">AX98*'Assumption Setting'!$D$113</f>
        <v>4.9379255969697</v>
      </c>
      <c r="AY99" s="82" t="n">
        <f aca="false">AY98*'Assumption Setting'!$D$113</f>
        <v>4.9379255969697</v>
      </c>
      <c r="AZ99" s="82" t="n">
        <f aca="false">AZ98*'Assumption Setting'!$D$113</f>
        <v>4.9379255969697</v>
      </c>
      <c r="BA99" s="82" t="n">
        <f aca="false">BA98*'Assumption Setting'!$D$113</f>
        <v>4.9379255969697</v>
      </c>
      <c r="BB99" s="81" t="n">
        <f aca="false">SUM(BC99:BN99)</f>
        <v>78.55929025</v>
      </c>
      <c r="BC99" s="82" t="n">
        <f aca="false">BC98*'Assumption Setting'!$D$113</f>
        <v>6.54660752083333</v>
      </c>
      <c r="BD99" s="82" t="n">
        <f aca="false">BD98*'Assumption Setting'!$D$113</f>
        <v>6.54660752083333</v>
      </c>
      <c r="BE99" s="82" t="n">
        <f aca="false">BE98*'Assumption Setting'!$D$113</f>
        <v>6.54660752083333</v>
      </c>
      <c r="BF99" s="82" t="n">
        <f aca="false">BF98*'Assumption Setting'!$D$113</f>
        <v>6.54660752083333</v>
      </c>
      <c r="BG99" s="82" t="n">
        <f aca="false">BG98*'Assumption Setting'!$D$113</f>
        <v>6.54660752083333</v>
      </c>
      <c r="BH99" s="82" t="n">
        <f aca="false">BH98*'Assumption Setting'!$D$113</f>
        <v>6.54660752083333</v>
      </c>
      <c r="BI99" s="82" t="n">
        <f aca="false">BI98*'Assumption Setting'!$D$113</f>
        <v>6.54660752083333</v>
      </c>
      <c r="BJ99" s="82" t="n">
        <f aca="false">BJ98*'Assumption Setting'!$D$113</f>
        <v>6.54660752083333</v>
      </c>
      <c r="BK99" s="82" t="n">
        <f aca="false">BK98*'Assumption Setting'!$D$113</f>
        <v>6.54660752083333</v>
      </c>
      <c r="BL99" s="82" t="n">
        <f aca="false">BL98*'Assumption Setting'!$D$113</f>
        <v>6.54660752083333</v>
      </c>
      <c r="BM99" s="82" t="n">
        <f aca="false">BM98*'Assumption Setting'!$D$113</f>
        <v>6.54660752083333</v>
      </c>
      <c r="BN99" s="82" t="n">
        <f aca="false">BN98*'Assumption Setting'!$D$113</f>
        <v>6.54660752083333</v>
      </c>
    </row>
    <row r="100" customFormat="false" ht="15" hidden="false" customHeight="false" outlineLevel="0" collapsed="false">
      <c r="A100" s="12" t="s">
        <v>652</v>
      </c>
      <c r="B100" s="81" t="n">
        <f aca="false">SUM(C100:N100)</f>
        <v>1.86600756681818</v>
      </c>
      <c r="C100" s="82" t="n">
        <f aca="false">C99*'Assumption Setting'!$E$113</f>
        <v>0.155500630568182</v>
      </c>
      <c r="D100" s="82" t="n">
        <f aca="false">D99*'Assumption Setting'!$E$113</f>
        <v>0.155500630568182</v>
      </c>
      <c r="E100" s="82" t="n">
        <f aca="false">E99*'Assumption Setting'!$E$113</f>
        <v>0.155500630568182</v>
      </c>
      <c r="F100" s="82" t="n">
        <f aca="false">F99*'Assumption Setting'!$E$113</f>
        <v>0.155500630568182</v>
      </c>
      <c r="G100" s="82" t="n">
        <f aca="false">G99*'Assumption Setting'!$E$113</f>
        <v>0.155500630568182</v>
      </c>
      <c r="H100" s="82" t="n">
        <f aca="false">H99*'Assumption Setting'!$E$113</f>
        <v>0.155500630568182</v>
      </c>
      <c r="I100" s="82" t="n">
        <f aca="false">I99*'Assumption Setting'!$E$113</f>
        <v>0.155500630568182</v>
      </c>
      <c r="J100" s="82" t="n">
        <f aca="false">J99*'Assumption Setting'!$E$113</f>
        <v>0.155500630568182</v>
      </c>
      <c r="K100" s="82" t="n">
        <f aca="false">K99*'Assumption Setting'!$E$113</f>
        <v>0.155500630568182</v>
      </c>
      <c r="L100" s="82" t="n">
        <f aca="false">L99*'Assumption Setting'!$E$113</f>
        <v>0.155500630568182</v>
      </c>
      <c r="M100" s="82" t="n">
        <f aca="false">M99*'Assumption Setting'!$E$113</f>
        <v>0.155500630568182</v>
      </c>
      <c r="N100" s="82" t="n">
        <f aca="false">N99*'Assumption Setting'!$E$113</f>
        <v>0.155500630568182</v>
      </c>
      <c r="O100" s="81" t="n">
        <f aca="false">SUM(P100:AA100)</f>
        <v>9.05051929090909</v>
      </c>
      <c r="P100" s="82" t="n">
        <f aca="false">P99*'Assumption Setting'!$E$113</f>
        <v>0.754209940909091</v>
      </c>
      <c r="Q100" s="82" t="n">
        <f aca="false">Q99*'Assumption Setting'!$E$113</f>
        <v>0.754209940909091</v>
      </c>
      <c r="R100" s="82" t="n">
        <f aca="false">R99*'Assumption Setting'!$E$113</f>
        <v>0.754209940909091</v>
      </c>
      <c r="S100" s="82" t="n">
        <f aca="false">S99*'Assumption Setting'!$E$113</f>
        <v>0.754209940909091</v>
      </c>
      <c r="T100" s="82" t="n">
        <f aca="false">T99*'Assumption Setting'!$E$113</f>
        <v>0.754209940909091</v>
      </c>
      <c r="U100" s="82" t="n">
        <f aca="false">U99*'Assumption Setting'!$E$113</f>
        <v>0.754209940909091</v>
      </c>
      <c r="V100" s="82" t="n">
        <f aca="false">V99*'Assumption Setting'!$E$113</f>
        <v>0.754209940909091</v>
      </c>
      <c r="W100" s="82" t="n">
        <f aca="false">W99*'Assumption Setting'!$E$113</f>
        <v>0.754209940909091</v>
      </c>
      <c r="X100" s="82" t="n">
        <f aca="false">X99*'Assumption Setting'!$E$113</f>
        <v>0.754209940909091</v>
      </c>
      <c r="Y100" s="82" t="n">
        <f aca="false">Y99*'Assumption Setting'!$E$113</f>
        <v>0.754209940909091</v>
      </c>
      <c r="Z100" s="82" t="n">
        <f aca="false">Z99*'Assumption Setting'!$E$113</f>
        <v>0.754209940909091</v>
      </c>
      <c r="AA100" s="82" t="n">
        <f aca="false">AA99*'Assumption Setting'!$E$113</f>
        <v>0.754209940909091</v>
      </c>
      <c r="AB100" s="81" t="n">
        <f aca="false">SUM(AC100:AN100)</f>
        <v>18.5941160427273</v>
      </c>
      <c r="AC100" s="82" t="n">
        <f aca="false">AC99*'Assumption Setting'!$E$113</f>
        <v>1.54950967022727</v>
      </c>
      <c r="AD100" s="82" t="n">
        <f aca="false">AD99*'Assumption Setting'!$E$113</f>
        <v>1.54950967022727</v>
      </c>
      <c r="AE100" s="82" t="n">
        <f aca="false">AE99*'Assumption Setting'!$E$113</f>
        <v>1.54950967022727</v>
      </c>
      <c r="AF100" s="82" t="n">
        <f aca="false">AF99*'Assumption Setting'!$E$113</f>
        <v>1.54950967022727</v>
      </c>
      <c r="AG100" s="82" t="n">
        <f aca="false">AG99*'Assumption Setting'!$E$113</f>
        <v>1.54950967022727</v>
      </c>
      <c r="AH100" s="82" t="n">
        <f aca="false">AH99*'Assumption Setting'!$E$113</f>
        <v>1.54950967022727</v>
      </c>
      <c r="AI100" s="82" t="n">
        <f aca="false">AI99*'Assumption Setting'!$E$113</f>
        <v>1.54950967022727</v>
      </c>
      <c r="AJ100" s="82" t="n">
        <f aca="false">AJ99*'Assumption Setting'!$E$113</f>
        <v>1.54950967022727</v>
      </c>
      <c r="AK100" s="82" t="n">
        <f aca="false">AK99*'Assumption Setting'!$E$113</f>
        <v>1.54950967022727</v>
      </c>
      <c r="AL100" s="82" t="n">
        <f aca="false">AL99*'Assumption Setting'!$E$113</f>
        <v>1.54950967022727</v>
      </c>
      <c r="AM100" s="82" t="n">
        <f aca="false">AM99*'Assumption Setting'!$E$113</f>
        <v>1.54950967022727</v>
      </c>
      <c r="AN100" s="82" t="n">
        <f aca="false">AN99*'Assumption Setting'!$E$113</f>
        <v>1.54950967022727</v>
      </c>
      <c r="AO100" s="81" t="n">
        <f aca="false">SUM(AP100:BA100)</f>
        <v>26.6647982236364</v>
      </c>
      <c r="AP100" s="82" t="n">
        <f aca="false">AP99*'Assumption Setting'!$E$113</f>
        <v>2.22206651863636</v>
      </c>
      <c r="AQ100" s="82" t="n">
        <f aca="false">AQ99*'Assumption Setting'!$E$113</f>
        <v>2.22206651863636</v>
      </c>
      <c r="AR100" s="82" t="n">
        <f aca="false">AR99*'Assumption Setting'!$E$113</f>
        <v>2.22206651863636</v>
      </c>
      <c r="AS100" s="82" t="n">
        <f aca="false">AS99*'Assumption Setting'!$E$113</f>
        <v>2.22206651863636</v>
      </c>
      <c r="AT100" s="82" t="n">
        <f aca="false">AT99*'Assumption Setting'!$E$113</f>
        <v>2.22206651863636</v>
      </c>
      <c r="AU100" s="82" t="n">
        <f aca="false">AU99*'Assumption Setting'!$E$113</f>
        <v>2.22206651863636</v>
      </c>
      <c r="AV100" s="82" t="n">
        <f aca="false">AV99*'Assumption Setting'!$E$113</f>
        <v>2.22206651863636</v>
      </c>
      <c r="AW100" s="82" t="n">
        <f aca="false">AW99*'Assumption Setting'!$E$113</f>
        <v>2.22206651863636</v>
      </c>
      <c r="AX100" s="82" t="n">
        <f aca="false">AX99*'Assumption Setting'!$E$113</f>
        <v>2.22206651863636</v>
      </c>
      <c r="AY100" s="82" t="n">
        <f aca="false">AY99*'Assumption Setting'!$E$113</f>
        <v>2.22206651863636</v>
      </c>
      <c r="AZ100" s="82" t="n">
        <f aca="false">AZ99*'Assumption Setting'!$E$113</f>
        <v>2.22206651863636</v>
      </c>
      <c r="BA100" s="82" t="n">
        <f aca="false">BA99*'Assumption Setting'!$E$113</f>
        <v>2.22206651863636</v>
      </c>
      <c r="BB100" s="81" t="n">
        <f aca="false">SUM(BC100:BN100)</f>
        <v>35.3516806125</v>
      </c>
      <c r="BC100" s="82" t="n">
        <f aca="false">BC99*'Assumption Setting'!$E$113</f>
        <v>2.945973384375</v>
      </c>
      <c r="BD100" s="82" t="n">
        <f aca="false">BD99*'Assumption Setting'!$E$113</f>
        <v>2.945973384375</v>
      </c>
      <c r="BE100" s="82" t="n">
        <f aca="false">BE99*'Assumption Setting'!$E$113</f>
        <v>2.945973384375</v>
      </c>
      <c r="BF100" s="82" t="n">
        <f aca="false">BF99*'Assumption Setting'!$E$113</f>
        <v>2.945973384375</v>
      </c>
      <c r="BG100" s="82" t="n">
        <f aca="false">BG99*'Assumption Setting'!$E$113</f>
        <v>2.945973384375</v>
      </c>
      <c r="BH100" s="82" t="n">
        <f aca="false">BH99*'Assumption Setting'!$E$113</f>
        <v>2.945973384375</v>
      </c>
      <c r="BI100" s="82" t="n">
        <f aca="false">BI99*'Assumption Setting'!$E$113</f>
        <v>2.945973384375</v>
      </c>
      <c r="BJ100" s="82" t="n">
        <f aca="false">BJ99*'Assumption Setting'!$E$113</f>
        <v>2.945973384375</v>
      </c>
      <c r="BK100" s="82" t="n">
        <f aca="false">BK99*'Assumption Setting'!$E$113</f>
        <v>2.945973384375</v>
      </c>
      <c r="BL100" s="82" t="n">
        <f aca="false">BL99*'Assumption Setting'!$E$113</f>
        <v>2.945973384375</v>
      </c>
      <c r="BM100" s="82" t="n">
        <f aca="false">BM99*'Assumption Setting'!$E$113</f>
        <v>2.945973384375</v>
      </c>
      <c r="BN100" s="82" t="n">
        <f aca="false">BN99*'Assumption Setting'!$E$113</f>
        <v>2.945973384375</v>
      </c>
    </row>
    <row r="101" customFormat="false" ht="15" hidden="false" customHeight="false" outlineLevel="0" collapsed="false">
      <c r="A101" s="18" t="s">
        <v>653</v>
      </c>
      <c r="B101" s="81" t="n">
        <f aca="false">SUM(C101:N101)</f>
        <v>0.233250945852273</v>
      </c>
      <c r="C101" s="84" t="n">
        <f aca="true">IF((1-'Assumption Setting'!$G$113)&lt;1,0,OFFSET($A$100,0,2+13*INT(((1-'Assumption Setting'!$G$113)-1)/12)+MOD((1-'Assumption Setting'!$G$113)-1,12))*'Assumption Setting'!$F$113*'Assumption Setting'!$C$117)</f>
        <v>0</v>
      </c>
      <c r="D101" s="84" t="n">
        <f aca="true">IF((2-'Assumption Setting'!$G$113)&lt;1,0,OFFSET($A$100,0,2+13*INT(((2-'Assumption Setting'!$G$113)-1)/12)+MOD((2-'Assumption Setting'!$G$113)-1,12))*'Assumption Setting'!$F$113*'Assumption Setting'!$C$117)</f>
        <v>0</v>
      </c>
      <c r="E101" s="84" t="n">
        <f aca="true">IF((3-'Assumption Setting'!$G$113)&lt;1,0,OFFSET($A$100,0,2+13*INT(((3-'Assumption Setting'!$G$113)-1)/12)+MOD((3-'Assumption Setting'!$G$113)-1,12))*'Assumption Setting'!$F$113*'Assumption Setting'!$C$117)</f>
        <v>0</v>
      </c>
      <c r="F101" s="84" t="n">
        <f aca="true">IF((4-'Assumption Setting'!$G$113)&lt;1,0,OFFSET($A$100,0,2+13*INT(((4-'Assumption Setting'!$G$113)-1)/12)+MOD((4-'Assumption Setting'!$G$113)-1,12))*'Assumption Setting'!$F$113*'Assumption Setting'!$C$117)</f>
        <v>0</v>
      </c>
      <c r="G101" s="84" t="n">
        <f aca="true">IF((5-'Assumption Setting'!$G$113)&lt;1,0,OFFSET($A$100,0,2+13*INT(((5-'Assumption Setting'!$G$113)-1)/12)+MOD((5-'Assumption Setting'!$G$113)-1,12))*'Assumption Setting'!$F$113*'Assumption Setting'!$C$117)</f>
        <v>0</v>
      </c>
      <c r="H101" s="84" t="n">
        <f aca="true">IF((6-'Assumption Setting'!$G$113)&lt;1,0,OFFSET($A$100,0,2+13*INT(((6-'Assumption Setting'!$G$113)-1)/12)+MOD((6-'Assumption Setting'!$G$113)-1,12))*'Assumption Setting'!$F$113*'Assumption Setting'!$C$117)</f>
        <v>0</v>
      </c>
      <c r="I101" s="84" t="n">
        <f aca="true">IF((7-'Assumption Setting'!$G$113)&lt;1,0,OFFSET($A$100,0,2+13*INT(((7-'Assumption Setting'!$G$113)-1)/12)+MOD((7-'Assumption Setting'!$G$113)-1,12))*'Assumption Setting'!$F$113*'Assumption Setting'!$C$117)</f>
        <v>0</v>
      </c>
      <c r="J101" s="84" t="n">
        <f aca="true">IF((8-'Assumption Setting'!$G$113)&lt;1,0,OFFSET($A$100,0,2+13*INT(((8-'Assumption Setting'!$G$113)-1)/12)+MOD((8-'Assumption Setting'!$G$113)-1,12))*'Assumption Setting'!$F$113*'Assumption Setting'!$C$117)</f>
        <v>0.0466501891704545</v>
      </c>
      <c r="K101" s="84" t="n">
        <f aca="true">IF((9-'Assumption Setting'!$G$113)&lt;1,0,OFFSET($A$100,0,2+13*INT(((9-'Assumption Setting'!$G$113)-1)/12)+MOD((9-'Assumption Setting'!$G$113)-1,12))*'Assumption Setting'!$F$113*'Assumption Setting'!$C$117)</f>
        <v>0.0466501891704545</v>
      </c>
      <c r="L101" s="84" t="n">
        <f aca="true">IF((10-'Assumption Setting'!$G$113)&lt;1,0,OFFSET($A$100,0,2+13*INT(((10-'Assumption Setting'!$G$113)-1)/12)+MOD((10-'Assumption Setting'!$G$113)-1,12))*'Assumption Setting'!$F$113*'Assumption Setting'!$C$117)</f>
        <v>0.0466501891704545</v>
      </c>
      <c r="M101" s="84" t="n">
        <f aca="true">IF((11-'Assumption Setting'!$G$113)&lt;1,0,OFFSET($A$100,0,2+13*INT(((11-'Assumption Setting'!$G$113)-1)/12)+MOD((11-'Assumption Setting'!$G$113)-1,12))*'Assumption Setting'!$F$113*'Assumption Setting'!$C$117)</f>
        <v>0.0466501891704545</v>
      </c>
      <c r="N101" s="84" t="n">
        <f aca="true">IF((12-'Assumption Setting'!$G$113)&lt;1,0,OFFSET($A$100,0,2+13*INT(((12-'Assumption Setting'!$G$113)-1)/12)+MOD((12-'Assumption Setting'!$G$113)-1,12))*'Assumption Setting'!$F$113*'Assumption Setting'!$C$117)</f>
        <v>0.0466501891704545</v>
      </c>
      <c r="O101" s="81" t="n">
        <f aca="false">SUM(P101:AA101)</f>
        <v>1.67654617089034</v>
      </c>
      <c r="P101" s="84" t="n">
        <f aca="true">IF((13-'Assumption Setting'!$G$113)&lt;1,0,OFFSET($A$100,0,2+13*INT(((13-'Assumption Setting'!$G$113)-1)/12)+MOD((13-'Assumption Setting'!$G$113)-1,12))*'Assumption Setting'!$F$113*'Assumption Setting'!$D$117)</f>
        <v>0.0536477175460227</v>
      </c>
      <c r="Q101" s="84" t="n">
        <f aca="true">IF((14-'Assumption Setting'!$G$113)&lt;1,0,OFFSET($A$100,0,2+13*INT(((14-'Assumption Setting'!$G$113)-1)/12)+MOD((14-'Assumption Setting'!$G$113)-1,12))*'Assumption Setting'!$F$113*'Assumption Setting'!$D$117)</f>
        <v>0.0536477175460227</v>
      </c>
      <c r="R101" s="84" t="n">
        <f aca="true">IF((15-'Assumption Setting'!$G$113)&lt;1,0,OFFSET($A$100,0,2+13*INT(((15-'Assumption Setting'!$G$113)-1)/12)+MOD((15-'Assumption Setting'!$G$113)-1,12))*'Assumption Setting'!$F$113*'Assumption Setting'!$D$117)</f>
        <v>0.0536477175460227</v>
      </c>
      <c r="S101" s="84" t="n">
        <f aca="true">IF((16-'Assumption Setting'!$G$113)&lt;1,0,OFFSET($A$100,0,2+13*INT(((16-'Assumption Setting'!$G$113)-1)/12)+MOD((16-'Assumption Setting'!$G$113)-1,12))*'Assumption Setting'!$F$113*'Assumption Setting'!$D$117)</f>
        <v>0.0536477175460227</v>
      </c>
      <c r="T101" s="84" t="n">
        <f aca="true">IF((17-'Assumption Setting'!$G$113)&lt;1,0,OFFSET($A$100,0,2+13*INT(((17-'Assumption Setting'!$G$113)-1)/12)+MOD((17-'Assumption Setting'!$G$113)-1,12))*'Assumption Setting'!$F$113*'Assumption Setting'!$D$117)</f>
        <v>0.0536477175460227</v>
      </c>
      <c r="U101" s="84" t="n">
        <f aca="true">IF((18-'Assumption Setting'!$G$113)&lt;1,0,OFFSET($A$100,0,2+13*INT(((18-'Assumption Setting'!$G$113)-1)/12)+MOD((18-'Assumption Setting'!$G$113)-1,12))*'Assumption Setting'!$F$113*'Assumption Setting'!$D$117)</f>
        <v>0.0536477175460227</v>
      </c>
      <c r="V101" s="84" t="n">
        <f aca="true">IF((19-'Assumption Setting'!$G$113)&lt;1,0,OFFSET($A$100,0,2+13*INT(((19-'Assumption Setting'!$G$113)-1)/12)+MOD((19-'Assumption Setting'!$G$113)-1,12))*'Assumption Setting'!$F$113*'Assumption Setting'!$D$117)</f>
        <v>0.0536477175460227</v>
      </c>
      <c r="W101" s="84" t="n">
        <f aca="true">IF((20-'Assumption Setting'!$G$113)&lt;1,0,OFFSET($A$100,0,2+13*INT(((20-'Assumption Setting'!$G$113)-1)/12)+MOD((20-'Assumption Setting'!$G$113)-1,12))*'Assumption Setting'!$F$113*'Assumption Setting'!$D$117)</f>
        <v>0.260202429613636</v>
      </c>
      <c r="X101" s="84" t="n">
        <f aca="true">IF((21-'Assumption Setting'!$G$113)&lt;1,0,OFFSET($A$100,0,2+13*INT(((21-'Assumption Setting'!$G$113)-1)/12)+MOD((21-'Assumption Setting'!$G$113)-1,12))*'Assumption Setting'!$F$113*'Assumption Setting'!$D$117)</f>
        <v>0.260202429613636</v>
      </c>
      <c r="Y101" s="84" t="n">
        <f aca="true">IF((22-'Assumption Setting'!$G$113)&lt;1,0,OFFSET($A$100,0,2+13*INT(((22-'Assumption Setting'!$G$113)-1)/12)+MOD((22-'Assumption Setting'!$G$113)-1,12))*'Assumption Setting'!$F$113*'Assumption Setting'!$D$117)</f>
        <v>0.260202429613636</v>
      </c>
      <c r="Z101" s="84" t="n">
        <f aca="true">IF((23-'Assumption Setting'!$G$113)&lt;1,0,OFFSET($A$100,0,2+13*INT(((23-'Assumption Setting'!$G$113)-1)/12)+MOD((23-'Assumption Setting'!$G$113)-1,12))*'Assumption Setting'!$F$113*'Assumption Setting'!$D$117)</f>
        <v>0.260202429613636</v>
      </c>
      <c r="AA101" s="84" t="n">
        <f aca="true">IF((24-'Assumption Setting'!$G$113)&lt;1,0,OFFSET($A$100,0,2+13*INT(((24-'Assumption Setting'!$G$113)-1)/12)+MOD((24-'Assumption Setting'!$G$113)-1,12))*'Assumption Setting'!$F$113*'Assumption Setting'!$D$117)</f>
        <v>0.260202429613636</v>
      </c>
      <c r="AB101" s="81" t="n">
        <f aca="false">SUM(AC101:AN101)</f>
        <v>5.2759422646875</v>
      </c>
      <c r="AC101" s="84" t="n">
        <f aca="true">IF((25-'Assumption Setting'!$G$113)&lt;1,0,OFFSET($A$100,0,2+13*INT(((25-'Assumption Setting'!$G$113)-1)/12)+MOD((25-'Assumption Setting'!$G$113)-1,12))*'Assumption Setting'!$F$113*'Assumption Setting'!$E$117)</f>
        <v>0.305455026068182</v>
      </c>
      <c r="AD101" s="84" t="n">
        <f aca="true">IF((26-'Assumption Setting'!$G$113)&lt;1,0,OFFSET($A$100,0,2+13*INT(((26-'Assumption Setting'!$G$113)-1)/12)+MOD((26-'Assumption Setting'!$G$113)-1,12))*'Assumption Setting'!$F$113*'Assumption Setting'!$E$117)</f>
        <v>0.305455026068182</v>
      </c>
      <c r="AE101" s="84" t="n">
        <f aca="true">IF((27-'Assumption Setting'!$G$113)&lt;1,0,OFFSET($A$100,0,2+13*INT(((27-'Assumption Setting'!$G$113)-1)/12)+MOD((27-'Assumption Setting'!$G$113)-1,12))*'Assumption Setting'!$F$113*'Assumption Setting'!$E$117)</f>
        <v>0.305455026068182</v>
      </c>
      <c r="AF101" s="84" t="n">
        <f aca="true">IF((28-'Assumption Setting'!$G$113)&lt;1,0,OFFSET($A$100,0,2+13*INT(((28-'Assumption Setting'!$G$113)-1)/12)+MOD((28-'Assumption Setting'!$G$113)-1,12))*'Assumption Setting'!$F$113*'Assumption Setting'!$E$117)</f>
        <v>0.305455026068182</v>
      </c>
      <c r="AG101" s="84" t="n">
        <f aca="true">IF((29-'Assumption Setting'!$G$113)&lt;1,0,OFFSET($A$100,0,2+13*INT(((29-'Assumption Setting'!$G$113)-1)/12)+MOD((29-'Assumption Setting'!$G$113)-1,12))*'Assumption Setting'!$F$113*'Assumption Setting'!$E$117)</f>
        <v>0.305455026068182</v>
      </c>
      <c r="AH101" s="84" t="n">
        <f aca="true">IF((30-'Assumption Setting'!$G$113)&lt;1,0,OFFSET($A$100,0,2+13*INT(((30-'Assumption Setting'!$G$113)-1)/12)+MOD((30-'Assumption Setting'!$G$113)-1,12))*'Assumption Setting'!$F$113*'Assumption Setting'!$E$117)</f>
        <v>0.305455026068182</v>
      </c>
      <c r="AI101" s="84" t="n">
        <f aca="true">IF((31-'Assumption Setting'!$G$113)&lt;1,0,OFFSET($A$100,0,2+13*INT(((31-'Assumption Setting'!$G$113)-1)/12)+MOD((31-'Assumption Setting'!$G$113)-1,12))*'Assumption Setting'!$F$113*'Assumption Setting'!$E$117)</f>
        <v>0.305455026068182</v>
      </c>
      <c r="AJ101" s="84" t="n">
        <f aca="true">IF((32-'Assumption Setting'!$G$113)&lt;1,0,OFFSET($A$100,0,2+13*INT(((32-'Assumption Setting'!$G$113)-1)/12)+MOD((32-'Assumption Setting'!$G$113)-1,12))*'Assumption Setting'!$F$113*'Assumption Setting'!$E$117)</f>
        <v>0.627551416442046</v>
      </c>
      <c r="AK101" s="84" t="n">
        <f aca="true">IF((33-'Assumption Setting'!$G$113)&lt;1,0,OFFSET($A$100,0,2+13*INT(((33-'Assumption Setting'!$G$113)-1)/12)+MOD((33-'Assumption Setting'!$G$113)-1,12))*'Assumption Setting'!$F$113*'Assumption Setting'!$E$117)</f>
        <v>0.627551416442046</v>
      </c>
      <c r="AL101" s="84" t="n">
        <f aca="true">IF((34-'Assumption Setting'!$G$113)&lt;1,0,OFFSET($A$100,0,2+13*INT(((34-'Assumption Setting'!$G$113)-1)/12)+MOD((34-'Assumption Setting'!$G$113)-1,12))*'Assumption Setting'!$F$113*'Assumption Setting'!$E$117)</f>
        <v>0.627551416442046</v>
      </c>
      <c r="AM101" s="84" t="n">
        <f aca="true">IF((35-'Assumption Setting'!$G$113)&lt;1,0,OFFSET($A$100,0,2+13*INT(((35-'Assumption Setting'!$G$113)-1)/12)+MOD((35-'Assumption Setting'!$G$113)-1,12))*'Assumption Setting'!$F$113*'Assumption Setting'!$E$117)</f>
        <v>0.627551416442046</v>
      </c>
      <c r="AN101" s="84" t="n">
        <f aca="true">IF((36-'Assumption Setting'!$G$113)&lt;1,0,OFFSET($A$100,0,2+13*INT(((36-'Assumption Setting'!$G$113)-1)/12)+MOD((36-'Assumption Setting'!$G$113)-1,12))*'Assumption Setting'!$F$113*'Assumption Setting'!$E$117)</f>
        <v>0.627551416442046</v>
      </c>
      <c r="AO101" s="81" t="n">
        <f aca="false">SUM(AP101:BA101)</f>
        <v>9.55125162387614</v>
      </c>
      <c r="AP101" s="84" t="n">
        <f aca="true">IF((37-'Assumption Setting'!$G$113)&lt;1,0,OFFSET($A$100,0,2+13*INT(((37-'Assumption Setting'!$G$113)-1)/12)+MOD((37-'Assumption Setting'!$G$113)-1,12))*'Assumption Setting'!$F$113*'Assumption Setting'!$F$117)</f>
        <v>0.674036706548864</v>
      </c>
      <c r="AQ101" s="84" t="n">
        <f aca="true">IF((38-'Assumption Setting'!$G$113)&lt;1,0,OFFSET($A$100,0,2+13*INT(((38-'Assumption Setting'!$G$113)-1)/12)+MOD((38-'Assumption Setting'!$G$113)-1,12))*'Assumption Setting'!$F$113*'Assumption Setting'!$F$117)</f>
        <v>0.674036706548864</v>
      </c>
      <c r="AR101" s="84" t="n">
        <f aca="true">IF((39-'Assumption Setting'!$G$113)&lt;1,0,OFFSET($A$100,0,2+13*INT(((39-'Assumption Setting'!$G$113)-1)/12)+MOD((39-'Assumption Setting'!$G$113)-1,12))*'Assumption Setting'!$F$113*'Assumption Setting'!$F$117)</f>
        <v>0.674036706548864</v>
      </c>
      <c r="AS101" s="84" t="n">
        <f aca="true">IF((40-'Assumption Setting'!$G$113)&lt;1,0,OFFSET($A$100,0,2+13*INT(((40-'Assumption Setting'!$G$113)-1)/12)+MOD((40-'Assumption Setting'!$G$113)-1,12))*'Assumption Setting'!$F$113*'Assumption Setting'!$F$117)</f>
        <v>0.674036706548864</v>
      </c>
      <c r="AT101" s="84" t="n">
        <f aca="true">IF((41-'Assumption Setting'!$G$113)&lt;1,0,OFFSET($A$100,0,2+13*INT(((41-'Assumption Setting'!$G$113)-1)/12)+MOD((41-'Assumption Setting'!$G$113)-1,12))*'Assumption Setting'!$F$113*'Assumption Setting'!$F$117)</f>
        <v>0.674036706548864</v>
      </c>
      <c r="AU101" s="84" t="n">
        <f aca="true">IF((42-'Assumption Setting'!$G$113)&lt;1,0,OFFSET($A$100,0,2+13*INT(((42-'Assumption Setting'!$G$113)-1)/12)+MOD((42-'Assumption Setting'!$G$113)-1,12))*'Assumption Setting'!$F$113*'Assumption Setting'!$F$117)</f>
        <v>0.674036706548864</v>
      </c>
      <c r="AV101" s="84" t="n">
        <f aca="true">IF((43-'Assumption Setting'!$G$113)&lt;1,0,OFFSET($A$100,0,2+13*INT(((43-'Assumption Setting'!$G$113)-1)/12)+MOD((43-'Assumption Setting'!$G$113)-1,12))*'Assumption Setting'!$F$113*'Assumption Setting'!$F$117)</f>
        <v>0.674036706548864</v>
      </c>
      <c r="AW101" s="84" t="n">
        <f aca="true">IF((44-'Assumption Setting'!$G$113)&lt;1,0,OFFSET($A$100,0,2+13*INT(((44-'Assumption Setting'!$G$113)-1)/12)+MOD((44-'Assumption Setting'!$G$113)-1,12))*'Assumption Setting'!$F$113*'Assumption Setting'!$F$117)</f>
        <v>0.966598935606818</v>
      </c>
      <c r="AX101" s="84" t="n">
        <f aca="true">IF((45-'Assumption Setting'!$G$113)&lt;1,0,OFFSET($A$100,0,2+13*INT(((45-'Assumption Setting'!$G$113)-1)/12)+MOD((45-'Assumption Setting'!$G$113)-1,12))*'Assumption Setting'!$F$113*'Assumption Setting'!$F$117)</f>
        <v>0.966598935606818</v>
      </c>
      <c r="AY101" s="84" t="n">
        <f aca="true">IF((46-'Assumption Setting'!$G$113)&lt;1,0,OFFSET($A$100,0,2+13*INT(((46-'Assumption Setting'!$G$113)-1)/12)+MOD((46-'Assumption Setting'!$G$113)-1,12))*'Assumption Setting'!$F$113*'Assumption Setting'!$F$117)</f>
        <v>0.966598935606818</v>
      </c>
      <c r="AZ101" s="84" t="n">
        <f aca="true">IF((47-'Assumption Setting'!$G$113)&lt;1,0,OFFSET($A$100,0,2+13*INT(((47-'Assumption Setting'!$G$113)-1)/12)+MOD((47-'Assumption Setting'!$G$113)-1,12))*'Assumption Setting'!$F$113*'Assumption Setting'!$F$117)</f>
        <v>0.966598935606818</v>
      </c>
      <c r="BA101" s="84" t="n">
        <f aca="true">IF((48-'Assumption Setting'!$G$113)&lt;1,0,OFFSET($A$100,0,2+13*INT(((48-'Assumption Setting'!$G$113)-1)/12)+MOD((48-'Assumption Setting'!$G$113)-1,12))*'Assumption Setting'!$F$113*'Assumption Setting'!$F$117)</f>
        <v>0.966598935606818</v>
      </c>
      <c r="BB101" s="81" t="n">
        <f aca="false">SUM(BC101:BN101)</f>
        <v>13.6279496485483</v>
      </c>
      <c r="BC101" s="84" t="n">
        <f aca="true">IF((49-'Assumption Setting'!$G$113)&lt;1,0,OFFSET($A$100,0,2+13*INT(((49-'Assumption Setting'!$G$113)-1)/12)+MOD((49-'Assumption Setting'!$G$113)-1,12))*'Assumption Setting'!$F$113*'Assumption Setting'!$G$117)</f>
        <v>0.999929933386364</v>
      </c>
      <c r="BD101" s="84" t="n">
        <f aca="true">IF((50-'Assumption Setting'!$G$113)&lt;1,0,OFFSET($A$100,0,2+13*INT(((50-'Assumption Setting'!$G$113)-1)/12)+MOD((50-'Assumption Setting'!$G$113)-1,12))*'Assumption Setting'!$F$113*'Assumption Setting'!$G$117)</f>
        <v>0.999929933386364</v>
      </c>
      <c r="BE101" s="84" t="n">
        <f aca="true">IF((51-'Assumption Setting'!$G$113)&lt;1,0,OFFSET($A$100,0,2+13*INT(((51-'Assumption Setting'!$G$113)-1)/12)+MOD((51-'Assumption Setting'!$G$113)-1,12))*'Assumption Setting'!$F$113*'Assumption Setting'!$G$117)</f>
        <v>0.999929933386364</v>
      </c>
      <c r="BF101" s="84" t="n">
        <f aca="true">IF((52-'Assumption Setting'!$G$113)&lt;1,0,OFFSET($A$100,0,2+13*INT(((52-'Assumption Setting'!$G$113)-1)/12)+MOD((52-'Assumption Setting'!$G$113)-1,12))*'Assumption Setting'!$F$113*'Assumption Setting'!$G$117)</f>
        <v>0.999929933386364</v>
      </c>
      <c r="BG101" s="84" t="n">
        <f aca="true">IF((53-'Assumption Setting'!$G$113)&lt;1,0,OFFSET($A$100,0,2+13*INT(((53-'Assumption Setting'!$G$113)-1)/12)+MOD((53-'Assumption Setting'!$G$113)-1,12))*'Assumption Setting'!$F$113*'Assumption Setting'!$G$117)</f>
        <v>0.999929933386364</v>
      </c>
      <c r="BH101" s="84" t="n">
        <f aca="true">IF((54-'Assumption Setting'!$G$113)&lt;1,0,OFFSET($A$100,0,2+13*INT(((54-'Assumption Setting'!$G$113)-1)/12)+MOD((54-'Assumption Setting'!$G$113)-1,12))*'Assumption Setting'!$F$113*'Assumption Setting'!$G$117)</f>
        <v>0.999929933386364</v>
      </c>
      <c r="BI101" s="84" t="n">
        <f aca="true">IF((55-'Assumption Setting'!$G$113)&lt;1,0,OFFSET($A$100,0,2+13*INT(((55-'Assumption Setting'!$G$113)-1)/12)+MOD((55-'Assumption Setting'!$G$113)-1,12))*'Assumption Setting'!$F$113*'Assumption Setting'!$G$117)</f>
        <v>0.999929933386364</v>
      </c>
      <c r="BJ101" s="84" t="n">
        <f aca="true">IF((56-'Assumption Setting'!$G$113)&lt;1,0,OFFSET($A$100,0,2+13*INT(((56-'Assumption Setting'!$G$113)-1)/12)+MOD((56-'Assumption Setting'!$G$113)-1,12))*'Assumption Setting'!$F$113*'Assumption Setting'!$G$117)</f>
        <v>1.32568802296875</v>
      </c>
      <c r="BK101" s="84" t="n">
        <f aca="true">IF((57-'Assumption Setting'!$G$113)&lt;1,0,OFFSET($A$100,0,2+13*INT(((57-'Assumption Setting'!$G$113)-1)/12)+MOD((57-'Assumption Setting'!$G$113)-1,12))*'Assumption Setting'!$F$113*'Assumption Setting'!$G$117)</f>
        <v>1.32568802296875</v>
      </c>
      <c r="BL101" s="84" t="n">
        <f aca="true">IF((58-'Assumption Setting'!$G$113)&lt;1,0,OFFSET($A$100,0,2+13*INT(((58-'Assumption Setting'!$G$113)-1)/12)+MOD((58-'Assumption Setting'!$G$113)-1,12))*'Assumption Setting'!$F$113*'Assumption Setting'!$G$117)</f>
        <v>1.32568802296875</v>
      </c>
      <c r="BM101" s="84" t="n">
        <f aca="true">IF((59-'Assumption Setting'!$G$113)&lt;1,0,OFFSET($A$100,0,2+13*INT(((59-'Assumption Setting'!$G$113)-1)/12)+MOD((59-'Assumption Setting'!$G$113)-1,12))*'Assumption Setting'!$F$113*'Assumption Setting'!$G$117)</f>
        <v>1.32568802296875</v>
      </c>
      <c r="BN101" s="84" t="n">
        <f aca="true">IF((60-'Assumption Setting'!$G$113)&lt;1,0,OFFSET($A$100,0,2+13*INT(((60-'Assumption Setting'!$G$113)-1)/12)+MOD((60-'Assumption Setting'!$G$113)-1,12))*'Assumption Setting'!$F$113*'Assumption Setting'!$G$117)</f>
        <v>1.32568802296875</v>
      </c>
    </row>
    <row r="102" customFormat="false" ht="15" hidden="false" customHeight="false" outlineLevel="0" collapsed="false">
      <c r="A102" s="70" t="s">
        <v>654</v>
      </c>
      <c r="B102" s="81" t="n">
        <f aca="false">SUM(C102:N102)</f>
        <v>4.62577351980682</v>
      </c>
      <c r="C102" s="90" t="n">
        <f aca="false">C85+C89+C93+C97+C101</f>
        <v>0</v>
      </c>
      <c r="D102" s="90" t="n">
        <f aca="false">D85+D89+D93+D97+D101</f>
        <v>0</v>
      </c>
      <c r="E102" s="90" t="n">
        <f aca="false">E85+E89+E93+E97+E101</f>
        <v>0</v>
      </c>
      <c r="F102" s="90" t="n">
        <f aca="false">F85+F89+F93+F97+F101</f>
        <v>0</v>
      </c>
      <c r="G102" s="90" t="n">
        <f aca="false">G85+G89+G93+G97+G101</f>
        <v>0.543511727795455</v>
      </c>
      <c r="H102" s="90" t="n">
        <f aca="false">H85+H89+H93+H97+H101</f>
        <v>0.543511727795455</v>
      </c>
      <c r="I102" s="90" t="n">
        <f aca="false">I85+I89+I93+I97+I101</f>
        <v>0.543511727795455</v>
      </c>
      <c r="J102" s="90" t="n">
        <f aca="false">J85+J89+J93+J97+J101</f>
        <v>0.590161916965909</v>
      </c>
      <c r="K102" s="90" t="n">
        <f aca="false">K85+K89+K93+K97+K101</f>
        <v>0.590161916965909</v>
      </c>
      <c r="L102" s="90" t="n">
        <f aca="false">L85+L89+L93+L97+L101</f>
        <v>0.590161916965909</v>
      </c>
      <c r="M102" s="90" t="n">
        <f aca="false">M85+M89+M93+M97+M101</f>
        <v>0.590161916965909</v>
      </c>
      <c r="N102" s="90" t="n">
        <f aca="false">N85+N89+N93+N97+N101</f>
        <v>0.634590668556818</v>
      </c>
      <c r="O102" s="81" t="n">
        <f aca="false">SUM(P102:AA102)</f>
        <v>30.2047130988392</v>
      </c>
      <c r="P102" s="90" t="n">
        <f aca="false">P85+P89+P93+P97+P101</f>
        <v>0.810250845159375</v>
      </c>
      <c r="Q102" s="90" t="n">
        <f aca="false">Q85+Q89+Q93+Q97+Q101</f>
        <v>0.810250845159375</v>
      </c>
      <c r="R102" s="90" t="n">
        <f aca="false">R85+R89+R93+R97+R101</f>
        <v>0.810250845159375</v>
      </c>
      <c r="S102" s="90" t="n">
        <f aca="false">S85+S89+S93+S97+S101</f>
        <v>0.810250845159375</v>
      </c>
      <c r="T102" s="90" t="n">
        <f aca="false">T85+T89+T93+T97+T101</f>
        <v>3.21677717305824</v>
      </c>
      <c r="U102" s="90" t="n">
        <f aca="false">U85+U89+U93+U97+U101</f>
        <v>3.21677717305824</v>
      </c>
      <c r="V102" s="90" t="n">
        <f aca="false">V85+V89+V93+V97+V101</f>
        <v>3.21677717305824</v>
      </c>
      <c r="W102" s="90" t="n">
        <f aca="false">W85+W89+W93+W97+W101</f>
        <v>3.42333188512585</v>
      </c>
      <c r="X102" s="90" t="n">
        <f aca="false">X85+X89+X93+X97+X101</f>
        <v>3.42333188512585</v>
      </c>
      <c r="Y102" s="90" t="n">
        <f aca="false">Y85+Y89+Y93+Y97+Y101</f>
        <v>3.42333188512585</v>
      </c>
      <c r="Z102" s="90" t="n">
        <f aca="false">Z85+Z89+Z93+Z97+Z101</f>
        <v>3.42333188512585</v>
      </c>
      <c r="AA102" s="90" t="n">
        <f aca="false">AA85+AA89+AA93+AA97+AA101</f>
        <v>3.62005065852358</v>
      </c>
      <c r="AB102" s="81" t="n">
        <f aca="false">SUM(AC102:AN102)</f>
        <v>87.298756163683</v>
      </c>
      <c r="AC102" s="90" t="n">
        <f aca="false">AC85+AC89+AC93+AC97+AC101</f>
        <v>4.613340592125</v>
      </c>
      <c r="AD102" s="90" t="n">
        <f aca="false">AD85+AD89+AD93+AD97+AD101</f>
        <v>4.613340592125</v>
      </c>
      <c r="AE102" s="90" t="n">
        <f aca="false">AE85+AE89+AE93+AE97+AE101</f>
        <v>4.613340592125</v>
      </c>
      <c r="AF102" s="90" t="n">
        <f aca="false">AF85+AF89+AF93+AF97+AF101</f>
        <v>4.613340592125</v>
      </c>
      <c r="AG102" s="90" t="n">
        <f aca="false">AG85+AG89+AG93+AG97+AG101</f>
        <v>8.36601917203636</v>
      </c>
      <c r="AH102" s="90" t="n">
        <f aca="false">AH85+AH89+AH93+AH97+AH101</f>
        <v>8.36601917203636</v>
      </c>
      <c r="AI102" s="90" t="n">
        <f aca="false">AI85+AI89+AI93+AI97+AI101</f>
        <v>8.36601917203636</v>
      </c>
      <c r="AJ102" s="90" t="n">
        <f aca="false">AJ85+AJ89+AJ93+AJ97+AJ101</f>
        <v>8.68811556241023</v>
      </c>
      <c r="AK102" s="90" t="n">
        <f aca="false">AK85+AK89+AK93+AK97+AK101</f>
        <v>8.68811556241023</v>
      </c>
      <c r="AL102" s="90" t="n">
        <f aca="false">AL85+AL89+AL93+AL97+AL101</f>
        <v>8.68811556241023</v>
      </c>
      <c r="AM102" s="90" t="n">
        <f aca="false">AM85+AM89+AM93+AM97+AM101</f>
        <v>8.68811556241023</v>
      </c>
      <c r="AN102" s="90" t="n">
        <f aca="false">AN85+AN89+AN93+AN97+AN101</f>
        <v>8.99487402943296</v>
      </c>
      <c r="AO102" s="81" t="n">
        <f aca="false">SUM(AP102:BA102)</f>
        <v>151.171227941269</v>
      </c>
      <c r="AP102" s="90" t="n">
        <f aca="false">AP85+AP89+AP93+AP97+AP101</f>
        <v>10.1800940679562</v>
      </c>
      <c r="AQ102" s="90" t="n">
        <f aca="false">AQ85+AQ89+AQ93+AQ97+AQ101</f>
        <v>10.1800940679562</v>
      </c>
      <c r="AR102" s="90" t="n">
        <f aca="false">AR85+AR89+AR93+AR97+AR101</f>
        <v>10.1800940679562</v>
      </c>
      <c r="AS102" s="90" t="n">
        <f aca="false">AS85+AS89+AS93+AS97+AS101</f>
        <v>10.1800940679562</v>
      </c>
      <c r="AT102" s="90" t="n">
        <f aca="false">AT85+AT89+AT93+AT97+AT101</f>
        <v>13.5886762287267</v>
      </c>
      <c r="AU102" s="90" t="n">
        <f aca="false">AU85+AU89+AU93+AU97+AU101</f>
        <v>13.5886762287267</v>
      </c>
      <c r="AV102" s="90" t="n">
        <f aca="false">AV85+AV89+AV93+AV97+AV101</f>
        <v>13.5886762287267</v>
      </c>
      <c r="AW102" s="90" t="n">
        <f aca="false">AW85+AW89+AW93+AW97+AW101</f>
        <v>13.8812384577847</v>
      </c>
      <c r="AX102" s="90" t="n">
        <f aca="false">AX85+AX89+AX93+AX97+AX101</f>
        <v>13.8812384577847</v>
      </c>
      <c r="AY102" s="90" t="n">
        <f aca="false">AY85+AY89+AY93+AY97+AY101</f>
        <v>13.8812384577847</v>
      </c>
      <c r="AZ102" s="90" t="n">
        <f aca="false">AZ85+AZ89+AZ93+AZ97+AZ101</f>
        <v>13.8812384577847</v>
      </c>
      <c r="BA102" s="90" t="n">
        <f aca="false">BA85+BA89+BA93+BA97+BA101</f>
        <v>14.1598691521256</v>
      </c>
      <c r="BB102" s="81" t="n">
        <f aca="false">SUM(BC102:BN102)</f>
        <v>213.527155000423</v>
      </c>
      <c r="BC102" s="90" t="n">
        <f aca="false">BC85+BC89+BC93+BC97+BC101</f>
        <v>15.102116374875</v>
      </c>
      <c r="BD102" s="90" t="n">
        <f aca="false">BD85+BD89+BD93+BD97+BD101</f>
        <v>15.102116374875</v>
      </c>
      <c r="BE102" s="90" t="n">
        <f aca="false">BE85+BE89+BE93+BE97+BE101</f>
        <v>15.102116374875</v>
      </c>
      <c r="BF102" s="90" t="n">
        <f aca="false">BF85+BF89+BF93+BF97+BF101</f>
        <v>15.102116374875</v>
      </c>
      <c r="BG102" s="90" t="n">
        <f aca="false">BG85+BG89+BG93+BG97+BG101</f>
        <v>18.8974566566761</v>
      </c>
      <c r="BH102" s="90" t="n">
        <f aca="false">BH85+BH89+BH93+BH97+BH101</f>
        <v>18.8974566566761</v>
      </c>
      <c r="BI102" s="90" t="n">
        <f aca="false">BI85+BI89+BI93+BI97+BI101</f>
        <v>18.8974566566761</v>
      </c>
      <c r="BJ102" s="90" t="n">
        <f aca="false">BJ85+BJ89+BJ93+BJ97+BJ101</f>
        <v>19.2232147462585</v>
      </c>
      <c r="BK102" s="90" t="n">
        <f aca="false">BK85+BK89+BK93+BK97+BK101</f>
        <v>19.2232147462585</v>
      </c>
      <c r="BL102" s="90" t="n">
        <f aca="false">BL85+BL89+BL93+BL97+BL101</f>
        <v>19.2232147462585</v>
      </c>
      <c r="BM102" s="90" t="n">
        <f aca="false">BM85+BM89+BM93+BM97+BM101</f>
        <v>19.2232147462585</v>
      </c>
      <c r="BN102" s="90" t="n">
        <f aca="false">BN85+BN89+BN93+BN97+BN101</f>
        <v>19.5334605458608</v>
      </c>
    </row>
    <row r="103" customFormat="false" ht="15" hidden="false" customHeight="false" outlineLevel="0" collapsed="false">
      <c r="A103" s="12" t="s">
        <v>655</v>
      </c>
      <c r="B103" s="81" t="n">
        <f aca="false">SUM(C103:N103)</f>
        <v>4.28571428571429</v>
      </c>
      <c r="C103" s="91" t="n">
        <f aca="false">('Revenue Streams'!C$7+'Revenue Streams'!C$8+'Revenue Streams'!C$10+'Revenue Streams'!C$11+'Revenue Streams'!C$12+'Revenue Streams'!C$13+'Revenue Streams'!C$15+'Revenue Streams'!C$16+'Revenue Streams'!C$18+'Revenue Streams'!C$19+'Revenue Streams'!C$20)/'Assumption Setting'!$C$118</f>
        <v>0.1</v>
      </c>
      <c r="D103" s="91" t="n">
        <f aca="false">('Revenue Streams'!D$7+'Revenue Streams'!D$8+'Revenue Streams'!D$10+'Revenue Streams'!D$11+'Revenue Streams'!D$12+'Revenue Streams'!D$13+'Revenue Streams'!D$15+'Revenue Streams'!D$16+'Revenue Streams'!D$18+'Revenue Streams'!D$19+'Revenue Streams'!D$20)/'Assumption Setting'!$C$118</f>
        <v>0.117857142857143</v>
      </c>
      <c r="E103" s="91" t="n">
        <f aca="false">('Revenue Streams'!E$7+'Revenue Streams'!E$8+'Revenue Streams'!E$10+'Revenue Streams'!E$11+'Revenue Streams'!E$12+'Revenue Streams'!E$13+'Revenue Streams'!E$15+'Revenue Streams'!E$16+'Revenue Streams'!E$18+'Revenue Streams'!E$19+'Revenue Streams'!E$20)/'Assumption Setting'!$C$118</f>
        <v>0.139285714285714</v>
      </c>
      <c r="F103" s="91" t="n">
        <f aca="false">('Revenue Streams'!F$7+'Revenue Streams'!F$8+'Revenue Streams'!F$10+'Revenue Streams'!F$11+'Revenue Streams'!F$12+'Revenue Streams'!F$13+'Revenue Streams'!F$15+'Revenue Streams'!F$16+'Revenue Streams'!F$18+'Revenue Streams'!F$19+'Revenue Streams'!F$20)/'Assumption Setting'!$C$118</f>
        <v>0.2</v>
      </c>
      <c r="G103" s="91" t="n">
        <f aca="false">('Revenue Streams'!G$7+'Revenue Streams'!G$8+'Revenue Streams'!G$10+'Revenue Streams'!G$11+'Revenue Streams'!G$12+'Revenue Streams'!G$13+'Revenue Streams'!G$15+'Revenue Streams'!G$16+'Revenue Streams'!G$18+'Revenue Streams'!G$19+'Revenue Streams'!G$20)/'Assumption Setting'!$C$118</f>
        <v>0.235714285714286</v>
      </c>
      <c r="H103" s="91" t="n">
        <f aca="false">('Revenue Streams'!H$7+'Revenue Streams'!H$8+'Revenue Streams'!H$10+'Revenue Streams'!H$11+'Revenue Streams'!H$12+'Revenue Streams'!H$13+'Revenue Streams'!H$15+'Revenue Streams'!H$16+'Revenue Streams'!H$18+'Revenue Streams'!H$19+'Revenue Streams'!H$20)/'Assumption Setting'!$C$118</f>
        <v>0.278571428571429</v>
      </c>
      <c r="I103" s="91" t="n">
        <f aca="false">('Revenue Streams'!I$7+'Revenue Streams'!I$8+'Revenue Streams'!I$10+'Revenue Streams'!I$11+'Revenue Streams'!I$12+'Revenue Streams'!I$13+'Revenue Streams'!I$15+'Revenue Streams'!I$16+'Revenue Streams'!I$18+'Revenue Streams'!I$19+'Revenue Streams'!I$20)/'Assumption Setting'!$C$118</f>
        <v>0.3</v>
      </c>
      <c r="J103" s="91" t="n">
        <f aca="false">('Revenue Streams'!J$7+'Revenue Streams'!J$8+'Revenue Streams'!J$10+'Revenue Streams'!J$11+'Revenue Streams'!J$12+'Revenue Streams'!J$13+'Revenue Streams'!J$15+'Revenue Streams'!J$16+'Revenue Streams'!J$18+'Revenue Streams'!J$19+'Revenue Streams'!J$20)/'Assumption Setting'!$C$118</f>
        <v>0.353571428571429</v>
      </c>
      <c r="K103" s="91" t="n">
        <f aca="false">('Revenue Streams'!K$7+'Revenue Streams'!K$8+'Revenue Streams'!K$10+'Revenue Streams'!K$11+'Revenue Streams'!K$12+'Revenue Streams'!K$13+'Revenue Streams'!K$15+'Revenue Streams'!K$16+'Revenue Streams'!K$18+'Revenue Streams'!K$19+'Revenue Streams'!K$20)/'Assumption Setting'!$C$118</f>
        <v>0.417857142857143</v>
      </c>
      <c r="L103" s="91" t="n">
        <f aca="false">('Revenue Streams'!L$7+'Revenue Streams'!L$8+'Revenue Streams'!L$10+'Revenue Streams'!L$11+'Revenue Streams'!L$12+'Revenue Streams'!L$13+'Revenue Streams'!L$15+'Revenue Streams'!L$16+'Revenue Streams'!L$18+'Revenue Streams'!L$19+'Revenue Streams'!L$20)/'Assumption Setting'!$C$118</f>
        <v>0.6</v>
      </c>
      <c r="M103" s="91" t="n">
        <f aca="false">('Revenue Streams'!M$7+'Revenue Streams'!M$8+'Revenue Streams'!M$10+'Revenue Streams'!M$11+'Revenue Streams'!M$12+'Revenue Streams'!M$13+'Revenue Streams'!M$15+'Revenue Streams'!M$16+'Revenue Streams'!M$18+'Revenue Streams'!M$19+'Revenue Streams'!M$20)/'Assumption Setting'!$C$118</f>
        <v>0.707142857142857</v>
      </c>
      <c r="N103" s="91" t="n">
        <f aca="false">('Revenue Streams'!N$7+'Revenue Streams'!N$8+'Revenue Streams'!N$10+'Revenue Streams'!N$11+'Revenue Streams'!N$12+'Revenue Streams'!N$13+'Revenue Streams'!N$15+'Revenue Streams'!N$16+'Revenue Streams'!N$18+'Revenue Streams'!N$19+'Revenue Streams'!N$20)/'Assumption Setting'!$C$118</f>
        <v>0.835714285714286</v>
      </c>
      <c r="O103" s="81" t="n">
        <f aca="false">SUM(P103:AA103)</f>
        <v>26.6666666666667</v>
      </c>
      <c r="P103" s="91" t="n">
        <f aca="false">('Revenue Streams'!P$7+'Revenue Streams'!P$8+'Revenue Streams'!P$10+'Revenue Streams'!P$11+'Revenue Streams'!P$12+'Revenue Streams'!P$13+'Revenue Streams'!P$15+'Revenue Streams'!P$16+'Revenue Streams'!P$18+'Revenue Streams'!P$19+'Revenue Streams'!P$20)/'Assumption Setting'!$D$118</f>
        <v>0.816666666666667</v>
      </c>
      <c r="Q103" s="91" t="n">
        <f aca="false">('Revenue Streams'!Q$7+'Revenue Streams'!Q$8+'Revenue Streams'!Q$10+'Revenue Streams'!Q$11+'Revenue Streams'!Q$12+'Revenue Streams'!Q$13+'Revenue Streams'!Q$15+'Revenue Streams'!Q$16+'Revenue Streams'!Q$18+'Revenue Streams'!Q$19+'Revenue Streams'!Q$20)/'Assumption Setting'!$D$118</f>
        <v>0.9625</v>
      </c>
      <c r="R103" s="91" t="n">
        <f aca="false">('Revenue Streams'!R$7+'Revenue Streams'!R$8+'Revenue Streams'!R$10+'Revenue Streams'!R$11+'Revenue Streams'!R$12+'Revenue Streams'!R$13+'Revenue Streams'!R$15+'Revenue Streams'!R$16+'Revenue Streams'!R$18+'Revenue Streams'!R$19+'Revenue Streams'!R$20)/'Assumption Setting'!$D$118</f>
        <v>1.1375</v>
      </c>
      <c r="S103" s="91" t="n">
        <f aca="false">('Revenue Streams'!S$7+'Revenue Streams'!S$8+'Revenue Streams'!S$10+'Revenue Streams'!S$11+'Revenue Streams'!S$12+'Revenue Streams'!S$13+'Revenue Streams'!S$15+'Revenue Streams'!S$16+'Revenue Streams'!S$18+'Revenue Streams'!S$19+'Revenue Streams'!S$20)/'Assumption Setting'!$D$118</f>
        <v>1.4</v>
      </c>
      <c r="T103" s="91" t="n">
        <f aca="false">('Revenue Streams'!T$7+'Revenue Streams'!T$8+'Revenue Streams'!T$10+'Revenue Streams'!T$11+'Revenue Streams'!T$12+'Revenue Streams'!T$13+'Revenue Streams'!T$15+'Revenue Streams'!T$16+'Revenue Streams'!T$18+'Revenue Streams'!T$19+'Revenue Streams'!T$20)/'Assumption Setting'!$D$118</f>
        <v>1.65</v>
      </c>
      <c r="U103" s="91" t="n">
        <f aca="false">('Revenue Streams'!U$7+'Revenue Streams'!U$8+'Revenue Streams'!U$10+'Revenue Streams'!U$11+'Revenue Streams'!U$12+'Revenue Streams'!U$13+'Revenue Streams'!U$15+'Revenue Streams'!U$16+'Revenue Streams'!U$18+'Revenue Streams'!U$19+'Revenue Streams'!U$20)/'Assumption Setting'!$D$118</f>
        <v>1.95</v>
      </c>
      <c r="V103" s="91" t="n">
        <f aca="false">('Revenue Streams'!V$7+'Revenue Streams'!V$8+'Revenue Streams'!V$10+'Revenue Streams'!V$11+'Revenue Streams'!V$12+'Revenue Streams'!V$13+'Revenue Streams'!V$15+'Revenue Streams'!V$16+'Revenue Streams'!V$18+'Revenue Streams'!V$19+'Revenue Streams'!V$20)/'Assumption Setting'!$D$118</f>
        <v>2.21666666666667</v>
      </c>
      <c r="W103" s="91" t="n">
        <f aca="false">('Revenue Streams'!W$7+'Revenue Streams'!W$8+'Revenue Streams'!W$10+'Revenue Streams'!W$11+'Revenue Streams'!W$12+'Revenue Streams'!W$13+'Revenue Streams'!W$15+'Revenue Streams'!W$16+'Revenue Streams'!W$18+'Revenue Streams'!W$19+'Revenue Streams'!W$20)/'Assumption Setting'!$D$118</f>
        <v>2.6125</v>
      </c>
      <c r="X103" s="91" t="n">
        <f aca="false">('Revenue Streams'!X$7+'Revenue Streams'!X$8+'Revenue Streams'!X$10+'Revenue Streams'!X$11+'Revenue Streams'!X$12+'Revenue Streams'!X$13+'Revenue Streams'!X$15+'Revenue Streams'!X$16+'Revenue Streams'!X$18+'Revenue Streams'!X$19+'Revenue Streams'!X$20)/'Assumption Setting'!$D$118</f>
        <v>3.0875</v>
      </c>
      <c r="Y103" s="91" t="n">
        <f aca="false">('Revenue Streams'!Y$7+'Revenue Streams'!Y$8+'Revenue Streams'!Y$10+'Revenue Streams'!Y$11+'Revenue Streams'!Y$12+'Revenue Streams'!Y$13+'Revenue Streams'!Y$15+'Revenue Streams'!Y$16+'Revenue Streams'!Y$18+'Revenue Streams'!Y$19+'Revenue Streams'!Y$20)/'Assumption Setting'!$D$118</f>
        <v>3.03333333333333</v>
      </c>
      <c r="Z103" s="91" t="n">
        <f aca="false">('Revenue Streams'!Z$7+'Revenue Streams'!Z$8+'Revenue Streams'!Z$10+'Revenue Streams'!Z$11+'Revenue Streams'!Z$12+'Revenue Streams'!Z$13+'Revenue Streams'!Z$15+'Revenue Streams'!Z$16+'Revenue Streams'!Z$18+'Revenue Streams'!Z$19+'Revenue Streams'!Z$20)/'Assumption Setting'!$D$118</f>
        <v>3.575</v>
      </c>
      <c r="AA103" s="91" t="n">
        <f aca="false">('Revenue Streams'!AA$7+'Revenue Streams'!AA$8+'Revenue Streams'!AA$10+'Revenue Streams'!AA$11+'Revenue Streams'!AA$12+'Revenue Streams'!AA$13+'Revenue Streams'!AA$15+'Revenue Streams'!AA$16+'Revenue Streams'!AA$18+'Revenue Streams'!AA$19+'Revenue Streams'!AA$20)/'Assumption Setting'!$D$118</f>
        <v>4.225</v>
      </c>
      <c r="AB103" s="81" t="n">
        <f aca="false">SUM(AC103:AN103)</f>
        <v>82.0833333333333</v>
      </c>
      <c r="AC103" s="91" t="n">
        <f aca="false">('Revenue Streams'!AC$7+'Revenue Streams'!AC$8+'Revenue Streams'!AC$10+'Revenue Streams'!AC$11+'Revenue Streams'!AC$12+'Revenue Streams'!AC$13+'Revenue Streams'!AC$15+'Revenue Streams'!AC$16+'Revenue Streams'!AC$18+'Revenue Streams'!AC$19+'Revenue Streams'!AC$20)/'Assumption Setting'!$E$118</f>
        <v>4.31666666666667</v>
      </c>
      <c r="AD103" s="91" t="n">
        <f aca="false">('Revenue Streams'!AD$7+'Revenue Streams'!AD$8+'Revenue Streams'!AD$10+'Revenue Streams'!AD$11+'Revenue Streams'!AD$12+'Revenue Streams'!AD$13+'Revenue Streams'!AD$15+'Revenue Streams'!AD$16+'Revenue Streams'!AD$18+'Revenue Streams'!AD$19+'Revenue Streams'!AD$20)/'Assumption Setting'!$E$118</f>
        <v>5.0875</v>
      </c>
      <c r="AE103" s="91" t="n">
        <f aca="false">('Revenue Streams'!AE$7+'Revenue Streams'!AE$8+'Revenue Streams'!AE$10+'Revenue Streams'!AE$11+'Revenue Streams'!AE$12+'Revenue Streams'!AE$13+'Revenue Streams'!AE$15+'Revenue Streams'!AE$16+'Revenue Streams'!AE$18+'Revenue Streams'!AE$19+'Revenue Streams'!AE$20)/'Assumption Setting'!$E$118</f>
        <v>6.0125</v>
      </c>
      <c r="AF103" s="91" t="n">
        <f aca="false">('Revenue Streams'!AF$7+'Revenue Streams'!AF$8+'Revenue Streams'!AF$10+'Revenue Streams'!AF$11+'Revenue Streams'!AF$12+'Revenue Streams'!AF$13+'Revenue Streams'!AF$15+'Revenue Streams'!AF$16+'Revenue Streams'!AF$18+'Revenue Streams'!AF$19+'Revenue Streams'!AF$20)/'Assumption Setting'!$E$118</f>
        <v>5.13333333333333</v>
      </c>
      <c r="AG103" s="91" t="n">
        <f aca="false">('Revenue Streams'!AG$7+'Revenue Streams'!AG$8+'Revenue Streams'!AG$10+'Revenue Streams'!AG$11+'Revenue Streams'!AG$12+'Revenue Streams'!AG$13+'Revenue Streams'!AG$15+'Revenue Streams'!AG$16+'Revenue Streams'!AG$18+'Revenue Streams'!AG$19+'Revenue Streams'!AG$20)/'Assumption Setting'!$E$118</f>
        <v>6.05</v>
      </c>
      <c r="AH103" s="91" t="n">
        <f aca="false">('Revenue Streams'!AH$7+'Revenue Streams'!AH$8+'Revenue Streams'!AH$10+'Revenue Streams'!AH$11+'Revenue Streams'!AH$12+'Revenue Streams'!AH$13+'Revenue Streams'!AH$15+'Revenue Streams'!AH$16+'Revenue Streams'!AH$18+'Revenue Streams'!AH$19+'Revenue Streams'!AH$20)/'Assumption Setting'!$E$118</f>
        <v>7.15</v>
      </c>
      <c r="AI103" s="91" t="n">
        <f aca="false">('Revenue Streams'!AI$7+'Revenue Streams'!AI$8+'Revenue Streams'!AI$10+'Revenue Streams'!AI$11+'Revenue Streams'!AI$12+'Revenue Streams'!AI$13+'Revenue Streams'!AI$15+'Revenue Streams'!AI$16+'Revenue Streams'!AI$18+'Revenue Streams'!AI$19+'Revenue Streams'!AI$20)/'Assumption Setting'!$E$118</f>
        <v>6.41666666666667</v>
      </c>
      <c r="AJ103" s="91" t="n">
        <f aca="false">('Revenue Streams'!AJ$7+'Revenue Streams'!AJ$8+'Revenue Streams'!AJ$10+'Revenue Streams'!AJ$11+'Revenue Streams'!AJ$12+'Revenue Streams'!AJ$13+'Revenue Streams'!AJ$15+'Revenue Streams'!AJ$16+'Revenue Streams'!AJ$18+'Revenue Streams'!AJ$19+'Revenue Streams'!AJ$20)/'Assumption Setting'!$E$118</f>
        <v>7.5625</v>
      </c>
      <c r="AK103" s="91" t="n">
        <f aca="false">('Revenue Streams'!AK$7+'Revenue Streams'!AK$8+'Revenue Streams'!AK$10+'Revenue Streams'!AK$11+'Revenue Streams'!AK$12+'Revenue Streams'!AK$13+'Revenue Streams'!AK$15+'Revenue Streams'!AK$16+'Revenue Streams'!AK$18+'Revenue Streams'!AK$19+'Revenue Streams'!AK$20)/'Assumption Setting'!$E$118</f>
        <v>8.93750000000001</v>
      </c>
      <c r="AL103" s="91" t="n">
        <f aca="false">('Revenue Streams'!AL$7+'Revenue Streams'!AL$8+'Revenue Streams'!AL$10+'Revenue Streams'!AL$11+'Revenue Streams'!AL$12+'Revenue Streams'!AL$13+'Revenue Streams'!AL$15+'Revenue Streams'!AL$16+'Revenue Streams'!AL$18+'Revenue Streams'!AL$19+'Revenue Streams'!AL$20)/'Assumption Setting'!$E$118</f>
        <v>7.11666666666667</v>
      </c>
      <c r="AM103" s="91" t="n">
        <f aca="false">('Revenue Streams'!AM$7+'Revenue Streams'!AM$8+'Revenue Streams'!AM$10+'Revenue Streams'!AM$11+'Revenue Streams'!AM$12+'Revenue Streams'!AM$13+'Revenue Streams'!AM$15+'Revenue Streams'!AM$16+'Revenue Streams'!AM$18+'Revenue Streams'!AM$19+'Revenue Streams'!AM$20)/'Assumption Setting'!$E$118</f>
        <v>8.3875</v>
      </c>
      <c r="AN103" s="91" t="n">
        <f aca="false">('Revenue Streams'!AN$7+'Revenue Streams'!AN$8+'Revenue Streams'!AN$10+'Revenue Streams'!AN$11+'Revenue Streams'!AN$12+'Revenue Streams'!AN$13+'Revenue Streams'!AN$15+'Revenue Streams'!AN$16+'Revenue Streams'!AN$18+'Revenue Streams'!AN$19+'Revenue Streams'!AN$20)/'Assumption Setting'!$E$118</f>
        <v>9.9125</v>
      </c>
      <c r="AO103" s="81" t="n">
        <f aca="false">SUM(AP103:BA103)</f>
        <v>129.615384615385</v>
      </c>
      <c r="AP103" s="91" t="n">
        <f aca="false">('Revenue Streams'!AP$7+'Revenue Streams'!AP$8+'Revenue Streams'!AP$10+'Revenue Streams'!AP$11+'Revenue Streams'!AP$12+'Revenue Streams'!AP$13+'Revenue Streams'!AP$15+'Revenue Streams'!AP$16+'Revenue Streams'!AP$18+'Revenue Streams'!AP$19+'Revenue Streams'!AP$20)/'Assumption Setting'!$F$118</f>
        <v>7.64615384615385</v>
      </c>
      <c r="AQ103" s="91" t="n">
        <f aca="false">('Revenue Streams'!AQ$7+'Revenue Streams'!AQ$8+'Revenue Streams'!AQ$10+'Revenue Streams'!AQ$11+'Revenue Streams'!AQ$12+'Revenue Streams'!AQ$13+'Revenue Streams'!AQ$15+'Revenue Streams'!AQ$16+'Revenue Streams'!AQ$18+'Revenue Streams'!AQ$19+'Revenue Streams'!AQ$20)/'Assumption Setting'!$F$118</f>
        <v>9.01153846153846</v>
      </c>
      <c r="AR103" s="91" t="n">
        <f aca="false">('Revenue Streams'!AR$7+'Revenue Streams'!AR$8+'Revenue Streams'!AR$10+'Revenue Streams'!AR$11+'Revenue Streams'!AR$12+'Revenue Streams'!AR$13+'Revenue Streams'!AR$15+'Revenue Streams'!AR$16+'Revenue Streams'!AR$18+'Revenue Streams'!AR$19+'Revenue Streams'!AR$20)/'Assumption Setting'!$F$118</f>
        <v>10.65</v>
      </c>
      <c r="AS103" s="91" t="n">
        <f aca="false">('Revenue Streams'!AS$7+'Revenue Streams'!AS$8+'Revenue Streams'!AS$10+'Revenue Streams'!AS$11+'Revenue Streams'!AS$12+'Revenue Streams'!AS$13+'Revenue Streams'!AS$15+'Revenue Streams'!AS$16+'Revenue Streams'!AS$18+'Revenue Streams'!AS$19+'Revenue Streams'!AS$20)/'Assumption Setting'!$F$118</f>
        <v>8.61538461538462</v>
      </c>
      <c r="AT103" s="91" t="n">
        <f aca="false">('Revenue Streams'!AT$7+'Revenue Streams'!AT$8+'Revenue Streams'!AT$10+'Revenue Streams'!AT$11+'Revenue Streams'!AT$12+'Revenue Streams'!AT$13+'Revenue Streams'!AT$15+'Revenue Streams'!AT$16+'Revenue Streams'!AT$18+'Revenue Streams'!AT$19+'Revenue Streams'!AT$20)/'Assumption Setting'!$F$118</f>
        <v>10.1538461538462</v>
      </c>
      <c r="AU103" s="91" t="n">
        <f aca="false">('Revenue Streams'!AU$7+'Revenue Streams'!AU$8+'Revenue Streams'!AU$10+'Revenue Streams'!AU$11+'Revenue Streams'!AU$12+'Revenue Streams'!AU$13+'Revenue Streams'!AU$15+'Revenue Streams'!AU$16+'Revenue Streams'!AU$18+'Revenue Streams'!AU$19+'Revenue Streams'!AU$20)/'Assumption Setting'!$F$118</f>
        <v>12</v>
      </c>
      <c r="AV103" s="91" t="n">
        <f aca="false">('Revenue Streams'!AV$7+'Revenue Streams'!AV$8+'Revenue Streams'!AV$10+'Revenue Streams'!AV$11+'Revenue Streams'!AV$12+'Revenue Streams'!AV$13+'Revenue Streams'!AV$15+'Revenue Streams'!AV$16+'Revenue Streams'!AV$18+'Revenue Streams'!AV$19+'Revenue Streams'!AV$20)/'Assumption Setting'!$F$118</f>
        <v>9.58461538461538</v>
      </c>
      <c r="AW103" s="91" t="n">
        <f aca="false">('Revenue Streams'!AW$7+'Revenue Streams'!AW$8+'Revenue Streams'!AW$10+'Revenue Streams'!AW$11+'Revenue Streams'!AW$12+'Revenue Streams'!AW$13+'Revenue Streams'!AW$15+'Revenue Streams'!AW$16+'Revenue Streams'!AW$18+'Revenue Streams'!AW$19+'Revenue Streams'!AW$20)/'Assumption Setting'!$F$118</f>
        <v>11.2961538461538</v>
      </c>
      <c r="AX103" s="91" t="n">
        <f aca="false">('Revenue Streams'!AX$7+'Revenue Streams'!AX$8+'Revenue Streams'!AX$10+'Revenue Streams'!AX$11+'Revenue Streams'!AX$12+'Revenue Streams'!AX$13+'Revenue Streams'!AX$15+'Revenue Streams'!AX$16+'Revenue Streams'!AX$18+'Revenue Streams'!AX$19+'Revenue Streams'!AX$20)/'Assumption Setting'!$F$118</f>
        <v>13.35</v>
      </c>
      <c r="AY103" s="91" t="n">
        <f aca="false">('Revenue Streams'!AY$7+'Revenue Streams'!AY$8+'Revenue Streams'!AY$10+'Revenue Streams'!AY$11+'Revenue Streams'!AY$12+'Revenue Streams'!AY$13+'Revenue Streams'!AY$15+'Revenue Streams'!AY$16+'Revenue Streams'!AY$18+'Revenue Streams'!AY$19+'Revenue Streams'!AY$20)/'Assumption Setting'!$F$118</f>
        <v>10.4461538461538</v>
      </c>
      <c r="AZ103" s="91" t="n">
        <f aca="false">('Revenue Streams'!AZ$7+'Revenue Streams'!AZ$8+'Revenue Streams'!AZ$10+'Revenue Streams'!AZ$11+'Revenue Streams'!AZ$12+'Revenue Streams'!AZ$13+'Revenue Streams'!AZ$15+'Revenue Streams'!AZ$16+'Revenue Streams'!AZ$18+'Revenue Streams'!AZ$19+'Revenue Streams'!AZ$20)/'Assumption Setting'!$F$118</f>
        <v>12.3115384615385</v>
      </c>
      <c r="BA103" s="91" t="n">
        <f aca="false">('Revenue Streams'!BA$7+'Revenue Streams'!BA$8+'Revenue Streams'!BA$10+'Revenue Streams'!BA$11+'Revenue Streams'!BA$12+'Revenue Streams'!BA$13+'Revenue Streams'!BA$15+'Revenue Streams'!BA$16+'Revenue Streams'!BA$18+'Revenue Streams'!BA$19+'Revenue Streams'!BA$20)/'Assumption Setting'!$F$118</f>
        <v>14.55</v>
      </c>
      <c r="BB103" s="81" t="n">
        <f aca="false">SUM(BC103:BN103)</f>
        <v>170.357142857143</v>
      </c>
      <c r="BC103" s="91" t="n">
        <f aca="false">('Revenue Streams'!BC$7+'Revenue Streams'!BC$8+'Revenue Streams'!BC$10+'Revenue Streams'!BC$11+'Revenue Streams'!BC$12+'Revenue Streams'!BC$13+'Revenue Streams'!BC$15+'Revenue Streams'!BC$16+'Revenue Streams'!BC$18+'Revenue Streams'!BC$19+'Revenue Streams'!BC$20)/'Assumption Setting'!$G$118</f>
        <v>10.7</v>
      </c>
      <c r="BD103" s="91" t="n">
        <f aca="false">('Revenue Streams'!BD$7+'Revenue Streams'!BD$8+'Revenue Streams'!BD$10+'Revenue Streams'!BD$11+'Revenue Streams'!BD$12+'Revenue Streams'!BD$13+'Revenue Streams'!BD$15+'Revenue Streams'!BD$16+'Revenue Streams'!BD$18+'Revenue Streams'!BD$19+'Revenue Streams'!BD$20)/'Assumption Setting'!$G$118</f>
        <v>12.6107142857143</v>
      </c>
      <c r="BE103" s="91" t="n">
        <f aca="false">('Revenue Streams'!BE$7+'Revenue Streams'!BE$8+'Revenue Streams'!BE$10+'Revenue Streams'!BE$11+'Revenue Streams'!BE$12+'Revenue Streams'!BE$13+'Revenue Streams'!BE$15+'Revenue Streams'!BE$16+'Revenue Streams'!BE$18+'Revenue Streams'!BE$19+'Revenue Streams'!BE$20)/'Assumption Setting'!$G$118</f>
        <v>14.9035714285714</v>
      </c>
      <c r="BF103" s="91" t="n">
        <f aca="false">('Revenue Streams'!BF$7+'Revenue Streams'!BF$8+'Revenue Streams'!BF$10+'Revenue Streams'!BF$11+'Revenue Streams'!BF$12+'Revenue Streams'!BF$13+'Revenue Streams'!BF$15+'Revenue Streams'!BF$16+'Revenue Streams'!BF$18+'Revenue Streams'!BF$19+'Revenue Streams'!BF$20)/'Assumption Setting'!$G$118</f>
        <v>11.4</v>
      </c>
      <c r="BG103" s="91" t="n">
        <f aca="false">('Revenue Streams'!BG$7+'Revenue Streams'!BG$8+'Revenue Streams'!BG$10+'Revenue Streams'!BG$11+'Revenue Streams'!BG$12+'Revenue Streams'!BG$13+'Revenue Streams'!BG$15+'Revenue Streams'!BG$16+'Revenue Streams'!BG$18+'Revenue Streams'!BG$19+'Revenue Streams'!BG$20)/'Assumption Setting'!$G$118</f>
        <v>13.4357142857143</v>
      </c>
      <c r="BH103" s="91" t="n">
        <f aca="false">('Revenue Streams'!BH$7+'Revenue Streams'!BH$8+'Revenue Streams'!BH$10+'Revenue Streams'!BH$11+'Revenue Streams'!BH$12+'Revenue Streams'!BH$13+'Revenue Streams'!BH$15+'Revenue Streams'!BH$16+'Revenue Streams'!BH$18+'Revenue Streams'!BH$19+'Revenue Streams'!BH$20)/'Assumption Setting'!$G$118</f>
        <v>15.8785714285714</v>
      </c>
      <c r="BI103" s="91" t="n">
        <f aca="false">('Revenue Streams'!BI$7+'Revenue Streams'!BI$8+'Revenue Streams'!BI$10+'Revenue Streams'!BI$11+'Revenue Streams'!BI$12+'Revenue Streams'!BI$13+'Revenue Streams'!BI$15+'Revenue Streams'!BI$16+'Revenue Streams'!BI$18+'Revenue Streams'!BI$19+'Revenue Streams'!BI$20)/'Assumption Setting'!$G$118</f>
        <v>12.5</v>
      </c>
      <c r="BJ103" s="91" t="n">
        <f aca="false">('Revenue Streams'!BJ$7+'Revenue Streams'!BJ$8+'Revenue Streams'!BJ$10+'Revenue Streams'!BJ$11+'Revenue Streams'!BJ$12+'Revenue Streams'!BJ$13+'Revenue Streams'!BJ$15+'Revenue Streams'!BJ$16+'Revenue Streams'!BJ$18+'Revenue Streams'!BJ$19+'Revenue Streams'!BJ$20)/'Assumption Setting'!$G$118</f>
        <v>14.7321428571429</v>
      </c>
      <c r="BK103" s="91" t="n">
        <f aca="false">('Revenue Streams'!BK$7+'Revenue Streams'!BK$8+'Revenue Streams'!BK$10+'Revenue Streams'!BK$11+'Revenue Streams'!BK$12+'Revenue Streams'!BK$13+'Revenue Streams'!BK$15+'Revenue Streams'!BK$16+'Revenue Streams'!BK$18+'Revenue Streams'!BK$19+'Revenue Streams'!BK$20)/'Assumption Setting'!$G$118</f>
        <v>17.4107142857143</v>
      </c>
      <c r="BL103" s="91" t="n">
        <f aca="false">('Revenue Streams'!BL$7+'Revenue Streams'!BL$8+'Revenue Streams'!BL$10+'Revenue Streams'!BL$11+'Revenue Streams'!BL$12+'Revenue Streams'!BL$13+'Revenue Streams'!BL$15+'Revenue Streams'!BL$16+'Revenue Streams'!BL$18+'Revenue Streams'!BL$19+'Revenue Streams'!BL$20)/'Assumption Setting'!$G$118</f>
        <v>13.1</v>
      </c>
      <c r="BM103" s="91" t="n">
        <f aca="false">('Revenue Streams'!BM$7+'Revenue Streams'!BM$8+'Revenue Streams'!BM$10+'Revenue Streams'!BM$11+'Revenue Streams'!BM$12+'Revenue Streams'!BM$13+'Revenue Streams'!BM$15+'Revenue Streams'!BM$16+'Revenue Streams'!BM$18+'Revenue Streams'!BM$19+'Revenue Streams'!BM$20)/'Assumption Setting'!$G$118</f>
        <v>15.4392857142857</v>
      </c>
      <c r="BN103" s="91" t="n">
        <f aca="false">('Revenue Streams'!BN$7+'Revenue Streams'!BN$8+'Revenue Streams'!BN$10+'Revenue Streams'!BN$11+'Revenue Streams'!BN$12+'Revenue Streams'!BN$13+'Revenue Streams'!BN$15+'Revenue Streams'!BN$16+'Revenue Streams'!BN$18+'Revenue Streams'!BN$19+'Revenue Streams'!BN$20)/'Assumption Setting'!$G$118</f>
        <v>18.2464285714286</v>
      </c>
    </row>
    <row r="104" customFormat="false" ht="15" hidden="false" customHeight="false" outlineLevel="0" collapsed="false">
      <c r="A104" s="67" t="s">
        <v>656</v>
      </c>
      <c r="B104" s="92" t="n">
        <f aca="false">IFERROR(AVERAGE(C104:N104),0)</f>
        <v>0.97729948463992</v>
      </c>
      <c r="C104" s="93" t="n">
        <f aca="false">IFERROR(C102/C103,0)</f>
        <v>0</v>
      </c>
      <c r="D104" s="93" t="n">
        <f aca="false">IFERROR(D102/D103,0)</f>
        <v>0</v>
      </c>
      <c r="E104" s="93" t="n">
        <f aca="false">IFERROR(E102/E103,0)</f>
        <v>0</v>
      </c>
      <c r="F104" s="93" t="n">
        <f aca="false">IFERROR(F102/F103,0)</f>
        <v>0</v>
      </c>
      <c r="G104" s="93" t="n">
        <f aca="false">IFERROR(G102/G103,0)</f>
        <v>2.30580733004132</v>
      </c>
      <c r="H104" s="93" t="n">
        <f aca="false">IFERROR(H102/H103,0)</f>
        <v>1.9510677408042</v>
      </c>
      <c r="I104" s="93" t="n">
        <f aca="false">IFERROR(I102/I103,0)</f>
        <v>1.81170575931818</v>
      </c>
      <c r="J104" s="93" t="n">
        <f aca="false">IFERROR(J102/J103,0)</f>
        <v>1.66914481566116</v>
      </c>
      <c r="K104" s="93" t="n">
        <f aca="false">IFERROR(K102/K103,0)</f>
        <v>1.41235330555944</v>
      </c>
      <c r="L104" s="93" t="n">
        <f aca="false">IFERROR(L102/L103,0)</f>
        <v>0.983603194943182</v>
      </c>
      <c r="M104" s="93" t="n">
        <f aca="false">IFERROR(M102/M103,0)</f>
        <v>0.834572407830578</v>
      </c>
      <c r="N104" s="93" t="n">
        <f aca="false">IFERROR(N102/N103,0)</f>
        <v>0.759339261520979</v>
      </c>
      <c r="O104" s="92" t="n">
        <f aca="false">IFERROR(AVERAGE(P104:AA104),0)</f>
        <v>1.12812430547408</v>
      </c>
      <c r="P104" s="93" t="n">
        <f aca="false">IFERROR(P102/P103,0)</f>
        <v>0.992143892031888</v>
      </c>
      <c r="Q104" s="93" t="n">
        <f aca="false">IFERROR(Q102/Q103,0)</f>
        <v>0.841819059905844</v>
      </c>
      <c r="R104" s="93" t="n">
        <f aca="false">IFERROR(R102/R103,0)</f>
        <v>0.712308435304945</v>
      </c>
      <c r="S104" s="93" t="n">
        <f aca="false">IFERROR(S102/S103,0)</f>
        <v>0.578750603685268</v>
      </c>
      <c r="T104" s="93" t="n">
        <f aca="false">IFERROR(T102/T103,0)</f>
        <v>1.9495619230656</v>
      </c>
      <c r="U104" s="93" t="n">
        <f aca="false">IFERROR(U102/U103,0)</f>
        <v>1.64962931951705</v>
      </c>
      <c r="V104" s="93" t="n">
        <f aca="false">IFERROR(V102/V103,0)</f>
        <v>1.45117767205635</v>
      </c>
      <c r="W104" s="93" t="n">
        <f aca="false">IFERROR(W102/W103,0)</f>
        <v>1.31036627181851</v>
      </c>
      <c r="X104" s="93" t="n">
        <f aca="false">IFERROR(X102/X103,0)</f>
        <v>1.10877146076951</v>
      </c>
      <c r="Y104" s="93" t="n">
        <f aca="false">IFERROR(Y102/Y103,0)</f>
        <v>1.12857095114039</v>
      </c>
      <c r="Z104" s="93" t="n">
        <f aca="false">IFERROR(Z102/Z103,0)</f>
        <v>0.957575352482756</v>
      </c>
      <c r="AA104" s="93" t="n">
        <f aca="false">IFERROR(AA102/AA103,0)</f>
        <v>0.856816723910906</v>
      </c>
      <c r="AB104" s="92" t="n">
        <f aca="false">IFERROR(AVERAGE(AC104:AN104),0)</f>
        <v>1.06526843529015</v>
      </c>
      <c r="AC104" s="93" t="n">
        <f aca="false">IFERROR(AC102/AC103,0)</f>
        <v>1.06872755029923</v>
      </c>
      <c r="AD104" s="93" t="n">
        <f aca="false">IFERROR(AD102/AD103,0)</f>
        <v>0.906799133587224</v>
      </c>
      <c r="AE104" s="93" t="n">
        <f aca="false">IFERROR(AE102/AE103,0)</f>
        <v>0.767291574573805</v>
      </c>
      <c r="AF104" s="93" t="n">
        <f aca="false">IFERROR(AF102/AF103,0)</f>
        <v>0.898702712751623</v>
      </c>
      <c r="AG104" s="93" t="n">
        <f aca="false">IFERROR(AG102/AG103,0)</f>
        <v>1.382813086287</v>
      </c>
      <c r="AH104" s="93" t="n">
        <f aca="false">IFERROR(AH102/AH103,0)</f>
        <v>1.17007261147362</v>
      </c>
      <c r="AI104" s="93" t="n">
        <f aca="false">IFERROR(AI102/AI103,0)</f>
        <v>1.30379519564203</v>
      </c>
      <c r="AJ104" s="93" t="n">
        <f aca="false">IFERROR(AJ102/AJ103,0)</f>
        <v>1.14884172726086</v>
      </c>
      <c r="AK104" s="93" t="n">
        <f aca="false">IFERROR(AK102/AK103,0)</f>
        <v>0.972096846143801</v>
      </c>
      <c r="AL104" s="93" t="n">
        <f aca="false">IFERROR(AL102/AL103,0)</f>
        <v>1.22081249120518</v>
      </c>
      <c r="AM104" s="93" t="n">
        <f aca="false">IFERROR(AM102/AM103,0)</f>
        <v>1.03584090162864</v>
      </c>
      <c r="AN104" s="93" t="n">
        <f aca="false">IFERROR(AN102/AN103,0)</f>
        <v>0.907427392628798</v>
      </c>
      <c r="AO104" s="92" t="n">
        <f aca="false">IFERROR(AVERAGE(AP104:BA104),0)</f>
        <v>1.18209657561279</v>
      </c>
      <c r="AP104" s="93" t="n">
        <f aca="false">IFERROR(AP102/AP103,0)</f>
        <v>1.33140063263009</v>
      </c>
      <c r="AQ104" s="93" t="n">
        <f aca="false">IFERROR(AQ102/AQ103,0)</f>
        <v>1.12967326404978</v>
      </c>
      <c r="AR104" s="93" t="n">
        <f aca="false">IFERROR(AR102/AR103,0)</f>
        <v>0.955877377272887</v>
      </c>
      <c r="AS104" s="93" t="n">
        <f aca="false">IFERROR(AS102/AS103,0)</f>
        <v>1.18161806145921</v>
      </c>
      <c r="AT104" s="93" t="n">
        <f aca="false">IFERROR(AT102/AT103,0)</f>
        <v>1.33827871949581</v>
      </c>
      <c r="AU104" s="93" t="n">
        <f aca="false">IFERROR(AU102/AU103,0)</f>
        <v>1.13238968572723</v>
      </c>
      <c r="AV104" s="93" t="n">
        <f aca="false">IFERROR(AV102/AV103,0)</f>
        <v>1.41775915709027</v>
      </c>
      <c r="AW104" s="93" t="n">
        <f aca="false">IFERROR(AW102/AW103,0)</f>
        <v>1.22884644161526</v>
      </c>
      <c r="AX104" s="93" t="n">
        <f aca="false">IFERROR(AX102/AX103,0)</f>
        <v>1.03979314290522</v>
      </c>
      <c r="AY104" s="93" t="n">
        <f aca="false">IFERROR(AY102/AY103,0)</f>
        <v>1.32883726031812</v>
      </c>
      <c r="AZ104" s="93" t="n">
        <f aca="false">IFERROR(AZ102/AZ103,0)</f>
        <v>1.12749828148204</v>
      </c>
      <c r="BA104" s="93" t="n">
        <f aca="false">IFERROR(BA102/BA103,0)</f>
        <v>0.973186883307599</v>
      </c>
      <c r="BB104" s="92" t="n">
        <f aca="false">IFERROR(AVERAGE(BC104:BN104),0)</f>
        <v>1.27062214727985</v>
      </c>
      <c r="BC104" s="93" t="n">
        <f aca="false">IFERROR(BC102/BC103,0)</f>
        <v>1.41141274531542</v>
      </c>
      <c r="BD104" s="93" t="n">
        <f aca="false">IFERROR(BD102/BD103,0)</f>
        <v>1.19756232935854</v>
      </c>
      <c r="BE104" s="93" t="n">
        <f aca="false">IFERROR(BE102/BE103,0)</f>
        <v>1.01332197099569</v>
      </c>
      <c r="BF104" s="93" t="n">
        <f aca="false">IFERROR(BF102/BF103,0)</f>
        <v>1.32474705042763</v>
      </c>
      <c r="BG104" s="93" t="n">
        <f aca="false">IFERROR(BG102/BG103,0)</f>
        <v>1.40650926737621</v>
      </c>
      <c r="BH104" s="93" t="n">
        <f aca="false">IFERROR(BH102/BH103,0)</f>
        <v>1.19012322624141</v>
      </c>
      <c r="BI104" s="93" t="n">
        <f aca="false">IFERROR(BI102/BI103,0)</f>
        <v>1.51179653253409</v>
      </c>
      <c r="BJ104" s="93" t="n">
        <f aca="false">IFERROR(BJ102/BJ103,0)</f>
        <v>1.30484851610967</v>
      </c>
      <c r="BK104" s="93" t="n">
        <f aca="false">IFERROR(BK102/BK103,0)</f>
        <v>1.10410259055434</v>
      </c>
      <c r="BL104" s="93" t="n">
        <f aca="false">IFERROR(BL102/BL103,0)</f>
        <v>1.46742097299683</v>
      </c>
      <c r="BM104" s="93" t="n">
        <f aca="false">IFERROR(BM102/BM103,0)</f>
        <v>1.24508446193671</v>
      </c>
      <c r="BN104" s="93" t="n">
        <f aca="false">IFERROR(BN102/BN103,0)</f>
        <v>1.07053610351165</v>
      </c>
    </row>
    <row r="105" customFormat="false" ht="15" hidden="false" customHeight="false" outlineLevel="0" collapsed="false">
      <c r="A105" s="72" t="s">
        <v>657</v>
      </c>
    </row>
    <row r="107" customFormat="false" ht="15" hidden="false" customHeight="false" outlineLevel="0" collapsed="false">
      <c r="A107" s="18" t="s">
        <v>658</v>
      </c>
      <c r="B107" s="65" t="n">
        <f aca="false">SUM(C107:N107)</f>
        <v>9912</v>
      </c>
      <c r="C107" s="78" t="n">
        <f aca="false">C58+C31*'Assumption Setting'!$C$105+Payroll!C$75</f>
        <v>826</v>
      </c>
      <c r="D107" s="78" t="n">
        <f aca="false">D58+D31*'Assumption Setting'!$C$105+Payroll!D$75</f>
        <v>826</v>
      </c>
      <c r="E107" s="78" t="n">
        <f aca="false">E58+E31*'Assumption Setting'!$C$105+Payroll!E$75</f>
        <v>826</v>
      </c>
      <c r="F107" s="78" t="n">
        <f aca="false">F58+F31*'Assumption Setting'!$C$105+Payroll!F$75</f>
        <v>826</v>
      </c>
      <c r="G107" s="78" t="n">
        <f aca="false">G58+G31*'Assumption Setting'!$C$105+Payroll!G$75</f>
        <v>826</v>
      </c>
      <c r="H107" s="78" t="n">
        <f aca="false">H58+H31*'Assumption Setting'!$C$105+Payroll!H$75</f>
        <v>826</v>
      </c>
      <c r="I107" s="78" t="n">
        <f aca="false">I58+I31*'Assumption Setting'!$C$105+Payroll!I$75</f>
        <v>826</v>
      </c>
      <c r="J107" s="78" t="n">
        <f aca="false">J58+J31*'Assumption Setting'!$C$105+Payroll!J$75</f>
        <v>826</v>
      </c>
      <c r="K107" s="78" t="n">
        <f aca="false">K58+K31*'Assumption Setting'!$C$105+Payroll!K$75</f>
        <v>826</v>
      </c>
      <c r="L107" s="78" t="n">
        <f aca="false">L58+L31*'Assumption Setting'!$C$105+Payroll!L$75</f>
        <v>826</v>
      </c>
      <c r="M107" s="78" t="n">
        <f aca="false">M58+M31*'Assumption Setting'!$C$105+Payroll!M$75</f>
        <v>826</v>
      </c>
      <c r="N107" s="78" t="n">
        <f aca="false">N58+N31*'Assumption Setting'!$C$105+Payroll!N$75</f>
        <v>826</v>
      </c>
      <c r="O107" s="65" t="n">
        <f aca="false">SUM(P107:AA107)</f>
        <v>69696</v>
      </c>
      <c r="P107" s="78" t="n">
        <f aca="false">P58+P31*'Assumption Setting'!$C$105+Payroll!P$75</f>
        <v>5808</v>
      </c>
      <c r="Q107" s="78" t="n">
        <f aca="false">Q58+Q31*'Assumption Setting'!$C$105+Payroll!Q$75</f>
        <v>5808</v>
      </c>
      <c r="R107" s="78" t="n">
        <f aca="false">R58+R31*'Assumption Setting'!$C$105+Payroll!R$75</f>
        <v>5808</v>
      </c>
      <c r="S107" s="78" t="n">
        <f aca="false">S58+S31*'Assumption Setting'!$C$105+Payroll!S$75</f>
        <v>5808</v>
      </c>
      <c r="T107" s="78" t="n">
        <f aca="false">T58+T31*'Assumption Setting'!$C$105+Payroll!T$75</f>
        <v>5808</v>
      </c>
      <c r="U107" s="78" t="n">
        <f aca="false">U58+U31*'Assumption Setting'!$C$105+Payroll!U$75</f>
        <v>5808</v>
      </c>
      <c r="V107" s="78" t="n">
        <f aca="false">V58+V31*'Assumption Setting'!$C$105+Payroll!V$75</f>
        <v>5808</v>
      </c>
      <c r="W107" s="78" t="n">
        <f aca="false">W58+W31*'Assumption Setting'!$C$105+Payroll!W$75</f>
        <v>5808</v>
      </c>
      <c r="X107" s="78" t="n">
        <f aca="false">X58+X31*'Assumption Setting'!$C$105+Payroll!X$75</f>
        <v>5808</v>
      </c>
      <c r="Y107" s="78" t="n">
        <f aca="false">Y58+Y31*'Assumption Setting'!$C$105+Payroll!Y$75</f>
        <v>5808</v>
      </c>
      <c r="Z107" s="78" t="n">
        <f aca="false">Z58+Z31*'Assumption Setting'!$C$105+Payroll!Z$75</f>
        <v>5808</v>
      </c>
      <c r="AA107" s="78" t="n">
        <f aca="false">AA58+AA31*'Assumption Setting'!$C$105+Payroll!AA$75</f>
        <v>5808</v>
      </c>
      <c r="AB107" s="65" t="n">
        <f aca="false">SUM(AC107:AN107)</f>
        <v>249900</v>
      </c>
      <c r="AC107" s="78" t="n">
        <f aca="false">AC58+AC31*'Assumption Setting'!$C$105+Payroll!AC$75</f>
        <v>20825</v>
      </c>
      <c r="AD107" s="78" t="n">
        <f aca="false">AD58+AD31*'Assumption Setting'!$C$105+Payroll!AD$75</f>
        <v>20825</v>
      </c>
      <c r="AE107" s="78" t="n">
        <f aca="false">AE58+AE31*'Assumption Setting'!$C$105+Payroll!AE$75</f>
        <v>20825</v>
      </c>
      <c r="AF107" s="78" t="n">
        <f aca="false">AF58+AF31*'Assumption Setting'!$C$105+Payroll!AF$75</f>
        <v>20825</v>
      </c>
      <c r="AG107" s="78" t="n">
        <f aca="false">AG58+AG31*'Assumption Setting'!$C$105+Payroll!AG$75</f>
        <v>20825</v>
      </c>
      <c r="AH107" s="78" t="n">
        <f aca="false">AH58+AH31*'Assumption Setting'!$C$105+Payroll!AH$75</f>
        <v>20825</v>
      </c>
      <c r="AI107" s="78" t="n">
        <f aca="false">AI58+AI31*'Assumption Setting'!$C$105+Payroll!AI$75</f>
        <v>20825</v>
      </c>
      <c r="AJ107" s="78" t="n">
        <f aca="false">AJ58+AJ31*'Assumption Setting'!$C$105+Payroll!AJ$75</f>
        <v>20825</v>
      </c>
      <c r="AK107" s="78" t="n">
        <f aca="false">AK58+AK31*'Assumption Setting'!$C$105+Payroll!AK$75</f>
        <v>20825</v>
      </c>
      <c r="AL107" s="78" t="n">
        <f aca="false">AL58+AL31*'Assumption Setting'!$C$105+Payroll!AL$75</f>
        <v>20825</v>
      </c>
      <c r="AM107" s="78" t="n">
        <f aca="false">AM58+AM31*'Assumption Setting'!$C$105+Payroll!AM$75</f>
        <v>20825</v>
      </c>
      <c r="AN107" s="78" t="n">
        <f aca="false">AN58+AN31*'Assumption Setting'!$C$105+Payroll!AN$75</f>
        <v>20825</v>
      </c>
      <c r="AO107" s="65" t="n">
        <f aca="false">SUM(AP107:BA107)</f>
        <v>333429</v>
      </c>
      <c r="AP107" s="78" t="n">
        <f aca="false">AP58+AP31*'Assumption Setting'!$C$105+Payroll!AP$75</f>
        <v>27785.75</v>
      </c>
      <c r="AQ107" s="78" t="n">
        <f aca="false">AQ58+AQ31*'Assumption Setting'!$C$105+Payroll!AQ$75</f>
        <v>27785.75</v>
      </c>
      <c r="AR107" s="78" t="n">
        <f aca="false">AR58+AR31*'Assumption Setting'!$C$105+Payroll!AR$75</f>
        <v>27785.75</v>
      </c>
      <c r="AS107" s="78" t="n">
        <f aca="false">AS58+AS31*'Assumption Setting'!$C$105+Payroll!AS$75</f>
        <v>27785.75</v>
      </c>
      <c r="AT107" s="78" t="n">
        <f aca="false">AT58+AT31*'Assumption Setting'!$C$105+Payroll!AT$75</f>
        <v>27785.75</v>
      </c>
      <c r="AU107" s="78" t="n">
        <f aca="false">AU58+AU31*'Assumption Setting'!$C$105+Payroll!AU$75</f>
        <v>27785.75</v>
      </c>
      <c r="AV107" s="78" t="n">
        <f aca="false">AV58+AV31*'Assumption Setting'!$C$105+Payroll!AV$75</f>
        <v>27785.75</v>
      </c>
      <c r="AW107" s="78" t="n">
        <f aca="false">AW58+AW31*'Assumption Setting'!$C$105+Payroll!AW$75</f>
        <v>27785.75</v>
      </c>
      <c r="AX107" s="78" t="n">
        <f aca="false">AX58+AX31*'Assumption Setting'!$C$105+Payroll!AX$75</f>
        <v>27785.75</v>
      </c>
      <c r="AY107" s="78" t="n">
        <f aca="false">AY58+AY31*'Assumption Setting'!$C$105+Payroll!AY$75</f>
        <v>27785.75</v>
      </c>
      <c r="AZ107" s="78" t="n">
        <f aca="false">AZ58+AZ31*'Assumption Setting'!$C$105+Payroll!AZ$75</f>
        <v>27785.75</v>
      </c>
      <c r="BA107" s="78" t="n">
        <f aca="false">BA58+BA31*'Assumption Setting'!$C$105+Payroll!BA$75</f>
        <v>27785.75</v>
      </c>
      <c r="BB107" s="65" t="n">
        <f aca="false">SUM(BC107:BN107)</f>
        <v>410748</v>
      </c>
      <c r="BC107" s="78" t="n">
        <f aca="false">BC58+BC31*'Assumption Setting'!$C$105+Payroll!BC$75</f>
        <v>34229</v>
      </c>
      <c r="BD107" s="78" t="n">
        <f aca="false">BD58+BD31*'Assumption Setting'!$C$105+Payroll!BD$75</f>
        <v>34229</v>
      </c>
      <c r="BE107" s="78" t="n">
        <f aca="false">BE58+BE31*'Assumption Setting'!$C$105+Payroll!BE$75</f>
        <v>34229</v>
      </c>
      <c r="BF107" s="78" t="n">
        <f aca="false">BF58+BF31*'Assumption Setting'!$C$105+Payroll!BF$75</f>
        <v>34229</v>
      </c>
      <c r="BG107" s="78" t="n">
        <f aca="false">BG58+BG31*'Assumption Setting'!$C$105+Payroll!BG$75</f>
        <v>34229</v>
      </c>
      <c r="BH107" s="78" t="n">
        <f aca="false">BH58+BH31*'Assumption Setting'!$C$105+Payroll!BH$75</f>
        <v>34229</v>
      </c>
      <c r="BI107" s="78" t="n">
        <f aca="false">BI58+BI31*'Assumption Setting'!$C$105+Payroll!BI$75</f>
        <v>34229</v>
      </c>
      <c r="BJ107" s="78" t="n">
        <f aca="false">BJ58+BJ31*'Assumption Setting'!$C$105+Payroll!BJ$75</f>
        <v>34229</v>
      </c>
      <c r="BK107" s="78" t="n">
        <f aca="false">BK58+BK31*'Assumption Setting'!$C$105+Payroll!BK$75</f>
        <v>34229</v>
      </c>
      <c r="BL107" s="78" t="n">
        <f aca="false">BL58+BL31*'Assumption Setting'!$C$105+Payroll!BL$75</f>
        <v>34229</v>
      </c>
      <c r="BM107" s="78" t="n">
        <f aca="false">BM58+BM31*'Assumption Setting'!$C$105+Payroll!BM$75</f>
        <v>34229</v>
      </c>
      <c r="BN107" s="78" t="n">
        <f aca="false">BN58+BN31*'Assumption Setting'!$C$105+Payroll!BN$75</f>
        <v>34229</v>
      </c>
    </row>
    <row r="108" customFormat="false" ht="15" hidden="false" customHeight="false" outlineLevel="0" collapsed="false">
      <c r="A108" s="12" t="s">
        <v>659</v>
      </c>
      <c r="B108" s="65" t="n">
        <f aca="false">IFERROR(AVERAGE(C108:N108),0)</f>
        <v>954.944106666043</v>
      </c>
      <c r="C108" s="66" t="n">
        <f aca="false">IFERROR(C107/C102,0)</f>
        <v>0</v>
      </c>
      <c r="D108" s="66" t="n">
        <f aca="false">IFERROR(D107/D102,0)</f>
        <v>0</v>
      </c>
      <c r="E108" s="66" t="n">
        <f aca="false">IFERROR(E107/E102,0)</f>
        <v>0</v>
      </c>
      <c r="F108" s="66" t="n">
        <f aca="false">IFERROR(F107/F102,0)</f>
        <v>0</v>
      </c>
      <c r="G108" s="66" t="n">
        <f aca="false">IFERROR(G107/G102,0)</f>
        <v>1519.7464153172</v>
      </c>
      <c r="H108" s="66" t="n">
        <f aca="false">IFERROR(H107/H102,0)</f>
        <v>1519.7464153172</v>
      </c>
      <c r="I108" s="66" t="n">
        <f aca="false">IFERROR(I107/I102,0)</f>
        <v>1519.7464153172</v>
      </c>
      <c r="J108" s="66" t="n">
        <f aca="false">IFERROR(J107/J102,0)</f>
        <v>1399.61589566226</v>
      </c>
      <c r="K108" s="66" t="n">
        <f aca="false">IFERROR(K107/K102,0)</f>
        <v>1399.61589566226</v>
      </c>
      <c r="L108" s="66" t="n">
        <f aca="false">IFERROR(L107/L102,0)</f>
        <v>1399.61589566226</v>
      </c>
      <c r="M108" s="66" t="n">
        <f aca="false">IFERROR(M107/M102,0)</f>
        <v>1399.61589566226</v>
      </c>
      <c r="N108" s="66" t="n">
        <f aca="false">IFERROR(N107/N102,0)</f>
        <v>1301.62645139186</v>
      </c>
      <c r="O108" s="65" t="n">
        <f aca="false">IFERROR(AVERAGE(P108:AA108),0)</f>
        <v>3539.99765396473</v>
      </c>
      <c r="P108" s="66" t="n">
        <f aca="false">IFERROR(P107/P102,0)</f>
        <v>7168.15049894527</v>
      </c>
      <c r="Q108" s="66" t="n">
        <f aca="false">IFERROR(Q107/Q102,0)</f>
        <v>7168.15049894527</v>
      </c>
      <c r="R108" s="66" t="n">
        <f aca="false">IFERROR(R107/R102,0)</f>
        <v>7168.15049894527</v>
      </c>
      <c r="S108" s="66" t="n">
        <f aca="false">IFERROR(S107/S102,0)</f>
        <v>7168.15049894527</v>
      </c>
      <c r="T108" s="66" t="n">
        <f aca="false">IFERROR(T107/T102,0)</f>
        <v>1805.5338270379</v>
      </c>
      <c r="U108" s="66" t="n">
        <f aca="false">IFERROR(U107/U102,0)</f>
        <v>1805.5338270379</v>
      </c>
      <c r="V108" s="66" t="n">
        <f aca="false">IFERROR(V107/V102,0)</f>
        <v>1805.5338270379</v>
      </c>
      <c r="W108" s="66" t="n">
        <f aca="false">IFERROR(W107/W102,0)</f>
        <v>1696.59273330622</v>
      </c>
      <c r="X108" s="66" t="n">
        <f aca="false">IFERROR(X107/X102,0)</f>
        <v>1696.59273330622</v>
      </c>
      <c r="Y108" s="66" t="n">
        <f aca="false">IFERROR(Y107/Y102,0)</f>
        <v>1696.59273330622</v>
      </c>
      <c r="Z108" s="66" t="n">
        <f aca="false">IFERROR(Z107/Z102,0)</f>
        <v>1696.59273330622</v>
      </c>
      <c r="AA108" s="66" t="n">
        <f aca="false">IFERROR(AA107/AA102,0)</f>
        <v>1604.39743745707</v>
      </c>
      <c r="AB108" s="65" t="n">
        <f aca="false">IFERROR(AVERAGE(AC108:AN108),0)</f>
        <v>3118.92139533389</v>
      </c>
      <c r="AC108" s="66" t="n">
        <f aca="false">IFERROR(AC107/AC102,0)</f>
        <v>4514.08249274905</v>
      </c>
      <c r="AD108" s="66" t="n">
        <f aca="false">IFERROR(AD107/AD102,0)</f>
        <v>4514.08249274905</v>
      </c>
      <c r="AE108" s="66" t="n">
        <f aca="false">IFERROR(AE107/AE102,0)</f>
        <v>4514.08249274905</v>
      </c>
      <c r="AF108" s="66" t="n">
        <f aca="false">IFERROR(AF107/AF102,0)</f>
        <v>4514.08249274905</v>
      </c>
      <c r="AG108" s="66" t="n">
        <f aca="false">IFERROR(AG107/AG102,0)</f>
        <v>2489.23646620463</v>
      </c>
      <c r="AH108" s="66" t="n">
        <f aca="false">IFERROR(AH107/AH102,0)</f>
        <v>2489.23646620463</v>
      </c>
      <c r="AI108" s="66" t="n">
        <f aca="false">IFERROR(AI107/AI102,0)</f>
        <v>2489.23646620463</v>
      </c>
      <c r="AJ108" s="66" t="n">
        <f aca="false">IFERROR(AJ107/AJ102,0)</f>
        <v>2396.95246344338</v>
      </c>
      <c r="AK108" s="66" t="n">
        <f aca="false">IFERROR(AK107/AK102,0)</f>
        <v>2396.95246344338</v>
      </c>
      <c r="AL108" s="66" t="n">
        <f aca="false">IFERROR(AL107/AL102,0)</f>
        <v>2396.95246344338</v>
      </c>
      <c r="AM108" s="66" t="n">
        <f aca="false">IFERROR(AM107/AM102,0)</f>
        <v>2396.95246344338</v>
      </c>
      <c r="AN108" s="66" t="n">
        <f aca="false">IFERROR(AN107/AN102,0)</f>
        <v>2315.20752062304</v>
      </c>
      <c r="AO108" s="65" t="n">
        <f aca="false">IFERROR(AVERAGE(AP108:BA108),0)</f>
        <v>2251.74926737716</v>
      </c>
      <c r="AP108" s="66" t="n">
        <f aca="false">IFERROR(AP107/AP102,0)</f>
        <v>2729.41976906293</v>
      </c>
      <c r="AQ108" s="66" t="n">
        <f aca="false">IFERROR(AQ107/AQ102,0)</f>
        <v>2729.41976906293</v>
      </c>
      <c r="AR108" s="66" t="n">
        <f aca="false">IFERROR(AR107/AR102,0)</f>
        <v>2729.41976906293</v>
      </c>
      <c r="AS108" s="66" t="n">
        <f aca="false">IFERROR(AS107/AS102,0)</f>
        <v>2729.41976906293</v>
      </c>
      <c r="AT108" s="66" t="n">
        <f aca="false">IFERROR(AT107/AT102,0)</f>
        <v>2044.7723922703</v>
      </c>
      <c r="AU108" s="66" t="n">
        <f aca="false">IFERROR(AU107/AU102,0)</f>
        <v>2044.7723922703</v>
      </c>
      <c r="AV108" s="66" t="n">
        <f aca="false">IFERROR(AV107/AV102,0)</f>
        <v>2044.7723922703</v>
      </c>
      <c r="AW108" s="66" t="n">
        <f aca="false">IFERROR(AW107/AW102,0)</f>
        <v>2001.67658559439</v>
      </c>
      <c r="AX108" s="66" t="n">
        <f aca="false">IFERROR(AX107/AX102,0)</f>
        <v>2001.67658559439</v>
      </c>
      <c r="AY108" s="66" t="n">
        <f aca="false">IFERROR(AY107/AY102,0)</f>
        <v>2001.67658559439</v>
      </c>
      <c r="AZ108" s="66" t="n">
        <f aca="false">IFERROR(AZ107/AZ102,0)</f>
        <v>2001.67658559439</v>
      </c>
      <c r="BA108" s="66" t="n">
        <f aca="false">IFERROR(BA107/BA102,0)</f>
        <v>1962.28861308574</v>
      </c>
      <c r="BB108" s="65" t="n">
        <f aca="false">IFERROR(AVERAGE(BC108:BN108),0)</f>
        <v>1947.88969453332</v>
      </c>
      <c r="BC108" s="66" t="n">
        <f aca="false">IFERROR(BC107/BC102,0)</f>
        <v>2266.50352509175</v>
      </c>
      <c r="BD108" s="66" t="n">
        <f aca="false">IFERROR(BD107/BD102,0)</f>
        <v>2266.50352509175</v>
      </c>
      <c r="BE108" s="66" t="n">
        <f aca="false">IFERROR(BE107/BE102,0)</f>
        <v>2266.50352509175</v>
      </c>
      <c r="BF108" s="66" t="n">
        <f aca="false">IFERROR(BF107/BF102,0)</f>
        <v>2266.50352509175</v>
      </c>
      <c r="BG108" s="66" t="n">
        <f aca="false">IFERROR(BG107/BG102,0)</f>
        <v>1811.30194511691</v>
      </c>
      <c r="BH108" s="66" t="n">
        <f aca="false">IFERROR(BH107/BH102,0)</f>
        <v>1811.30194511691</v>
      </c>
      <c r="BI108" s="66" t="n">
        <f aca="false">IFERROR(BI107/BI102,0)</f>
        <v>1811.30194511691</v>
      </c>
      <c r="BJ108" s="66" t="n">
        <f aca="false">IFERROR(BJ107/BJ102,0)</f>
        <v>1780.6074817253</v>
      </c>
      <c r="BK108" s="66" t="n">
        <f aca="false">IFERROR(BK107/BK102,0)</f>
        <v>1780.6074817253</v>
      </c>
      <c r="BL108" s="66" t="n">
        <f aca="false">IFERROR(BL107/BL102,0)</f>
        <v>1780.6074817253</v>
      </c>
      <c r="BM108" s="66" t="n">
        <f aca="false">IFERROR(BM107/BM102,0)</f>
        <v>1780.6074817253</v>
      </c>
      <c r="BN108" s="66" t="n">
        <f aca="false">IFERROR(BN107/BN102,0)</f>
        <v>1752.32647178092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612</v>
      </c>
    </row>
    <row r="2" customFormat="false" ht="13.5" hidden="false" customHeight="true" outlineLevel="0" collapsed="false">
      <c r="A2" s="6" t="s">
        <v>660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661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662</v>
      </c>
      <c r="B7" s="79" t="n">
        <f aca="false">N7</f>
        <v>2</v>
      </c>
      <c r="C7" s="94" t="n">
        <f aca="false">Payroll!C$80</f>
        <v>2</v>
      </c>
      <c r="D7" s="94" t="n">
        <f aca="false">Payroll!D$80</f>
        <v>2</v>
      </c>
      <c r="E7" s="94" t="n">
        <f aca="false">Payroll!E$80</f>
        <v>2</v>
      </c>
      <c r="F7" s="94" t="n">
        <f aca="false">Payroll!F$80</f>
        <v>2</v>
      </c>
      <c r="G7" s="94" t="n">
        <f aca="false">Payroll!G$80</f>
        <v>2</v>
      </c>
      <c r="H7" s="94" t="n">
        <f aca="false">Payroll!H$80</f>
        <v>2</v>
      </c>
      <c r="I7" s="94" t="n">
        <f aca="false">Payroll!I$80</f>
        <v>2</v>
      </c>
      <c r="J7" s="94" t="n">
        <f aca="false">Payroll!J$80</f>
        <v>2</v>
      </c>
      <c r="K7" s="94" t="n">
        <f aca="false">Payroll!K$80</f>
        <v>2</v>
      </c>
      <c r="L7" s="94" t="n">
        <f aca="false">Payroll!L$80</f>
        <v>2</v>
      </c>
      <c r="M7" s="94" t="n">
        <f aca="false">Payroll!M$80</f>
        <v>2</v>
      </c>
      <c r="N7" s="94" t="n">
        <f aca="false">Payroll!N$80</f>
        <v>2</v>
      </c>
      <c r="O7" s="79" t="n">
        <f aca="false">AA7</f>
        <v>2</v>
      </c>
      <c r="P7" s="94" t="n">
        <f aca="false">Payroll!P$80</f>
        <v>2</v>
      </c>
      <c r="Q7" s="94" t="n">
        <f aca="false">Payroll!Q$80</f>
        <v>2</v>
      </c>
      <c r="R7" s="94" t="n">
        <f aca="false">Payroll!R$80</f>
        <v>2</v>
      </c>
      <c r="S7" s="94" t="n">
        <f aca="false">Payroll!S$80</f>
        <v>2</v>
      </c>
      <c r="T7" s="94" t="n">
        <f aca="false">Payroll!T$80</f>
        <v>2</v>
      </c>
      <c r="U7" s="94" t="n">
        <f aca="false">Payroll!U$80</f>
        <v>2</v>
      </c>
      <c r="V7" s="94" t="n">
        <f aca="false">Payroll!V$80</f>
        <v>2</v>
      </c>
      <c r="W7" s="94" t="n">
        <f aca="false">Payroll!W$80</f>
        <v>2</v>
      </c>
      <c r="X7" s="94" t="n">
        <f aca="false">Payroll!X$80</f>
        <v>2</v>
      </c>
      <c r="Y7" s="94" t="n">
        <f aca="false">Payroll!Y$80</f>
        <v>2</v>
      </c>
      <c r="Z7" s="94" t="n">
        <f aca="false">Payroll!Z$80</f>
        <v>2</v>
      </c>
      <c r="AA7" s="94" t="n">
        <f aca="false">Payroll!AA$80</f>
        <v>2</v>
      </c>
      <c r="AB7" s="79" t="n">
        <f aca="false">AN7</f>
        <v>2</v>
      </c>
      <c r="AC7" s="94" t="n">
        <f aca="false">Payroll!AC$80</f>
        <v>2</v>
      </c>
      <c r="AD7" s="94" t="n">
        <f aca="false">Payroll!AD$80</f>
        <v>2</v>
      </c>
      <c r="AE7" s="94" t="n">
        <f aca="false">Payroll!AE$80</f>
        <v>2</v>
      </c>
      <c r="AF7" s="94" t="n">
        <f aca="false">Payroll!AF$80</f>
        <v>2</v>
      </c>
      <c r="AG7" s="94" t="n">
        <f aca="false">Payroll!AG$80</f>
        <v>2</v>
      </c>
      <c r="AH7" s="94" t="n">
        <f aca="false">Payroll!AH$80</f>
        <v>2</v>
      </c>
      <c r="AI7" s="94" t="n">
        <f aca="false">Payroll!AI$80</f>
        <v>2</v>
      </c>
      <c r="AJ7" s="94" t="n">
        <f aca="false">Payroll!AJ$80</f>
        <v>2</v>
      </c>
      <c r="AK7" s="94" t="n">
        <f aca="false">Payroll!AK$80</f>
        <v>2</v>
      </c>
      <c r="AL7" s="94" t="n">
        <f aca="false">Payroll!AL$80</f>
        <v>2</v>
      </c>
      <c r="AM7" s="94" t="n">
        <f aca="false">Payroll!AM$80</f>
        <v>2</v>
      </c>
      <c r="AN7" s="94" t="n">
        <f aca="false">Payroll!AN$80</f>
        <v>2</v>
      </c>
      <c r="AO7" s="79" t="n">
        <f aca="false">BA7</f>
        <v>3</v>
      </c>
      <c r="AP7" s="94" t="n">
        <f aca="false">Payroll!AP$80</f>
        <v>3</v>
      </c>
      <c r="AQ7" s="94" t="n">
        <f aca="false">Payroll!AQ$80</f>
        <v>3</v>
      </c>
      <c r="AR7" s="94" t="n">
        <f aca="false">Payroll!AR$80</f>
        <v>3</v>
      </c>
      <c r="AS7" s="94" t="n">
        <f aca="false">Payroll!AS$80</f>
        <v>3</v>
      </c>
      <c r="AT7" s="94" t="n">
        <f aca="false">Payroll!AT$80</f>
        <v>3</v>
      </c>
      <c r="AU7" s="94" t="n">
        <f aca="false">Payroll!AU$80</f>
        <v>3</v>
      </c>
      <c r="AV7" s="94" t="n">
        <f aca="false">Payroll!AV$80</f>
        <v>3</v>
      </c>
      <c r="AW7" s="94" t="n">
        <f aca="false">Payroll!AW$80</f>
        <v>3</v>
      </c>
      <c r="AX7" s="94" t="n">
        <f aca="false">Payroll!AX$80</f>
        <v>3</v>
      </c>
      <c r="AY7" s="94" t="n">
        <f aca="false">Payroll!AY$80</f>
        <v>3</v>
      </c>
      <c r="AZ7" s="94" t="n">
        <f aca="false">Payroll!AZ$80</f>
        <v>3</v>
      </c>
      <c r="BA7" s="94" t="n">
        <f aca="false">Payroll!BA$80</f>
        <v>3</v>
      </c>
      <c r="BB7" s="79" t="n">
        <f aca="false">BN7</f>
        <v>3</v>
      </c>
      <c r="BC7" s="94" t="n">
        <f aca="false">Payroll!BC$80</f>
        <v>3</v>
      </c>
      <c r="BD7" s="94" t="n">
        <f aca="false">Payroll!BD$80</f>
        <v>3</v>
      </c>
      <c r="BE7" s="94" t="n">
        <f aca="false">Payroll!BE$80</f>
        <v>3</v>
      </c>
      <c r="BF7" s="94" t="n">
        <f aca="false">Payroll!BF$80</f>
        <v>3</v>
      </c>
      <c r="BG7" s="94" t="n">
        <f aca="false">Payroll!BG$80</f>
        <v>3</v>
      </c>
      <c r="BH7" s="94" t="n">
        <f aca="false">Payroll!BH$80</f>
        <v>3</v>
      </c>
      <c r="BI7" s="94" t="n">
        <f aca="false">Payroll!BI$80</f>
        <v>3</v>
      </c>
      <c r="BJ7" s="94" t="n">
        <f aca="false">Payroll!BJ$80</f>
        <v>3</v>
      </c>
      <c r="BK7" s="94" t="n">
        <f aca="false">Payroll!BK$80</f>
        <v>3</v>
      </c>
      <c r="BL7" s="94" t="n">
        <f aca="false">Payroll!BL$80</f>
        <v>3</v>
      </c>
      <c r="BM7" s="94" t="n">
        <f aca="false">Payroll!BM$80</f>
        <v>3</v>
      </c>
      <c r="BN7" s="94" t="n">
        <f aca="false">Payroll!BN$80</f>
        <v>3</v>
      </c>
    </row>
    <row r="8" customFormat="false" ht="15" hidden="false" customHeight="false" outlineLevel="0" collapsed="false">
      <c r="A8" s="12" t="s">
        <v>663</v>
      </c>
      <c r="B8" s="79" t="n">
        <f aca="false">N8</f>
        <v>1</v>
      </c>
      <c r="C8" s="94" t="n">
        <f aca="false">Payroll!C$81</f>
        <v>1</v>
      </c>
      <c r="D8" s="94" t="n">
        <f aca="false">Payroll!D$81</f>
        <v>1</v>
      </c>
      <c r="E8" s="94" t="n">
        <f aca="false">Payroll!E$81</f>
        <v>1</v>
      </c>
      <c r="F8" s="94" t="n">
        <f aca="false">Payroll!F$81</f>
        <v>1</v>
      </c>
      <c r="G8" s="94" t="n">
        <f aca="false">Payroll!G$81</f>
        <v>1</v>
      </c>
      <c r="H8" s="94" t="n">
        <f aca="false">Payroll!H$81</f>
        <v>1</v>
      </c>
      <c r="I8" s="94" t="n">
        <f aca="false">Payroll!I$81</f>
        <v>1</v>
      </c>
      <c r="J8" s="94" t="n">
        <f aca="false">Payroll!J$81</f>
        <v>1</v>
      </c>
      <c r="K8" s="94" t="n">
        <f aca="false">Payroll!K$81</f>
        <v>1</v>
      </c>
      <c r="L8" s="94" t="n">
        <f aca="false">Payroll!L$81</f>
        <v>1</v>
      </c>
      <c r="M8" s="94" t="n">
        <f aca="false">Payroll!M$81</f>
        <v>1</v>
      </c>
      <c r="N8" s="94" t="n">
        <f aca="false">Payroll!N$81</f>
        <v>1</v>
      </c>
      <c r="O8" s="79" t="n">
        <f aca="false">AA8</f>
        <v>2</v>
      </c>
      <c r="P8" s="94" t="n">
        <f aca="false">Payroll!P$81</f>
        <v>2</v>
      </c>
      <c r="Q8" s="94" t="n">
        <f aca="false">Payroll!Q$81</f>
        <v>2</v>
      </c>
      <c r="R8" s="94" t="n">
        <f aca="false">Payroll!R$81</f>
        <v>2</v>
      </c>
      <c r="S8" s="94" t="n">
        <f aca="false">Payroll!S$81</f>
        <v>2</v>
      </c>
      <c r="T8" s="94" t="n">
        <f aca="false">Payroll!T$81</f>
        <v>2</v>
      </c>
      <c r="U8" s="94" t="n">
        <f aca="false">Payroll!U$81</f>
        <v>2</v>
      </c>
      <c r="V8" s="94" t="n">
        <f aca="false">Payroll!V$81</f>
        <v>2</v>
      </c>
      <c r="W8" s="94" t="n">
        <f aca="false">Payroll!W$81</f>
        <v>2</v>
      </c>
      <c r="X8" s="94" t="n">
        <f aca="false">Payroll!X$81</f>
        <v>2</v>
      </c>
      <c r="Y8" s="94" t="n">
        <f aca="false">Payroll!Y$81</f>
        <v>2</v>
      </c>
      <c r="Z8" s="94" t="n">
        <f aca="false">Payroll!Z$81</f>
        <v>2</v>
      </c>
      <c r="AA8" s="94" t="n">
        <f aca="false">Payroll!AA$81</f>
        <v>2</v>
      </c>
      <c r="AB8" s="79" t="n">
        <f aca="false">AN8</f>
        <v>2</v>
      </c>
      <c r="AC8" s="94" t="n">
        <f aca="false">Payroll!AC$81</f>
        <v>2</v>
      </c>
      <c r="AD8" s="94" t="n">
        <f aca="false">Payroll!AD$81</f>
        <v>2</v>
      </c>
      <c r="AE8" s="94" t="n">
        <f aca="false">Payroll!AE$81</f>
        <v>2</v>
      </c>
      <c r="AF8" s="94" t="n">
        <f aca="false">Payroll!AF$81</f>
        <v>2</v>
      </c>
      <c r="AG8" s="94" t="n">
        <f aca="false">Payroll!AG$81</f>
        <v>2</v>
      </c>
      <c r="AH8" s="94" t="n">
        <f aca="false">Payroll!AH$81</f>
        <v>2</v>
      </c>
      <c r="AI8" s="94" t="n">
        <f aca="false">Payroll!AI$81</f>
        <v>2</v>
      </c>
      <c r="AJ8" s="94" t="n">
        <f aca="false">Payroll!AJ$81</f>
        <v>2</v>
      </c>
      <c r="AK8" s="94" t="n">
        <f aca="false">Payroll!AK$81</f>
        <v>2</v>
      </c>
      <c r="AL8" s="94" t="n">
        <f aca="false">Payroll!AL$81</f>
        <v>2</v>
      </c>
      <c r="AM8" s="94" t="n">
        <f aca="false">Payroll!AM$81</f>
        <v>2</v>
      </c>
      <c r="AN8" s="94" t="n">
        <f aca="false">Payroll!AN$81</f>
        <v>2</v>
      </c>
      <c r="AO8" s="79" t="n">
        <f aca="false">BA8</f>
        <v>3</v>
      </c>
      <c r="AP8" s="94" t="n">
        <f aca="false">Payroll!AP$81</f>
        <v>3</v>
      </c>
      <c r="AQ8" s="94" t="n">
        <f aca="false">Payroll!AQ$81</f>
        <v>3</v>
      </c>
      <c r="AR8" s="94" t="n">
        <f aca="false">Payroll!AR$81</f>
        <v>3</v>
      </c>
      <c r="AS8" s="94" t="n">
        <f aca="false">Payroll!AS$81</f>
        <v>3</v>
      </c>
      <c r="AT8" s="94" t="n">
        <f aca="false">Payroll!AT$81</f>
        <v>3</v>
      </c>
      <c r="AU8" s="94" t="n">
        <f aca="false">Payroll!AU$81</f>
        <v>3</v>
      </c>
      <c r="AV8" s="94" t="n">
        <f aca="false">Payroll!AV$81</f>
        <v>3</v>
      </c>
      <c r="AW8" s="94" t="n">
        <f aca="false">Payroll!AW$81</f>
        <v>3</v>
      </c>
      <c r="AX8" s="94" t="n">
        <f aca="false">Payroll!AX$81</f>
        <v>3</v>
      </c>
      <c r="AY8" s="94" t="n">
        <f aca="false">Payroll!AY$81</f>
        <v>3</v>
      </c>
      <c r="AZ8" s="94" t="n">
        <f aca="false">Payroll!AZ$81</f>
        <v>3</v>
      </c>
      <c r="BA8" s="94" t="n">
        <f aca="false">Payroll!BA$81</f>
        <v>3</v>
      </c>
      <c r="BB8" s="79" t="n">
        <f aca="false">BN8</f>
        <v>4</v>
      </c>
      <c r="BC8" s="94" t="n">
        <f aca="false">Payroll!BC$81</f>
        <v>4</v>
      </c>
      <c r="BD8" s="94" t="n">
        <f aca="false">Payroll!BD$81</f>
        <v>4</v>
      </c>
      <c r="BE8" s="94" t="n">
        <f aca="false">Payroll!BE$81</f>
        <v>4</v>
      </c>
      <c r="BF8" s="94" t="n">
        <f aca="false">Payroll!BF$81</f>
        <v>4</v>
      </c>
      <c r="BG8" s="94" t="n">
        <f aca="false">Payroll!BG$81</f>
        <v>4</v>
      </c>
      <c r="BH8" s="94" t="n">
        <f aca="false">Payroll!BH$81</f>
        <v>4</v>
      </c>
      <c r="BI8" s="94" t="n">
        <f aca="false">Payroll!BI$81</f>
        <v>4</v>
      </c>
      <c r="BJ8" s="94" t="n">
        <f aca="false">Payroll!BJ$81</f>
        <v>4</v>
      </c>
      <c r="BK8" s="94" t="n">
        <f aca="false">Payroll!BK$81</f>
        <v>4</v>
      </c>
      <c r="BL8" s="94" t="n">
        <f aca="false">Payroll!BL$81</f>
        <v>4</v>
      </c>
      <c r="BM8" s="94" t="n">
        <f aca="false">Payroll!BM$81</f>
        <v>4</v>
      </c>
      <c r="BN8" s="94" t="n">
        <f aca="false">Payroll!BN$81</f>
        <v>4</v>
      </c>
    </row>
    <row r="9" customFormat="false" ht="15" hidden="false" customHeight="false" outlineLevel="0" collapsed="false">
      <c r="A9" s="12" t="s">
        <v>401</v>
      </c>
      <c r="B9" s="79" t="n">
        <f aca="false">N9</f>
        <v>1</v>
      </c>
      <c r="C9" s="94" t="n">
        <f aca="false">Payroll!C$82</f>
        <v>1</v>
      </c>
      <c r="D9" s="94" t="n">
        <f aca="false">Payroll!D$82</f>
        <v>1</v>
      </c>
      <c r="E9" s="94" t="n">
        <f aca="false">Payroll!E$82</f>
        <v>1</v>
      </c>
      <c r="F9" s="94" t="n">
        <f aca="false">Payroll!F$82</f>
        <v>1</v>
      </c>
      <c r="G9" s="94" t="n">
        <f aca="false">Payroll!G$82</f>
        <v>1</v>
      </c>
      <c r="H9" s="94" t="n">
        <f aca="false">Payroll!H$82</f>
        <v>1</v>
      </c>
      <c r="I9" s="94" t="n">
        <f aca="false">Payroll!I$82</f>
        <v>1</v>
      </c>
      <c r="J9" s="94" t="n">
        <f aca="false">Payroll!J$82</f>
        <v>1</v>
      </c>
      <c r="K9" s="94" t="n">
        <f aca="false">Payroll!K$82</f>
        <v>1</v>
      </c>
      <c r="L9" s="94" t="n">
        <f aca="false">Payroll!L$82</f>
        <v>1</v>
      </c>
      <c r="M9" s="94" t="n">
        <f aca="false">Payroll!M$82</f>
        <v>1</v>
      </c>
      <c r="N9" s="94" t="n">
        <f aca="false">Payroll!N$82</f>
        <v>1</v>
      </c>
      <c r="O9" s="79" t="n">
        <f aca="false">AA9</f>
        <v>1</v>
      </c>
      <c r="P9" s="94" t="n">
        <f aca="false">Payroll!P$82</f>
        <v>1</v>
      </c>
      <c r="Q9" s="94" t="n">
        <f aca="false">Payroll!Q$82</f>
        <v>1</v>
      </c>
      <c r="R9" s="94" t="n">
        <f aca="false">Payroll!R$82</f>
        <v>1</v>
      </c>
      <c r="S9" s="94" t="n">
        <f aca="false">Payroll!S$82</f>
        <v>1</v>
      </c>
      <c r="T9" s="94" t="n">
        <f aca="false">Payroll!T$82</f>
        <v>1</v>
      </c>
      <c r="U9" s="94" t="n">
        <f aca="false">Payroll!U$82</f>
        <v>1</v>
      </c>
      <c r="V9" s="94" t="n">
        <f aca="false">Payroll!V$82</f>
        <v>1</v>
      </c>
      <c r="W9" s="94" t="n">
        <f aca="false">Payroll!W$82</f>
        <v>1</v>
      </c>
      <c r="X9" s="94" t="n">
        <f aca="false">Payroll!X$82</f>
        <v>1</v>
      </c>
      <c r="Y9" s="94" t="n">
        <f aca="false">Payroll!Y$82</f>
        <v>1</v>
      </c>
      <c r="Z9" s="94" t="n">
        <f aca="false">Payroll!Z$82</f>
        <v>1</v>
      </c>
      <c r="AA9" s="94" t="n">
        <f aca="false">Payroll!AA$82</f>
        <v>1</v>
      </c>
      <c r="AB9" s="79" t="n">
        <f aca="false">AN9</f>
        <v>3</v>
      </c>
      <c r="AC9" s="94" t="n">
        <f aca="false">Payroll!AC$82</f>
        <v>3</v>
      </c>
      <c r="AD9" s="94" t="n">
        <f aca="false">Payroll!AD$82</f>
        <v>3</v>
      </c>
      <c r="AE9" s="94" t="n">
        <f aca="false">Payroll!AE$82</f>
        <v>3</v>
      </c>
      <c r="AF9" s="94" t="n">
        <f aca="false">Payroll!AF$82</f>
        <v>3</v>
      </c>
      <c r="AG9" s="94" t="n">
        <f aca="false">Payroll!AG$82</f>
        <v>3</v>
      </c>
      <c r="AH9" s="94" t="n">
        <f aca="false">Payroll!AH$82</f>
        <v>3</v>
      </c>
      <c r="AI9" s="94" t="n">
        <f aca="false">Payroll!AI$82</f>
        <v>3</v>
      </c>
      <c r="AJ9" s="94" t="n">
        <f aca="false">Payroll!AJ$82</f>
        <v>3</v>
      </c>
      <c r="AK9" s="94" t="n">
        <f aca="false">Payroll!AK$82</f>
        <v>3</v>
      </c>
      <c r="AL9" s="94" t="n">
        <f aca="false">Payroll!AL$82</f>
        <v>3</v>
      </c>
      <c r="AM9" s="94" t="n">
        <f aca="false">Payroll!AM$82</f>
        <v>3</v>
      </c>
      <c r="AN9" s="94" t="n">
        <f aca="false">Payroll!AN$82</f>
        <v>3</v>
      </c>
      <c r="AO9" s="79" t="n">
        <f aca="false">BA9</f>
        <v>4</v>
      </c>
      <c r="AP9" s="94" t="n">
        <f aca="false">Payroll!AP$82</f>
        <v>4</v>
      </c>
      <c r="AQ9" s="94" t="n">
        <f aca="false">Payroll!AQ$82</f>
        <v>4</v>
      </c>
      <c r="AR9" s="94" t="n">
        <f aca="false">Payroll!AR$82</f>
        <v>4</v>
      </c>
      <c r="AS9" s="94" t="n">
        <f aca="false">Payroll!AS$82</f>
        <v>4</v>
      </c>
      <c r="AT9" s="94" t="n">
        <f aca="false">Payroll!AT$82</f>
        <v>4</v>
      </c>
      <c r="AU9" s="94" t="n">
        <f aca="false">Payroll!AU$82</f>
        <v>4</v>
      </c>
      <c r="AV9" s="94" t="n">
        <f aca="false">Payroll!AV$82</f>
        <v>4</v>
      </c>
      <c r="AW9" s="94" t="n">
        <f aca="false">Payroll!AW$82</f>
        <v>4</v>
      </c>
      <c r="AX9" s="94" t="n">
        <f aca="false">Payroll!AX$82</f>
        <v>4</v>
      </c>
      <c r="AY9" s="94" t="n">
        <f aca="false">Payroll!AY$82</f>
        <v>4</v>
      </c>
      <c r="AZ9" s="94" t="n">
        <f aca="false">Payroll!AZ$82</f>
        <v>4</v>
      </c>
      <c r="BA9" s="94" t="n">
        <f aca="false">Payroll!BA$82</f>
        <v>4</v>
      </c>
      <c r="BB9" s="79" t="n">
        <f aca="false">BN9</f>
        <v>5</v>
      </c>
      <c r="BC9" s="94" t="n">
        <f aca="false">Payroll!BC$82</f>
        <v>5</v>
      </c>
      <c r="BD9" s="94" t="n">
        <f aca="false">Payroll!BD$82</f>
        <v>5</v>
      </c>
      <c r="BE9" s="94" t="n">
        <f aca="false">Payroll!BE$82</f>
        <v>5</v>
      </c>
      <c r="BF9" s="94" t="n">
        <f aca="false">Payroll!BF$82</f>
        <v>5</v>
      </c>
      <c r="BG9" s="94" t="n">
        <f aca="false">Payroll!BG$82</f>
        <v>5</v>
      </c>
      <c r="BH9" s="94" t="n">
        <f aca="false">Payroll!BH$82</f>
        <v>5</v>
      </c>
      <c r="BI9" s="94" t="n">
        <f aca="false">Payroll!BI$82</f>
        <v>5</v>
      </c>
      <c r="BJ9" s="94" t="n">
        <f aca="false">Payroll!BJ$82</f>
        <v>5</v>
      </c>
      <c r="BK9" s="94" t="n">
        <f aca="false">Payroll!BK$82</f>
        <v>5</v>
      </c>
      <c r="BL9" s="94" t="n">
        <f aca="false">Payroll!BL$82</f>
        <v>5</v>
      </c>
      <c r="BM9" s="94" t="n">
        <f aca="false">Payroll!BM$82</f>
        <v>5</v>
      </c>
      <c r="BN9" s="94" t="n">
        <f aca="false">Payroll!BN$82</f>
        <v>5</v>
      </c>
    </row>
    <row r="10" customFormat="false" ht="15" hidden="false" customHeight="false" outlineLevel="0" collapsed="false">
      <c r="A10" s="12" t="s">
        <v>404</v>
      </c>
      <c r="B10" s="79" t="n">
        <f aca="false">N10</f>
        <v>0</v>
      </c>
      <c r="C10" s="94" t="n">
        <f aca="false">Payroll!C$83</f>
        <v>0</v>
      </c>
      <c r="D10" s="94" t="n">
        <f aca="false">Payroll!D$83</f>
        <v>0</v>
      </c>
      <c r="E10" s="94" t="n">
        <f aca="false">Payroll!E$83</f>
        <v>0</v>
      </c>
      <c r="F10" s="94" t="n">
        <f aca="false">Payroll!F$83</f>
        <v>0</v>
      </c>
      <c r="G10" s="94" t="n">
        <f aca="false">Payroll!G$83</f>
        <v>0</v>
      </c>
      <c r="H10" s="94" t="n">
        <f aca="false">Payroll!H$83</f>
        <v>0</v>
      </c>
      <c r="I10" s="94" t="n">
        <f aca="false">Payroll!I$83</f>
        <v>0</v>
      </c>
      <c r="J10" s="94" t="n">
        <f aca="false">Payroll!J$83</f>
        <v>0</v>
      </c>
      <c r="K10" s="94" t="n">
        <f aca="false">Payroll!K$83</f>
        <v>0</v>
      </c>
      <c r="L10" s="94" t="n">
        <f aca="false">Payroll!L$83</f>
        <v>0</v>
      </c>
      <c r="M10" s="94" t="n">
        <f aca="false">Payroll!M$83</f>
        <v>0</v>
      </c>
      <c r="N10" s="94" t="n">
        <f aca="false">Payroll!N$83</f>
        <v>0</v>
      </c>
      <c r="O10" s="79" t="n">
        <f aca="false">AA10</f>
        <v>1</v>
      </c>
      <c r="P10" s="94" t="n">
        <f aca="false">Payroll!P$83</f>
        <v>1</v>
      </c>
      <c r="Q10" s="94" t="n">
        <f aca="false">Payroll!Q$83</f>
        <v>1</v>
      </c>
      <c r="R10" s="94" t="n">
        <f aca="false">Payroll!R$83</f>
        <v>1</v>
      </c>
      <c r="S10" s="94" t="n">
        <f aca="false">Payroll!S$83</f>
        <v>1</v>
      </c>
      <c r="T10" s="94" t="n">
        <f aca="false">Payroll!T$83</f>
        <v>1</v>
      </c>
      <c r="U10" s="94" t="n">
        <f aca="false">Payroll!U$83</f>
        <v>1</v>
      </c>
      <c r="V10" s="94" t="n">
        <f aca="false">Payroll!V$83</f>
        <v>1</v>
      </c>
      <c r="W10" s="94" t="n">
        <f aca="false">Payroll!W$83</f>
        <v>1</v>
      </c>
      <c r="X10" s="94" t="n">
        <f aca="false">Payroll!X$83</f>
        <v>1</v>
      </c>
      <c r="Y10" s="94" t="n">
        <f aca="false">Payroll!Y$83</f>
        <v>1</v>
      </c>
      <c r="Z10" s="94" t="n">
        <f aca="false">Payroll!Z$83</f>
        <v>1</v>
      </c>
      <c r="AA10" s="94" t="n">
        <f aca="false">Payroll!AA$83</f>
        <v>1</v>
      </c>
      <c r="AB10" s="79" t="n">
        <f aca="false">AN10</f>
        <v>4</v>
      </c>
      <c r="AC10" s="94" t="n">
        <f aca="false">Payroll!AC$83</f>
        <v>4</v>
      </c>
      <c r="AD10" s="94" t="n">
        <f aca="false">Payroll!AD$83</f>
        <v>4</v>
      </c>
      <c r="AE10" s="94" t="n">
        <f aca="false">Payroll!AE$83</f>
        <v>4</v>
      </c>
      <c r="AF10" s="94" t="n">
        <f aca="false">Payroll!AF$83</f>
        <v>4</v>
      </c>
      <c r="AG10" s="94" t="n">
        <f aca="false">Payroll!AG$83</f>
        <v>4</v>
      </c>
      <c r="AH10" s="94" t="n">
        <f aca="false">Payroll!AH$83</f>
        <v>4</v>
      </c>
      <c r="AI10" s="94" t="n">
        <f aca="false">Payroll!AI$83</f>
        <v>4</v>
      </c>
      <c r="AJ10" s="94" t="n">
        <f aca="false">Payroll!AJ$83</f>
        <v>4</v>
      </c>
      <c r="AK10" s="94" t="n">
        <f aca="false">Payroll!AK$83</f>
        <v>4</v>
      </c>
      <c r="AL10" s="94" t="n">
        <f aca="false">Payroll!AL$83</f>
        <v>4</v>
      </c>
      <c r="AM10" s="94" t="n">
        <f aca="false">Payroll!AM$83</f>
        <v>4</v>
      </c>
      <c r="AN10" s="94" t="n">
        <f aca="false">Payroll!AN$83</f>
        <v>4</v>
      </c>
      <c r="AO10" s="79" t="n">
        <f aca="false">BA10</f>
        <v>5</v>
      </c>
      <c r="AP10" s="94" t="n">
        <f aca="false">Payroll!AP$83</f>
        <v>5</v>
      </c>
      <c r="AQ10" s="94" t="n">
        <f aca="false">Payroll!AQ$83</f>
        <v>5</v>
      </c>
      <c r="AR10" s="94" t="n">
        <f aca="false">Payroll!AR$83</f>
        <v>5</v>
      </c>
      <c r="AS10" s="94" t="n">
        <f aca="false">Payroll!AS$83</f>
        <v>5</v>
      </c>
      <c r="AT10" s="94" t="n">
        <f aca="false">Payroll!AT$83</f>
        <v>5</v>
      </c>
      <c r="AU10" s="94" t="n">
        <f aca="false">Payroll!AU$83</f>
        <v>5</v>
      </c>
      <c r="AV10" s="94" t="n">
        <f aca="false">Payroll!AV$83</f>
        <v>5</v>
      </c>
      <c r="AW10" s="94" t="n">
        <f aca="false">Payroll!AW$83</f>
        <v>5</v>
      </c>
      <c r="AX10" s="94" t="n">
        <f aca="false">Payroll!AX$83</f>
        <v>5</v>
      </c>
      <c r="AY10" s="94" t="n">
        <f aca="false">Payroll!AY$83</f>
        <v>5</v>
      </c>
      <c r="AZ10" s="94" t="n">
        <f aca="false">Payroll!AZ$83</f>
        <v>5</v>
      </c>
      <c r="BA10" s="94" t="n">
        <f aca="false">Payroll!BA$83</f>
        <v>5</v>
      </c>
      <c r="BB10" s="79" t="n">
        <f aca="false">BN10</f>
        <v>6</v>
      </c>
      <c r="BC10" s="94" t="n">
        <f aca="false">Payroll!BC$83</f>
        <v>6</v>
      </c>
      <c r="BD10" s="94" t="n">
        <f aca="false">Payroll!BD$83</f>
        <v>6</v>
      </c>
      <c r="BE10" s="94" t="n">
        <f aca="false">Payroll!BE$83</f>
        <v>6</v>
      </c>
      <c r="BF10" s="94" t="n">
        <f aca="false">Payroll!BF$83</f>
        <v>6</v>
      </c>
      <c r="BG10" s="94" t="n">
        <f aca="false">Payroll!BG$83</f>
        <v>6</v>
      </c>
      <c r="BH10" s="94" t="n">
        <f aca="false">Payroll!BH$83</f>
        <v>6</v>
      </c>
      <c r="BI10" s="94" t="n">
        <f aca="false">Payroll!BI$83</f>
        <v>6</v>
      </c>
      <c r="BJ10" s="94" t="n">
        <f aca="false">Payroll!BJ$83</f>
        <v>6</v>
      </c>
      <c r="BK10" s="94" t="n">
        <f aca="false">Payroll!BK$83</f>
        <v>6</v>
      </c>
      <c r="BL10" s="94" t="n">
        <f aca="false">Payroll!BL$83</f>
        <v>6</v>
      </c>
      <c r="BM10" s="94" t="n">
        <f aca="false">Payroll!BM$83</f>
        <v>6</v>
      </c>
      <c r="BN10" s="94" t="n">
        <f aca="false">Payroll!BN$83</f>
        <v>6</v>
      </c>
    </row>
    <row r="11" customFormat="false" ht="15" hidden="false" customHeight="false" outlineLevel="0" collapsed="false">
      <c r="A11" s="12" t="s">
        <v>403</v>
      </c>
      <c r="B11" s="79" t="n">
        <f aca="false">N11</f>
        <v>0</v>
      </c>
      <c r="C11" s="94" t="n">
        <f aca="false">Payroll!C$84</f>
        <v>0</v>
      </c>
      <c r="D11" s="94" t="n">
        <f aca="false">Payroll!D$84</f>
        <v>0</v>
      </c>
      <c r="E11" s="94" t="n">
        <f aca="false">Payroll!E$84</f>
        <v>0</v>
      </c>
      <c r="F11" s="94" t="n">
        <f aca="false">Payroll!F$84</f>
        <v>0</v>
      </c>
      <c r="G11" s="94" t="n">
        <f aca="false">Payroll!G$84</f>
        <v>0</v>
      </c>
      <c r="H11" s="94" t="n">
        <f aca="false">Payroll!H$84</f>
        <v>0</v>
      </c>
      <c r="I11" s="94" t="n">
        <f aca="false">Payroll!I$84</f>
        <v>0</v>
      </c>
      <c r="J11" s="94" t="n">
        <f aca="false">Payroll!J$84</f>
        <v>0</v>
      </c>
      <c r="K11" s="94" t="n">
        <f aca="false">Payroll!K$84</f>
        <v>0</v>
      </c>
      <c r="L11" s="94" t="n">
        <f aca="false">Payroll!L$84</f>
        <v>0</v>
      </c>
      <c r="M11" s="94" t="n">
        <f aca="false">Payroll!M$84</f>
        <v>0</v>
      </c>
      <c r="N11" s="94" t="n">
        <f aca="false">Payroll!N$84</f>
        <v>0</v>
      </c>
      <c r="O11" s="79" t="n">
        <f aca="false">AA11</f>
        <v>1</v>
      </c>
      <c r="P11" s="94" t="n">
        <f aca="false">Payroll!P$84</f>
        <v>1</v>
      </c>
      <c r="Q11" s="94" t="n">
        <f aca="false">Payroll!Q$84</f>
        <v>1</v>
      </c>
      <c r="R11" s="94" t="n">
        <f aca="false">Payroll!R$84</f>
        <v>1</v>
      </c>
      <c r="S11" s="94" t="n">
        <f aca="false">Payroll!S$84</f>
        <v>1</v>
      </c>
      <c r="T11" s="94" t="n">
        <f aca="false">Payroll!T$84</f>
        <v>1</v>
      </c>
      <c r="U11" s="94" t="n">
        <f aca="false">Payroll!U$84</f>
        <v>1</v>
      </c>
      <c r="V11" s="94" t="n">
        <f aca="false">Payroll!V$84</f>
        <v>1</v>
      </c>
      <c r="W11" s="94" t="n">
        <f aca="false">Payroll!W$84</f>
        <v>1</v>
      </c>
      <c r="X11" s="94" t="n">
        <f aca="false">Payroll!X$84</f>
        <v>1</v>
      </c>
      <c r="Y11" s="94" t="n">
        <f aca="false">Payroll!Y$84</f>
        <v>1</v>
      </c>
      <c r="Z11" s="94" t="n">
        <f aca="false">Payroll!Z$84</f>
        <v>1</v>
      </c>
      <c r="AA11" s="94" t="n">
        <f aca="false">Payroll!AA$84</f>
        <v>1</v>
      </c>
      <c r="AB11" s="79" t="n">
        <f aca="false">AN11</f>
        <v>1</v>
      </c>
      <c r="AC11" s="94" t="n">
        <f aca="false">Payroll!AC$84</f>
        <v>1</v>
      </c>
      <c r="AD11" s="94" t="n">
        <f aca="false">Payroll!AD$84</f>
        <v>1</v>
      </c>
      <c r="AE11" s="94" t="n">
        <f aca="false">Payroll!AE$84</f>
        <v>1</v>
      </c>
      <c r="AF11" s="94" t="n">
        <f aca="false">Payroll!AF$84</f>
        <v>1</v>
      </c>
      <c r="AG11" s="94" t="n">
        <f aca="false">Payroll!AG$84</f>
        <v>1</v>
      </c>
      <c r="AH11" s="94" t="n">
        <f aca="false">Payroll!AH$84</f>
        <v>1</v>
      </c>
      <c r="AI11" s="94" t="n">
        <f aca="false">Payroll!AI$84</f>
        <v>1</v>
      </c>
      <c r="AJ11" s="94" t="n">
        <f aca="false">Payroll!AJ$84</f>
        <v>1</v>
      </c>
      <c r="AK11" s="94" t="n">
        <f aca="false">Payroll!AK$84</f>
        <v>1</v>
      </c>
      <c r="AL11" s="94" t="n">
        <f aca="false">Payroll!AL$84</f>
        <v>1</v>
      </c>
      <c r="AM11" s="94" t="n">
        <f aca="false">Payroll!AM$84</f>
        <v>1</v>
      </c>
      <c r="AN11" s="94" t="n">
        <f aca="false">Payroll!AN$84</f>
        <v>1</v>
      </c>
      <c r="AO11" s="79" t="n">
        <f aca="false">BA11</f>
        <v>1</v>
      </c>
      <c r="AP11" s="94" t="n">
        <f aca="false">Payroll!AP$84</f>
        <v>1</v>
      </c>
      <c r="AQ11" s="94" t="n">
        <f aca="false">Payroll!AQ$84</f>
        <v>1</v>
      </c>
      <c r="AR11" s="94" t="n">
        <f aca="false">Payroll!AR$84</f>
        <v>1</v>
      </c>
      <c r="AS11" s="94" t="n">
        <f aca="false">Payroll!AS$84</f>
        <v>1</v>
      </c>
      <c r="AT11" s="94" t="n">
        <f aca="false">Payroll!AT$84</f>
        <v>1</v>
      </c>
      <c r="AU11" s="94" t="n">
        <f aca="false">Payroll!AU$84</f>
        <v>1</v>
      </c>
      <c r="AV11" s="94" t="n">
        <f aca="false">Payroll!AV$84</f>
        <v>1</v>
      </c>
      <c r="AW11" s="94" t="n">
        <f aca="false">Payroll!AW$84</f>
        <v>1</v>
      </c>
      <c r="AX11" s="94" t="n">
        <f aca="false">Payroll!AX$84</f>
        <v>1</v>
      </c>
      <c r="AY11" s="94" t="n">
        <f aca="false">Payroll!AY$84</f>
        <v>1</v>
      </c>
      <c r="AZ11" s="94" t="n">
        <f aca="false">Payroll!AZ$84</f>
        <v>1</v>
      </c>
      <c r="BA11" s="94" t="n">
        <f aca="false">Payroll!BA$84</f>
        <v>1</v>
      </c>
      <c r="BB11" s="79" t="n">
        <f aca="false">BN11</f>
        <v>2</v>
      </c>
      <c r="BC11" s="94" t="n">
        <f aca="false">Payroll!BC$84</f>
        <v>2</v>
      </c>
      <c r="BD11" s="94" t="n">
        <f aca="false">Payroll!BD$84</f>
        <v>2</v>
      </c>
      <c r="BE11" s="94" t="n">
        <f aca="false">Payroll!BE$84</f>
        <v>2</v>
      </c>
      <c r="BF11" s="94" t="n">
        <f aca="false">Payroll!BF$84</f>
        <v>2</v>
      </c>
      <c r="BG11" s="94" t="n">
        <f aca="false">Payroll!BG$84</f>
        <v>2</v>
      </c>
      <c r="BH11" s="94" t="n">
        <f aca="false">Payroll!BH$84</f>
        <v>2</v>
      </c>
      <c r="BI11" s="94" t="n">
        <f aca="false">Payroll!BI$84</f>
        <v>2</v>
      </c>
      <c r="BJ11" s="94" t="n">
        <f aca="false">Payroll!BJ$84</f>
        <v>2</v>
      </c>
      <c r="BK11" s="94" t="n">
        <f aca="false">Payroll!BK$84</f>
        <v>2</v>
      </c>
      <c r="BL11" s="94" t="n">
        <f aca="false">Payroll!BL$84</f>
        <v>2</v>
      </c>
      <c r="BM11" s="94" t="n">
        <f aca="false">Payroll!BM$84</f>
        <v>2</v>
      </c>
      <c r="BN11" s="94" t="n">
        <f aca="false">Payroll!BN$84</f>
        <v>2</v>
      </c>
    </row>
    <row r="12" customFormat="false" ht="15" hidden="false" customHeight="false" outlineLevel="0" collapsed="false">
      <c r="A12" s="12" t="s">
        <v>462</v>
      </c>
      <c r="B12" s="79" t="n">
        <f aca="false">N12</f>
        <v>24</v>
      </c>
      <c r="C12" s="94" t="n">
        <f aca="false">'Assumption Setting'!$C$178</f>
        <v>24</v>
      </c>
      <c r="D12" s="94" t="n">
        <f aca="false">'Assumption Setting'!$C$178</f>
        <v>24</v>
      </c>
      <c r="E12" s="94" t="n">
        <f aca="false">'Assumption Setting'!$C$178</f>
        <v>24</v>
      </c>
      <c r="F12" s="94" t="n">
        <f aca="false">'Assumption Setting'!$C$178</f>
        <v>24</v>
      </c>
      <c r="G12" s="94" t="n">
        <f aca="false">'Assumption Setting'!$C$178</f>
        <v>24</v>
      </c>
      <c r="H12" s="94" t="n">
        <f aca="false">'Assumption Setting'!$C$178</f>
        <v>24</v>
      </c>
      <c r="I12" s="94" t="n">
        <f aca="false">'Assumption Setting'!$C$178</f>
        <v>24</v>
      </c>
      <c r="J12" s="94" t="n">
        <f aca="false">'Assumption Setting'!$C$178</f>
        <v>24</v>
      </c>
      <c r="K12" s="94" t="n">
        <f aca="false">'Assumption Setting'!$C$178</f>
        <v>24</v>
      </c>
      <c r="L12" s="94" t="n">
        <f aca="false">'Assumption Setting'!$C$178</f>
        <v>24</v>
      </c>
      <c r="M12" s="94" t="n">
        <f aca="false">'Assumption Setting'!$C$178</f>
        <v>24</v>
      </c>
      <c r="N12" s="94" t="n">
        <f aca="false">'Assumption Setting'!$C$178</f>
        <v>24</v>
      </c>
      <c r="O12" s="79" t="n">
        <f aca="false">AA12</f>
        <v>70</v>
      </c>
      <c r="P12" s="94" t="n">
        <f aca="false">'Assumption Setting'!$D$178</f>
        <v>70</v>
      </c>
      <c r="Q12" s="94" t="n">
        <f aca="false">'Assumption Setting'!$D$178</f>
        <v>70</v>
      </c>
      <c r="R12" s="94" t="n">
        <f aca="false">'Assumption Setting'!$D$178</f>
        <v>70</v>
      </c>
      <c r="S12" s="94" t="n">
        <f aca="false">'Assumption Setting'!$D$178</f>
        <v>70</v>
      </c>
      <c r="T12" s="94" t="n">
        <f aca="false">'Assumption Setting'!$D$178</f>
        <v>70</v>
      </c>
      <c r="U12" s="94" t="n">
        <f aca="false">'Assumption Setting'!$D$178</f>
        <v>70</v>
      </c>
      <c r="V12" s="94" t="n">
        <f aca="false">'Assumption Setting'!$D$178</f>
        <v>70</v>
      </c>
      <c r="W12" s="94" t="n">
        <f aca="false">'Assumption Setting'!$D$178</f>
        <v>70</v>
      </c>
      <c r="X12" s="94" t="n">
        <f aca="false">'Assumption Setting'!$D$178</f>
        <v>70</v>
      </c>
      <c r="Y12" s="94" t="n">
        <f aca="false">'Assumption Setting'!$D$178</f>
        <v>70</v>
      </c>
      <c r="Z12" s="94" t="n">
        <f aca="false">'Assumption Setting'!$D$178</f>
        <v>70</v>
      </c>
      <c r="AA12" s="94" t="n">
        <f aca="false">'Assumption Setting'!$D$178</f>
        <v>70</v>
      </c>
      <c r="AB12" s="79" t="n">
        <f aca="false">AN12</f>
        <v>160</v>
      </c>
      <c r="AC12" s="94" t="n">
        <f aca="false">'Assumption Setting'!$E$178</f>
        <v>160</v>
      </c>
      <c r="AD12" s="94" t="n">
        <f aca="false">'Assumption Setting'!$E$178</f>
        <v>160</v>
      </c>
      <c r="AE12" s="94" t="n">
        <f aca="false">'Assumption Setting'!$E$178</f>
        <v>160</v>
      </c>
      <c r="AF12" s="94" t="n">
        <f aca="false">'Assumption Setting'!$E$178</f>
        <v>160</v>
      </c>
      <c r="AG12" s="94" t="n">
        <f aca="false">'Assumption Setting'!$E$178</f>
        <v>160</v>
      </c>
      <c r="AH12" s="94" t="n">
        <f aca="false">'Assumption Setting'!$E$178</f>
        <v>160</v>
      </c>
      <c r="AI12" s="94" t="n">
        <f aca="false">'Assumption Setting'!$E$178</f>
        <v>160</v>
      </c>
      <c r="AJ12" s="94" t="n">
        <f aca="false">'Assumption Setting'!$E$178</f>
        <v>160</v>
      </c>
      <c r="AK12" s="94" t="n">
        <f aca="false">'Assumption Setting'!$E$178</f>
        <v>160</v>
      </c>
      <c r="AL12" s="94" t="n">
        <f aca="false">'Assumption Setting'!$E$178</f>
        <v>160</v>
      </c>
      <c r="AM12" s="94" t="n">
        <f aca="false">'Assumption Setting'!$E$178</f>
        <v>160</v>
      </c>
      <c r="AN12" s="94" t="n">
        <f aca="false">'Assumption Setting'!$E$178</f>
        <v>160</v>
      </c>
      <c r="AO12" s="79" t="n">
        <f aca="false">BA12</f>
        <v>260</v>
      </c>
      <c r="AP12" s="94" t="n">
        <f aca="false">'Assumption Setting'!$F$178</f>
        <v>260</v>
      </c>
      <c r="AQ12" s="94" t="n">
        <f aca="false">'Assumption Setting'!$F$178</f>
        <v>260</v>
      </c>
      <c r="AR12" s="94" t="n">
        <f aca="false">'Assumption Setting'!$F$178</f>
        <v>260</v>
      </c>
      <c r="AS12" s="94" t="n">
        <f aca="false">'Assumption Setting'!$F$178</f>
        <v>260</v>
      </c>
      <c r="AT12" s="94" t="n">
        <f aca="false">'Assumption Setting'!$F$178</f>
        <v>260</v>
      </c>
      <c r="AU12" s="94" t="n">
        <f aca="false">'Assumption Setting'!$F$178</f>
        <v>260</v>
      </c>
      <c r="AV12" s="94" t="n">
        <f aca="false">'Assumption Setting'!$F$178</f>
        <v>260</v>
      </c>
      <c r="AW12" s="94" t="n">
        <f aca="false">'Assumption Setting'!$F$178</f>
        <v>260</v>
      </c>
      <c r="AX12" s="94" t="n">
        <f aca="false">'Assumption Setting'!$F$178</f>
        <v>260</v>
      </c>
      <c r="AY12" s="94" t="n">
        <f aca="false">'Assumption Setting'!$F$178</f>
        <v>260</v>
      </c>
      <c r="AZ12" s="94" t="n">
        <f aca="false">'Assumption Setting'!$F$178</f>
        <v>260</v>
      </c>
      <c r="BA12" s="94" t="n">
        <f aca="false">'Assumption Setting'!$F$178</f>
        <v>260</v>
      </c>
      <c r="BB12" s="79" t="n">
        <f aca="false">BN12</f>
        <v>360</v>
      </c>
      <c r="BC12" s="94" t="n">
        <f aca="false">'Assumption Setting'!$G$178</f>
        <v>360</v>
      </c>
      <c r="BD12" s="94" t="n">
        <f aca="false">'Assumption Setting'!$G$178</f>
        <v>360</v>
      </c>
      <c r="BE12" s="94" t="n">
        <f aca="false">'Assumption Setting'!$G$178</f>
        <v>360</v>
      </c>
      <c r="BF12" s="94" t="n">
        <f aca="false">'Assumption Setting'!$G$178</f>
        <v>360</v>
      </c>
      <c r="BG12" s="94" t="n">
        <f aca="false">'Assumption Setting'!$G$178</f>
        <v>360</v>
      </c>
      <c r="BH12" s="94" t="n">
        <f aca="false">'Assumption Setting'!$G$178</f>
        <v>360</v>
      </c>
      <c r="BI12" s="94" t="n">
        <f aca="false">'Assumption Setting'!$G$178</f>
        <v>360</v>
      </c>
      <c r="BJ12" s="94" t="n">
        <f aca="false">'Assumption Setting'!$G$178</f>
        <v>360</v>
      </c>
      <c r="BK12" s="94" t="n">
        <f aca="false">'Assumption Setting'!$G$178</f>
        <v>360</v>
      </c>
      <c r="BL12" s="94" t="n">
        <f aca="false">'Assumption Setting'!$G$178</f>
        <v>360</v>
      </c>
      <c r="BM12" s="94" t="n">
        <f aca="false">'Assumption Setting'!$G$178</f>
        <v>360</v>
      </c>
      <c r="BN12" s="94" t="n">
        <f aca="false">'Assumption Setting'!$G$178</f>
        <v>360</v>
      </c>
    </row>
    <row r="13" customFormat="false" ht="15" hidden="false" customHeight="false" outlineLevel="0" collapsed="false">
      <c r="A13" s="12" t="s">
        <v>294</v>
      </c>
      <c r="B13" s="79" t="n">
        <f aca="false">N13</f>
        <v>15</v>
      </c>
      <c r="C13" s="94" t="n">
        <f aca="false">'Revenue Streams'!C$23</f>
        <v>6</v>
      </c>
      <c r="D13" s="94" t="n">
        <f aca="false">'Revenue Streams'!D$23</f>
        <v>6</v>
      </c>
      <c r="E13" s="94" t="n">
        <f aca="false">'Revenue Streams'!E$23</f>
        <v>6</v>
      </c>
      <c r="F13" s="94" t="n">
        <f aca="false">'Revenue Streams'!F$23</f>
        <v>9</v>
      </c>
      <c r="G13" s="94" t="n">
        <f aca="false">'Revenue Streams'!G$23</f>
        <v>9</v>
      </c>
      <c r="H13" s="94" t="n">
        <f aca="false">'Revenue Streams'!H$23</f>
        <v>9</v>
      </c>
      <c r="I13" s="94" t="n">
        <f aca="false">'Revenue Streams'!I$23</f>
        <v>12</v>
      </c>
      <c r="J13" s="94" t="n">
        <f aca="false">'Revenue Streams'!J$23</f>
        <v>12</v>
      </c>
      <c r="K13" s="94" t="n">
        <f aca="false">'Revenue Streams'!K$23</f>
        <v>12</v>
      </c>
      <c r="L13" s="94" t="n">
        <f aca="false">'Revenue Streams'!L$23</f>
        <v>15</v>
      </c>
      <c r="M13" s="94" t="n">
        <f aca="false">'Revenue Streams'!M$23</f>
        <v>15</v>
      </c>
      <c r="N13" s="94" t="n">
        <f aca="false">'Revenue Streams'!N$23</f>
        <v>15</v>
      </c>
      <c r="O13" s="79" t="n">
        <f aca="false">AA13</f>
        <v>34</v>
      </c>
      <c r="P13" s="94" t="n">
        <f aca="false">'Revenue Streams'!P$23</f>
        <v>19</v>
      </c>
      <c r="Q13" s="94" t="n">
        <f aca="false">'Revenue Streams'!Q$23</f>
        <v>19</v>
      </c>
      <c r="R13" s="94" t="n">
        <f aca="false">'Revenue Streams'!R$23</f>
        <v>19</v>
      </c>
      <c r="S13" s="94" t="n">
        <f aca="false">'Revenue Streams'!S$23</f>
        <v>24</v>
      </c>
      <c r="T13" s="94" t="n">
        <f aca="false">'Revenue Streams'!T$23</f>
        <v>24</v>
      </c>
      <c r="U13" s="94" t="n">
        <f aca="false">'Revenue Streams'!U$23</f>
        <v>24</v>
      </c>
      <c r="V13" s="94" t="n">
        <f aca="false">'Revenue Streams'!V$23</f>
        <v>29</v>
      </c>
      <c r="W13" s="94" t="n">
        <f aca="false">'Revenue Streams'!W$23</f>
        <v>29</v>
      </c>
      <c r="X13" s="94" t="n">
        <f aca="false">'Revenue Streams'!X$23</f>
        <v>29</v>
      </c>
      <c r="Y13" s="94" t="n">
        <f aca="false">'Revenue Streams'!Y$23</f>
        <v>34</v>
      </c>
      <c r="Z13" s="94" t="n">
        <f aca="false">'Revenue Streams'!Z$23</f>
        <v>34</v>
      </c>
      <c r="AA13" s="94" t="n">
        <f aca="false">'Revenue Streams'!AA$23</f>
        <v>34</v>
      </c>
      <c r="AB13" s="79" t="n">
        <f aca="false">AN13</f>
        <v>58</v>
      </c>
      <c r="AC13" s="94" t="n">
        <f aca="false">'Revenue Streams'!AC$23</f>
        <v>40</v>
      </c>
      <c r="AD13" s="94" t="n">
        <f aca="false">'Revenue Streams'!AD$23</f>
        <v>40</v>
      </c>
      <c r="AE13" s="94" t="n">
        <f aca="false">'Revenue Streams'!AE$23</f>
        <v>40</v>
      </c>
      <c r="AF13" s="94" t="n">
        <f aca="false">'Revenue Streams'!AF$23</f>
        <v>46</v>
      </c>
      <c r="AG13" s="94" t="n">
        <f aca="false">'Revenue Streams'!AG$23</f>
        <v>46</v>
      </c>
      <c r="AH13" s="94" t="n">
        <f aca="false">'Revenue Streams'!AH$23</f>
        <v>46</v>
      </c>
      <c r="AI13" s="94" t="n">
        <f aca="false">'Revenue Streams'!AI$23</f>
        <v>52</v>
      </c>
      <c r="AJ13" s="94" t="n">
        <f aca="false">'Revenue Streams'!AJ$23</f>
        <v>52</v>
      </c>
      <c r="AK13" s="94" t="n">
        <f aca="false">'Revenue Streams'!AK$23</f>
        <v>52</v>
      </c>
      <c r="AL13" s="94" t="n">
        <f aca="false">'Revenue Streams'!AL$23</f>
        <v>58</v>
      </c>
      <c r="AM13" s="94" t="n">
        <f aca="false">'Revenue Streams'!AM$23</f>
        <v>58</v>
      </c>
      <c r="AN13" s="94" t="n">
        <f aca="false">'Revenue Streams'!AN$23</f>
        <v>58</v>
      </c>
      <c r="AO13" s="79" t="n">
        <f aca="false">BA13</f>
        <v>90</v>
      </c>
      <c r="AP13" s="94" t="n">
        <f aca="false">'Revenue Streams'!AP$23</f>
        <v>66</v>
      </c>
      <c r="AQ13" s="94" t="n">
        <f aca="false">'Revenue Streams'!AQ$23</f>
        <v>66</v>
      </c>
      <c r="AR13" s="94" t="n">
        <f aca="false">'Revenue Streams'!AR$23</f>
        <v>66</v>
      </c>
      <c r="AS13" s="94" t="n">
        <f aca="false">'Revenue Streams'!AS$23</f>
        <v>74</v>
      </c>
      <c r="AT13" s="94" t="n">
        <f aca="false">'Revenue Streams'!AT$23</f>
        <v>74</v>
      </c>
      <c r="AU13" s="94" t="n">
        <f aca="false">'Revenue Streams'!AU$23</f>
        <v>74</v>
      </c>
      <c r="AV13" s="94" t="n">
        <f aca="false">'Revenue Streams'!AV$23</f>
        <v>82</v>
      </c>
      <c r="AW13" s="94" t="n">
        <f aca="false">'Revenue Streams'!AW$23</f>
        <v>82</v>
      </c>
      <c r="AX13" s="94" t="n">
        <f aca="false">'Revenue Streams'!AX$23</f>
        <v>82</v>
      </c>
      <c r="AY13" s="94" t="n">
        <f aca="false">'Revenue Streams'!AY$23</f>
        <v>90</v>
      </c>
      <c r="AZ13" s="94" t="n">
        <f aca="false">'Revenue Streams'!AZ$23</f>
        <v>90</v>
      </c>
      <c r="BA13" s="94" t="n">
        <f aca="false">'Revenue Streams'!BA$23</f>
        <v>90</v>
      </c>
      <c r="BB13" s="79" t="n">
        <f aca="false">BN13</f>
        <v>122</v>
      </c>
      <c r="BC13" s="94" t="n">
        <f aca="false">'Revenue Streams'!BC$23</f>
        <v>98</v>
      </c>
      <c r="BD13" s="94" t="n">
        <f aca="false">'Revenue Streams'!BD$23</f>
        <v>98</v>
      </c>
      <c r="BE13" s="94" t="n">
        <f aca="false">'Revenue Streams'!BE$23</f>
        <v>98</v>
      </c>
      <c r="BF13" s="94" t="n">
        <f aca="false">'Revenue Streams'!BF$23</f>
        <v>106</v>
      </c>
      <c r="BG13" s="94" t="n">
        <f aca="false">'Revenue Streams'!BG$23</f>
        <v>106</v>
      </c>
      <c r="BH13" s="94" t="n">
        <f aca="false">'Revenue Streams'!BH$23</f>
        <v>106</v>
      </c>
      <c r="BI13" s="94" t="n">
        <f aca="false">'Revenue Streams'!BI$23</f>
        <v>114</v>
      </c>
      <c r="BJ13" s="94" t="n">
        <f aca="false">'Revenue Streams'!BJ$23</f>
        <v>114</v>
      </c>
      <c r="BK13" s="94" t="n">
        <f aca="false">'Revenue Streams'!BK$23</f>
        <v>114</v>
      </c>
      <c r="BL13" s="94" t="n">
        <f aca="false">'Revenue Streams'!BL$23</f>
        <v>122</v>
      </c>
      <c r="BM13" s="94" t="n">
        <f aca="false">'Revenue Streams'!BM$23</f>
        <v>122</v>
      </c>
      <c r="BN13" s="94" t="n">
        <f aca="false">'Revenue Streams'!BN$23</f>
        <v>122</v>
      </c>
    </row>
    <row r="14" customFormat="false" ht="15" hidden="false" customHeight="false" outlineLevel="0" collapsed="false">
      <c r="A14" s="12" t="s">
        <v>297</v>
      </c>
      <c r="B14" s="79" t="n">
        <f aca="false">N14</f>
        <v>1</v>
      </c>
      <c r="C14" s="94" t="n">
        <f aca="false">'Revenue Streams'!C$24</f>
        <v>0</v>
      </c>
      <c r="D14" s="94" t="n">
        <f aca="false">'Revenue Streams'!D$24</f>
        <v>0</v>
      </c>
      <c r="E14" s="94" t="n">
        <f aca="false">'Revenue Streams'!E$24</f>
        <v>0</v>
      </c>
      <c r="F14" s="94" t="n">
        <f aca="false">'Revenue Streams'!F$24</f>
        <v>0</v>
      </c>
      <c r="G14" s="94" t="n">
        <f aca="false">'Revenue Streams'!G$24</f>
        <v>0</v>
      </c>
      <c r="H14" s="94" t="n">
        <f aca="false">'Revenue Streams'!H$24</f>
        <v>0</v>
      </c>
      <c r="I14" s="94" t="n">
        <f aca="false">'Revenue Streams'!I$24</f>
        <v>1</v>
      </c>
      <c r="J14" s="94" t="n">
        <f aca="false">'Revenue Streams'!J$24</f>
        <v>1</v>
      </c>
      <c r="K14" s="94" t="n">
        <f aca="false">'Revenue Streams'!K$24</f>
        <v>1</v>
      </c>
      <c r="L14" s="94" t="n">
        <f aca="false">'Revenue Streams'!L$24</f>
        <v>1</v>
      </c>
      <c r="M14" s="94" t="n">
        <f aca="false">'Revenue Streams'!M$24</f>
        <v>1</v>
      </c>
      <c r="N14" s="94" t="n">
        <f aca="false">'Revenue Streams'!N$24</f>
        <v>1</v>
      </c>
      <c r="O14" s="79" t="n">
        <f aca="false">AA14</f>
        <v>5</v>
      </c>
      <c r="P14" s="94" t="n">
        <f aca="false">'Revenue Streams'!P$24</f>
        <v>2</v>
      </c>
      <c r="Q14" s="94" t="n">
        <f aca="false">'Revenue Streams'!Q$24</f>
        <v>2</v>
      </c>
      <c r="R14" s="94" t="n">
        <f aca="false">'Revenue Streams'!R$24</f>
        <v>2</v>
      </c>
      <c r="S14" s="94" t="n">
        <f aca="false">'Revenue Streams'!S$24</f>
        <v>3</v>
      </c>
      <c r="T14" s="94" t="n">
        <f aca="false">'Revenue Streams'!T$24</f>
        <v>3</v>
      </c>
      <c r="U14" s="94" t="n">
        <f aca="false">'Revenue Streams'!U$24</f>
        <v>3</v>
      </c>
      <c r="V14" s="94" t="n">
        <f aca="false">'Revenue Streams'!V$24</f>
        <v>4</v>
      </c>
      <c r="W14" s="94" t="n">
        <f aca="false">'Revenue Streams'!W$24</f>
        <v>4</v>
      </c>
      <c r="X14" s="94" t="n">
        <f aca="false">'Revenue Streams'!X$24</f>
        <v>4</v>
      </c>
      <c r="Y14" s="94" t="n">
        <f aca="false">'Revenue Streams'!Y$24</f>
        <v>5</v>
      </c>
      <c r="Z14" s="94" t="n">
        <f aca="false">'Revenue Streams'!Z$24</f>
        <v>5</v>
      </c>
      <c r="AA14" s="94" t="n">
        <f aca="false">'Revenue Streams'!AA$24</f>
        <v>5</v>
      </c>
      <c r="AB14" s="79" t="n">
        <f aca="false">AN14</f>
        <v>9</v>
      </c>
      <c r="AC14" s="94" t="n">
        <f aca="false">'Revenue Streams'!AC$24</f>
        <v>6</v>
      </c>
      <c r="AD14" s="94" t="n">
        <f aca="false">'Revenue Streams'!AD$24</f>
        <v>6</v>
      </c>
      <c r="AE14" s="94" t="n">
        <f aca="false">'Revenue Streams'!AE$24</f>
        <v>6</v>
      </c>
      <c r="AF14" s="94" t="n">
        <f aca="false">'Revenue Streams'!AF$24</f>
        <v>7</v>
      </c>
      <c r="AG14" s="94" t="n">
        <f aca="false">'Revenue Streams'!AG$24</f>
        <v>7</v>
      </c>
      <c r="AH14" s="94" t="n">
        <f aca="false">'Revenue Streams'!AH$24</f>
        <v>7</v>
      </c>
      <c r="AI14" s="94" t="n">
        <f aca="false">'Revenue Streams'!AI$24</f>
        <v>8</v>
      </c>
      <c r="AJ14" s="94" t="n">
        <f aca="false">'Revenue Streams'!AJ$24</f>
        <v>8</v>
      </c>
      <c r="AK14" s="94" t="n">
        <f aca="false">'Revenue Streams'!AK$24</f>
        <v>8</v>
      </c>
      <c r="AL14" s="94" t="n">
        <f aca="false">'Revenue Streams'!AL$24</f>
        <v>9</v>
      </c>
      <c r="AM14" s="94" t="n">
        <f aca="false">'Revenue Streams'!AM$24</f>
        <v>9</v>
      </c>
      <c r="AN14" s="94" t="n">
        <f aca="false">'Revenue Streams'!AN$24</f>
        <v>9</v>
      </c>
      <c r="AO14" s="79" t="n">
        <f aca="false">BA14</f>
        <v>13</v>
      </c>
      <c r="AP14" s="94" t="n">
        <f aca="false">'Revenue Streams'!AP$24</f>
        <v>10</v>
      </c>
      <c r="AQ14" s="94" t="n">
        <f aca="false">'Revenue Streams'!AQ$24</f>
        <v>10</v>
      </c>
      <c r="AR14" s="94" t="n">
        <f aca="false">'Revenue Streams'!AR$24</f>
        <v>10</v>
      </c>
      <c r="AS14" s="94" t="n">
        <f aca="false">'Revenue Streams'!AS$24</f>
        <v>11</v>
      </c>
      <c r="AT14" s="94" t="n">
        <f aca="false">'Revenue Streams'!AT$24</f>
        <v>11</v>
      </c>
      <c r="AU14" s="94" t="n">
        <f aca="false">'Revenue Streams'!AU$24</f>
        <v>11</v>
      </c>
      <c r="AV14" s="94" t="n">
        <f aca="false">'Revenue Streams'!AV$24</f>
        <v>12</v>
      </c>
      <c r="AW14" s="94" t="n">
        <f aca="false">'Revenue Streams'!AW$24</f>
        <v>12</v>
      </c>
      <c r="AX14" s="94" t="n">
        <f aca="false">'Revenue Streams'!AX$24</f>
        <v>12</v>
      </c>
      <c r="AY14" s="94" t="n">
        <f aca="false">'Revenue Streams'!AY$24</f>
        <v>13</v>
      </c>
      <c r="AZ14" s="94" t="n">
        <f aca="false">'Revenue Streams'!AZ$24</f>
        <v>13</v>
      </c>
      <c r="BA14" s="94" t="n">
        <f aca="false">'Revenue Streams'!BA$24</f>
        <v>13</v>
      </c>
      <c r="BB14" s="79" t="n">
        <f aca="false">BN14</f>
        <v>17</v>
      </c>
      <c r="BC14" s="94" t="n">
        <f aca="false">'Revenue Streams'!BC$24</f>
        <v>14</v>
      </c>
      <c r="BD14" s="94" t="n">
        <f aca="false">'Revenue Streams'!BD$24</f>
        <v>14</v>
      </c>
      <c r="BE14" s="94" t="n">
        <f aca="false">'Revenue Streams'!BE$24</f>
        <v>14</v>
      </c>
      <c r="BF14" s="94" t="n">
        <f aca="false">'Revenue Streams'!BF$24</f>
        <v>15</v>
      </c>
      <c r="BG14" s="94" t="n">
        <f aca="false">'Revenue Streams'!BG$24</f>
        <v>15</v>
      </c>
      <c r="BH14" s="94" t="n">
        <f aca="false">'Revenue Streams'!BH$24</f>
        <v>15</v>
      </c>
      <c r="BI14" s="94" t="n">
        <f aca="false">'Revenue Streams'!BI$24</f>
        <v>16</v>
      </c>
      <c r="BJ14" s="94" t="n">
        <f aca="false">'Revenue Streams'!BJ$24</f>
        <v>16</v>
      </c>
      <c r="BK14" s="94" t="n">
        <f aca="false">'Revenue Streams'!BK$24</f>
        <v>16</v>
      </c>
      <c r="BL14" s="94" t="n">
        <f aca="false">'Revenue Streams'!BL$24</f>
        <v>17</v>
      </c>
      <c r="BM14" s="94" t="n">
        <f aca="false">'Revenue Streams'!BM$24</f>
        <v>17</v>
      </c>
      <c r="BN14" s="94" t="n">
        <f aca="false">'Revenue Streams'!BN$24</f>
        <v>17</v>
      </c>
    </row>
    <row r="15" customFormat="false" ht="15" hidden="false" customHeight="false" outlineLevel="0" collapsed="false">
      <c r="A15" s="70" t="s">
        <v>664</v>
      </c>
      <c r="B15" s="79" t="n">
        <f aca="false">N15</f>
        <v>44</v>
      </c>
      <c r="C15" s="87" t="n">
        <f aca="false">Payroll!C$73+C12+C13+C14</f>
        <v>34</v>
      </c>
      <c r="D15" s="87" t="n">
        <f aca="false">Payroll!D$73+D12+D13+D14</f>
        <v>34</v>
      </c>
      <c r="E15" s="87" t="n">
        <f aca="false">Payroll!E$73+E12+E13+E14</f>
        <v>34</v>
      </c>
      <c r="F15" s="87" t="n">
        <f aca="false">Payroll!F$73+F12+F13+F14</f>
        <v>37</v>
      </c>
      <c r="G15" s="87" t="n">
        <f aca="false">Payroll!G$73+G12+G13+G14</f>
        <v>37</v>
      </c>
      <c r="H15" s="87" t="n">
        <f aca="false">Payroll!H$73+H12+H13+H14</f>
        <v>37</v>
      </c>
      <c r="I15" s="87" t="n">
        <f aca="false">Payroll!I$73+I12+I13+I14</f>
        <v>41</v>
      </c>
      <c r="J15" s="87" t="n">
        <f aca="false">Payroll!J$73+J12+J13+J14</f>
        <v>41</v>
      </c>
      <c r="K15" s="87" t="n">
        <f aca="false">Payroll!K$73+K12+K13+K14</f>
        <v>41</v>
      </c>
      <c r="L15" s="87" t="n">
        <f aca="false">Payroll!L$73+L12+L13+L14</f>
        <v>44</v>
      </c>
      <c r="M15" s="87" t="n">
        <f aca="false">Payroll!M$73+M12+M13+M14</f>
        <v>44</v>
      </c>
      <c r="N15" s="87" t="n">
        <f aca="false">Payroll!N$73+N12+N13+N14</f>
        <v>44</v>
      </c>
      <c r="O15" s="79" t="n">
        <f aca="false">AA15</f>
        <v>116</v>
      </c>
      <c r="P15" s="87" t="n">
        <f aca="false">Payroll!P$73+P12+P13+P14</f>
        <v>98</v>
      </c>
      <c r="Q15" s="87" t="n">
        <f aca="false">Payroll!Q$73+Q12+Q13+Q14</f>
        <v>98</v>
      </c>
      <c r="R15" s="87" t="n">
        <f aca="false">Payroll!R$73+R12+R13+R14</f>
        <v>98</v>
      </c>
      <c r="S15" s="87" t="n">
        <f aca="false">Payroll!S$73+S12+S13+S14</f>
        <v>104</v>
      </c>
      <c r="T15" s="87" t="n">
        <f aca="false">Payroll!T$73+T12+T13+T14</f>
        <v>104</v>
      </c>
      <c r="U15" s="87" t="n">
        <f aca="false">Payroll!U$73+U12+U13+U14</f>
        <v>104</v>
      </c>
      <c r="V15" s="87" t="n">
        <f aca="false">Payroll!V$73+V12+V13+V14</f>
        <v>110</v>
      </c>
      <c r="W15" s="87" t="n">
        <f aca="false">Payroll!W$73+W12+W13+W14</f>
        <v>110</v>
      </c>
      <c r="X15" s="87" t="n">
        <f aca="false">Payroll!X$73+X12+X13+X14</f>
        <v>110</v>
      </c>
      <c r="Y15" s="87" t="n">
        <f aca="false">Payroll!Y$73+Y12+Y13+Y14</f>
        <v>116</v>
      </c>
      <c r="Z15" s="87" t="n">
        <f aca="false">Payroll!Z$73+Z12+Z13+Z14</f>
        <v>116</v>
      </c>
      <c r="AA15" s="87" t="n">
        <f aca="false">Payroll!AA$73+AA12+AA13+AA14</f>
        <v>116</v>
      </c>
      <c r="AB15" s="79" t="n">
        <f aca="false">AN15</f>
        <v>239</v>
      </c>
      <c r="AC15" s="87" t="n">
        <f aca="false">Payroll!AC$73+AC12+AC13+AC14</f>
        <v>218</v>
      </c>
      <c r="AD15" s="87" t="n">
        <f aca="false">Payroll!AD$73+AD12+AD13+AD14</f>
        <v>218</v>
      </c>
      <c r="AE15" s="87" t="n">
        <f aca="false">Payroll!AE$73+AE12+AE13+AE14</f>
        <v>218</v>
      </c>
      <c r="AF15" s="87" t="n">
        <f aca="false">Payroll!AF$73+AF12+AF13+AF14</f>
        <v>225</v>
      </c>
      <c r="AG15" s="87" t="n">
        <f aca="false">Payroll!AG$73+AG12+AG13+AG14</f>
        <v>225</v>
      </c>
      <c r="AH15" s="87" t="n">
        <f aca="false">Payroll!AH$73+AH12+AH13+AH14</f>
        <v>225</v>
      </c>
      <c r="AI15" s="87" t="n">
        <f aca="false">Payroll!AI$73+AI12+AI13+AI14</f>
        <v>232</v>
      </c>
      <c r="AJ15" s="87" t="n">
        <f aca="false">Payroll!AJ$73+AJ12+AJ13+AJ14</f>
        <v>232</v>
      </c>
      <c r="AK15" s="87" t="n">
        <f aca="false">Payroll!AK$73+AK12+AK13+AK14</f>
        <v>232</v>
      </c>
      <c r="AL15" s="87" t="n">
        <f aca="false">Payroll!AL$73+AL12+AL13+AL14</f>
        <v>239</v>
      </c>
      <c r="AM15" s="87" t="n">
        <f aca="false">Payroll!AM$73+AM12+AM13+AM14</f>
        <v>239</v>
      </c>
      <c r="AN15" s="87" t="n">
        <f aca="false">Payroll!AN$73+AN12+AN13+AN14</f>
        <v>239</v>
      </c>
      <c r="AO15" s="79" t="n">
        <f aca="false">BA15</f>
        <v>379</v>
      </c>
      <c r="AP15" s="87" t="n">
        <f aca="false">Payroll!AP$73+AP12+AP13+AP14</f>
        <v>352</v>
      </c>
      <c r="AQ15" s="87" t="n">
        <f aca="false">Payroll!AQ$73+AQ12+AQ13+AQ14</f>
        <v>352</v>
      </c>
      <c r="AR15" s="87" t="n">
        <f aca="false">Payroll!AR$73+AR12+AR13+AR14</f>
        <v>352</v>
      </c>
      <c r="AS15" s="87" t="n">
        <f aca="false">Payroll!AS$73+AS12+AS13+AS14</f>
        <v>361</v>
      </c>
      <c r="AT15" s="87" t="n">
        <f aca="false">Payroll!AT$73+AT12+AT13+AT14</f>
        <v>361</v>
      </c>
      <c r="AU15" s="87" t="n">
        <f aca="false">Payroll!AU$73+AU12+AU13+AU14</f>
        <v>361</v>
      </c>
      <c r="AV15" s="87" t="n">
        <f aca="false">Payroll!AV$73+AV12+AV13+AV14</f>
        <v>370</v>
      </c>
      <c r="AW15" s="87" t="n">
        <f aca="false">Payroll!AW$73+AW12+AW13+AW14</f>
        <v>370</v>
      </c>
      <c r="AX15" s="87" t="n">
        <f aca="false">Payroll!AX$73+AX12+AX13+AX14</f>
        <v>370</v>
      </c>
      <c r="AY15" s="87" t="n">
        <f aca="false">Payroll!AY$73+AY12+AY13+AY14</f>
        <v>379</v>
      </c>
      <c r="AZ15" s="87" t="n">
        <f aca="false">Payroll!AZ$73+AZ12+AZ13+AZ14</f>
        <v>379</v>
      </c>
      <c r="BA15" s="87" t="n">
        <f aca="false">Payroll!BA$73+BA12+BA13+BA14</f>
        <v>379</v>
      </c>
      <c r="BB15" s="79" t="n">
        <f aca="false">BN15</f>
        <v>519</v>
      </c>
      <c r="BC15" s="87" t="n">
        <f aca="false">Payroll!BC$73+BC12+BC13+BC14</f>
        <v>492</v>
      </c>
      <c r="BD15" s="87" t="n">
        <f aca="false">Payroll!BD$73+BD12+BD13+BD14</f>
        <v>492</v>
      </c>
      <c r="BE15" s="87" t="n">
        <f aca="false">Payroll!BE$73+BE12+BE13+BE14</f>
        <v>492</v>
      </c>
      <c r="BF15" s="87" t="n">
        <f aca="false">Payroll!BF$73+BF12+BF13+BF14</f>
        <v>501</v>
      </c>
      <c r="BG15" s="87" t="n">
        <f aca="false">Payroll!BG$73+BG12+BG13+BG14</f>
        <v>501</v>
      </c>
      <c r="BH15" s="87" t="n">
        <f aca="false">Payroll!BH$73+BH12+BH13+BH14</f>
        <v>501</v>
      </c>
      <c r="BI15" s="87" t="n">
        <f aca="false">Payroll!BI$73+BI12+BI13+BI14</f>
        <v>510</v>
      </c>
      <c r="BJ15" s="87" t="n">
        <f aca="false">Payroll!BJ$73+BJ12+BJ13+BJ14</f>
        <v>510</v>
      </c>
      <c r="BK15" s="87" t="n">
        <f aca="false">Payroll!BK$73+BK12+BK13+BK14</f>
        <v>510</v>
      </c>
      <c r="BL15" s="87" t="n">
        <f aca="false">Payroll!BL$73+BL12+BL13+BL14</f>
        <v>519</v>
      </c>
      <c r="BM15" s="87" t="n">
        <f aca="false">Payroll!BM$73+BM12+BM13+BM14</f>
        <v>519</v>
      </c>
      <c r="BN15" s="87" t="n">
        <f aca="false">Payroll!BN$73+BN12+BN13+BN14</f>
        <v>519</v>
      </c>
    </row>
    <row r="16" customFormat="false" ht="15" hidden="false" customHeight="false" outlineLevel="0" collapsed="false">
      <c r="A16" s="72" t="s">
        <v>665</v>
      </c>
    </row>
    <row r="18" customFormat="false" ht="16.5" hidden="false" customHeight="true" outlineLevel="0" collapsed="false">
      <c r="A18" s="15" t="s">
        <v>666</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505</v>
      </c>
      <c r="B19" s="62" t="s">
        <v>80</v>
      </c>
      <c r="C19" s="63" t="s">
        <v>506</v>
      </c>
      <c r="D19" s="63" t="s">
        <v>507</v>
      </c>
      <c r="E19" s="63" t="s">
        <v>508</v>
      </c>
      <c r="F19" s="63" t="s">
        <v>509</v>
      </c>
      <c r="G19" s="63" t="s">
        <v>510</v>
      </c>
      <c r="H19" s="63" t="s">
        <v>511</v>
      </c>
      <c r="I19" s="63" t="s">
        <v>512</v>
      </c>
      <c r="J19" s="63" t="s">
        <v>513</v>
      </c>
      <c r="K19" s="63" t="s">
        <v>514</v>
      </c>
      <c r="L19" s="63" t="s">
        <v>515</v>
      </c>
      <c r="M19" s="63" t="s">
        <v>516</v>
      </c>
      <c r="N19" s="63" t="s">
        <v>517</v>
      </c>
      <c r="O19" s="62" t="s">
        <v>81</v>
      </c>
      <c r="P19" s="64" t="s">
        <v>518</v>
      </c>
      <c r="Q19" s="64" t="s">
        <v>519</v>
      </c>
      <c r="R19" s="64" t="s">
        <v>520</v>
      </c>
      <c r="S19" s="64" t="s">
        <v>521</v>
      </c>
      <c r="T19" s="64" t="s">
        <v>522</v>
      </c>
      <c r="U19" s="64" t="s">
        <v>523</v>
      </c>
      <c r="V19" s="64" t="s">
        <v>524</v>
      </c>
      <c r="W19" s="64" t="s">
        <v>525</v>
      </c>
      <c r="X19" s="64" t="s">
        <v>526</v>
      </c>
      <c r="Y19" s="64" t="s">
        <v>527</v>
      </c>
      <c r="Z19" s="64" t="s">
        <v>528</v>
      </c>
      <c r="AA19" s="64" t="s">
        <v>529</v>
      </c>
      <c r="AB19" s="62" t="s">
        <v>82</v>
      </c>
      <c r="AC19" s="63" t="s">
        <v>530</v>
      </c>
      <c r="AD19" s="63" t="s">
        <v>531</v>
      </c>
      <c r="AE19" s="63" t="s">
        <v>532</v>
      </c>
      <c r="AF19" s="63" t="s">
        <v>533</v>
      </c>
      <c r="AG19" s="63" t="s">
        <v>534</v>
      </c>
      <c r="AH19" s="63" t="s">
        <v>535</v>
      </c>
      <c r="AI19" s="63" t="s">
        <v>536</v>
      </c>
      <c r="AJ19" s="63" t="s">
        <v>537</v>
      </c>
      <c r="AK19" s="63" t="s">
        <v>538</v>
      </c>
      <c r="AL19" s="63" t="s">
        <v>539</v>
      </c>
      <c r="AM19" s="63" t="s">
        <v>540</v>
      </c>
      <c r="AN19" s="63" t="s">
        <v>541</v>
      </c>
      <c r="AO19" s="62" t="s">
        <v>83</v>
      </c>
      <c r="AP19" s="64" t="s">
        <v>542</v>
      </c>
      <c r="AQ19" s="64" t="s">
        <v>543</v>
      </c>
      <c r="AR19" s="64" t="s">
        <v>544</v>
      </c>
      <c r="AS19" s="64" t="s">
        <v>545</v>
      </c>
      <c r="AT19" s="64" t="s">
        <v>546</v>
      </c>
      <c r="AU19" s="64" t="s">
        <v>547</v>
      </c>
      <c r="AV19" s="64" t="s">
        <v>548</v>
      </c>
      <c r="AW19" s="64" t="s">
        <v>549</v>
      </c>
      <c r="AX19" s="64" t="s">
        <v>550</v>
      </c>
      <c r="AY19" s="64" t="s">
        <v>551</v>
      </c>
      <c r="AZ19" s="64" t="s">
        <v>552</v>
      </c>
      <c r="BA19" s="64" t="s">
        <v>553</v>
      </c>
      <c r="BB19" s="62" t="s">
        <v>84</v>
      </c>
      <c r="BC19" s="63" t="s">
        <v>554</v>
      </c>
      <c r="BD19" s="63" t="s">
        <v>555</v>
      </c>
      <c r="BE19" s="63" t="s">
        <v>556</v>
      </c>
      <c r="BF19" s="63" t="s">
        <v>557</v>
      </c>
      <c r="BG19" s="63" t="s">
        <v>558</v>
      </c>
      <c r="BH19" s="63" t="s">
        <v>559</v>
      </c>
      <c r="BI19" s="63" t="s">
        <v>560</v>
      </c>
      <c r="BJ19" s="63" t="s">
        <v>561</v>
      </c>
      <c r="BK19" s="63" t="s">
        <v>562</v>
      </c>
      <c r="BL19" s="63" t="s">
        <v>563</v>
      </c>
      <c r="BM19" s="63" t="s">
        <v>564</v>
      </c>
      <c r="BN19" s="63" t="s">
        <v>565</v>
      </c>
    </row>
    <row r="20" customFormat="false" ht="15" hidden="false" customHeight="false" outlineLevel="0" collapsed="false">
      <c r="A20" s="12" t="s">
        <v>667</v>
      </c>
      <c r="B20" s="81" t="n">
        <f aca="false">SUM(C20:N20)</f>
        <v>9.6</v>
      </c>
      <c r="C20" s="91" t="n">
        <f aca="false">Acquisitions!C$38</f>
        <v>0.8</v>
      </c>
      <c r="D20" s="91" t="n">
        <f aca="false">Acquisitions!D$38</f>
        <v>0.8</v>
      </c>
      <c r="E20" s="91" t="n">
        <f aca="false">Acquisitions!E$38</f>
        <v>0.8</v>
      </c>
      <c r="F20" s="91" t="n">
        <f aca="false">Acquisitions!F$38</f>
        <v>0.8</v>
      </c>
      <c r="G20" s="91" t="n">
        <f aca="false">Acquisitions!G$38</f>
        <v>0.8</v>
      </c>
      <c r="H20" s="91" t="n">
        <f aca="false">Acquisitions!H$38</f>
        <v>0.8</v>
      </c>
      <c r="I20" s="91" t="n">
        <f aca="false">Acquisitions!I$38</f>
        <v>0.8</v>
      </c>
      <c r="J20" s="91" t="n">
        <f aca="false">Acquisitions!J$38</f>
        <v>0.8</v>
      </c>
      <c r="K20" s="91" t="n">
        <f aca="false">Acquisitions!K$38</f>
        <v>0.8</v>
      </c>
      <c r="L20" s="91" t="n">
        <f aca="false">Acquisitions!L$38</f>
        <v>0.8</v>
      </c>
      <c r="M20" s="91" t="n">
        <f aca="false">Acquisitions!M$38</f>
        <v>0.8</v>
      </c>
      <c r="N20" s="91" t="n">
        <f aca="false">Acquisitions!N$38</f>
        <v>0.8</v>
      </c>
      <c r="O20" s="81" t="n">
        <f aca="false">SUM(P20:AA20)</f>
        <v>60</v>
      </c>
      <c r="P20" s="91" t="n">
        <f aca="false">Acquisitions!P$38</f>
        <v>5</v>
      </c>
      <c r="Q20" s="91" t="n">
        <f aca="false">Acquisitions!Q$38</f>
        <v>5</v>
      </c>
      <c r="R20" s="91" t="n">
        <f aca="false">Acquisitions!R$38</f>
        <v>5</v>
      </c>
      <c r="S20" s="91" t="n">
        <f aca="false">Acquisitions!S$38</f>
        <v>5</v>
      </c>
      <c r="T20" s="91" t="n">
        <f aca="false">Acquisitions!T$38</f>
        <v>5</v>
      </c>
      <c r="U20" s="91" t="n">
        <f aca="false">Acquisitions!U$38</f>
        <v>5</v>
      </c>
      <c r="V20" s="91" t="n">
        <f aca="false">Acquisitions!V$38</f>
        <v>5</v>
      </c>
      <c r="W20" s="91" t="n">
        <f aca="false">Acquisitions!W$38</f>
        <v>5</v>
      </c>
      <c r="X20" s="91" t="n">
        <f aca="false">Acquisitions!X$38</f>
        <v>5</v>
      </c>
      <c r="Y20" s="91" t="n">
        <f aca="false">Acquisitions!Y$38</f>
        <v>5</v>
      </c>
      <c r="Z20" s="91" t="n">
        <f aca="false">Acquisitions!Z$38</f>
        <v>5</v>
      </c>
      <c r="AA20" s="91" t="n">
        <f aca="false">Acquisitions!AA$38</f>
        <v>5</v>
      </c>
      <c r="AB20" s="81" t="n">
        <f aca="false">SUM(AC20:AN20)</f>
        <v>120</v>
      </c>
      <c r="AC20" s="91" t="n">
        <f aca="false">Acquisitions!AC$38</f>
        <v>10</v>
      </c>
      <c r="AD20" s="91" t="n">
        <f aca="false">Acquisitions!AD$38</f>
        <v>10</v>
      </c>
      <c r="AE20" s="91" t="n">
        <f aca="false">Acquisitions!AE$38</f>
        <v>10</v>
      </c>
      <c r="AF20" s="91" t="n">
        <f aca="false">Acquisitions!AF$38</f>
        <v>10</v>
      </c>
      <c r="AG20" s="91" t="n">
        <f aca="false">Acquisitions!AG$38</f>
        <v>10</v>
      </c>
      <c r="AH20" s="91" t="n">
        <f aca="false">Acquisitions!AH$38</f>
        <v>10</v>
      </c>
      <c r="AI20" s="91" t="n">
        <f aca="false">Acquisitions!AI$38</f>
        <v>10</v>
      </c>
      <c r="AJ20" s="91" t="n">
        <f aca="false">Acquisitions!AJ$38</f>
        <v>10</v>
      </c>
      <c r="AK20" s="91" t="n">
        <f aca="false">Acquisitions!AK$38</f>
        <v>10</v>
      </c>
      <c r="AL20" s="91" t="n">
        <f aca="false">Acquisitions!AL$38</f>
        <v>10</v>
      </c>
      <c r="AM20" s="91" t="n">
        <f aca="false">Acquisitions!AM$38</f>
        <v>10</v>
      </c>
      <c r="AN20" s="91" t="n">
        <f aca="false">Acquisitions!AN$38</f>
        <v>10</v>
      </c>
      <c r="AO20" s="81" t="n">
        <f aca="false">SUM(AP20:BA20)</f>
        <v>156</v>
      </c>
      <c r="AP20" s="91" t="n">
        <f aca="false">Acquisitions!AP$38</f>
        <v>13</v>
      </c>
      <c r="AQ20" s="91" t="n">
        <f aca="false">Acquisitions!AQ$38</f>
        <v>13</v>
      </c>
      <c r="AR20" s="91" t="n">
        <f aca="false">Acquisitions!AR$38</f>
        <v>13</v>
      </c>
      <c r="AS20" s="91" t="n">
        <f aca="false">Acquisitions!AS$38</f>
        <v>13</v>
      </c>
      <c r="AT20" s="91" t="n">
        <f aca="false">Acquisitions!AT$38</f>
        <v>13</v>
      </c>
      <c r="AU20" s="91" t="n">
        <f aca="false">Acquisitions!AU$38</f>
        <v>13</v>
      </c>
      <c r="AV20" s="91" t="n">
        <f aca="false">Acquisitions!AV$38</f>
        <v>13</v>
      </c>
      <c r="AW20" s="91" t="n">
        <f aca="false">Acquisitions!AW$38</f>
        <v>13</v>
      </c>
      <c r="AX20" s="91" t="n">
        <f aca="false">Acquisitions!AX$38</f>
        <v>13</v>
      </c>
      <c r="AY20" s="91" t="n">
        <f aca="false">Acquisitions!AY$38</f>
        <v>13</v>
      </c>
      <c r="AZ20" s="91" t="n">
        <f aca="false">Acquisitions!AZ$38</f>
        <v>13</v>
      </c>
      <c r="BA20" s="91" t="n">
        <f aca="false">Acquisitions!BA$38</f>
        <v>13</v>
      </c>
      <c r="BB20" s="81" t="n">
        <f aca="false">SUM(BC20:BN20)</f>
        <v>192</v>
      </c>
      <c r="BC20" s="91" t="n">
        <f aca="false">Acquisitions!BC$38</f>
        <v>16</v>
      </c>
      <c r="BD20" s="91" t="n">
        <f aca="false">Acquisitions!BD$38</f>
        <v>16</v>
      </c>
      <c r="BE20" s="91" t="n">
        <f aca="false">Acquisitions!BE$38</f>
        <v>16</v>
      </c>
      <c r="BF20" s="91" t="n">
        <f aca="false">Acquisitions!BF$38</f>
        <v>16</v>
      </c>
      <c r="BG20" s="91" t="n">
        <f aca="false">Acquisitions!BG$38</f>
        <v>16</v>
      </c>
      <c r="BH20" s="91" t="n">
        <f aca="false">Acquisitions!BH$38</f>
        <v>16</v>
      </c>
      <c r="BI20" s="91" t="n">
        <f aca="false">Acquisitions!BI$38</f>
        <v>16</v>
      </c>
      <c r="BJ20" s="91" t="n">
        <f aca="false">Acquisitions!BJ$38</f>
        <v>16</v>
      </c>
      <c r="BK20" s="91" t="n">
        <f aca="false">Acquisitions!BK$38</f>
        <v>16</v>
      </c>
      <c r="BL20" s="91" t="n">
        <f aca="false">Acquisitions!BL$38</f>
        <v>16</v>
      </c>
      <c r="BM20" s="91" t="n">
        <f aca="false">Acquisitions!BM$38</f>
        <v>16</v>
      </c>
      <c r="BN20" s="91" t="n">
        <f aca="false">Acquisitions!BN$38</f>
        <v>16</v>
      </c>
    </row>
    <row r="21" customFormat="false" ht="15" hidden="false" customHeight="false" outlineLevel="0" collapsed="false">
      <c r="A21" s="12" t="s">
        <v>668</v>
      </c>
      <c r="B21" s="81" t="n">
        <f aca="false">SUM(C21:N21)</f>
        <v>103.8</v>
      </c>
      <c r="C21" s="82" t="n">
        <f aca="false">Payroll!C$82*'Assumption Setting'!$C$123+Payroll!C$80*'Assumption Setting'!$D$123+C12*'Assumption Setting'!$E$123+C14*'Assumption Setting'!$F$123</f>
        <v>8.4</v>
      </c>
      <c r="D21" s="82" t="n">
        <f aca="false">Payroll!D$82*'Assumption Setting'!$C$123+Payroll!D$80*'Assumption Setting'!$D$123+D12*'Assumption Setting'!$E$123+D14*'Assumption Setting'!$F$123</f>
        <v>8.4</v>
      </c>
      <c r="E21" s="82" t="n">
        <f aca="false">Payroll!E$82*'Assumption Setting'!$C$123+Payroll!E$80*'Assumption Setting'!$D$123+E12*'Assumption Setting'!$E$123+E14*'Assumption Setting'!$F$123</f>
        <v>8.4</v>
      </c>
      <c r="F21" s="82" t="n">
        <f aca="false">Payroll!F$82*'Assumption Setting'!$C$123+Payroll!F$80*'Assumption Setting'!$D$123+F12*'Assumption Setting'!$E$123+F14*'Assumption Setting'!$F$123</f>
        <v>8.4</v>
      </c>
      <c r="G21" s="82" t="n">
        <f aca="false">Payroll!G$82*'Assumption Setting'!$C$123+Payroll!G$80*'Assumption Setting'!$D$123+G12*'Assumption Setting'!$E$123+G14*'Assumption Setting'!$F$123</f>
        <v>8.4</v>
      </c>
      <c r="H21" s="82" t="n">
        <f aca="false">Payroll!H$82*'Assumption Setting'!$C$123+Payroll!H$80*'Assumption Setting'!$D$123+H12*'Assumption Setting'!$E$123+H14*'Assumption Setting'!$F$123</f>
        <v>8.4</v>
      </c>
      <c r="I21" s="82" t="n">
        <f aca="false">Payroll!I$82*'Assumption Setting'!$C$123+Payroll!I$80*'Assumption Setting'!$D$123+I12*'Assumption Setting'!$E$123+I14*'Assumption Setting'!$F$123</f>
        <v>8.9</v>
      </c>
      <c r="J21" s="82" t="n">
        <f aca="false">Payroll!J$82*'Assumption Setting'!$C$123+Payroll!J$80*'Assumption Setting'!$D$123+J12*'Assumption Setting'!$E$123+J14*'Assumption Setting'!$F$123</f>
        <v>8.9</v>
      </c>
      <c r="K21" s="82" t="n">
        <f aca="false">Payroll!K$82*'Assumption Setting'!$C$123+Payroll!K$80*'Assumption Setting'!$D$123+K12*'Assumption Setting'!$E$123+K14*'Assumption Setting'!$F$123</f>
        <v>8.9</v>
      </c>
      <c r="L21" s="82" t="n">
        <f aca="false">Payroll!L$82*'Assumption Setting'!$C$123+Payroll!L$80*'Assumption Setting'!$D$123+L12*'Assumption Setting'!$E$123+L14*'Assumption Setting'!$F$123</f>
        <v>8.9</v>
      </c>
      <c r="M21" s="82" t="n">
        <f aca="false">Payroll!M$82*'Assumption Setting'!$C$123+Payroll!M$80*'Assumption Setting'!$D$123+M12*'Assumption Setting'!$E$123+M14*'Assumption Setting'!$F$123</f>
        <v>8.9</v>
      </c>
      <c r="N21" s="82" t="n">
        <f aca="false">Payroll!N$82*'Assumption Setting'!$C$123+Payroll!N$80*'Assumption Setting'!$D$123+N12*'Assumption Setting'!$E$123+N14*'Assumption Setting'!$F$123</f>
        <v>8.9</v>
      </c>
      <c r="O21" s="81" t="n">
        <f aca="false">SUM(P21:AA21)</f>
        <v>177</v>
      </c>
      <c r="P21" s="82" t="n">
        <f aca="false">Payroll!P$82*'Assumption Setting'!$C$123+Payroll!P$80*'Assumption Setting'!$D$123+P12*'Assumption Setting'!$E$123+P14*'Assumption Setting'!$F$123</f>
        <v>14</v>
      </c>
      <c r="Q21" s="82" t="n">
        <f aca="false">Payroll!Q$82*'Assumption Setting'!$C$123+Payroll!Q$80*'Assumption Setting'!$D$123+Q12*'Assumption Setting'!$E$123+Q14*'Assumption Setting'!$F$123</f>
        <v>14</v>
      </c>
      <c r="R21" s="82" t="n">
        <f aca="false">Payroll!R$82*'Assumption Setting'!$C$123+Payroll!R$80*'Assumption Setting'!$D$123+R12*'Assumption Setting'!$E$123+R14*'Assumption Setting'!$F$123</f>
        <v>14</v>
      </c>
      <c r="S21" s="82" t="n">
        <f aca="false">Payroll!S$82*'Assumption Setting'!$C$123+Payroll!S$80*'Assumption Setting'!$D$123+S12*'Assumption Setting'!$E$123+S14*'Assumption Setting'!$F$123</f>
        <v>14.5</v>
      </c>
      <c r="T21" s="82" t="n">
        <f aca="false">Payroll!T$82*'Assumption Setting'!$C$123+Payroll!T$80*'Assumption Setting'!$D$123+T12*'Assumption Setting'!$E$123+T14*'Assumption Setting'!$F$123</f>
        <v>14.5</v>
      </c>
      <c r="U21" s="82" t="n">
        <f aca="false">Payroll!U$82*'Assumption Setting'!$C$123+Payroll!U$80*'Assumption Setting'!$D$123+U12*'Assumption Setting'!$E$123+U14*'Assumption Setting'!$F$123</f>
        <v>14.5</v>
      </c>
      <c r="V21" s="82" t="n">
        <f aca="false">Payroll!V$82*'Assumption Setting'!$C$123+Payroll!V$80*'Assumption Setting'!$D$123+V12*'Assumption Setting'!$E$123+V14*'Assumption Setting'!$F$123</f>
        <v>15</v>
      </c>
      <c r="W21" s="82" t="n">
        <f aca="false">Payroll!W$82*'Assumption Setting'!$C$123+Payroll!W$80*'Assumption Setting'!$D$123+W12*'Assumption Setting'!$E$123+W14*'Assumption Setting'!$F$123</f>
        <v>15</v>
      </c>
      <c r="X21" s="82" t="n">
        <f aca="false">Payroll!X$82*'Assumption Setting'!$C$123+Payroll!X$80*'Assumption Setting'!$D$123+X12*'Assumption Setting'!$E$123+X14*'Assumption Setting'!$F$123</f>
        <v>15</v>
      </c>
      <c r="Y21" s="82" t="n">
        <f aca="false">Payroll!Y$82*'Assumption Setting'!$C$123+Payroll!Y$80*'Assumption Setting'!$D$123+Y12*'Assumption Setting'!$E$123+Y14*'Assumption Setting'!$F$123</f>
        <v>15.5</v>
      </c>
      <c r="Z21" s="82" t="n">
        <f aca="false">Payroll!Z$82*'Assumption Setting'!$C$123+Payroll!Z$80*'Assumption Setting'!$D$123+Z12*'Assumption Setting'!$E$123+Z14*'Assumption Setting'!$F$123</f>
        <v>15.5</v>
      </c>
      <c r="AA21" s="82" t="n">
        <f aca="false">Payroll!AA$82*'Assumption Setting'!$C$123+Payroll!AA$80*'Assumption Setting'!$D$123+AA12*'Assumption Setting'!$E$123+AA14*'Assumption Setting'!$F$123</f>
        <v>15.5</v>
      </c>
      <c r="AB21" s="81" t="n">
        <f aca="false">SUM(AC21:AN21)</f>
        <v>405</v>
      </c>
      <c r="AC21" s="82" t="n">
        <f aca="false">Payroll!AC$82*'Assumption Setting'!$C$123+Payroll!AC$80*'Assumption Setting'!$D$123+AC12*'Assumption Setting'!$E$123+AC14*'Assumption Setting'!$F$123</f>
        <v>33</v>
      </c>
      <c r="AD21" s="82" t="n">
        <f aca="false">Payroll!AD$82*'Assumption Setting'!$C$123+Payroll!AD$80*'Assumption Setting'!$D$123+AD12*'Assumption Setting'!$E$123+AD14*'Assumption Setting'!$F$123</f>
        <v>33</v>
      </c>
      <c r="AE21" s="82" t="n">
        <f aca="false">Payroll!AE$82*'Assumption Setting'!$C$123+Payroll!AE$80*'Assumption Setting'!$D$123+AE12*'Assumption Setting'!$E$123+AE14*'Assumption Setting'!$F$123</f>
        <v>33</v>
      </c>
      <c r="AF21" s="82" t="n">
        <f aca="false">Payroll!AF$82*'Assumption Setting'!$C$123+Payroll!AF$80*'Assumption Setting'!$D$123+AF12*'Assumption Setting'!$E$123+AF14*'Assumption Setting'!$F$123</f>
        <v>33.5</v>
      </c>
      <c r="AG21" s="82" t="n">
        <f aca="false">Payroll!AG$82*'Assumption Setting'!$C$123+Payroll!AG$80*'Assumption Setting'!$D$123+AG12*'Assumption Setting'!$E$123+AG14*'Assumption Setting'!$F$123</f>
        <v>33.5</v>
      </c>
      <c r="AH21" s="82" t="n">
        <f aca="false">Payroll!AH$82*'Assumption Setting'!$C$123+Payroll!AH$80*'Assumption Setting'!$D$123+AH12*'Assumption Setting'!$E$123+AH14*'Assumption Setting'!$F$123</f>
        <v>33.5</v>
      </c>
      <c r="AI21" s="82" t="n">
        <f aca="false">Payroll!AI$82*'Assumption Setting'!$C$123+Payroll!AI$80*'Assumption Setting'!$D$123+AI12*'Assumption Setting'!$E$123+AI14*'Assumption Setting'!$F$123</f>
        <v>34</v>
      </c>
      <c r="AJ21" s="82" t="n">
        <f aca="false">Payroll!AJ$82*'Assumption Setting'!$C$123+Payroll!AJ$80*'Assumption Setting'!$D$123+AJ12*'Assumption Setting'!$E$123+AJ14*'Assumption Setting'!$F$123</f>
        <v>34</v>
      </c>
      <c r="AK21" s="82" t="n">
        <f aca="false">Payroll!AK$82*'Assumption Setting'!$C$123+Payroll!AK$80*'Assumption Setting'!$D$123+AK12*'Assumption Setting'!$E$123+AK14*'Assumption Setting'!$F$123</f>
        <v>34</v>
      </c>
      <c r="AL21" s="82" t="n">
        <f aca="false">Payroll!AL$82*'Assumption Setting'!$C$123+Payroll!AL$80*'Assumption Setting'!$D$123+AL12*'Assumption Setting'!$E$123+AL14*'Assumption Setting'!$F$123</f>
        <v>34.5</v>
      </c>
      <c r="AM21" s="82" t="n">
        <f aca="false">Payroll!AM$82*'Assumption Setting'!$C$123+Payroll!AM$80*'Assumption Setting'!$D$123+AM12*'Assumption Setting'!$E$123+AM14*'Assumption Setting'!$F$123</f>
        <v>34.5</v>
      </c>
      <c r="AN21" s="82" t="n">
        <f aca="false">Payroll!AN$82*'Assumption Setting'!$C$123+Payroll!AN$80*'Assumption Setting'!$D$123+AN12*'Assumption Setting'!$E$123+AN14*'Assumption Setting'!$F$123</f>
        <v>34.5</v>
      </c>
      <c r="AO21" s="81" t="n">
        <f aca="false">SUM(AP21:BA21)</f>
        <v>609</v>
      </c>
      <c r="AP21" s="82" t="n">
        <f aca="false">Payroll!AP$82*'Assumption Setting'!$C$123+Payroll!AP$80*'Assumption Setting'!$D$123+AP12*'Assumption Setting'!$E$123+AP14*'Assumption Setting'!$F$123</f>
        <v>50</v>
      </c>
      <c r="AQ21" s="82" t="n">
        <f aca="false">Payroll!AQ$82*'Assumption Setting'!$C$123+Payroll!AQ$80*'Assumption Setting'!$D$123+AQ12*'Assumption Setting'!$E$123+AQ14*'Assumption Setting'!$F$123</f>
        <v>50</v>
      </c>
      <c r="AR21" s="82" t="n">
        <f aca="false">Payroll!AR$82*'Assumption Setting'!$C$123+Payroll!AR$80*'Assumption Setting'!$D$123+AR12*'Assumption Setting'!$E$123+AR14*'Assumption Setting'!$F$123</f>
        <v>50</v>
      </c>
      <c r="AS21" s="82" t="n">
        <f aca="false">Payroll!AS$82*'Assumption Setting'!$C$123+Payroll!AS$80*'Assumption Setting'!$D$123+AS12*'Assumption Setting'!$E$123+AS14*'Assumption Setting'!$F$123</f>
        <v>50.5</v>
      </c>
      <c r="AT21" s="82" t="n">
        <f aca="false">Payroll!AT$82*'Assumption Setting'!$C$123+Payroll!AT$80*'Assumption Setting'!$D$123+AT12*'Assumption Setting'!$E$123+AT14*'Assumption Setting'!$F$123</f>
        <v>50.5</v>
      </c>
      <c r="AU21" s="82" t="n">
        <f aca="false">Payroll!AU$82*'Assumption Setting'!$C$123+Payroll!AU$80*'Assumption Setting'!$D$123+AU12*'Assumption Setting'!$E$123+AU14*'Assumption Setting'!$F$123</f>
        <v>50.5</v>
      </c>
      <c r="AV21" s="82" t="n">
        <f aca="false">Payroll!AV$82*'Assumption Setting'!$C$123+Payroll!AV$80*'Assumption Setting'!$D$123+AV12*'Assumption Setting'!$E$123+AV14*'Assumption Setting'!$F$123</f>
        <v>51</v>
      </c>
      <c r="AW21" s="82" t="n">
        <f aca="false">Payroll!AW$82*'Assumption Setting'!$C$123+Payroll!AW$80*'Assumption Setting'!$D$123+AW12*'Assumption Setting'!$E$123+AW14*'Assumption Setting'!$F$123</f>
        <v>51</v>
      </c>
      <c r="AX21" s="82" t="n">
        <f aca="false">Payroll!AX$82*'Assumption Setting'!$C$123+Payroll!AX$80*'Assumption Setting'!$D$123+AX12*'Assumption Setting'!$E$123+AX14*'Assumption Setting'!$F$123</f>
        <v>51</v>
      </c>
      <c r="AY21" s="82" t="n">
        <f aca="false">Payroll!AY$82*'Assumption Setting'!$C$123+Payroll!AY$80*'Assumption Setting'!$D$123+AY12*'Assumption Setting'!$E$123+AY14*'Assumption Setting'!$F$123</f>
        <v>51.5</v>
      </c>
      <c r="AZ21" s="82" t="n">
        <f aca="false">Payroll!AZ$82*'Assumption Setting'!$C$123+Payroll!AZ$80*'Assumption Setting'!$D$123+AZ12*'Assumption Setting'!$E$123+AZ14*'Assumption Setting'!$F$123</f>
        <v>51.5</v>
      </c>
      <c r="BA21" s="82" t="n">
        <f aca="false">Payroll!BA$82*'Assumption Setting'!$C$123+Payroll!BA$80*'Assumption Setting'!$D$123+BA12*'Assumption Setting'!$E$123+BA14*'Assumption Setting'!$F$123</f>
        <v>51.5</v>
      </c>
      <c r="BB21" s="81" t="n">
        <f aca="false">SUM(BC21:BN21)</f>
        <v>801</v>
      </c>
      <c r="BC21" s="82" t="n">
        <f aca="false">Payroll!BC$82*'Assumption Setting'!$C$123+Payroll!BC$80*'Assumption Setting'!$D$123+BC12*'Assumption Setting'!$E$123+BC14*'Assumption Setting'!$F$123</f>
        <v>66</v>
      </c>
      <c r="BD21" s="82" t="n">
        <f aca="false">Payroll!BD$82*'Assumption Setting'!$C$123+Payroll!BD$80*'Assumption Setting'!$D$123+BD12*'Assumption Setting'!$E$123+BD14*'Assumption Setting'!$F$123</f>
        <v>66</v>
      </c>
      <c r="BE21" s="82" t="n">
        <f aca="false">Payroll!BE$82*'Assumption Setting'!$C$123+Payroll!BE$80*'Assumption Setting'!$D$123+BE12*'Assumption Setting'!$E$123+BE14*'Assumption Setting'!$F$123</f>
        <v>66</v>
      </c>
      <c r="BF21" s="82" t="n">
        <f aca="false">Payroll!BF$82*'Assumption Setting'!$C$123+Payroll!BF$80*'Assumption Setting'!$D$123+BF12*'Assumption Setting'!$E$123+BF14*'Assumption Setting'!$F$123</f>
        <v>66.5</v>
      </c>
      <c r="BG21" s="82" t="n">
        <f aca="false">Payroll!BG$82*'Assumption Setting'!$C$123+Payroll!BG$80*'Assumption Setting'!$D$123+BG12*'Assumption Setting'!$E$123+BG14*'Assumption Setting'!$F$123</f>
        <v>66.5</v>
      </c>
      <c r="BH21" s="82" t="n">
        <f aca="false">Payroll!BH$82*'Assumption Setting'!$C$123+Payroll!BH$80*'Assumption Setting'!$D$123+BH12*'Assumption Setting'!$E$123+BH14*'Assumption Setting'!$F$123</f>
        <v>66.5</v>
      </c>
      <c r="BI21" s="82" t="n">
        <f aca="false">Payroll!BI$82*'Assumption Setting'!$C$123+Payroll!BI$80*'Assumption Setting'!$D$123+BI12*'Assumption Setting'!$E$123+BI14*'Assumption Setting'!$F$123</f>
        <v>67</v>
      </c>
      <c r="BJ21" s="82" t="n">
        <f aca="false">Payroll!BJ$82*'Assumption Setting'!$C$123+Payroll!BJ$80*'Assumption Setting'!$D$123+BJ12*'Assumption Setting'!$E$123+BJ14*'Assumption Setting'!$F$123</f>
        <v>67</v>
      </c>
      <c r="BK21" s="82" t="n">
        <f aca="false">Payroll!BK$82*'Assumption Setting'!$C$123+Payroll!BK$80*'Assumption Setting'!$D$123+BK12*'Assumption Setting'!$E$123+BK14*'Assumption Setting'!$F$123</f>
        <v>67</v>
      </c>
      <c r="BL21" s="82" t="n">
        <f aca="false">Payroll!BL$82*'Assumption Setting'!$C$123+Payroll!BL$80*'Assumption Setting'!$D$123+BL12*'Assumption Setting'!$E$123+BL14*'Assumption Setting'!$F$123</f>
        <v>67.5</v>
      </c>
      <c r="BM21" s="82" t="n">
        <f aca="false">Payroll!BM$82*'Assumption Setting'!$C$123+Payroll!BM$80*'Assumption Setting'!$D$123+BM12*'Assumption Setting'!$E$123+BM14*'Assumption Setting'!$F$123</f>
        <v>67.5</v>
      </c>
      <c r="BN21" s="82" t="n">
        <f aca="false">Payroll!BN$82*'Assumption Setting'!$C$123+Payroll!BN$80*'Assumption Setting'!$D$123+BN12*'Assumption Setting'!$E$123+BN14*'Assumption Setting'!$F$123</f>
        <v>67.5</v>
      </c>
    </row>
    <row r="22" customFormat="false" ht="15" hidden="false" customHeight="false" outlineLevel="0" collapsed="false">
      <c r="A22" s="12" t="s">
        <v>669</v>
      </c>
      <c r="B22" s="81" t="n">
        <f aca="false">SUM(C22:N22)</f>
        <v>94.2</v>
      </c>
      <c r="C22" s="82" t="n">
        <f aca="false">C21-C20</f>
        <v>7.6</v>
      </c>
      <c r="D22" s="82" t="n">
        <f aca="false">D21-D20</f>
        <v>7.6</v>
      </c>
      <c r="E22" s="82" t="n">
        <f aca="false">E21-E20</f>
        <v>7.6</v>
      </c>
      <c r="F22" s="82" t="n">
        <f aca="false">F21-F20</f>
        <v>7.6</v>
      </c>
      <c r="G22" s="82" t="n">
        <f aca="false">G21-G20</f>
        <v>7.6</v>
      </c>
      <c r="H22" s="82" t="n">
        <f aca="false">H21-H20</f>
        <v>7.6</v>
      </c>
      <c r="I22" s="82" t="n">
        <f aca="false">I21-I20</f>
        <v>8.1</v>
      </c>
      <c r="J22" s="82" t="n">
        <f aca="false">J21-J20</f>
        <v>8.1</v>
      </c>
      <c r="K22" s="82" t="n">
        <f aca="false">K21-K20</f>
        <v>8.1</v>
      </c>
      <c r="L22" s="82" t="n">
        <f aca="false">L21-L20</f>
        <v>8.1</v>
      </c>
      <c r="M22" s="82" t="n">
        <f aca="false">M21-M20</f>
        <v>8.1</v>
      </c>
      <c r="N22" s="82" t="n">
        <f aca="false">N21-N20</f>
        <v>8.1</v>
      </c>
      <c r="O22" s="81" t="n">
        <f aca="false">SUM(P22:AA22)</f>
        <v>117</v>
      </c>
      <c r="P22" s="82" t="n">
        <f aca="false">P21-P20</f>
        <v>9</v>
      </c>
      <c r="Q22" s="82" t="n">
        <f aca="false">Q21-Q20</f>
        <v>9</v>
      </c>
      <c r="R22" s="82" t="n">
        <f aca="false">R21-R20</f>
        <v>9</v>
      </c>
      <c r="S22" s="82" t="n">
        <f aca="false">S21-S20</f>
        <v>9.5</v>
      </c>
      <c r="T22" s="82" t="n">
        <f aca="false">T21-T20</f>
        <v>9.5</v>
      </c>
      <c r="U22" s="82" t="n">
        <f aca="false">U21-U20</f>
        <v>9.5</v>
      </c>
      <c r="V22" s="82" t="n">
        <f aca="false">V21-V20</f>
        <v>10</v>
      </c>
      <c r="W22" s="82" t="n">
        <f aca="false">W21-W20</f>
        <v>10</v>
      </c>
      <c r="X22" s="82" t="n">
        <f aca="false">X21-X20</f>
        <v>10</v>
      </c>
      <c r="Y22" s="82" t="n">
        <f aca="false">Y21-Y20</f>
        <v>10.5</v>
      </c>
      <c r="Z22" s="82" t="n">
        <f aca="false">Z21-Z20</f>
        <v>10.5</v>
      </c>
      <c r="AA22" s="82" t="n">
        <f aca="false">AA21-AA20</f>
        <v>10.5</v>
      </c>
      <c r="AB22" s="81" t="n">
        <f aca="false">SUM(AC22:AN22)</f>
        <v>285</v>
      </c>
      <c r="AC22" s="82" t="n">
        <f aca="false">AC21-AC20</f>
        <v>23</v>
      </c>
      <c r="AD22" s="82" t="n">
        <f aca="false">AD21-AD20</f>
        <v>23</v>
      </c>
      <c r="AE22" s="82" t="n">
        <f aca="false">AE21-AE20</f>
        <v>23</v>
      </c>
      <c r="AF22" s="82" t="n">
        <f aca="false">AF21-AF20</f>
        <v>23.5</v>
      </c>
      <c r="AG22" s="82" t="n">
        <f aca="false">AG21-AG20</f>
        <v>23.5</v>
      </c>
      <c r="AH22" s="82" t="n">
        <f aca="false">AH21-AH20</f>
        <v>23.5</v>
      </c>
      <c r="AI22" s="82" t="n">
        <f aca="false">AI21-AI20</f>
        <v>24</v>
      </c>
      <c r="AJ22" s="82" t="n">
        <f aca="false">AJ21-AJ20</f>
        <v>24</v>
      </c>
      <c r="AK22" s="82" t="n">
        <f aca="false">AK21-AK20</f>
        <v>24</v>
      </c>
      <c r="AL22" s="82" t="n">
        <f aca="false">AL21-AL20</f>
        <v>24.5</v>
      </c>
      <c r="AM22" s="82" t="n">
        <f aca="false">AM21-AM20</f>
        <v>24.5</v>
      </c>
      <c r="AN22" s="82" t="n">
        <f aca="false">AN21-AN20</f>
        <v>24.5</v>
      </c>
      <c r="AO22" s="81" t="n">
        <f aca="false">SUM(AP22:BA22)</f>
        <v>453</v>
      </c>
      <c r="AP22" s="82" t="n">
        <f aca="false">AP21-AP20</f>
        <v>37</v>
      </c>
      <c r="AQ22" s="82" t="n">
        <f aca="false">AQ21-AQ20</f>
        <v>37</v>
      </c>
      <c r="AR22" s="82" t="n">
        <f aca="false">AR21-AR20</f>
        <v>37</v>
      </c>
      <c r="AS22" s="82" t="n">
        <f aca="false">AS21-AS20</f>
        <v>37.5</v>
      </c>
      <c r="AT22" s="82" t="n">
        <f aca="false">AT21-AT20</f>
        <v>37.5</v>
      </c>
      <c r="AU22" s="82" t="n">
        <f aca="false">AU21-AU20</f>
        <v>37.5</v>
      </c>
      <c r="AV22" s="82" t="n">
        <f aca="false">AV21-AV20</f>
        <v>38</v>
      </c>
      <c r="AW22" s="82" t="n">
        <f aca="false">AW21-AW20</f>
        <v>38</v>
      </c>
      <c r="AX22" s="82" t="n">
        <f aca="false">AX21-AX20</f>
        <v>38</v>
      </c>
      <c r="AY22" s="82" t="n">
        <f aca="false">AY21-AY20</f>
        <v>38.5</v>
      </c>
      <c r="AZ22" s="82" t="n">
        <f aca="false">AZ21-AZ20</f>
        <v>38.5</v>
      </c>
      <c r="BA22" s="82" t="n">
        <f aca="false">BA21-BA20</f>
        <v>38.5</v>
      </c>
      <c r="BB22" s="81" t="n">
        <f aca="false">SUM(BC22:BN22)</f>
        <v>609</v>
      </c>
      <c r="BC22" s="82" t="n">
        <f aca="false">BC21-BC20</f>
        <v>50</v>
      </c>
      <c r="BD22" s="82" t="n">
        <f aca="false">BD21-BD20</f>
        <v>50</v>
      </c>
      <c r="BE22" s="82" t="n">
        <f aca="false">BE21-BE20</f>
        <v>50</v>
      </c>
      <c r="BF22" s="82" t="n">
        <f aca="false">BF21-BF20</f>
        <v>50.5</v>
      </c>
      <c r="BG22" s="82" t="n">
        <f aca="false">BG21-BG20</f>
        <v>50.5</v>
      </c>
      <c r="BH22" s="82" t="n">
        <f aca="false">BH21-BH20</f>
        <v>50.5</v>
      </c>
      <c r="BI22" s="82" t="n">
        <f aca="false">BI21-BI20</f>
        <v>51</v>
      </c>
      <c r="BJ22" s="82" t="n">
        <f aca="false">BJ21-BJ20</f>
        <v>51</v>
      </c>
      <c r="BK22" s="82" t="n">
        <f aca="false">BK21-BK20</f>
        <v>51</v>
      </c>
      <c r="BL22" s="82" t="n">
        <f aca="false">BL21-BL20</f>
        <v>51.5</v>
      </c>
      <c r="BM22" s="82" t="n">
        <f aca="false">BM21-BM20</f>
        <v>51.5</v>
      </c>
      <c r="BN22" s="82" t="n">
        <f aca="false">BN21-BN20</f>
        <v>51.5</v>
      </c>
    </row>
    <row r="23" customFormat="false" ht="15" hidden="false" customHeight="false" outlineLevel="0" collapsed="false">
      <c r="A23" s="12" t="s">
        <v>670</v>
      </c>
      <c r="B23" s="81" t="n">
        <f aca="false">SUM(C23:N23)</f>
        <v>24</v>
      </c>
      <c r="C23" s="91" t="n">
        <f aca="false">Acquisitions!C$42</f>
        <v>2</v>
      </c>
      <c r="D23" s="91" t="n">
        <f aca="false">Acquisitions!D$42</f>
        <v>2</v>
      </c>
      <c r="E23" s="91" t="n">
        <f aca="false">Acquisitions!E$42</f>
        <v>2</v>
      </c>
      <c r="F23" s="91" t="n">
        <f aca="false">Acquisitions!F$42</f>
        <v>2</v>
      </c>
      <c r="G23" s="91" t="n">
        <f aca="false">Acquisitions!G$42</f>
        <v>2</v>
      </c>
      <c r="H23" s="91" t="n">
        <f aca="false">Acquisitions!H$42</f>
        <v>2</v>
      </c>
      <c r="I23" s="91" t="n">
        <f aca="false">Acquisitions!I$42</f>
        <v>2</v>
      </c>
      <c r="J23" s="91" t="n">
        <f aca="false">Acquisitions!J$42</f>
        <v>2</v>
      </c>
      <c r="K23" s="91" t="n">
        <f aca="false">Acquisitions!K$42</f>
        <v>2</v>
      </c>
      <c r="L23" s="91" t="n">
        <f aca="false">Acquisitions!L$42</f>
        <v>2</v>
      </c>
      <c r="M23" s="91" t="n">
        <f aca="false">Acquisitions!M$42</f>
        <v>2</v>
      </c>
      <c r="N23" s="91" t="n">
        <f aca="false">Acquisitions!N$42</f>
        <v>2</v>
      </c>
      <c r="O23" s="81" t="n">
        <f aca="false">SUM(P23:AA23)</f>
        <v>60</v>
      </c>
      <c r="P23" s="91" t="n">
        <f aca="false">Acquisitions!P$42</f>
        <v>5</v>
      </c>
      <c r="Q23" s="91" t="n">
        <f aca="false">Acquisitions!Q$42</f>
        <v>5</v>
      </c>
      <c r="R23" s="91" t="n">
        <f aca="false">Acquisitions!R$42</f>
        <v>5</v>
      </c>
      <c r="S23" s="91" t="n">
        <f aca="false">Acquisitions!S$42</f>
        <v>5</v>
      </c>
      <c r="T23" s="91" t="n">
        <f aca="false">Acquisitions!T$42</f>
        <v>5</v>
      </c>
      <c r="U23" s="91" t="n">
        <f aca="false">Acquisitions!U$42</f>
        <v>5</v>
      </c>
      <c r="V23" s="91" t="n">
        <f aca="false">Acquisitions!V$42</f>
        <v>5</v>
      </c>
      <c r="W23" s="91" t="n">
        <f aca="false">Acquisitions!W$42</f>
        <v>5</v>
      </c>
      <c r="X23" s="91" t="n">
        <f aca="false">Acquisitions!X$42</f>
        <v>5</v>
      </c>
      <c r="Y23" s="91" t="n">
        <f aca="false">Acquisitions!Y$42</f>
        <v>5</v>
      </c>
      <c r="Z23" s="91" t="n">
        <f aca="false">Acquisitions!Z$42</f>
        <v>5</v>
      </c>
      <c r="AA23" s="91" t="n">
        <f aca="false">Acquisitions!AA$42</f>
        <v>5</v>
      </c>
      <c r="AB23" s="81" t="n">
        <f aca="false">SUM(AC23:AN23)</f>
        <v>108</v>
      </c>
      <c r="AC23" s="91" t="n">
        <f aca="false">Acquisitions!AC$42</f>
        <v>9</v>
      </c>
      <c r="AD23" s="91" t="n">
        <f aca="false">Acquisitions!AD$42</f>
        <v>9</v>
      </c>
      <c r="AE23" s="91" t="n">
        <f aca="false">Acquisitions!AE$42</f>
        <v>9</v>
      </c>
      <c r="AF23" s="91" t="n">
        <f aca="false">Acquisitions!AF$42</f>
        <v>9</v>
      </c>
      <c r="AG23" s="91" t="n">
        <f aca="false">Acquisitions!AG$42</f>
        <v>9</v>
      </c>
      <c r="AH23" s="91" t="n">
        <f aca="false">Acquisitions!AH$42</f>
        <v>9</v>
      </c>
      <c r="AI23" s="91" t="n">
        <f aca="false">Acquisitions!AI$42</f>
        <v>9</v>
      </c>
      <c r="AJ23" s="91" t="n">
        <f aca="false">Acquisitions!AJ$42</f>
        <v>9</v>
      </c>
      <c r="AK23" s="91" t="n">
        <f aca="false">Acquisitions!AK$42</f>
        <v>9</v>
      </c>
      <c r="AL23" s="91" t="n">
        <f aca="false">Acquisitions!AL$42</f>
        <v>9</v>
      </c>
      <c r="AM23" s="91" t="n">
        <f aca="false">Acquisitions!AM$42</f>
        <v>9</v>
      </c>
      <c r="AN23" s="91" t="n">
        <f aca="false">Acquisitions!AN$42</f>
        <v>9</v>
      </c>
      <c r="AO23" s="81" t="n">
        <f aca="false">SUM(AP23:BA23)</f>
        <v>156</v>
      </c>
      <c r="AP23" s="91" t="n">
        <f aca="false">Acquisitions!AP$42</f>
        <v>13</v>
      </c>
      <c r="AQ23" s="91" t="n">
        <f aca="false">Acquisitions!AQ$42</f>
        <v>13</v>
      </c>
      <c r="AR23" s="91" t="n">
        <f aca="false">Acquisitions!AR$42</f>
        <v>13</v>
      </c>
      <c r="AS23" s="91" t="n">
        <f aca="false">Acquisitions!AS$42</f>
        <v>13</v>
      </c>
      <c r="AT23" s="91" t="n">
        <f aca="false">Acquisitions!AT$42</f>
        <v>13</v>
      </c>
      <c r="AU23" s="91" t="n">
        <f aca="false">Acquisitions!AU$42</f>
        <v>13</v>
      </c>
      <c r="AV23" s="91" t="n">
        <f aca="false">Acquisitions!AV$42</f>
        <v>13</v>
      </c>
      <c r="AW23" s="91" t="n">
        <f aca="false">Acquisitions!AW$42</f>
        <v>13</v>
      </c>
      <c r="AX23" s="91" t="n">
        <f aca="false">Acquisitions!AX$42</f>
        <v>13</v>
      </c>
      <c r="AY23" s="91" t="n">
        <f aca="false">Acquisitions!AY$42</f>
        <v>13</v>
      </c>
      <c r="AZ23" s="91" t="n">
        <f aca="false">Acquisitions!AZ$42</f>
        <v>13</v>
      </c>
      <c r="BA23" s="91" t="n">
        <f aca="false">Acquisitions!BA$42</f>
        <v>13</v>
      </c>
      <c r="BB23" s="81" t="n">
        <f aca="false">SUM(BC23:BN23)</f>
        <v>204</v>
      </c>
      <c r="BC23" s="91" t="n">
        <f aca="false">Acquisitions!BC$42</f>
        <v>17</v>
      </c>
      <c r="BD23" s="91" t="n">
        <f aca="false">Acquisitions!BD$42</f>
        <v>17</v>
      </c>
      <c r="BE23" s="91" t="n">
        <f aca="false">Acquisitions!BE$42</f>
        <v>17</v>
      </c>
      <c r="BF23" s="91" t="n">
        <f aca="false">Acquisitions!BF$42</f>
        <v>17</v>
      </c>
      <c r="BG23" s="91" t="n">
        <f aca="false">Acquisitions!BG$42</f>
        <v>17</v>
      </c>
      <c r="BH23" s="91" t="n">
        <f aca="false">Acquisitions!BH$42</f>
        <v>17</v>
      </c>
      <c r="BI23" s="91" t="n">
        <f aca="false">Acquisitions!BI$42</f>
        <v>17</v>
      </c>
      <c r="BJ23" s="91" t="n">
        <f aca="false">Acquisitions!BJ$42</f>
        <v>17</v>
      </c>
      <c r="BK23" s="91" t="n">
        <f aca="false">Acquisitions!BK$42</f>
        <v>17</v>
      </c>
      <c r="BL23" s="91" t="n">
        <f aca="false">Acquisitions!BL$42</f>
        <v>17</v>
      </c>
      <c r="BM23" s="91" t="n">
        <f aca="false">Acquisitions!BM$42</f>
        <v>17</v>
      </c>
      <c r="BN23" s="91" t="n">
        <f aca="false">Acquisitions!BN$42</f>
        <v>17</v>
      </c>
    </row>
    <row r="24" customFormat="false" ht="15" hidden="false" customHeight="false" outlineLevel="0" collapsed="false">
      <c r="A24" s="12" t="s">
        <v>668</v>
      </c>
      <c r="B24" s="81" t="n">
        <f aca="false">SUM(C24:N24)</f>
        <v>184.8</v>
      </c>
      <c r="C24" s="82" t="n">
        <f aca="false">Payroll!C$84*'Assumption Setting'!$C$124+Payroll!C$80*'Assumption Setting'!$D$124+C12*'Assumption Setting'!$E$124+C14*'Assumption Setting'!$F$124</f>
        <v>15.4</v>
      </c>
      <c r="D24" s="82" t="n">
        <f aca="false">Payroll!D$84*'Assumption Setting'!$C$124+Payroll!D$80*'Assumption Setting'!$D$124+D12*'Assumption Setting'!$E$124+D14*'Assumption Setting'!$F$124</f>
        <v>15.4</v>
      </c>
      <c r="E24" s="82" t="n">
        <f aca="false">Payroll!E$84*'Assumption Setting'!$C$124+Payroll!E$80*'Assumption Setting'!$D$124+E12*'Assumption Setting'!$E$124+E14*'Assumption Setting'!$F$124</f>
        <v>15.4</v>
      </c>
      <c r="F24" s="82" t="n">
        <f aca="false">Payroll!F$84*'Assumption Setting'!$C$124+Payroll!F$80*'Assumption Setting'!$D$124+F12*'Assumption Setting'!$E$124+F14*'Assumption Setting'!$F$124</f>
        <v>15.4</v>
      </c>
      <c r="G24" s="82" t="n">
        <f aca="false">Payroll!G$84*'Assumption Setting'!$C$124+Payroll!G$80*'Assumption Setting'!$D$124+G12*'Assumption Setting'!$E$124+G14*'Assumption Setting'!$F$124</f>
        <v>15.4</v>
      </c>
      <c r="H24" s="82" t="n">
        <f aca="false">Payroll!H$84*'Assumption Setting'!$C$124+Payroll!H$80*'Assumption Setting'!$D$124+H12*'Assumption Setting'!$E$124+H14*'Assumption Setting'!$F$124</f>
        <v>15.4</v>
      </c>
      <c r="I24" s="82" t="n">
        <f aca="false">Payroll!I$84*'Assumption Setting'!$C$124+Payroll!I$80*'Assumption Setting'!$D$124+I12*'Assumption Setting'!$E$124+I14*'Assumption Setting'!$F$124</f>
        <v>15.4</v>
      </c>
      <c r="J24" s="82" t="n">
        <f aca="false">Payroll!J$84*'Assumption Setting'!$C$124+Payroll!J$80*'Assumption Setting'!$D$124+J12*'Assumption Setting'!$E$124+J14*'Assumption Setting'!$F$124</f>
        <v>15.4</v>
      </c>
      <c r="K24" s="82" t="n">
        <f aca="false">Payroll!K$84*'Assumption Setting'!$C$124+Payroll!K$80*'Assumption Setting'!$D$124+K12*'Assumption Setting'!$E$124+K14*'Assumption Setting'!$F$124</f>
        <v>15.4</v>
      </c>
      <c r="L24" s="82" t="n">
        <f aca="false">Payroll!L$84*'Assumption Setting'!$C$124+Payroll!L$80*'Assumption Setting'!$D$124+L12*'Assumption Setting'!$E$124+L14*'Assumption Setting'!$F$124</f>
        <v>15.4</v>
      </c>
      <c r="M24" s="82" t="n">
        <f aca="false">Payroll!M$84*'Assumption Setting'!$C$124+Payroll!M$80*'Assumption Setting'!$D$124+M12*'Assumption Setting'!$E$124+M14*'Assumption Setting'!$F$124</f>
        <v>15.4</v>
      </c>
      <c r="N24" s="82" t="n">
        <f aca="false">Payroll!N$84*'Assumption Setting'!$C$124+Payroll!N$80*'Assumption Setting'!$D$124+N12*'Assumption Setting'!$E$124+N14*'Assumption Setting'!$F$124</f>
        <v>15.4</v>
      </c>
      <c r="O24" s="81" t="n">
        <f aca="false">SUM(P24:AA24)</f>
        <v>540</v>
      </c>
      <c r="P24" s="82" t="n">
        <f aca="false">Payroll!P$84*'Assumption Setting'!$C$124+Payroll!P$80*'Assumption Setting'!$D$124+P12*'Assumption Setting'!$E$124+P14*'Assumption Setting'!$F$124</f>
        <v>45</v>
      </c>
      <c r="Q24" s="82" t="n">
        <f aca="false">Payroll!Q$84*'Assumption Setting'!$C$124+Payroll!Q$80*'Assumption Setting'!$D$124+Q12*'Assumption Setting'!$E$124+Q14*'Assumption Setting'!$F$124</f>
        <v>45</v>
      </c>
      <c r="R24" s="82" t="n">
        <f aca="false">Payroll!R$84*'Assumption Setting'!$C$124+Payroll!R$80*'Assumption Setting'!$D$124+R12*'Assumption Setting'!$E$124+R14*'Assumption Setting'!$F$124</f>
        <v>45</v>
      </c>
      <c r="S24" s="82" t="n">
        <f aca="false">Payroll!S$84*'Assumption Setting'!$C$124+Payroll!S$80*'Assumption Setting'!$D$124+S12*'Assumption Setting'!$E$124+S14*'Assumption Setting'!$F$124</f>
        <v>45</v>
      </c>
      <c r="T24" s="82" t="n">
        <f aca="false">Payroll!T$84*'Assumption Setting'!$C$124+Payroll!T$80*'Assumption Setting'!$D$124+T12*'Assumption Setting'!$E$124+T14*'Assumption Setting'!$F$124</f>
        <v>45</v>
      </c>
      <c r="U24" s="82" t="n">
        <f aca="false">Payroll!U$84*'Assumption Setting'!$C$124+Payroll!U$80*'Assumption Setting'!$D$124+U12*'Assumption Setting'!$E$124+U14*'Assumption Setting'!$F$124</f>
        <v>45</v>
      </c>
      <c r="V24" s="82" t="n">
        <f aca="false">Payroll!V$84*'Assumption Setting'!$C$124+Payroll!V$80*'Assumption Setting'!$D$124+V12*'Assumption Setting'!$E$124+V14*'Assumption Setting'!$F$124</f>
        <v>45</v>
      </c>
      <c r="W24" s="82" t="n">
        <f aca="false">Payroll!W$84*'Assumption Setting'!$C$124+Payroll!W$80*'Assumption Setting'!$D$124+W12*'Assumption Setting'!$E$124+W14*'Assumption Setting'!$F$124</f>
        <v>45</v>
      </c>
      <c r="X24" s="82" t="n">
        <f aca="false">Payroll!X$84*'Assumption Setting'!$C$124+Payroll!X$80*'Assumption Setting'!$D$124+X12*'Assumption Setting'!$E$124+X14*'Assumption Setting'!$F$124</f>
        <v>45</v>
      </c>
      <c r="Y24" s="82" t="n">
        <f aca="false">Payroll!Y$84*'Assumption Setting'!$C$124+Payroll!Y$80*'Assumption Setting'!$D$124+Y12*'Assumption Setting'!$E$124+Y14*'Assumption Setting'!$F$124</f>
        <v>45</v>
      </c>
      <c r="Z24" s="82" t="n">
        <f aca="false">Payroll!Z$84*'Assumption Setting'!$C$124+Payroll!Z$80*'Assumption Setting'!$D$124+Z12*'Assumption Setting'!$E$124+Z14*'Assumption Setting'!$F$124</f>
        <v>45</v>
      </c>
      <c r="AA24" s="82" t="n">
        <f aca="false">Payroll!AA$84*'Assumption Setting'!$C$124+Payroll!AA$80*'Assumption Setting'!$D$124+AA12*'Assumption Setting'!$E$124+AA14*'Assumption Setting'!$F$124</f>
        <v>45</v>
      </c>
      <c r="AB24" s="81" t="n">
        <f aca="false">SUM(AC24:AN24)</f>
        <v>1188</v>
      </c>
      <c r="AC24" s="82" t="n">
        <f aca="false">Payroll!AC$84*'Assumption Setting'!$C$124+Payroll!AC$80*'Assumption Setting'!$D$124+AC12*'Assumption Setting'!$E$124+AC14*'Assumption Setting'!$F$124</f>
        <v>99</v>
      </c>
      <c r="AD24" s="82" t="n">
        <f aca="false">Payroll!AD$84*'Assumption Setting'!$C$124+Payroll!AD$80*'Assumption Setting'!$D$124+AD12*'Assumption Setting'!$E$124+AD14*'Assumption Setting'!$F$124</f>
        <v>99</v>
      </c>
      <c r="AE24" s="82" t="n">
        <f aca="false">Payroll!AE$84*'Assumption Setting'!$C$124+Payroll!AE$80*'Assumption Setting'!$D$124+AE12*'Assumption Setting'!$E$124+AE14*'Assumption Setting'!$F$124</f>
        <v>99</v>
      </c>
      <c r="AF24" s="82" t="n">
        <f aca="false">Payroll!AF$84*'Assumption Setting'!$C$124+Payroll!AF$80*'Assumption Setting'!$D$124+AF12*'Assumption Setting'!$E$124+AF14*'Assumption Setting'!$F$124</f>
        <v>99</v>
      </c>
      <c r="AG24" s="82" t="n">
        <f aca="false">Payroll!AG$84*'Assumption Setting'!$C$124+Payroll!AG$80*'Assumption Setting'!$D$124+AG12*'Assumption Setting'!$E$124+AG14*'Assumption Setting'!$F$124</f>
        <v>99</v>
      </c>
      <c r="AH24" s="82" t="n">
        <f aca="false">Payroll!AH$84*'Assumption Setting'!$C$124+Payroll!AH$80*'Assumption Setting'!$D$124+AH12*'Assumption Setting'!$E$124+AH14*'Assumption Setting'!$F$124</f>
        <v>99</v>
      </c>
      <c r="AI24" s="82" t="n">
        <f aca="false">Payroll!AI$84*'Assumption Setting'!$C$124+Payroll!AI$80*'Assumption Setting'!$D$124+AI12*'Assumption Setting'!$E$124+AI14*'Assumption Setting'!$F$124</f>
        <v>99</v>
      </c>
      <c r="AJ24" s="82" t="n">
        <f aca="false">Payroll!AJ$84*'Assumption Setting'!$C$124+Payroll!AJ$80*'Assumption Setting'!$D$124+AJ12*'Assumption Setting'!$E$124+AJ14*'Assumption Setting'!$F$124</f>
        <v>99</v>
      </c>
      <c r="AK24" s="82" t="n">
        <f aca="false">Payroll!AK$84*'Assumption Setting'!$C$124+Payroll!AK$80*'Assumption Setting'!$D$124+AK12*'Assumption Setting'!$E$124+AK14*'Assumption Setting'!$F$124</f>
        <v>99</v>
      </c>
      <c r="AL24" s="82" t="n">
        <f aca="false">Payroll!AL$84*'Assumption Setting'!$C$124+Payroll!AL$80*'Assumption Setting'!$D$124+AL12*'Assumption Setting'!$E$124+AL14*'Assumption Setting'!$F$124</f>
        <v>99</v>
      </c>
      <c r="AM24" s="82" t="n">
        <f aca="false">Payroll!AM$84*'Assumption Setting'!$C$124+Payroll!AM$80*'Assumption Setting'!$D$124+AM12*'Assumption Setting'!$E$124+AM14*'Assumption Setting'!$F$124</f>
        <v>99</v>
      </c>
      <c r="AN24" s="82" t="n">
        <f aca="false">Payroll!AN$84*'Assumption Setting'!$C$124+Payroll!AN$80*'Assumption Setting'!$D$124+AN12*'Assumption Setting'!$E$124+AN14*'Assumption Setting'!$F$124</f>
        <v>99</v>
      </c>
      <c r="AO24" s="81" t="n">
        <f aca="false">SUM(AP24:BA24)</f>
        <v>1914</v>
      </c>
      <c r="AP24" s="82" t="n">
        <f aca="false">Payroll!AP$84*'Assumption Setting'!$C$124+Payroll!AP$80*'Assumption Setting'!$D$124+AP12*'Assumption Setting'!$E$124+AP14*'Assumption Setting'!$F$124</f>
        <v>159.5</v>
      </c>
      <c r="AQ24" s="82" t="n">
        <f aca="false">Payroll!AQ$84*'Assumption Setting'!$C$124+Payroll!AQ$80*'Assumption Setting'!$D$124+AQ12*'Assumption Setting'!$E$124+AQ14*'Assumption Setting'!$F$124</f>
        <v>159.5</v>
      </c>
      <c r="AR24" s="82" t="n">
        <f aca="false">Payroll!AR$84*'Assumption Setting'!$C$124+Payroll!AR$80*'Assumption Setting'!$D$124+AR12*'Assumption Setting'!$E$124+AR14*'Assumption Setting'!$F$124</f>
        <v>159.5</v>
      </c>
      <c r="AS24" s="82" t="n">
        <f aca="false">Payroll!AS$84*'Assumption Setting'!$C$124+Payroll!AS$80*'Assumption Setting'!$D$124+AS12*'Assumption Setting'!$E$124+AS14*'Assumption Setting'!$F$124</f>
        <v>159.5</v>
      </c>
      <c r="AT24" s="82" t="n">
        <f aca="false">Payroll!AT$84*'Assumption Setting'!$C$124+Payroll!AT$80*'Assumption Setting'!$D$124+AT12*'Assumption Setting'!$E$124+AT14*'Assumption Setting'!$F$124</f>
        <v>159.5</v>
      </c>
      <c r="AU24" s="82" t="n">
        <f aca="false">Payroll!AU$84*'Assumption Setting'!$C$124+Payroll!AU$80*'Assumption Setting'!$D$124+AU12*'Assumption Setting'!$E$124+AU14*'Assumption Setting'!$F$124</f>
        <v>159.5</v>
      </c>
      <c r="AV24" s="82" t="n">
        <f aca="false">Payroll!AV$84*'Assumption Setting'!$C$124+Payroll!AV$80*'Assumption Setting'!$D$124+AV12*'Assumption Setting'!$E$124+AV14*'Assumption Setting'!$F$124</f>
        <v>159.5</v>
      </c>
      <c r="AW24" s="82" t="n">
        <f aca="false">Payroll!AW$84*'Assumption Setting'!$C$124+Payroll!AW$80*'Assumption Setting'!$D$124+AW12*'Assumption Setting'!$E$124+AW14*'Assumption Setting'!$F$124</f>
        <v>159.5</v>
      </c>
      <c r="AX24" s="82" t="n">
        <f aca="false">Payroll!AX$84*'Assumption Setting'!$C$124+Payroll!AX$80*'Assumption Setting'!$D$124+AX12*'Assumption Setting'!$E$124+AX14*'Assumption Setting'!$F$124</f>
        <v>159.5</v>
      </c>
      <c r="AY24" s="82" t="n">
        <f aca="false">Payroll!AY$84*'Assumption Setting'!$C$124+Payroll!AY$80*'Assumption Setting'!$D$124+AY12*'Assumption Setting'!$E$124+AY14*'Assumption Setting'!$F$124</f>
        <v>159.5</v>
      </c>
      <c r="AZ24" s="82" t="n">
        <f aca="false">Payroll!AZ$84*'Assumption Setting'!$C$124+Payroll!AZ$80*'Assumption Setting'!$D$124+AZ12*'Assumption Setting'!$E$124+AZ14*'Assumption Setting'!$F$124</f>
        <v>159.5</v>
      </c>
      <c r="BA24" s="82" t="n">
        <f aca="false">Payroll!BA$84*'Assumption Setting'!$C$124+Payroll!BA$80*'Assumption Setting'!$D$124+BA12*'Assumption Setting'!$E$124+BA14*'Assumption Setting'!$F$124</f>
        <v>159.5</v>
      </c>
      <c r="BB24" s="81" t="n">
        <f aca="false">SUM(BC24:BN24)</f>
        <v>2658</v>
      </c>
      <c r="BC24" s="82" t="n">
        <f aca="false">Payroll!BC$84*'Assumption Setting'!$C$124+Payroll!BC$80*'Assumption Setting'!$D$124+BC12*'Assumption Setting'!$E$124+BC14*'Assumption Setting'!$F$124</f>
        <v>221.5</v>
      </c>
      <c r="BD24" s="82" t="n">
        <f aca="false">Payroll!BD$84*'Assumption Setting'!$C$124+Payroll!BD$80*'Assumption Setting'!$D$124+BD12*'Assumption Setting'!$E$124+BD14*'Assumption Setting'!$F$124</f>
        <v>221.5</v>
      </c>
      <c r="BE24" s="82" t="n">
        <f aca="false">Payroll!BE$84*'Assumption Setting'!$C$124+Payroll!BE$80*'Assumption Setting'!$D$124+BE12*'Assumption Setting'!$E$124+BE14*'Assumption Setting'!$F$124</f>
        <v>221.5</v>
      </c>
      <c r="BF24" s="82" t="n">
        <f aca="false">Payroll!BF$84*'Assumption Setting'!$C$124+Payroll!BF$80*'Assumption Setting'!$D$124+BF12*'Assumption Setting'!$E$124+BF14*'Assumption Setting'!$F$124</f>
        <v>221.5</v>
      </c>
      <c r="BG24" s="82" t="n">
        <f aca="false">Payroll!BG$84*'Assumption Setting'!$C$124+Payroll!BG$80*'Assumption Setting'!$D$124+BG12*'Assumption Setting'!$E$124+BG14*'Assumption Setting'!$F$124</f>
        <v>221.5</v>
      </c>
      <c r="BH24" s="82" t="n">
        <f aca="false">Payroll!BH$84*'Assumption Setting'!$C$124+Payroll!BH$80*'Assumption Setting'!$D$124+BH12*'Assumption Setting'!$E$124+BH14*'Assumption Setting'!$F$124</f>
        <v>221.5</v>
      </c>
      <c r="BI24" s="82" t="n">
        <f aca="false">Payroll!BI$84*'Assumption Setting'!$C$124+Payroll!BI$80*'Assumption Setting'!$D$124+BI12*'Assumption Setting'!$E$124+BI14*'Assumption Setting'!$F$124</f>
        <v>221.5</v>
      </c>
      <c r="BJ24" s="82" t="n">
        <f aca="false">Payroll!BJ$84*'Assumption Setting'!$C$124+Payroll!BJ$80*'Assumption Setting'!$D$124+BJ12*'Assumption Setting'!$E$124+BJ14*'Assumption Setting'!$F$124</f>
        <v>221.5</v>
      </c>
      <c r="BK24" s="82" t="n">
        <f aca="false">Payroll!BK$84*'Assumption Setting'!$C$124+Payroll!BK$80*'Assumption Setting'!$D$124+BK12*'Assumption Setting'!$E$124+BK14*'Assumption Setting'!$F$124</f>
        <v>221.5</v>
      </c>
      <c r="BL24" s="82" t="n">
        <f aca="false">Payroll!BL$84*'Assumption Setting'!$C$124+Payroll!BL$80*'Assumption Setting'!$D$124+BL12*'Assumption Setting'!$E$124+BL14*'Assumption Setting'!$F$124</f>
        <v>221.5</v>
      </c>
      <c r="BM24" s="82" t="n">
        <f aca="false">Payroll!BM$84*'Assumption Setting'!$C$124+Payroll!BM$80*'Assumption Setting'!$D$124+BM12*'Assumption Setting'!$E$124+BM14*'Assumption Setting'!$F$124</f>
        <v>221.5</v>
      </c>
      <c r="BN24" s="82" t="n">
        <f aca="false">Payroll!BN$84*'Assumption Setting'!$C$124+Payroll!BN$80*'Assumption Setting'!$D$124+BN12*'Assumption Setting'!$E$124+BN14*'Assumption Setting'!$F$124</f>
        <v>221.5</v>
      </c>
    </row>
    <row r="25" customFormat="false" ht="15" hidden="false" customHeight="false" outlineLevel="0" collapsed="false">
      <c r="A25" s="12" t="s">
        <v>669</v>
      </c>
      <c r="B25" s="81" t="n">
        <f aca="false">SUM(C25:N25)</f>
        <v>160.8</v>
      </c>
      <c r="C25" s="82" t="n">
        <f aca="false">C24-C23</f>
        <v>13.4</v>
      </c>
      <c r="D25" s="82" t="n">
        <f aca="false">D24-D23</f>
        <v>13.4</v>
      </c>
      <c r="E25" s="82" t="n">
        <f aca="false">E24-E23</f>
        <v>13.4</v>
      </c>
      <c r="F25" s="82" t="n">
        <f aca="false">F24-F23</f>
        <v>13.4</v>
      </c>
      <c r="G25" s="82" t="n">
        <f aca="false">G24-G23</f>
        <v>13.4</v>
      </c>
      <c r="H25" s="82" t="n">
        <f aca="false">H24-H23</f>
        <v>13.4</v>
      </c>
      <c r="I25" s="82" t="n">
        <f aca="false">I24-I23</f>
        <v>13.4</v>
      </c>
      <c r="J25" s="82" t="n">
        <f aca="false">J24-J23</f>
        <v>13.4</v>
      </c>
      <c r="K25" s="82" t="n">
        <f aca="false">K24-K23</f>
        <v>13.4</v>
      </c>
      <c r="L25" s="82" t="n">
        <f aca="false">L24-L23</f>
        <v>13.4</v>
      </c>
      <c r="M25" s="82" t="n">
        <f aca="false">M24-M23</f>
        <v>13.4</v>
      </c>
      <c r="N25" s="82" t="n">
        <f aca="false">N24-N23</f>
        <v>13.4</v>
      </c>
      <c r="O25" s="81" t="n">
        <f aca="false">SUM(P25:AA25)</f>
        <v>480</v>
      </c>
      <c r="P25" s="82" t="n">
        <f aca="false">P24-P23</f>
        <v>40</v>
      </c>
      <c r="Q25" s="82" t="n">
        <f aca="false">Q24-Q23</f>
        <v>40</v>
      </c>
      <c r="R25" s="82" t="n">
        <f aca="false">R24-R23</f>
        <v>40</v>
      </c>
      <c r="S25" s="82" t="n">
        <f aca="false">S24-S23</f>
        <v>40</v>
      </c>
      <c r="T25" s="82" t="n">
        <f aca="false">T24-T23</f>
        <v>40</v>
      </c>
      <c r="U25" s="82" t="n">
        <f aca="false">U24-U23</f>
        <v>40</v>
      </c>
      <c r="V25" s="82" t="n">
        <f aca="false">V24-V23</f>
        <v>40</v>
      </c>
      <c r="W25" s="82" t="n">
        <f aca="false">W24-W23</f>
        <v>40</v>
      </c>
      <c r="X25" s="82" t="n">
        <f aca="false">X24-X23</f>
        <v>40</v>
      </c>
      <c r="Y25" s="82" t="n">
        <f aca="false">Y24-Y23</f>
        <v>40</v>
      </c>
      <c r="Z25" s="82" t="n">
        <f aca="false">Z24-Z23</f>
        <v>40</v>
      </c>
      <c r="AA25" s="82" t="n">
        <f aca="false">AA24-AA23</f>
        <v>40</v>
      </c>
      <c r="AB25" s="81" t="n">
        <f aca="false">SUM(AC25:AN25)</f>
        <v>1080</v>
      </c>
      <c r="AC25" s="82" t="n">
        <f aca="false">AC24-AC23</f>
        <v>90</v>
      </c>
      <c r="AD25" s="82" t="n">
        <f aca="false">AD24-AD23</f>
        <v>90</v>
      </c>
      <c r="AE25" s="82" t="n">
        <f aca="false">AE24-AE23</f>
        <v>90</v>
      </c>
      <c r="AF25" s="82" t="n">
        <f aca="false">AF24-AF23</f>
        <v>90</v>
      </c>
      <c r="AG25" s="82" t="n">
        <f aca="false">AG24-AG23</f>
        <v>90</v>
      </c>
      <c r="AH25" s="82" t="n">
        <f aca="false">AH24-AH23</f>
        <v>90</v>
      </c>
      <c r="AI25" s="82" t="n">
        <f aca="false">AI24-AI23</f>
        <v>90</v>
      </c>
      <c r="AJ25" s="82" t="n">
        <f aca="false">AJ24-AJ23</f>
        <v>90</v>
      </c>
      <c r="AK25" s="82" t="n">
        <f aca="false">AK24-AK23</f>
        <v>90</v>
      </c>
      <c r="AL25" s="82" t="n">
        <f aca="false">AL24-AL23</f>
        <v>90</v>
      </c>
      <c r="AM25" s="82" t="n">
        <f aca="false">AM24-AM23</f>
        <v>90</v>
      </c>
      <c r="AN25" s="82" t="n">
        <f aca="false">AN24-AN23</f>
        <v>90</v>
      </c>
      <c r="AO25" s="81" t="n">
        <f aca="false">SUM(AP25:BA25)</f>
        <v>1758</v>
      </c>
      <c r="AP25" s="82" t="n">
        <f aca="false">AP24-AP23</f>
        <v>146.5</v>
      </c>
      <c r="AQ25" s="82" t="n">
        <f aca="false">AQ24-AQ23</f>
        <v>146.5</v>
      </c>
      <c r="AR25" s="82" t="n">
        <f aca="false">AR24-AR23</f>
        <v>146.5</v>
      </c>
      <c r="AS25" s="82" t="n">
        <f aca="false">AS24-AS23</f>
        <v>146.5</v>
      </c>
      <c r="AT25" s="82" t="n">
        <f aca="false">AT24-AT23</f>
        <v>146.5</v>
      </c>
      <c r="AU25" s="82" t="n">
        <f aca="false">AU24-AU23</f>
        <v>146.5</v>
      </c>
      <c r="AV25" s="82" t="n">
        <f aca="false">AV24-AV23</f>
        <v>146.5</v>
      </c>
      <c r="AW25" s="82" t="n">
        <f aca="false">AW24-AW23</f>
        <v>146.5</v>
      </c>
      <c r="AX25" s="82" t="n">
        <f aca="false">AX24-AX23</f>
        <v>146.5</v>
      </c>
      <c r="AY25" s="82" t="n">
        <f aca="false">AY24-AY23</f>
        <v>146.5</v>
      </c>
      <c r="AZ25" s="82" t="n">
        <f aca="false">AZ24-AZ23</f>
        <v>146.5</v>
      </c>
      <c r="BA25" s="82" t="n">
        <f aca="false">BA24-BA23</f>
        <v>146.5</v>
      </c>
      <c r="BB25" s="81" t="n">
        <f aca="false">SUM(BC25:BN25)</f>
        <v>2454</v>
      </c>
      <c r="BC25" s="82" t="n">
        <f aca="false">BC24-BC23</f>
        <v>204.5</v>
      </c>
      <c r="BD25" s="82" t="n">
        <f aca="false">BD24-BD23</f>
        <v>204.5</v>
      </c>
      <c r="BE25" s="82" t="n">
        <f aca="false">BE24-BE23</f>
        <v>204.5</v>
      </c>
      <c r="BF25" s="82" t="n">
        <f aca="false">BF24-BF23</f>
        <v>204.5</v>
      </c>
      <c r="BG25" s="82" t="n">
        <f aca="false">BG24-BG23</f>
        <v>204.5</v>
      </c>
      <c r="BH25" s="82" t="n">
        <f aca="false">BH24-BH23</f>
        <v>204.5</v>
      </c>
      <c r="BI25" s="82" t="n">
        <f aca="false">BI24-BI23</f>
        <v>204.5</v>
      </c>
      <c r="BJ25" s="82" t="n">
        <f aca="false">BJ24-BJ23</f>
        <v>204.5</v>
      </c>
      <c r="BK25" s="82" t="n">
        <f aca="false">BK24-BK23</f>
        <v>204.5</v>
      </c>
      <c r="BL25" s="82" t="n">
        <f aca="false">BL24-BL23</f>
        <v>204.5</v>
      </c>
      <c r="BM25" s="82" t="n">
        <f aca="false">BM24-BM23</f>
        <v>204.5</v>
      </c>
      <c r="BN25" s="82" t="n">
        <f aca="false">BN24-BN23</f>
        <v>204.5</v>
      </c>
    </row>
    <row r="26" customFormat="false" ht="15" hidden="false" customHeight="false" outlineLevel="0" collapsed="false">
      <c r="A26" s="12" t="s">
        <v>671</v>
      </c>
      <c r="B26" s="81" t="n">
        <f aca="false">SUM(C26:N26)</f>
        <v>2.4</v>
      </c>
      <c r="C26" s="91" t="n">
        <f aca="false">Acquisitions!C$46</f>
        <v>0.2</v>
      </c>
      <c r="D26" s="91" t="n">
        <f aca="false">Acquisitions!D$46</f>
        <v>0.2</v>
      </c>
      <c r="E26" s="91" t="n">
        <f aca="false">Acquisitions!E$46</f>
        <v>0.2</v>
      </c>
      <c r="F26" s="91" t="n">
        <f aca="false">Acquisitions!F$46</f>
        <v>0.2</v>
      </c>
      <c r="G26" s="91" t="n">
        <f aca="false">Acquisitions!G$46</f>
        <v>0.2</v>
      </c>
      <c r="H26" s="91" t="n">
        <f aca="false">Acquisitions!H$46</f>
        <v>0.2</v>
      </c>
      <c r="I26" s="91" t="n">
        <f aca="false">Acquisitions!I$46</f>
        <v>0.2</v>
      </c>
      <c r="J26" s="91" t="n">
        <f aca="false">Acquisitions!J$46</f>
        <v>0.2</v>
      </c>
      <c r="K26" s="91" t="n">
        <f aca="false">Acquisitions!K$46</f>
        <v>0.2</v>
      </c>
      <c r="L26" s="91" t="n">
        <f aca="false">Acquisitions!L$46</f>
        <v>0.2</v>
      </c>
      <c r="M26" s="91" t="n">
        <f aca="false">Acquisitions!M$46</f>
        <v>0.2</v>
      </c>
      <c r="N26" s="91" t="n">
        <f aca="false">Acquisitions!N$46</f>
        <v>0.2</v>
      </c>
      <c r="O26" s="81" t="n">
        <f aca="false">SUM(P26:AA26)</f>
        <v>12</v>
      </c>
      <c r="P26" s="91" t="n">
        <f aca="false">Acquisitions!P$46</f>
        <v>1</v>
      </c>
      <c r="Q26" s="91" t="n">
        <f aca="false">Acquisitions!Q$46</f>
        <v>1</v>
      </c>
      <c r="R26" s="91" t="n">
        <f aca="false">Acquisitions!R$46</f>
        <v>1</v>
      </c>
      <c r="S26" s="91" t="n">
        <f aca="false">Acquisitions!S$46</f>
        <v>1</v>
      </c>
      <c r="T26" s="91" t="n">
        <f aca="false">Acquisitions!T$46</f>
        <v>1</v>
      </c>
      <c r="U26" s="91" t="n">
        <f aca="false">Acquisitions!U$46</f>
        <v>1</v>
      </c>
      <c r="V26" s="91" t="n">
        <f aca="false">Acquisitions!V$46</f>
        <v>1</v>
      </c>
      <c r="W26" s="91" t="n">
        <f aca="false">Acquisitions!W$46</f>
        <v>1</v>
      </c>
      <c r="X26" s="91" t="n">
        <f aca="false">Acquisitions!X$46</f>
        <v>1</v>
      </c>
      <c r="Y26" s="91" t="n">
        <f aca="false">Acquisitions!Y$46</f>
        <v>1</v>
      </c>
      <c r="Z26" s="91" t="n">
        <f aca="false">Acquisitions!Z$46</f>
        <v>1</v>
      </c>
      <c r="AA26" s="91" t="n">
        <f aca="false">Acquisitions!AA$46</f>
        <v>1</v>
      </c>
      <c r="AB26" s="81" t="n">
        <f aca="false">SUM(AC26:AN26)</f>
        <v>24</v>
      </c>
      <c r="AC26" s="91" t="n">
        <f aca="false">Acquisitions!AC$46</f>
        <v>2</v>
      </c>
      <c r="AD26" s="91" t="n">
        <f aca="false">Acquisitions!AD$46</f>
        <v>2</v>
      </c>
      <c r="AE26" s="91" t="n">
        <f aca="false">Acquisitions!AE$46</f>
        <v>2</v>
      </c>
      <c r="AF26" s="91" t="n">
        <f aca="false">Acquisitions!AF$46</f>
        <v>2</v>
      </c>
      <c r="AG26" s="91" t="n">
        <f aca="false">Acquisitions!AG$46</f>
        <v>2</v>
      </c>
      <c r="AH26" s="91" t="n">
        <f aca="false">Acquisitions!AH$46</f>
        <v>2</v>
      </c>
      <c r="AI26" s="91" t="n">
        <f aca="false">Acquisitions!AI$46</f>
        <v>2</v>
      </c>
      <c r="AJ26" s="91" t="n">
        <f aca="false">Acquisitions!AJ$46</f>
        <v>2</v>
      </c>
      <c r="AK26" s="91" t="n">
        <f aca="false">Acquisitions!AK$46</f>
        <v>2</v>
      </c>
      <c r="AL26" s="91" t="n">
        <f aca="false">Acquisitions!AL$46</f>
        <v>2</v>
      </c>
      <c r="AM26" s="91" t="n">
        <f aca="false">Acquisitions!AM$46</f>
        <v>2</v>
      </c>
      <c r="AN26" s="91" t="n">
        <f aca="false">Acquisitions!AN$46</f>
        <v>2</v>
      </c>
      <c r="AO26" s="81" t="n">
        <f aca="false">SUM(AP26:BA26)</f>
        <v>36</v>
      </c>
      <c r="AP26" s="91" t="n">
        <f aca="false">Acquisitions!AP$46</f>
        <v>3</v>
      </c>
      <c r="AQ26" s="91" t="n">
        <f aca="false">Acquisitions!AQ$46</f>
        <v>3</v>
      </c>
      <c r="AR26" s="91" t="n">
        <f aca="false">Acquisitions!AR$46</f>
        <v>3</v>
      </c>
      <c r="AS26" s="91" t="n">
        <f aca="false">Acquisitions!AS$46</f>
        <v>3</v>
      </c>
      <c r="AT26" s="91" t="n">
        <f aca="false">Acquisitions!AT$46</f>
        <v>3</v>
      </c>
      <c r="AU26" s="91" t="n">
        <f aca="false">Acquisitions!AU$46</f>
        <v>3</v>
      </c>
      <c r="AV26" s="91" t="n">
        <f aca="false">Acquisitions!AV$46</f>
        <v>3</v>
      </c>
      <c r="AW26" s="91" t="n">
        <f aca="false">Acquisitions!AW$46</f>
        <v>3</v>
      </c>
      <c r="AX26" s="91" t="n">
        <f aca="false">Acquisitions!AX$46</f>
        <v>3</v>
      </c>
      <c r="AY26" s="91" t="n">
        <f aca="false">Acquisitions!AY$46</f>
        <v>3</v>
      </c>
      <c r="AZ26" s="91" t="n">
        <f aca="false">Acquisitions!AZ$46</f>
        <v>3</v>
      </c>
      <c r="BA26" s="91" t="n">
        <f aca="false">Acquisitions!BA$46</f>
        <v>3</v>
      </c>
      <c r="BB26" s="81" t="n">
        <f aca="false">SUM(BC26:BN26)</f>
        <v>48</v>
      </c>
      <c r="BC26" s="91" t="n">
        <f aca="false">Acquisitions!BC$46</f>
        <v>4</v>
      </c>
      <c r="BD26" s="91" t="n">
        <f aca="false">Acquisitions!BD$46</f>
        <v>4</v>
      </c>
      <c r="BE26" s="91" t="n">
        <f aca="false">Acquisitions!BE$46</f>
        <v>4</v>
      </c>
      <c r="BF26" s="91" t="n">
        <f aca="false">Acquisitions!BF$46</f>
        <v>4</v>
      </c>
      <c r="BG26" s="91" t="n">
        <f aca="false">Acquisitions!BG$46</f>
        <v>4</v>
      </c>
      <c r="BH26" s="91" t="n">
        <f aca="false">Acquisitions!BH$46</f>
        <v>4</v>
      </c>
      <c r="BI26" s="91" t="n">
        <f aca="false">Acquisitions!BI$46</f>
        <v>4</v>
      </c>
      <c r="BJ26" s="91" t="n">
        <f aca="false">Acquisitions!BJ$46</f>
        <v>4</v>
      </c>
      <c r="BK26" s="91" t="n">
        <f aca="false">Acquisitions!BK$46</f>
        <v>4</v>
      </c>
      <c r="BL26" s="91" t="n">
        <f aca="false">Acquisitions!BL$46</f>
        <v>4</v>
      </c>
      <c r="BM26" s="91" t="n">
        <f aca="false">Acquisitions!BM$46</f>
        <v>4</v>
      </c>
      <c r="BN26" s="91" t="n">
        <f aca="false">Acquisitions!BN$46</f>
        <v>4</v>
      </c>
    </row>
    <row r="27" customFormat="false" ht="15" hidden="false" customHeight="false" outlineLevel="0" collapsed="false">
      <c r="A27" s="12" t="s">
        <v>668</v>
      </c>
      <c r="B27" s="81" t="n">
        <f aca="false">SUM(C27:N27)</f>
        <v>13.56</v>
      </c>
      <c r="C27" s="82" t="n">
        <f aca="false">Payroll!C$83*'Assumption Setting'!$C$125+Payroll!C$80*'Assumption Setting'!$D$125+C12*'Assumption Setting'!$E$125+C14*'Assumption Setting'!$F$125</f>
        <v>1.08</v>
      </c>
      <c r="D27" s="82" t="n">
        <f aca="false">Payroll!D$83*'Assumption Setting'!$C$125+Payroll!D$80*'Assumption Setting'!$D$125+D12*'Assumption Setting'!$E$125+D14*'Assumption Setting'!$F$125</f>
        <v>1.08</v>
      </c>
      <c r="E27" s="82" t="n">
        <f aca="false">Payroll!E$83*'Assumption Setting'!$C$125+Payroll!E$80*'Assumption Setting'!$D$125+E12*'Assumption Setting'!$E$125+E14*'Assumption Setting'!$F$125</f>
        <v>1.08</v>
      </c>
      <c r="F27" s="82" t="n">
        <f aca="false">Payroll!F$83*'Assumption Setting'!$C$125+Payroll!F$80*'Assumption Setting'!$D$125+F12*'Assumption Setting'!$E$125+F14*'Assumption Setting'!$F$125</f>
        <v>1.08</v>
      </c>
      <c r="G27" s="82" t="n">
        <f aca="false">Payroll!G$83*'Assumption Setting'!$C$125+Payroll!G$80*'Assumption Setting'!$D$125+G12*'Assumption Setting'!$E$125+G14*'Assumption Setting'!$F$125</f>
        <v>1.08</v>
      </c>
      <c r="H27" s="82" t="n">
        <f aca="false">Payroll!H$83*'Assumption Setting'!$C$125+Payroll!H$80*'Assumption Setting'!$D$125+H12*'Assumption Setting'!$E$125+H14*'Assumption Setting'!$F$125</f>
        <v>1.08</v>
      </c>
      <c r="I27" s="82" t="n">
        <f aca="false">Payroll!I$83*'Assumption Setting'!$C$125+Payroll!I$80*'Assumption Setting'!$D$125+I12*'Assumption Setting'!$E$125+I14*'Assumption Setting'!$F$125</f>
        <v>1.18</v>
      </c>
      <c r="J27" s="82" t="n">
        <f aca="false">Payroll!J$83*'Assumption Setting'!$C$125+Payroll!J$80*'Assumption Setting'!$D$125+J12*'Assumption Setting'!$E$125+J14*'Assumption Setting'!$F$125</f>
        <v>1.18</v>
      </c>
      <c r="K27" s="82" t="n">
        <f aca="false">Payroll!K$83*'Assumption Setting'!$C$125+Payroll!K$80*'Assumption Setting'!$D$125+K12*'Assumption Setting'!$E$125+K14*'Assumption Setting'!$F$125</f>
        <v>1.18</v>
      </c>
      <c r="L27" s="82" t="n">
        <f aca="false">Payroll!L$83*'Assumption Setting'!$C$125+Payroll!L$80*'Assumption Setting'!$D$125+L12*'Assumption Setting'!$E$125+L14*'Assumption Setting'!$F$125</f>
        <v>1.18</v>
      </c>
      <c r="M27" s="82" t="n">
        <f aca="false">Payroll!M$83*'Assumption Setting'!$C$125+Payroll!M$80*'Assumption Setting'!$D$125+M12*'Assumption Setting'!$E$125+M14*'Assumption Setting'!$F$125</f>
        <v>1.18</v>
      </c>
      <c r="N27" s="82" t="n">
        <f aca="false">Payroll!N$83*'Assumption Setting'!$C$125+Payroll!N$80*'Assumption Setting'!$D$125+N12*'Assumption Setting'!$E$125+N14*'Assumption Setting'!$F$125</f>
        <v>1.18</v>
      </c>
      <c r="O27" s="81" t="n">
        <f aca="false">SUM(P27:AA27)</f>
        <v>35.4</v>
      </c>
      <c r="P27" s="82" t="n">
        <f aca="false">Payroll!P$83*'Assumption Setting'!$C$125+Payroll!P$80*'Assumption Setting'!$D$125+P12*'Assumption Setting'!$E$125+P14*'Assumption Setting'!$F$125</f>
        <v>2.8</v>
      </c>
      <c r="Q27" s="82" t="n">
        <f aca="false">Payroll!Q$83*'Assumption Setting'!$C$125+Payroll!Q$80*'Assumption Setting'!$D$125+Q12*'Assumption Setting'!$E$125+Q14*'Assumption Setting'!$F$125</f>
        <v>2.8</v>
      </c>
      <c r="R27" s="82" t="n">
        <f aca="false">Payroll!R$83*'Assumption Setting'!$C$125+Payroll!R$80*'Assumption Setting'!$D$125+R12*'Assumption Setting'!$E$125+R14*'Assumption Setting'!$F$125</f>
        <v>2.8</v>
      </c>
      <c r="S27" s="82" t="n">
        <f aca="false">Payroll!S$83*'Assumption Setting'!$C$125+Payroll!S$80*'Assumption Setting'!$D$125+S12*'Assumption Setting'!$E$125+S14*'Assumption Setting'!$F$125</f>
        <v>2.9</v>
      </c>
      <c r="T27" s="82" t="n">
        <f aca="false">Payroll!T$83*'Assumption Setting'!$C$125+Payroll!T$80*'Assumption Setting'!$D$125+T12*'Assumption Setting'!$E$125+T14*'Assumption Setting'!$F$125</f>
        <v>2.9</v>
      </c>
      <c r="U27" s="82" t="n">
        <f aca="false">Payroll!U$83*'Assumption Setting'!$C$125+Payroll!U$80*'Assumption Setting'!$D$125+U12*'Assumption Setting'!$E$125+U14*'Assumption Setting'!$F$125</f>
        <v>2.9</v>
      </c>
      <c r="V27" s="82" t="n">
        <f aca="false">Payroll!V$83*'Assumption Setting'!$C$125+Payroll!V$80*'Assumption Setting'!$D$125+V12*'Assumption Setting'!$E$125+V14*'Assumption Setting'!$F$125</f>
        <v>3</v>
      </c>
      <c r="W27" s="82" t="n">
        <f aca="false">Payroll!W$83*'Assumption Setting'!$C$125+Payroll!W$80*'Assumption Setting'!$D$125+W12*'Assumption Setting'!$E$125+W14*'Assumption Setting'!$F$125</f>
        <v>3</v>
      </c>
      <c r="X27" s="82" t="n">
        <f aca="false">Payroll!X$83*'Assumption Setting'!$C$125+Payroll!X$80*'Assumption Setting'!$D$125+X12*'Assumption Setting'!$E$125+X14*'Assumption Setting'!$F$125</f>
        <v>3</v>
      </c>
      <c r="Y27" s="82" t="n">
        <f aca="false">Payroll!Y$83*'Assumption Setting'!$C$125+Payroll!Y$80*'Assumption Setting'!$D$125+Y12*'Assumption Setting'!$E$125+Y14*'Assumption Setting'!$F$125</f>
        <v>3.1</v>
      </c>
      <c r="Z27" s="82" t="n">
        <f aca="false">Payroll!Z$83*'Assumption Setting'!$C$125+Payroll!Z$80*'Assumption Setting'!$D$125+Z12*'Assumption Setting'!$E$125+Z14*'Assumption Setting'!$F$125</f>
        <v>3.1</v>
      </c>
      <c r="AA27" s="82" t="n">
        <f aca="false">Payroll!AA$83*'Assumption Setting'!$C$125+Payroll!AA$80*'Assumption Setting'!$D$125+AA12*'Assumption Setting'!$E$125+AA14*'Assumption Setting'!$F$125</f>
        <v>3.1</v>
      </c>
      <c r="AB27" s="81" t="n">
        <f aca="false">SUM(AC27:AN27)</f>
        <v>83.4</v>
      </c>
      <c r="AC27" s="82" t="n">
        <f aca="false">Payroll!AC$83*'Assumption Setting'!$C$125+Payroll!AC$80*'Assumption Setting'!$D$125+AC12*'Assumption Setting'!$E$125+AC14*'Assumption Setting'!$F$125</f>
        <v>6.8</v>
      </c>
      <c r="AD27" s="82" t="n">
        <f aca="false">Payroll!AD$83*'Assumption Setting'!$C$125+Payroll!AD$80*'Assumption Setting'!$D$125+AD12*'Assumption Setting'!$E$125+AD14*'Assumption Setting'!$F$125</f>
        <v>6.8</v>
      </c>
      <c r="AE27" s="82" t="n">
        <f aca="false">Payroll!AE$83*'Assumption Setting'!$C$125+Payroll!AE$80*'Assumption Setting'!$D$125+AE12*'Assumption Setting'!$E$125+AE14*'Assumption Setting'!$F$125</f>
        <v>6.8</v>
      </c>
      <c r="AF27" s="82" t="n">
        <f aca="false">Payroll!AF$83*'Assumption Setting'!$C$125+Payroll!AF$80*'Assumption Setting'!$D$125+AF12*'Assumption Setting'!$E$125+AF14*'Assumption Setting'!$F$125</f>
        <v>6.9</v>
      </c>
      <c r="AG27" s="82" t="n">
        <f aca="false">Payroll!AG$83*'Assumption Setting'!$C$125+Payroll!AG$80*'Assumption Setting'!$D$125+AG12*'Assumption Setting'!$E$125+AG14*'Assumption Setting'!$F$125</f>
        <v>6.9</v>
      </c>
      <c r="AH27" s="82" t="n">
        <f aca="false">Payroll!AH$83*'Assumption Setting'!$C$125+Payroll!AH$80*'Assumption Setting'!$D$125+AH12*'Assumption Setting'!$E$125+AH14*'Assumption Setting'!$F$125</f>
        <v>6.9</v>
      </c>
      <c r="AI27" s="82" t="n">
        <f aca="false">Payroll!AI$83*'Assumption Setting'!$C$125+Payroll!AI$80*'Assumption Setting'!$D$125+AI12*'Assumption Setting'!$E$125+AI14*'Assumption Setting'!$F$125</f>
        <v>7</v>
      </c>
      <c r="AJ27" s="82" t="n">
        <f aca="false">Payroll!AJ$83*'Assumption Setting'!$C$125+Payroll!AJ$80*'Assumption Setting'!$D$125+AJ12*'Assumption Setting'!$E$125+AJ14*'Assumption Setting'!$F$125</f>
        <v>7</v>
      </c>
      <c r="AK27" s="82" t="n">
        <f aca="false">Payroll!AK$83*'Assumption Setting'!$C$125+Payroll!AK$80*'Assumption Setting'!$D$125+AK12*'Assumption Setting'!$E$125+AK14*'Assumption Setting'!$F$125</f>
        <v>7</v>
      </c>
      <c r="AL27" s="82" t="n">
        <f aca="false">Payroll!AL$83*'Assumption Setting'!$C$125+Payroll!AL$80*'Assumption Setting'!$D$125+AL12*'Assumption Setting'!$E$125+AL14*'Assumption Setting'!$F$125</f>
        <v>7.1</v>
      </c>
      <c r="AM27" s="82" t="n">
        <f aca="false">Payroll!AM$83*'Assumption Setting'!$C$125+Payroll!AM$80*'Assumption Setting'!$D$125+AM12*'Assumption Setting'!$E$125+AM14*'Assumption Setting'!$F$125</f>
        <v>7.1</v>
      </c>
      <c r="AN27" s="82" t="n">
        <f aca="false">Payroll!AN$83*'Assumption Setting'!$C$125+Payroll!AN$80*'Assumption Setting'!$D$125+AN12*'Assumption Setting'!$E$125+AN14*'Assumption Setting'!$F$125</f>
        <v>7.1</v>
      </c>
      <c r="AO27" s="81" t="n">
        <f aca="false">SUM(AP27:BA27)</f>
        <v>123</v>
      </c>
      <c r="AP27" s="82" t="n">
        <f aca="false">Payroll!AP$83*'Assumption Setting'!$C$125+Payroll!AP$80*'Assumption Setting'!$D$125+AP12*'Assumption Setting'!$E$125+AP14*'Assumption Setting'!$F$125</f>
        <v>10.1</v>
      </c>
      <c r="AQ27" s="82" t="n">
        <f aca="false">Payroll!AQ$83*'Assumption Setting'!$C$125+Payroll!AQ$80*'Assumption Setting'!$D$125+AQ12*'Assumption Setting'!$E$125+AQ14*'Assumption Setting'!$F$125</f>
        <v>10.1</v>
      </c>
      <c r="AR27" s="82" t="n">
        <f aca="false">Payroll!AR$83*'Assumption Setting'!$C$125+Payroll!AR$80*'Assumption Setting'!$D$125+AR12*'Assumption Setting'!$E$125+AR14*'Assumption Setting'!$F$125</f>
        <v>10.1</v>
      </c>
      <c r="AS27" s="82" t="n">
        <f aca="false">Payroll!AS$83*'Assumption Setting'!$C$125+Payroll!AS$80*'Assumption Setting'!$D$125+AS12*'Assumption Setting'!$E$125+AS14*'Assumption Setting'!$F$125</f>
        <v>10.2</v>
      </c>
      <c r="AT27" s="82" t="n">
        <f aca="false">Payroll!AT$83*'Assumption Setting'!$C$125+Payroll!AT$80*'Assumption Setting'!$D$125+AT12*'Assumption Setting'!$E$125+AT14*'Assumption Setting'!$F$125</f>
        <v>10.2</v>
      </c>
      <c r="AU27" s="82" t="n">
        <f aca="false">Payroll!AU$83*'Assumption Setting'!$C$125+Payroll!AU$80*'Assumption Setting'!$D$125+AU12*'Assumption Setting'!$E$125+AU14*'Assumption Setting'!$F$125</f>
        <v>10.2</v>
      </c>
      <c r="AV27" s="82" t="n">
        <f aca="false">Payroll!AV$83*'Assumption Setting'!$C$125+Payroll!AV$80*'Assumption Setting'!$D$125+AV12*'Assumption Setting'!$E$125+AV14*'Assumption Setting'!$F$125</f>
        <v>10.3</v>
      </c>
      <c r="AW27" s="82" t="n">
        <f aca="false">Payroll!AW$83*'Assumption Setting'!$C$125+Payroll!AW$80*'Assumption Setting'!$D$125+AW12*'Assumption Setting'!$E$125+AW14*'Assumption Setting'!$F$125</f>
        <v>10.3</v>
      </c>
      <c r="AX27" s="82" t="n">
        <f aca="false">Payroll!AX$83*'Assumption Setting'!$C$125+Payroll!AX$80*'Assumption Setting'!$D$125+AX12*'Assumption Setting'!$E$125+AX14*'Assumption Setting'!$F$125</f>
        <v>10.3</v>
      </c>
      <c r="AY27" s="82" t="n">
        <f aca="false">Payroll!AY$83*'Assumption Setting'!$C$125+Payroll!AY$80*'Assumption Setting'!$D$125+AY12*'Assumption Setting'!$E$125+AY14*'Assumption Setting'!$F$125</f>
        <v>10.4</v>
      </c>
      <c r="AZ27" s="82" t="n">
        <f aca="false">Payroll!AZ$83*'Assumption Setting'!$C$125+Payroll!AZ$80*'Assumption Setting'!$D$125+AZ12*'Assumption Setting'!$E$125+AZ14*'Assumption Setting'!$F$125</f>
        <v>10.4</v>
      </c>
      <c r="BA27" s="82" t="n">
        <f aca="false">Payroll!BA$83*'Assumption Setting'!$C$125+Payroll!BA$80*'Assumption Setting'!$D$125+BA12*'Assumption Setting'!$E$125+BA14*'Assumption Setting'!$F$125</f>
        <v>10.4</v>
      </c>
      <c r="BB27" s="81" t="n">
        <f aca="false">SUM(BC27:BN27)</f>
        <v>159</v>
      </c>
      <c r="BC27" s="82" t="n">
        <f aca="false">Payroll!BC$83*'Assumption Setting'!$C$125+Payroll!BC$80*'Assumption Setting'!$D$125+BC12*'Assumption Setting'!$E$125+BC14*'Assumption Setting'!$F$125</f>
        <v>13.1</v>
      </c>
      <c r="BD27" s="82" t="n">
        <f aca="false">Payroll!BD$83*'Assumption Setting'!$C$125+Payroll!BD$80*'Assumption Setting'!$D$125+BD12*'Assumption Setting'!$E$125+BD14*'Assumption Setting'!$F$125</f>
        <v>13.1</v>
      </c>
      <c r="BE27" s="82" t="n">
        <f aca="false">Payroll!BE$83*'Assumption Setting'!$C$125+Payroll!BE$80*'Assumption Setting'!$D$125+BE12*'Assumption Setting'!$E$125+BE14*'Assumption Setting'!$F$125</f>
        <v>13.1</v>
      </c>
      <c r="BF27" s="82" t="n">
        <f aca="false">Payroll!BF$83*'Assumption Setting'!$C$125+Payroll!BF$80*'Assumption Setting'!$D$125+BF12*'Assumption Setting'!$E$125+BF14*'Assumption Setting'!$F$125</f>
        <v>13.2</v>
      </c>
      <c r="BG27" s="82" t="n">
        <f aca="false">Payroll!BG$83*'Assumption Setting'!$C$125+Payroll!BG$80*'Assumption Setting'!$D$125+BG12*'Assumption Setting'!$E$125+BG14*'Assumption Setting'!$F$125</f>
        <v>13.2</v>
      </c>
      <c r="BH27" s="82" t="n">
        <f aca="false">Payroll!BH$83*'Assumption Setting'!$C$125+Payroll!BH$80*'Assumption Setting'!$D$125+BH12*'Assumption Setting'!$E$125+BH14*'Assumption Setting'!$F$125</f>
        <v>13.2</v>
      </c>
      <c r="BI27" s="82" t="n">
        <f aca="false">Payroll!BI$83*'Assumption Setting'!$C$125+Payroll!BI$80*'Assumption Setting'!$D$125+BI12*'Assumption Setting'!$E$125+BI14*'Assumption Setting'!$F$125</f>
        <v>13.3</v>
      </c>
      <c r="BJ27" s="82" t="n">
        <f aca="false">Payroll!BJ$83*'Assumption Setting'!$C$125+Payroll!BJ$80*'Assumption Setting'!$D$125+BJ12*'Assumption Setting'!$E$125+BJ14*'Assumption Setting'!$F$125</f>
        <v>13.3</v>
      </c>
      <c r="BK27" s="82" t="n">
        <f aca="false">Payroll!BK$83*'Assumption Setting'!$C$125+Payroll!BK$80*'Assumption Setting'!$D$125+BK12*'Assumption Setting'!$E$125+BK14*'Assumption Setting'!$F$125</f>
        <v>13.3</v>
      </c>
      <c r="BL27" s="82" t="n">
        <f aca="false">Payroll!BL$83*'Assumption Setting'!$C$125+Payroll!BL$80*'Assumption Setting'!$D$125+BL12*'Assumption Setting'!$E$125+BL14*'Assumption Setting'!$F$125</f>
        <v>13.4</v>
      </c>
      <c r="BM27" s="82" t="n">
        <f aca="false">Payroll!BM$83*'Assumption Setting'!$C$125+Payroll!BM$80*'Assumption Setting'!$D$125+BM12*'Assumption Setting'!$E$125+BM14*'Assumption Setting'!$F$125</f>
        <v>13.4</v>
      </c>
      <c r="BN27" s="82" t="n">
        <f aca="false">Payroll!BN$83*'Assumption Setting'!$C$125+Payroll!BN$80*'Assumption Setting'!$D$125+BN12*'Assumption Setting'!$E$125+BN14*'Assumption Setting'!$F$125</f>
        <v>13.4</v>
      </c>
    </row>
    <row r="28" customFormat="false" ht="15" hidden="false" customHeight="false" outlineLevel="0" collapsed="false">
      <c r="A28" s="12" t="s">
        <v>669</v>
      </c>
      <c r="B28" s="81" t="n">
        <f aca="false">SUM(C28:N28)</f>
        <v>11.16</v>
      </c>
      <c r="C28" s="82" t="n">
        <f aca="false">C27-C26</f>
        <v>0.88</v>
      </c>
      <c r="D28" s="82" t="n">
        <f aca="false">D27-D26</f>
        <v>0.88</v>
      </c>
      <c r="E28" s="82" t="n">
        <f aca="false">E27-E26</f>
        <v>0.88</v>
      </c>
      <c r="F28" s="82" t="n">
        <f aca="false">F27-F26</f>
        <v>0.88</v>
      </c>
      <c r="G28" s="82" t="n">
        <f aca="false">G27-G26</f>
        <v>0.88</v>
      </c>
      <c r="H28" s="82" t="n">
        <f aca="false">H27-H26</f>
        <v>0.88</v>
      </c>
      <c r="I28" s="82" t="n">
        <f aca="false">I27-I26</f>
        <v>0.98</v>
      </c>
      <c r="J28" s="82" t="n">
        <f aca="false">J27-J26</f>
        <v>0.98</v>
      </c>
      <c r="K28" s="82" t="n">
        <f aca="false">K27-K26</f>
        <v>0.98</v>
      </c>
      <c r="L28" s="82" t="n">
        <f aca="false">L27-L26</f>
        <v>0.98</v>
      </c>
      <c r="M28" s="82" t="n">
        <f aca="false">M27-M26</f>
        <v>0.98</v>
      </c>
      <c r="N28" s="82" t="n">
        <f aca="false">N27-N26</f>
        <v>0.98</v>
      </c>
      <c r="O28" s="81" t="n">
        <f aca="false">SUM(P28:AA28)</f>
        <v>23.4</v>
      </c>
      <c r="P28" s="82" t="n">
        <f aca="false">P27-P26</f>
        <v>1.8</v>
      </c>
      <c r="Q28" s="82" t="n">
        <f aca="false">Q27-Q26</f>
        <v>1.8</v>
      </c>
      <c r="R28" s="82" t="n">
        <f aca="false">R27-R26</f>
        <v>1.8</v>
      </c>
      <c r="S28" s="82" t="n">
        <f aca="false">S27-S26</f>
        <v>1.9</v>
      </c>
      <c r="T28" s="82" t="n">
        <f aca="false">T27-T26</f>
        <v>1.9</v>
      </c>
      <c r="U28" s="82" t="n">
        <f aca="false">U27-U26</f>
        <v>1.9</v>
      </c>
      <c r="V28" s="82" t="n">
        <f aca="false">V27-V26</f>
        <v>2</v>
      </c>
      <c r="W28" s="82" t="n">
        <f aca="false">W27-W26</f>
        <v>2</v>
      </c>
      <c r="X28" s="82" t="n">
        <f aca="false">X27-X26</f>
        <v>2</v>
      </c>
      <c r="Y28" s="82" t="n">
        <f aca="false">Y27-Y26</f>
        <v>2.1</v>
      </c>
      <c r="Z28" s="82" t="n">
        <f aca="false">Z27-Z26</f>
        <v>2.1</v>
      </c>
      <c r="AA28" s="82" t="n">
        <f aca="false">AA27-AA26</f>
        <v>2.1</v>
      </c>
      <c r="AB28" s="81" t="n">
        <f aca="false">SUM(AC28:AN28)</f>
        <v>59.4</v>
      </c>
      <c r="AC28" s="82" t="n">
        <f aca="false">AC27-AC26</f>
        <v>4.8</v>
      </c>
      <c r="AD28" s="82" t="n">
        <f aca="false">AD27-AD26</f>
        <v>4.8</v>
      </c>
      <c r="AE28" s="82" t="n">
        <f aca="false">AE27-AE26</f>
        <v>4.8</v>
      </c>
      <c r="AF28" s="82" t="n">
        <f aca="false">AF27-AF26</f>
        <v>4.9</v>
      </c>
      <c r="AG28" s="82" t="n">
        <f aca="false">AG27-AG26</f>
        <v>4.9</v>
      </c>
      <c r="AH28" s="82" t="n">
        <f aca="false">AH27-AH26</f>
        <v>4.9</v>
      </c>
      <c r="AI28" s="82" t="n">
        <f aca="false">AI27-AI26</f>
        <v>5</v>
      </c>
      <c r="AJ28" s="82" t="n">
        <f aca="false">AJ27-AJ26</f>
        <v>5</v>
      </c>
      <c r="AK28" s="82" t="n">
        <f aca="false">AK27-AK26</f>
        <v>5</v>
      </c>
      <c r="AL28" s="82" t="n">
        <f aca="false">AL27-AL26</f>
        <v>5.1</v>
      </c>
      <c r="AM28" s="82" t="n">
        <f aca="false">AM27-AM26</f>
        <v>5.1</v>
      </c>
      <c r="AN28" s="82" t="n">
        <f aca="false">AN27-AN26</f>
        <v>5.1</v>
      </c>
      <c r="AO28" s="81" t="n">
        <f aca="false">SUM(AP28:BA28)</f>
        <v>87</v>
      </c>
      <c r="AP28" s="82" t="n">
        <f aca="false">AP27-AP26</f>
        <v>7.1</v>
      </c>
      <c r="AQ28" s="82" t="n">
        <f aca="false">AQ27-AQ26</f>
        <v>7.1</v>
      </c>
      <c r="AR28" s="82" t="n">
        <f aca="false">AR27-AR26</f>
        <v>7.1</v>
      </c>
      <c r="AS28" s="82" t="n">
        <f aca="false">AS27-AS26</f>
        <v>7.2</v>
      </c>
      <c r="AT28" s="82" t="n">
        <f aca="false">AT27-AT26</f>
        <v>7.2</v>
      </c>
      <c r="AU28" s="82" t="n">
        <f aca="false">AU27-AU26</f>
        <v>7.2</v>
      </c>
      <c r="AV28" s="82" t="n">
        <f aca="false">AV27-AV26</f>
        <v>7.3</v>
      </c>
      <c r="AW28" s="82" t="n">
        <f aca="false">AW27-AW26</f>
        <v>7.3</v>
      </c>
      <c r="AX28" s="82" t="n">
        <f aca="false">AX27-AX26</f>
        <v>7.3</v>
      </c>
      <c r="AY28" s="82" t="n">
        <f aca="false">AY27-AY26</f>
        <v>7.4</v>
      </c>
      <c r="AZ28" s="82" t="n">
        <f aca="false">AZ27-AZ26</f>
        <v>7.4</v>
      </c>
      <c r="BA28" s="82" t="n">
        <f aca="false">BA27-BA26</f>
        <v>7.4</v>
      </c>
      <c r="BB28" s="81" t="n">
        <f aca="false">SUM(BC28:BN28)</f>
        <v>111</v>
      </c>
      <c r="BC28" s="82" t="n">
        <f aca="false">BC27-BC26</f>
        <v>9.1</v>
      </c>
      <c r="BD28" s="82" t="n">
        <f aca="false">BD27-BD26</f>
        <v>9.1</v>
      </c>
      <c r="BE28" s="82" t="n">
        <f aca="false">BE27-BE26</f>
        <v>9.1</v>
      </c>
      <c r="BF28" s="82" t="n">
        <f aca="false">BF27-BF26</f>
        <v>9.2</v>
      </c>
      <c r="BG28" s="82" t="n">
        <f aca="false">BG27-BG26</f>
        <v>9.2</v>
      </c>
      <c r="BH28" s="82" t="n">
        <f aca="false">BH27-BH26</f>
        <v>9.2</v>
      </c>
      <c r="BI28" s="82" t="n">
        <f aca="false">BI27-BI26</f>
        <v>9.3</v>
      </c>
      <c r="BJ28" s="82" t="n">
        <f aca="false">BJ27-BJ26</f>
        <v>9.3</v>
      </c>
      <c r="BK28" s="82" t="n">
        <f aca="false">BK27-BK26</f>
        <v>9.3</v>
      </c>
      <c r="BL28" s="82" t="n">
        <f aca="false">BL27-BL26</f>
        <v>9.4</v>
      </c>
      <c r="BM28" s="82" t="n">
        <f aca="false">BM27-BM26</f>
        <v>9.4</v>
      </c>
      <c r="BN28" s="82" t="n">
        <f aca="false">BN27-BN26</f>
        <v>9.4</v>
      </c>
    </row>
    <row r="29" customFormat="false" ht="15" hidden="false" customHeight="false" outlineLevel="0" collapsed="false">
      <c r="A29" s="12" t="s">
        <v>672</v>
      </c>
      <c r="B29" s="81" t="n">
        <f aca="false">SUM(C29:N29)</f>
        <v>3</v>
      </c>
      <c r="C29" s="91" t="n">
        <f aca="false">Acquisitions!C$50</f>
        <v>0.25</v>
      </c>
      <c r="D29" s="91" t="n">
        <f aca="false">Acquisitions!D$50</f>
        <v>0.25</v>
      </c>
      <c r="E29" s="91" t="n">
        <f aca="false">Acquisitions!E$50</f>
        <v>0.25</v>
      </c>
      <c r="F29" s="91" t="n">
        <f aca="false">Acquisitions!F$50</f>
        <v>0.25</v>
      </c>
      <c r="G29" s="91" t="n">
        <f aca="false">Acquisitions!G$50</f>
        <v>0.25</v>
      </c>
      <c r="H29" s="91" t="n">
        <f aca="false">Acquisitions!H$50</f>
        <v>0.25</v>
      </c>
      <c r="I29" s="91" t="n">
        <f aca="false">Acquisitions!I$50</f>
        <v>0.25</v>
      </c>
      <c r="J29" s="91" t="n">
        <f aca="false">Acquisitions!J$50</f>
        <v>0.25</v>
      </c>
      <c r="K29" s="91" t="n">
        <f aca="false">Acquisitions!K$50</f>
        <v>0.25</v>
      </c>
      <c r="L29" s="91" t="n">
        <f aca="false">Acquisitions!L$50</f>
        <v>0.25</v>
      </c>
      <c r="M29" s="91" t="n">
        <f aca="false">Acquisitions!M$50</f>
        <v>0.25</v>
      </c>
      <c r="N29" s="91" t="n">
        <f aca="false">Acquisitions!N$50</f>
        <v>0.25</v>
      </c>
      <c r="O29" s="81" t="n">
        <f aca="false">SUM(P29:AA29)</f>
        <v>18</v>
      </c>
      <c r="P29" s="91" t="n">
        <f aca="false">Acquisitions!P$50</f>
        <v>1.5</v>
      </c>
      <c r="Q29" s="91" t="n">
        <f aca="false">Acquisitions!Q$50</f>
        <v>1.5</v>
      </c>
      <c r="R29" s="91" t="n">
        <f aca="false">Acquisitions!R$50</f>
        <v>1.5</v>
      </c>
      <c r="S29" s="91" t="n">
        <f aca="false">Acquisitions!S$50</f>
        <v>1.5</v>
      </c>
      <c r="T29" s="91" t="n">
        <f aca="false">Acquisitions!T$50</f>
        <v>1.5</v>
      </c>
      <c r="U29" s="91" t="n">
        <f aca="false">Acquisitions!U$50</f>
        <v>1.5</v>
      </c>
      <c r="V29" s="91" t="n">
        <f aca="false">Acquisitions!V$50</f>
        <v>1.5</v>
      </c>
      <c r="W29" s="91" t="n">
        <f aca="false">Acquisitions!W$50</f>
        <v>1.5</v>
      </c>
      <c r="X29" s="91" t="n">
        <f aca="false">Acquisitions!X$50</f>
        <v>1.5</v>
      </c>
      <c r="Y29" s="91" t="n">
        <f aca="false">Acquisitions!Y$50</f>
        <v>1.5</v>
      </c>
      <c r="Z29" s="91" t="n">
        <f aca="false">Acquisitions!Z$50</f>
        <v>1.5</v>
      </c>
      <c r="AA29" s="91" t="n">
        <f aca="false">Acquisitions!AA$50</f>
        <v>1.5</v>
      </c>
      <c r="AB29" s="81" t="n">
        <f aca="false">SUM(AC29:AN29)</f>
        <v>36</v>
      </c>
      <c r="AC29" s="91" t="n">
        <f aca="false">Acquisitions!AC$50</f>
        <v>3</v>
      </c>
      <c r="AD29" s="91" t="n">
        <f aca="false">Acquisitions!AD$50</f>
        <v>3</v>
      </c>
      <c r="AE29" s="91" t="n">
        <f aca="false">Acquisitions!AE$50</f>
        <v>3</v>
      </c>
      <c r="AF29" s="91" t="n">
        <f aca="false">Acquisitions!AF$50</f>
        <v>3</v>
      </c>
      <c r="AG29" s="91" t="n">
        <f aca="false">Acquisitions!AG$50</f>
        <v>3</v>
      </c>
      <c r="AH29" s="91" t="n">
        <f aca="false">Acquisitions!AH$50</f>
        <v>3</v>
      </c>
      <c r="AI29" s="91" t="n">
        <f aca="false">Acquisitions!AI$50</f>
        <v>3</v>
      </c>
      <c r="AJ29" s="91" t="n">
        <f aca="false">Acquisitions!AJ$50</f>
        <v>3</v>
      </c>
      <c r="AK29" s="91" t="n">
        <f aca="false">Acquisitions!AK$50</f>
        <v>3</v>
      </c>
      <c r="AL29" s="91" t="n">
        <f aca="false">Acquisitions!AL$50</f>
        <v>3</v>
      </c>
      <c r="AM29" s="91" t="n">
        <f aca="false">Acquisitions!AM$50</f>
        <v>3</v>
      </c>
      <c r="AN29" s="91" t="n">
        <f aca="false">Acquisitions!AN$50</f>
        <v>3</v>
      </c>
      <c r="AO29" s="81" t="n">
        <f aca="false">SUM(AP29:BA29)</f>
        <v>54</v>
      </c>
      <c r="AP29" s="91" t="n">
        <f aca="false">Acquisitions!AP$50</f>
        <v>4.5</v>
      </c>
      <c r="AQ29" s="91" t="n">
        <f aca="false">Acquisitions!AQ$50</f>
        <v>4.5</v>
      </c>
      <c r="AR29" s="91" t="n">
        <f aca="false">Acquisitions!AR$50</f>
        <v>4.5</v>
      </c>
      <c r="AS29" s="91" t="n">
        <f aca="false">Acquisitions!AS$50</f>
        <v>4.5</v>
      </c>
      <c r="AT29" s="91" t="n">
        <f aca="false">Acquisitions!AT$50</f>
        <v>4.5</v>
      </c>
      <c r="AU29" s="91" t="n">
        <f aca="false">Acquisitions!AU$50</f>
        <v>4.5</v>
      </c>
      <c r="AV29" s="91" t="n">
        <f aca="false">Acquisitions!AV$50</f>
        <v>4.5</v>
      </c>
      <c r="AW29" s="91" t="n">
        <f aca="false">Acquisitions!AW$50</f>
        <v>4.5</v>
      </c>
      <c r="AX29" s="91" t="n">
        <f aca="false">Acquisitions!AX$50</f>
        <v>4.5</v>
      </c>
      <c r="AY29" s="91" t="n">
        <f aca="false">Acquisitions!AY$50</f>
        <v>4.5</v>
      </c>
      <c r="AZ29" s="91" t="n">
        <f aca="false">Acquisitions!AZ$50</f>
        <v>4.5</v>
      </c>
      <c r="BA29" s="91" t="n">
        <f aca="false">Acquisitions!BA$50</f>
        <v>4.5</v>
      </c>
      <c r="BB29" s="81" t="n">
        <f aca="false">SUM(BC29:BN29)</f>
        <v>72</v>
      </c>
      <c r="BC29" s="91" t="n">
        <f aca="false">Acquisitions!BC$50</f>
        <v>6</v>
      </c>
      <c r="BD29" s="91" t="n">
        <f aca="false">Acquisitions!BD$50</f>
        <v>6</v>
      </c>
      <c r="BE29" s="91" t="n">
        <f aca="false">Acquisitions!BE$50</f>
        <v>6</v>
      </c>
      <c r="BF29" s="91" t="n">
        <f aca="false">Acquisitions!BF$50</f>
        <v>6</v>
      </c>
      <c r="BG29" s="91" t="n">
        <f aca="false">Acquisitions!BG$50</f>
        <v>6</v>
      </c>
      <c r="BH29" s="91" t="n">
        <f aca="false">Acquisitions!BH$50</f>
        <v>6</v>
      </c>
      <c r="BI29" s="91" t="n">
        <f aca="false">Acquisitions!BI$50</f>
        <v>6</v>
      </c>
      <c r="BJ29" s="91" t="n">
        <f aca="false">Acquisitions!BJ$50</f>
        <v>6</v>
      </c>
      <c r="BK29" s="91" t="n">
        <f aca="false">Acquisitions!BK$50</f>
        <v>6</v>
      </c>
      <c r="BL29" s="91" t="n">
        <f aca="false">Acquisitions!BL$50</f>
        <v>6</v>
      </c>
      <c r="BM29" s="91" t="n">
        <f aca="false">Acquisitions!BM$50</f>
        <v>6</v>
      </c>
      <c r="BN29" s="91" t="n">
        <f aca="false">Acquisitions!BN$50</f>
        <v>6</v>
      </c>
    </row>
    <row r="30" customFormat="false" ht="15" hidden="false" customHeight="false" outlineLevel="0" collapsed="false">
      <c r="A30" s="12" t="s">
        <v>668</v>
      </c>
      <c r="B30" s="81" t="n">
        <f aca="false">SUM(C30:N30)</f>
        <v>34.8</v>
      </c>
      <c r="C30" s="82" t="n">
        <f aca="false">Payroll!C$82*'Assumption Setting'!$C$126+Payroll!C$80*'Assumption Setting'!$D$126+C12*'Assumption Setting'!$E$126+C14*'Assumption Setting'!$F$126</f>
        <v>2.5</v>
      </c>
      <c r="D30" s="82" t="n">
        <f aca="false">Payroll!D$82*'Assumption Setting'!$C$126+Payroll!D$80*'Assumption Setting'!$D$126+D12*'Assumption Setting'!$E$126+D14*'Assumption Setting'!$F$126</f>
        <v>2.5</v>
      </c>
      <c r="E30" s="82" t="n">
        <f aca="false">Payroll!E$82*'Assumption Setting'!$C$126+Payroll!E$80*'Assumption Setting'!$D$126+E12*'Assumption Setting'!$E$126+E14*'Assumption Setting'!$F$126</f>
        <v>2.5</v>
      </c>
      <c r="F30" s="82" t="n">
        <f aca="false">Payroll!F$82*'Assumption Setting'!$C$126+Payroll!F$80*'Assumption Setting'!$D$126+F12*'Assumption Setting'!$E$126+F14*'Assumption Setting'!$F$126</f>
        <v>2.5</v>
      </c>
      <c r="G30" s="82" t="n">
        <f aca="false">Payroll!G$82*'Assumption Setting'!$C$126+Payroll!G$80*'Assumption Setting'!$D$126+G12*'Assumption Setting'!$E$126+G14*'Assumption Setting'!$F$126</f>
        <v>2.5</v>
      </c>
      <c r="H30" s="82" t="n">
        <f aca="false">Payroll!H$82*'Assumption Setting'!$C$126+Payroll!H$80*'Assumption Setting'!$D$126+H12*'Assumption Setting'!$E$126+H14*'Assumption Setting'!$F$126</f>
        <v>2.5</v>
      </c>
      <c r="I30" s="82" t="n">
        <f aca="false">Payroll!I$82*'Assumption Setting'!$C$126+Payroll!I$80*'Assumption Setting'!$D$126+I12*'Assumption Setting'!$E$126+I14*'Assumption Setting'!$F$126</f>
        <v>3.3</v>
      </c>
      <c r="J30" s="82" t="n">
        <f aca="false">Payroll!J$82*'Assumption Setting'!$C$126+Payroll!J$80*'Assumption Setting'!$D$126+J12*'Assumption Setting'!$E$126+J14*'Assumption Setting'!$F$126</f>
        <v>3.3</v>
      </c>
      <c r="K30" s="82" t="n">
        <f aca="false">Payroll!K$82*'Assumption Setting'!$C$126+Payroll!K$80*'Assumption Setting'!$D$126+K12*'Assumption Setting'!$E$126+K14*'Assumption Setting'!$F$126</f>
        <v>3.3</v>
      </c>
      <c r="L30" s="82" t="n">
        <f aca="false">Payroll!L$82*'Assumption Setting'!$C$126+Payroll!L$80*'Assumption Setting'!$D$126+L12*'Assumption Setting'!$E$126+L14*'Assumption Setting'!$F$126</f>
        <v>3.3</v>
      </c>
      <c r="M30" s="82" t="n">
        <f aca="false">Payroll!M$82*'Assumption Setting'!$C$126+Payroll!M$80*'Assumption Setting'!$D$126+M12*'Assumption Setting'!$E$126+M14*'Assumption Setting'!$F$126</f>
        <v>3.3</v>
      </c>
      <c r="N30" s="82" t="n">
        <f aca="false">Payroll!N$82*'Assumption Setting'!$C$126+Payroll!N$80*'Assumption Setting'!$D$126+N12*'Assumption Setting'!$E$126+N14*'Assumption Setting'!$F$126</f>
        <v>3.3</v>
      </c>
      <c r="O30" s="81" t="n">
        <f aca="false">SUM(P30:AA30)</f>
        <v>63.6</v>
      </c>
      <c r="P30" s="82" t="n">
        <f aca="false">Payroll!P$82*'Assumption Setting'!$C$126+Payroll!P$80*'Assumption Setting'!$D$126+P12*'Assumption Setting'!$E$126+P14*'Assumption Setting'!$F$126</f>
        <v>4.1</v>
      </c>
      <c r="Q30" s="82" t="n">
        <f aca="false">Payroll!Q$82*'Assumption Setting'!$C$126+Payroll!Q$80*'Assumption Setting'!$D$126+Q12*'Assumption Setting'!$E$126+Q14*'Assumption Setting'!$F$126</f>
        <v>4.1</v>
      </c>
      <c r="R30" s="82" t="n">
        <f aca="false">Payroll!R$82*'Assumption Setting'!$C$126+Payroll!R$80*'Assumption Setting'!$D$126+R12*'Assumption Setting'!$E$126+R14*'Assumption Setting'!$F$126</f>
        <v>4.1</v>
      </c>
      <c r="S30" s="82" t="n">
        <f aca="false">Payroll!S$82*'Assumption Setting'!$C$126+Payroll!S$80*'Assumption Setting'!$D$126+S12*'Assumption Setting'!$E$126+S14*'Assumption Setting'!$F$126</f>
        <v>4.9</v>
      </c>
      <c r="T30" s="82" t="n">
        <f aca="false">Payroll!T$82*'Assumption Setting'!$C$126+Payroll!T$80*'Assumption Setting'!$D$126+T12*'Assumption Setting'!$E$126+T14*'Assumption Setting'!$F$126</f>
        <v>4.9</v>
      </c>
      <c r="U30" s="82" t="n">
        <f aca="false">Payroll!U$82*'Assumption Setting'!$C$126+Payroll!U$80*'Assumption Setting'!$D$126+U12*'Assumption Setting'!$E$126+U14*'Assumption Setting'!$F$126</f>
        <v>4.9</v>
      </c>
      <c r="V30" s="82" t="n">
        <f aca="false">Payroll!V$82*'Assumption Setting'!$C$126+Payroll!V$80*'Assumption Setting'!$D$126+V12*'Assumption Setting'!$E$126+V14*'Assumption Setting'!$F$126</f>
        <v>5.7</v>
      </c>
      <c r="W30" s="82" t="n">
        <f aca="false">Payroll!W$82*'Assumption Setting'!$C$126+Payroll!W$80*'Assumption Setting'!$D$126+W12*'Assumption Setting'!$E$126+W14*'Assumption Setting'!$F$126</f>
        <v>5.7</v>
      </c>
      <c r="X30" s="82" t="n">
        <f aca="false">Payroll!X$82*'Assumption Setting'!$C$126+Payroll!X$80*'Assumption Setting'!$D$126+X12*'Assumption Setting'!$E$126+X14*'Assumption Setting'!$F$126</f>
        <v>5.7</v>
      </c>
      <c r="Y30" s="82" t="n">
        <f aca="false">Payroll!Y$82*'Assumption Setting'!$C$126+Payroll!Y$80*'Assumption Setting'!$D$126+Y12*'Assumption Setting'!$E$126+Y14*'Assumption Setting'!$F$126</f>
        <v>6.5</v>
      </c>
      <c r="Z30" s="82" t="n">
        <f aca="false">Payroll!Z$82*'Assumption Setting'!$C$126+Payroll!Z$80*'Assumption Setting'!$D$126+Z12*'Assumption Setting'!$E$126+Z14*'Assumption Setting'!$F$126</f>
        <v>6.5</v>
      </c>
      <c r="AA30" s="82" t="n">
        <f aca="false">Payroll!AA$82*'Assumption Setting'!$C$126+Payroll!AA$80*'Assumption Setting'!$D$126+AA12*'Assumption Setting'!$E$126+AA14*'Assumption Setting'!$F$126</f>
        <v>6.5</v>
      </c>
      <c r="AB30" s="81" t="n">
        <f aca="false">SUM(AC30:AN30)</f>
        <v>138</v>
      </c>
      <c r="AC30" s="82" t="n">
        <f aca="false">Payroll!AC$82*'Assumption Setting'!$C$126+Payroll!AC$80*'Assumption Setting'!$D$126+AC12*'Assumption Setting'!$E$126+AC14*'Assumption Setting'!$F$126</f>
        <v>10.3</v>
      </c>
      <c r="AD30" s="82" t="n">
        <f aca="false">Payroll!AD$82*'Assumption Setting'!$C$126+Payroll!AD$80*'Assumption Setting'!$D$126+AD12*'Assumption Setting'!$E$126+AD14*'Assumption Setting'!$F$126</f>
        <v>10.3</v>
      </c>
      <c r="AE30" s="82" t="n">
        <f aca="false">Payroll!AE$82*'Assumption Setting'!$C$126+Payroll!AE$80*'Assumption Setting'!$D$126+AE12*'Assumption Setting'!$E$126+AE14*'Assumption Setting'!$F$126</f>
        <v>10.3</v>
      </c>
      <c r="AF30" s="82" t="n">
        <f aca="false">Payroll!AF$82*'Assumption Setting'!$C$126+Payroll!AF$80*'Assumption Setting'!$D$126+AF12*'Assumption Setting'!$E$126+AF14*'Assumption Setting'!$F$126</f>
        <v>11.1</v>
      </c>
      <c r="AG30" s="82" t="n">
        <f aca="false">Payroll!AG$82*'Assumption Setting'!$C$126+Payroll!AG$80*'Assumption Setting'!$D$126+AG12*'Assumption Setting'!$E$126+AG14*'Assumption Setting'!$F$126</f>
        <v>11.1</v>
      </c>
      <c r="AH30" s="82" t="n">
        <f aca="false">Payroll!AH$82*'Assumption Setting'!$C$126+Payroll!AH$80*'Assumption Setting'!$D$126+AH12*'Assumption Setting'!$E$126+AH14*'Assumption Setting'!$F$126</f>
        <v>11.1</v>
      </c>
      <c r="AI30" s="82" t="n">
        <f aca="false">Payroll!AI$82*'Assumption Setting'!$C$126+Payroll!AI$80*'Assumption Setting'!$D$126+AI12*'Assumption Setting'!$E$126+AI14*'Assumption Setting'!$F$126</f>
        <v>11.9</v>
      </c>
      <c r="AJ30" s="82" t="n">
        <f aca="false">Payroll!AJ$82*'Assumption Setting'!$C$126+Payroll!AJ$80*'Assumption Setting'!$D$126+AJ12*'Assumption Setting'!$E$126+AJ14*'Assumption Setting'!$F$126</f>
        <v>11.9</v>
      </c>
      <c r="AK30" s="82" t="n">
        <f aca="false">Payroll!AK$82*'Assumption Setting'!$C$126+Payroll!AK$80*'Assumption Setting'!$D$126+AK12*'Assumption Setting'!$E$126+AK14*'Assumption Setting'!$F$126</f>
        <v>11.9</v>
      </c>
      <c r="AL30" s="82" t="n">
        <f aca="false">Payroll!AL$82*'Assumption Setting'!$C$126+Payroll!AL$80*'Assumption Setting'!$D$126+AL12*'Assumption Setting'!$E$126+AL14*'Assumption Setting'!$F$126</f>
        <v>12.7</v>
      </c>
      <c r="AM30" s="82" t="n">
        <f aca="false">Payroll!AM$82*'Assumption Setting'!$C$126+Payroll!AM$80*'Assumption Setting'!$D$126+AM12*'Assumption Setting'!$E$126+AM14*'Assumption Setting'!$F$126</f>
        <v>12.7</v>
      </c>
      <c r="AN30" s="82" t="n">
        <f aca="false">Payroll!AN$82*'Assumption Setting'!$C$126+Payroll!AN$80*'Assumption Setting'!$D$126+AN12*'Assumption Setting'!$E$126+AN14*'Assumption Setting'!$F$126</f>
        <v>12.7</v>
      </c>
      <c r="AO30" s="81" t="n">
        <f aca="false">SUM(AP30:BA30)</f>
        <v>200.4</v>
      </c>
      <c r="AP30" s="82" t="n">
        <f aca="false">Payroll!AP$82*'Assumption Setting'!$C$126+Payroll!AP$80*'Assumption Setting'!$D$126+AP12*'Assumption Setting'!$E$126+AP14*'Assumption Setting'!$F$126</f>
        <v>15.5</v>
      </c>
      <c r="AQ30" s="82" t="n">
        <f aca="false">Payroll!AQ$82*'Assumption Setting'!$C$126+Payroll!AQ$80*'Assumption Setting'!$D$126+AQ12*'Assumption Setting'!$E$126+AQ14*'Assumption Setting'!$F$126</f>
        <v>15.5</v>
      </c>
      <c r="AR30" s="82" t="n">
        <f aca="false">Payroll!AR$82*'Assumption Setting'!$C$126+Payroll!AR$80*'Assumption Setting'!$D$126+AR12*'Assumption Setting'!$E$126+AR14*'Assumption Setting'!$F$126</f>
        <v>15.5</v>
      </c>
      <c r="AS30" s="82" t="n">
        <f aca="false">Payroll!AS$82*'Assumption Setting'!$C$126+Payroll!AS$80*'Assumption Setting'!$D$126+AS12*'Assumption Setting'!$E$126+AS14*'Assumption Setting'!$F$126</f>
        <v>16.3</v>
      </c>
      <c r="AT30" s="82" t="n">
        <f aca="false">Payroll!AT$82*'Assumption Setting'!$C$126+Payroll!AT$80*'Assumption Setting'!$D$126+AT12*'Assumption Setting'!$E$126+AT14*'Assumption Setting'!$F$126</f>
        <v>16.3</v>
      </c>
      <c r="AU30" s="82" t="n">
        <f aca="false">Payroll!AU$82*'Assumption Setting'!$C$126+Payroll!AU$80*'Assumption Setting'!$D$126+AU12*'Assumption Setting'!$E$126+AU14*'Assumption Setting'!$F$126</f>
        <v>16.3</v>
      </c>
      <c r="AV30" s="82" t="n">
        <f aca="false">Payroll!AV$82*'Assumption Setting'!$C$126+Payroll!AV$80*'Assumption Setting'!$D$126+AV12*'Assumption Setting'!$E$126+AV14*'Assumption Setting'!$F$126</f>
        <v>17.1</v>
      </c>
      <c r="AW30" s="82" t="n">
        <f aca="false">Payroll!AW$82*'Assumption Setting'!$C$126+Payroll!AW$80*'Assumption Setting'!$D$126+AW12*'Assumption Setting'!$E$126+AW14*'Assumption Setting'!$F$126</f>
        <v>17.1</v>
      </c>
      <c r="AX30" s="82" t="n">
        <f aca="false">Payroll!AX$82*'Assumption Setting'!$C$126+Payroll!AX$80*'Assumption Setting'!$D$126+AX12*'Assumption Setting'!$E$126+AX14*'Assumption Setting'!$F$126</f>
        <v>17.1</v>
      </c>
      <c r="AY30" s="82" t="n">
        <f aca="false">Payroll!AY$82*'Assumption Setting'!$C$126+Payroll!AY$80*'Assumption Setting'!$D$126+AY12*'Assumption Setting'!$E$126+AY14*'Assumption Setting'!$F$126</f>
        <v>17.9</v>
      </c>
      <c r="AZ30" s="82" t="n">
        <f aca="false">Payroll!AZ$82*'Assumption Setting'!$C$126+Payroll!AZ$80*'Assumption Setting'!$D$126+AZ12*'Assumption Setting'!$E$126+AZ14*'Assumption Setting'!$F$126</f>
        <v>17.9</v>
      </c>
      <c r="BA30" s="82" t="n">
        <f aca="false">Payroll!BA$82*'Assumption Setting'!$C$126+Payroll!BA$80*'Assumption Setting'!$D$126+BA12*'Assumption Setting'!$E$126+BA14*'Assumption Setting'!$F$126</f>
        <v>17.9</v>
      </c>
      <c r="BB30" s="81" t="n">
        <f aca="false">SUM(BC30:BN30)</f>
        <v>256.8</v>
      </c>
      <c r="BC30" s="82" t="n">
        <f aca="false">Payroll!BC$82*'Assumption Setting'!$C$126+Payroll!BC$80*'Assumption Setting'!$D$126+BC12*'Assumption Setting'!$E$126+BC14*'Assumption Setting'!$F$126</f>
        <v>20.2</v>
      </c>
      <c r="BD30" s="82" t="n">
        <f aca="false">Payroll!BD$82*'Assumption Setting'!$C$126+Payroll!BD$80*'Assumption Setting'!$D$126+BD12*'Assumption Setting'!$E$126+BD14*'Assumption Setting'!$F$126</f>
        <v>20.2</v>
      </c>
      <c r="BE30" s="82" t="n">
        <f aca="false">Payroll!BE$82*'Assumption Setting'!$C$126+Payroll!BE$80*'Assumption Setting'!$D$126+BE12*'Assumption Setting'!$E$126+BE14*'Assumption Setting'!$F$126</f>
        <v>20.2</v>
      </c>
      <c r="BF30" s="82" t="n">
        <f aca="false">Payroll!BF$82*'Assumption Setting'!$C$126+Payroll!BF$80*'Assumption Setting'!$D$126+BF12*'Assumption Setting'!$E$126+BF14*'Assumption Setting'!$F$126</f>
        <v>21</v>
      </c>
      <c r="BG30" s="82" t="n">
        <f aca="false">Payroll!BG$82*'Assumption Setting'!$C$126+Payroll!BG$80*'Assumption Setting'!$D$126+BG12*'Assumption Setting'!$E$126+BG14*'Assumption Setting'!$F$126</f>
        <v>21</v>
      </c>
      <c r="BH30" s="82" t="n">
        <f aca="false">Payroll!BH$82*'Assumption Setting'!$C$126+Payroll!BH$80*'Assumption Setting'!$D$126+BH12*'Assumption Setting'!$E$126+BH14*'Assumption Setting'!$F$126</f>
        <v>21</v>
      </c>
      <c r="BI30" s="82" t="n">
        <f aca="false">Payroll!BI$82*'Assumption Setting'!$C$126+Payroll!BI$80*'Assumption Setting'!$D$126+BI12*'Assumption Setting'!$E$126+BI14*'Assumption Setting'!$F$126</f>
        <v>21.8</v>
      </c>
      <c r="BJ30" s="82" t="n">
        <f aca="false">Payroll!BJ$82*'Assumption Setting'!$C$126+Payroll!BJ$80*'Assumption Setting'!$D$126+BJ12*'Assumption Setting'!$E$126+BJ14*'Assumption Setting'!$F$126</f>
        <v>21.8</v>
      </c>
      <c r="BK30" s="82" t="n">
        <f aca="false">Payroll!BK$82*'Assumption Setting'!$C$126+Payroll!BK$80*'Assumption Setting'!$D$126+BK12*'Assumption Setting'!$E$126+BK14*'Assumption Setting'!$F$126</f>
        <v>21.8</v>
      </c>
      <c r="BL30" s="82" t="n">
        <f aca="false">Payroll!BL$82*'Assumption Setting'!$C$126+Payroll!BL$80*'Assumption Setting'!$D$126+BL12*'Assumption Setting'!$E$126+BL14*'Assumption Setting'!$F$126</f>
        <v>22.6</v>
      </c>
      <c r="BM30" s="82" t="n">
        <f aca="false">Payroll!BM$82*'Assumption Setting'!$C$126+Payroll!BM$80*'Assumption Setting'!$D$126+BM12*'Assumption Setting'!$E$126+BM14*'Assumption Setting'!$F$126</f>
        <v>22.6</v>
      </c>
      <c r="BN30" s="82" t="n">
        <f aca="false">Payroll!BN$82*'Assumption Setting'!$C$126+Payroll!BN$80*'Assumption Setting'!$D$126+BN12*'Assumption Setting'!$E$126+BN14*'Assumption Setting'!$F$126</f>
        <v>22.6</v>
      </c>
    </row>
    <row r="31" customFormat="false" ht="15" hidden="false" customHeight="false" outlineLevel="0" collapsed="false">
      <c r="A31" s="12" t="s">
        <v>669</v>
      </c>
      <c r="B31" s="81" t="n">
        <f aca="false">SUM(C31:N31)</f>
        <v>31.8</v>
      </c>
      <c r="C31" s="82" t="n">
        <f aca="false">C30-C29</f>
        <v>2.25</v>
      </c>
      <c r="D31" s="82" t="n">
        <f aca="false">D30-D29</f>
        <v>2.25</v>
      </c>
      <c r="E31" s="82" t="n">
        <f aca="false">E30-E29</f>
        <v>2.25</v>
      </c>
      <c r="F31" s="82" t="n">
        <f aca="false">F30-F29</f>
        <v>2.25</v>
      </c>
      <c r="G31" s="82" t="n">
        <f aca="false">G30-G29</f>
        <v>2.25</v>
      </c>
      <c r="H31" s="82" t="n">
        <f aca="false">H30-H29</f>
        <v>2.25</v>
      </c>
      <c r="I31" s="82" t="n">
        <f aca="false">I30-I29</f>
        <v>3.05</v>
      </c>
      <c r="J31" s="82" t="n">
        <f aca="false">J30-J29</f>
        <v>3.05</v>
      </c>
      <c r="K31" s="82" t="n">
        <f aca="false">K30-K29</f>
        <v>3.05</v>
      </c>
      <c r="L31" s="82" t="n">
        <f aca="false">L30-L29</f>
        <v>3.05</v>
      </c>
      <c r="M31" s="82" t="n">
        <f aca="false">M30-M29</f>
        <v>3.05</v>
      </c>
      <c r="N31" s="82" t="n">
        <f aca="false">N30-N29</f>
        <v>3.05</v>
      </c>
      <c r="O31" s="81" t="n">
        <f aca="false">SUM(P31:AA31)</f>
        <v>45.6</v>
      </c>
      <c r="P31" s="82" t="n">
        <f aca="false">P30-P29</f>
        <v>2.6</v>
      </c>
      <c r="Q31" s="82" t="n">
        <f aca="false">Q30-Q29</f>
        <v>2.6</v>
      </c>
      <c r="R31" s="82" t="n">
        <f aca="false">R30-R29</f>
        <v>2.6</v>
      </c>
      <c r="S31" s="82" t="n">
        <f aca="false">S30-S29</f>
        <v>3.4</v>
      </c>
      <c r="T31" s="82" t="n">
        <f aca="false">T30-T29</f>
        <v>3.4</v>
      </c>
      <c r="U31" s="82" t="n">
        <f aca="false">U30-U29</f>
        <v>3.4</v>
      </c>
      <c r="V31" s="82" t="n">
        <f aca="false">V30-V29</f>
        <v>4.2</v>
      </c>
      <c r="W31" s="82" t="n">
        <f aca="false">W30-W29</f>
        <v>4.2</v>
      </c>
      <c r="X31" s="82" t="n">
        <f aca="false">X30-X29</f>
        <v>4.2</v>
      </c>
      <c r="Y31" s="82" t="n">
        <f aca="false">Y30-Y29</f>
        <v>5</v>
      </c>
      <c r="Z31" s="82" t="n">
        <f aca="false">Z30-Z29</f>
        <v>5</v>
      </c>
      <c r="AA31" s="82" t="n">
        <f aca="false">AA30-AA29</f>
        <v>5</v>
      </c>
      <c r="AB31" s="81" t="n">
        <f aca="false">SUM(AC31:AN31)</f>
        <v>102</v>
      </c>
      <c r="AC31" s="82" t="n">
        <f aca="false">AC30-AC29</f>
        <v>7.3</v>
      </c>
      <c r="AD31" s="82" t="n">
        <f aca="false">AD30-AD29</f>
        <v>7.3</v>
      </c>
      <c r="AE31" s="82" t="n">
        <f aca="false">AE30-AE29</f>
        <v>7.3</v>
      </c>
      <c r="AF31" s="82" t="n">
        <f aca="false">AF30-AF29</f>
        <v>8.1</v>
      </c>
      <c r="AG31" s="82" t="n">
        <f aca="false">AG30-AG29</f>
        <v>8.1</v>
      </c>
      <c r="AH31" s="82" t="n">
        <f aca="false">AH30-AH29</f>
        <v>8.1</v>
      </c>
      <c r="AI31" s="82" t="n">
        <f aca="false">AI30-AI29</f>
        <v>8.9</v>
      </c>
      <c r="AJ31" s="82" t="n">
        <f aca="false">AJ30-AJ29</f>
        <v>8.9</v>
      </c>
      <c r="AK31" s="82" t="n">
        <f aca="false">AK30-AK29</f>
        <v>8.9</v>
      </c>
      <c r="AL31" s="82" t="n">
        <f aca="false">AL30-AL29</f>
        <v>9.7</v>
      </c>
      <c r="AM31" s="82" t="n">
        <f aca="false">AM30-AM29</f>
        <v>9.7</v>
      </c>
      <c r="AN31" s="82" t="n">
        <f aca="false">AN30-AN29</f>
        <v>9.7</v>
      </c>
      <c r="AO31" s="81" t="n">
        <f aca="false">SUM(AP31:BA31)</f>
        <v>146.4</v>
      </c>
      <c r="AP31" s="82" t="n">
        <f aca="false">AP30-AP29</f>
        <v>11</v>
      </c>
      <c r="AQ31" s="82" t="n">
        <f aca="false">AQ30-AQ29</f>
        <v>11</v>
      </c>
      <c r="AR31" s="82" t="n">
        <f aca="false">AR30-AR29</f>
        <v>11</v>
      </c>
      <c r="AS31" s="82" t="n">
        <f aca="false">AS30-AS29</f>
        <v>11.8</v>
      </c>
      <c r="AT31" s="82" t="n">
        <f aca="false">AT30-AT29</f>
        <v>11.8</v>
      </c>
      <c r="AU31" s="82" t="n">
        <f aca="false">AU30-AU29</f>
        <v>11.8</v>
      </c>
      <c r="AV31" s="82" t="n">
        <f aca="false">AV30-AV29</f>
        <v>12.6</v>
      </c>
      <c r="AW31" s="82" t="n">
        <f aca="false">AW30-AW29</f>
        <v>12.6</v>
      </c>
      <c r="AX31" s="82" t="n">
        <f aca="false">AX30-AX29</f>
        <v>12.6</v>
      </c>
      <c r="AY31" s="82" t="n">
        <f aca="false">AY30-AY29</f>
        <v>13.4</v>
      </c>
      <c r="AZ31" s="82" t="n">
        <f aca="false">AZ30-AZ29</f>
        <v>13.4</v>
      </c>
      <c r="BA31" s="82" t="n">
        <f aca="false">BA30-BA29</f>
        <v>13.4</v>
      </c>
      <c r="BB31" s="81" t="n">
        <f aca="false">SUM(BC31:BN31)</f>
        <v>184.8</v>
      </c>
      <c r="BC31" s="82" t="n">
        <f aca="false">BC30-BC29</f>
        <v>14.2</v>
      </c>
      <c r="BD31" s="82" t="n">
        <f aca="false">BD30-BD29</f>
        <v>14.2</v>
      </c>
      <c r="BE31" s="82" t="n">
        <f aca="false">BE30-BE29</f>
        <v>14.2</v>
      </c>
      <c r="BF31" s="82" t="n">
        <f aca="false">BF30-BF29</f>
        <v>15</v>
      </c>
      <c r="BG31" s="82" t="n">
        <f aca="false">BG30-BG29</f>
        <v>15</v>
      </c>
      <c r="BH31" s="82" t="n">
        <f aca="false">BH30-BH29</f>
        <v>15</v>
      </c>
      <c r="BI31" s="82" t="n">
        <f aca="false">BI30-BI29</f>
        <v>15.8</v>
      </c>
      <c r="BJ31" s="82" t="n">
        <f aca="false">BJ30-BJ29</f>
        <v>15.8</v>
      </c>
      <c r="BK31" s="82" t="n">
        <f aca="false">BK30-BK29</f>
        <v>15.8</v>
      </c>
      <c r="BL31" s="82" t="n">
        <f aca="false">BL30-BL29</f>
        <v>16.6</v>
      </c>
      <c r="BM31" s="82" t="n">
        <f aca="false">BM30-BM29</f>
        <v>16.6</v>
      </c>
      <c r="BN31" s="82" t="n">
        <f aca="false">BN30-BN29</f>
        <v>16.6</v>
      </c>
    </row>
    <row r="32" customFormat="false" ht="15" hidden="false" customHeight="false" outlineLevel="0" collapsed="false">
      <c r="A32" s="12" t="s">
        <v>673</v>
      </c>
      <c r="B32" s="81" t="n">
        <f aca="false">SUM(C32:N32)</f>
        <v>36</v>
      </c>
      <c r="C32" s="91" t="n">
        <f aca="false">Acquisitions!C$54</f>
        <v>3</v>
      </c>
      <c r="D32" s="91" t="n">
        <f aca="false">Acquisitions!D$54</f>
        <v>3</v>
      </c>
      <c r="E32" s="91" t="n">
        <f aca="false">Acquisitions!E$54</f>
        <v>3</v>
      </c>
      <c r="F32" s="91" t="n">
        <f aca="false">Acquisitions!F$54</f>
        <v>3</v>
      </c>
      <c r="G32" s="91" t="n">
        <f aca="false">Acquisitions!G$54</f>
        <v>3</v>
      </c>
      <c r="H32" s="91" t="n">
        <f aca="false">Acquisitions!H$54</f>
        <v>3</v>
      </c>
      <c r="I32" s="91" t="n">
        <f aca="false">Acquisitions!I$54</f>
        <v>3</v>
      </c>
      <c r="J32" s="91" t="n">
        <f aca="false">Acquisitions!J$54</f>
        <v>3</v>
      </c>
      <c r="K32" s="91" t="n">
        <f aca="false">Acquisitions!K$54</f>
        <v>3</v>
      </c>
      <c r="L32" s="91" t="n">
        <f aca="false">Acquisitions!L$54</f>
        <v>3</v>
      </c>
      <c r="M32" s="91" t="n">
        <f aca="false">Acquisitions!M$54</f>
        <v>3</v>
      </c>
      <c r="N32" s="91" t="n">
        <f aca="false">Acquisitions!N$54</f>
        <v>3</v>
      </c>
      <c r="O32" s="81" t="n">
        <f aca="false">SUM(P32:AA32)</f>
        <v>168</v>
      </c>
      <c r="P32" s="91" t="n">
        <f aca="false">Acquisitions!P$54</f>
        <v>14</v>
      </c>
      <c r="Q32" s="91" t="n">
        <f aca="false">Acquisitions!Q$54</f>
        <v>14</v>
      </c>
      <c r="R32" s="91" t="n">
        <f aca="false">Acquisitions!R$54</f>
        <v>14</v>
      </c>
      <c r="S32" s="91" t="n">
        <f aca="false">Acquisitions!S$54</f>
        <v>14</v>
      </c>
      <c r="T32" s="91" t="n">
        <f aca="false">Acquisitions!T$54</f>
        <v>14</v>
      </c>
      <c r="U32" s="91" t="n">
        <f aca="false">Acquisitions!U$54</f>
        <v>14</v>
      </c>
      <c r="V32" s="91" t="n">
        <f aca="false">Acquisitions!V$54</f>
        <v>14</v>
      </c>
      <c r="W32" s="91" t="n">
        <f aca="false">Acquisitions!W$54</f>
        <v>14</v>
      </c>
      <c r="X32" s="91" t="n">
        <f aca="false">Acquisitions!X$54</f>
        <v>14</v>
      </c>
      <c r="Y32" s="91" t="n">
        <f aca="false">Acquisitions!Y$54</f>
        <v>14</v>
      </c>
      <c r="Z32" s="91" t="n">
        <f aca="false">Acquisitions!Z$54</f>
        <v>14</v>
      </c>
      <c r="AA32" s="91" t="n">
        <f aca="false">Acquisitions!AA$54</f>
        <v>14</v>
      </c>
      <c r="AB32" s="81" t="n">
        <f aca="false">SUM(AC32:AN32)</f>
        <v>312</v>
      </c>
      <c r="AC32" s="91" t="n">
        <f aca="false">Acquisitions!AC$54</f>
        <v>26</v>
      </c>
      <c r="AD32" s="91" t="n">
        <f aca="false">Acquisitions!AD$54</f>
        <v>26</v>
      </c>
      <c r="AE32" s="91" t="n">
        <f aca="false">Acquisitions!AE$54</f>
        <v>26</v>
      </c>
      <c r="AF32" s="91" t="n">
        <f aca="false">Acquisitions!AF$54</f>
        <v>26</v>
      </c>
      <c r="AG32" s="91" t="n">
        <f aca="false">Acquisitions!AG$54</f>
        <v>26</v>
      </c>
      <c r="AH32" s="91" t="n">
        <f aca="false">Acquisitions!AH$54</f>
        <v>26</v>
      </c>
      <c r="AI32" s="91" t="n">
        <f aca="false">Acquisitions!AI$54</f>
        <v>26</v>
      </c>
      <c r="AJ32" s="91" t="n">
        <f aca="false">Acquisitions!AJ$54</f>
        <v>26</v>
      </c>
      <c r="AK32" s="91" t="n">
        <f aca="false">Acquisitions!AK$54</f>
        <v>26</v>
      </c>
      <c r="AL32" s="91" t="n">
        <f aca="false">Acquisitions!AL$54</f>
        <v>26</v>
      </c>
      <c r="AM32" s="91" t="n">
        <f aca="false">Acquisitions!AM$54</f>
        <v>26</v>
      </c>
      <c r="AN32" s="91" t="n">
        <f aca="false">Acquisitions!AN$54</f>
        <v>26</v>
      </c>
      <c r="AO32" s="81" t="n">
        <f aca="false">SUM(AP32:BA32)</f>
        <v>384</v>
      </c>
      <c r="AP32" s="91" t="n">
        <f aca="false">Acquisitions!AP$54</f>
        <v>32</v>
      </c>
      <c r="AQ32" s="91" t="n">
        <f aca="false">Acquisitions!AQ$54</f>
        <v>32</v>
      </c>
      <c r="AR32" s="91" t="n">
        <f aca="false">Acquisitions!AR$54</f>
        <v>32</v>
      </c>
      <c r="AS32" s="91" t="n">
        <f aca="false">Acquisitions!AS$54</f>
        <v>32</v>
      </c>
      <c r="AT32" s="91" t="n">
        <f aca="false">Acquisitions!AT$54</f>
        <v>32</v>
      </c>
      <c r="AU32" s="91" t="n">
        <f aca="false">Acquisitions!AU$54</f>
        <v>32</v>
      </c>
      <c r="AV32" s="91" t="n">
        <f aca="false">Acquisitions!AV$54</f>
        <v>32</v>
      </c>
      <c r="AW32" s="91" t="n">
        <f aca="false">Acquisitions!AW$54</f>
        <v>32</v>
      </c>
      <c r="AX32" s="91" t="n">
        <f aca="false">Acquisitions!AX$54</f>
        <v>32</v>
      </c>
      <c r="AY32" s="91" t="n">
        <f aca="false">Acquisitions!AY$54</f>
        <v>32</v>
      </c>
      <c r="AZ32" s="91" t="n">
        <f aca="false">Acquisitions!AZ$54</f>
        <v>32</v>
      </c>
      <c r="BA32" s="91" t="n">
        <f aca="false">Acquisitions!BA$54</f>
        <v>32</v>
      </c>
      <c r="BB32" s="81" t="n">
        <f aca="false">SUM(BC32:BN32)</f>
        <v>456</v>
      </c>
      <c r="BC32" s="91" t="n">
        <f aca="false">Acquisitions!BC$54</f>
        <v>38</v>
      </c>
      <c r="BD32" s="91" t="n">
        <f aca="false">Acquisitions!BD$54</f>
        <v>38</v>
      </c>
      <c r="BE32" s="91" t="n">
        <f aca="false">Acquisitions!BE$54</f>
        <v>38</v>
      </c>
      <c r="BF32" s="91" t="n">
        <f aca="false">Acquisitions!BF$54</f>
        <v>38</v>
      </c>
      <c r="BG32" s="91" t="n">
        <f aca="false">Acquisitions!BG$54</f>
        <v>38</v>
      </c>
      <c r="BH32" s="91" t="n">
        <f aca="false">Acquisitions!BH$54</f>
        <v>38</v>
      </c>
      <c r="BI32" s="91" t="n">
        <f aca="false">Acquisitions!BI$54</f>
        <v>38</v>
      </c>
      <c r="BJ32" s="91" t="n">
        <f aca="false">Acquisitions!BJ$54</f>
        <v>38</v>
      </c>
      <c r="BK32" s="91" t="n">
        <f aca="false">Acquisitions!BK$54</f>
        <v>38</v>
      </c>
      <c r="BL32" s="91" t="n">
        <f aca="false">Acquisitions!BL$54</f>
        <v>38</v>
      </c>
      <c r="BM32" s="91" t="n">
        <f aca="false">Acquisitions!BM$54</f>
        <v>38</v>
      </c>
      <c r="BN32" s="91" t="n">
        <f aca="false">Acquisitions!BN$54</f>
        <v>38</v>
      </c>
    </row>
    <row r="33" customFormat="false" ht="15" hidden="false" customHeight="false" outlineLevel="0" collapsed="false">
      <c r="A33" s="12" t="s">
        <v>668</v>
      </c>
      <c r="B33" s="81" t="n">
        <f aca="false">SUM(C33:N33)</f>
        <v>72</v>
      </c>
      <c r="C33" s="82" t="n">
        <f aca="false">Payroll!C$83*'Assumption Setting'!$C$127+Payroll!C$80*'Assumption Setting'!$D$127+C12*'Assumption Setting'!$E$127+C14*'Assumption Setting'!$F$127</f>
        <v>6</v>
      </c>
      <c r="D33" s="82" t="n">
        <f aca="false">Payroll!D$83*'Assumption Setting'!$C$127+Payroll!D$80*'Assumption Setting'!$D$127+D12*'Assumption Setting'!$E$127+D14*'Assumption Setting'!$F$127</f>
        <v>6</v>
      </c>
      <c r="E33" s="82" t="n">
        <f aca="false">Payroll!E$83*'Assumption Setting'!$C$127+Payroll!E$80*'Assumption Setting'!$D$127+E12*'Assumption Setting'!$E$127+E14*'Assumption Setting'!$F$127</f>
        <v>6</v>
      </c>
      <c r="F33" s="82" t="n">
        <f aca="false">Payroll!F$83*'Assumption Setting'!$C$127+Payroll!F$80*'Assumption Setting'!$D$127+F12*'Assumption Setting'!$E$127+F14*'Assumption Setting'!$F$127</f>
        <v>6</v>
      </c>
      <c r="G33" s="82" t="n">
        <f aca="false">Payroll!G$83*'Assumption Setting'!$C$127+Payroll!G$80*'Assumption Setting'!$D$127+G12*'Assumption Setting'!$E$127+G14*'Assumption Setting'!$F$127</f>
        <v>6</v>
      </c>
      <c r="H33" s="82" t="n">
        <f aca="false">Payroll!H$83*'Assumption Setting'!$C$127+Payroll!H$80*'Assumption Setting'!$D$127+H12*'Assumption Setting'!$E$127+H14*'Assumption Setting'!$F$127</f>
        <v>6</v>
      </c>
      <c r="I33" s="82" t="n">
        <f aca="false">Payroll!I$83*'Assumption Setting'!$C$127+Payroll!I$80*'Assumption Setting'!$D$127+I12*'Assumption Setting'!$E$127+I14*'Assumption Setting'!$F$127</f>
        <v>6</v>
      </c>
      <c r="J33" s="82" t="n">
        <f aca="false">Payroll!J$83*'Assumption Setting'!$C$127+Payroll!J$80*'Assumption Setting'!$D$127+J12*'Assumption Setting'!$E$127+J14*'Assumption Setting'!$F$127</f>
        <v>6</v>
      </c>
      <c r="K33" s="82" t="n">
        <f aca="false">Payroll!K$83*'Assumption Setting'!$C$127+Payroll!K$80*'Assumption Setting'!$D$127+K12*'Assumption Setting'!$E$127+K14*'Assumption Setting'!$F$127</f>
        <v>6</v>
      </c>
      <c r="L33" s="82" t="n">
        <f aca="false">Payroll!L$83*'Assumption Setting'!$C$127+Payroll!L$80*'Assumption Setting'!$D$127+L12*'Assumption Setting'!$E$127+L14*'Assumption Setting'!$F$127</f>
        <v>6</v>
      </c>
      <c r="M33" s="82" t="n">
        <f aca="false">Payroll!M$83*'Assumption Setting'!$C$127+Payroll!M$80*'Assumption Setting'!$D$127+M12*'Assumption Setting'!$E$127+M14*'Assumption Setting'!$F$127</f>
        <v>6</v>
      </c>
      <c r="N33" s="82" t="n">
        <f aca="false">Payroll!N$83*'Assumption Setting'!$C$127+Payroll!N$80*'Assumption Setting'!$D$127+N12*'Assumption Setting'!$E$127+N14*'Assumption Setting'!$F$127</f>
        <v>6</v>
      </c>
      <c r="O33" s="81" t="n">
        <f aca="false">SUM(P33:AA33)</f>
        <v>192</v>
      </c>
      <c r="P33" s="82" t="n">
        <f aca="false">Payroll!P$83*'Assumption Setting'!$C$127+Payroll!P$80*'Assumption Setting'!$D$127+P12*'Assumption Setting'!$E$127+P14*'Assumption Setting'!$F$127</f>
        <v>16</v>
      </c>
      <c r="Q33" s="82" t="n">
        <f aca="false">Payroll!Q$83*'Assumption Setting'!$C$127+Payroll!Q$80*'Assumption Setting'!$D$127+Q12*'Assumption Setting'!$E$127+Q14*'Assumption Setting'!$F$127</f>
        <v>16</v>
      </c>
      <c r="R33" s="82" t="n">
        <f aca="false">Payroll!R$83*'Assumption Setting'!$C$127+Payroll!R$80*'Assumption Setting'!$D$127+R12*'Assumption Setting'!$E$127+R14*'Assumption Setting'!$F$127</f>
        <v>16</v>
      </c>
      <c r="S33" s="82" t="n">
        <f aca="false">Payroll!S$83*'Assumption Setting'!$C$127+Payroll!S$80*'Assumption Setting'!$D$127+S12*'Assumption Setting'!$E$127+S14*'Assumption Setting'!$F$127</f>
        <v>16</v>
      </c>
      <c r="T33" s="82" t="n">
        <f aca="false">Payroll!T$83*'Assumption Setting'!$C$127+Payroll!T$80*'Assumption Setting'!$D$127+T12*'Assumption Setting'!$E$127+T14*'Assumption Setting'!$F$127</f>
        <v>16</v>
      </c>
      <c r="U33" s="82" t="n">
        <f aca="false">Payroll!U$83*'Assumption Setting'!$C$127+Payroll!U$80*'Assumption Setting'!$D$127+U12*'Assumption Setting'!$E$127+U14*'Assumption Setting'!$F$127</f>
        <v>16</v>
      </c>
      <c r="V33" s="82" t="n">
        <f aca="false">Payroll!V$83*'Assumption Setting'!$C$127+Payroll!V$80*'Assumption Setting'!$D$127+V12*'Assumption Setting'!$E$127+V14*'Assumption Setting'!$F$127</f>
        <v>16</v>
      </c>
      <c r="W33" s="82" t="n">
        <f aca="false">Payroll!W$83*'Assumption Setting'!$C$127+Payroll!W$80*'Assumption Setting'!$D$127+W12*'Assumption Setting'!$E$127+W14*'Assumption Setting'!$F$127</f>
        <v>16</v>
      </c>
      <c r="X33" s="82" t="n">
        <f aca="false">Payroll!X$83*'Assumption Setting'!$C$127+Payroll!X$80*'Assumption Setting'!$D$127+X12*'Assumption Setting'!$E$127+X14*'Assumption Setting'!$F$127</f>
        <v>16</v>
      </c>
      <c r="Y33" s="82" t="n">
        <f aca="false">Payroll!Y$83*'Assumption Setting'!$C$127+Payroll!Y$80*'Assumption Setting'!$D$127+Y12*'Assumption Setting'!$E$127+Y14*'Assumption Setting'!$F$127</f>
        <v>16</v>
      </c>
      <c r="Z33" s="82" t="n">
        <f aca="false">Payroll!Z$83*'Assumption Setting'!$C$127+Payroll!Z$80*'Assumption Setting'!$D$127+Z12*'Assumption Setting'!$E$127+Z14*'Assumption Setting'!$F$127</f>
        <v>16</v>
      </c>
      <c r="AA33" s="82" t="n">
        <f aca="false">Payroll!AA$83*'Assumption Setting'!$C$127+Payroll!AA$80*'Assumption Setting'!$D$127+AA12*'Assumption Setting'!$E$127+AA14*'Assumption Setting'!$F$127</f>
        <v>16</v>
      </c>
      <c r="AB33" s="81" t="n">
        <f aca="false">SUM(AC33:AN33)</f>
        <v>552</v>
      </c>
      <c r="AC33" s="82" t="n">
        <f aca="false">Payroll!AC$83*'Assumption Setting'!$C$127+Payroll!AC$80*'Assumption Setting'!$D$127+AC12*'Assumption Setting'!$E$127+AC14*'Assumption Setting'!$F$127</f>
        <v>46</v>
      </c>
      <c r="AD33" s="82" t="n">
        <f aca="false">Payroll!AD$83*'Assumption Setting'!$C$127+Payroll!AD$80*'Assumption Setting'!$D$127+AD12*'Assumption Setting'!$E$127+AD14*'Assumption Setting'!$F$127</f>
        <v>46</v>
      </c>
      <c r="AE33" s="82" t="n">
        <f aca="false">Payroll!AE$83*'Assumption Setting'!$C$127+Payroll!AE$80*'Assumption Setting'!$D$127+AE12*'Assumption Setting'!$E$127+AE14*'Assumption Setting'!$F$127</f>
        <v>46</v>
      </c>
      <c r="AF33" s="82" t="n">
        <f aca="false">Payroll!AF$83*'Assumption Setting'!$C$127+Payroll!AF$80*'Assumption Setting'!$D$127+AF12*'Assumption Setting'!$E$127+AF14*'Assumption Setting'!$F$127</f>
        <v>46</v>
      </c>
      <c r="AG33" s="82" t="n">
        <f aca="false">Payroll!AG$83*'Assumption Setting'!$C$127+Payroll!AG$80*'Assumption Setting'!$D$127+AG12*'Assumption Setting'!$E$127+AG14*'Assumption Setting'!$F$127</f>
        <v>46</v>
      </c>
      <c r="AH33" s="82" t="n">
        <f aca="false">Payroll!AH$83*'Assumption Setting'!$C$127+Payroll!AH$80*'Assumption Setting'!$D$127+AH12*'Assumption Setting'!$E$127+AH14*'Assumption Setting'!$F$127</f>
        <v>46</v>
      </c>
      <c r="AI33" s="82" t="n">
        <f aca="false">Payroll!AI$83*'Assumption Setting'!$C$127+Payroll!AI$80*'Assumption Setting'!$D$127+AI12*'Assumption Setting'!$E$127+AI14*'Assumption Setting'!$F$127</f>
        <v>46</v>
      </c>
      <c r="AJ33" s="82" t="n">
        <f aca="false">Payroll!AJ$83*'Assumption Setting'!$C$127+Payroll!AJ$80*'Assumption Setting'!$D$127+AJ12*'Assumption Setting'!$E$127+AJ14*'Assumption Setting'!$F$127</f>
        <v>46</v>
      </c>
      <c r="AK33" s="82" t="n">
        <f aca="false">Payroll!AK$83*'Assumption Setting'!$C$127+Payroll!AK$80*'Assumption Setting'!$D$127+AK12*'Assumption Setting'!$E$127+AK14*'Assumption Setting'!$F$127</f>
        <v>46</v>
      </c>
      <c r="AL33" s="82" t="n">
        <f aca="false">Payroll!AL$83*'Assumption Setting'!$C$127+Payroll!AL$80*'Assumption Setting'!$D$127+AL12*'Assumption Setting'!$E$127+AL14*'Assumption Setting'!$F$127</f>
        <v>46</v>
      </c>
      <c r="AM33" s="82" t="n">
        <f aca="false">Payroll!AM$83*'Assumption Setting'!$C$127+Payroll!AM$80*'Assumption Setting'!$D$127+AM12*'Assumption Setting'!$E$127+AM14*'Assumption Setting'!$F$127</f>
        <v>46</v>
      </c>
      <c r="AN33" s="82" t="n">
        <f aca="false">Payroll!AN$83*'Assumption Setting'!$C$127+Payroll!AN$80*'Assumption Setting'!$D$127+AN12*'Assumption Setting'!$E$127+AN14*'Assumption Setting'!$F$127</f>
        <v>46</v>
      </c>
      <c r="AO33" s="81" t="n">
        <f aca="false">SUM(AP33:BA33)</f>
        <v>708</v>
      </c>
      <c r="AP33" s="82" t="n">
        <f aca="false">Payroll!AP$83*'Assumption Setting'!$C$127+Payroll!AP$80*'Assumption Setting'!$D$127+AP12*'Assumption Setting'!$E$127+AP14*'Assumption Setting'!$F$127</f>
        <v>59</v>
      </c>
      <c r="AQ33" s="82" t="n">
        <f aca="false">Payroll!AQ$83*'Assumption Setting'!$C$127+Payroll!AQ$80*'Assumption Setting'!$D$127+AQ12*'Assumption Setting'!$E$127+AQ14*'Assumption Setting'!$F$127</f>
        <v>59</v>
      </c>
      <c r="AR33" s="82" t="n">
        <f aca="false">Payroll!AR$83*'Assumption Setting'!$C$127+Payroll!AR$80*'Assumption Setting'!$D$127+AR12*'Assumption Setting'!$E$127+AR14*'Assumption Setting'!$F$127</f>
        <v>59</v>
      </c>
      <c r="AS33" s="82" t="n">
        <f aca="false">Payroll!AS$83*'Assumption Setting'!$C$127+Payroll!AS$80*'Assumption Setting'!$D$127+AS12*'Assumption Setting'!$E$127+AS14*'Assumption Setting'!$F$127</f>
        <v>59</v>
      </c>
      <c r="AT33" s="82" t="n">
        <f aca="false">Payroll!AT$83*'Assumption Setting'!$C$127+Payroll!AT$80*'Assumption Setting'!$D$127+AT12*'Assumption Setting'!$E$127+AT14*'Assumption Setting'!$F$127</f>
        <v>59</v>
      </c>
      <c r="AU33" s="82" t="n">
        <f aca="false">Payroll!AU$83*'Assumption Setting'!$C$127+Payroll!AU$80*'Assumption Setting'!$D$127+AU12*'Assumption Setting'!$E$127+AU14*'Assumption Setting'!$F$127</f>
        <v>59</v>
      </c>
      <c r="AV33" s="82" t="n">
        <f aca="false">Payroll!AV$83*'Assumption Setting'!$C$127+Payroll!AV$80*'Assumption Setting'!$D$127+AV12*'Assumption Setting'!$E$127+AV14*'Assumption Setting'!$F$127</f>
        <v>59</v>
      </c>
      <c r="AW33" s="82" t="n">
        <f aca="false">Payroll!AW$83*'Assumption Setting'!$C$127+Payroll!AW$80*'Assumption Setting'!$D$127+AW12*'Assumption Setting'!$E$127+AW14*'Assumption Setting'!$F$127</f>
        <v>59</v>
      </c>
      <c r="AX33" s="82" t="n">
        <f aca="false">Payroll!AX$83*'Assumption Setting'!$C$127+Payroll!AX$80*'Assumption Setting'!$D$127+AX12*'Assumption Setting'!$E$127+AX14*'Assumption Setting'!$F$127</f>
        <v>59</v>
      </c>
      <c r="AY33" s="82" t="n">
        <f aca="false">Payroll!AY$83*'Assumption Setting'!$C$127+Payroll!AY$80*'Assumption Setting'!$D$127+AY12*'Assumption Setting'!$E$127+AY14*'Assumption Setting'!$F$127</f>
        <v>59</v>
      </c>
      <c r="AZ33" s="82" t="n">
        <f aca="false">Payroll!AZ$83*'Assumption Setting'!$C$127+Payroll!AZ$80*'Assumption Setting'!$D$127+AZ12*'Assumption Setting'!$E$127+AZ14*'Assumption Setting'!$F$127</f>
        <v>59</v>
      </c>
      <c r="BA33" s="82" t="n">
        <f aca="false">Payroll!BA$83*'Assumption Setting'!$C$127+Payroll!BA$80*'Assumption Setting'!$D$127+BA12*'Assumption Setting'!$E$127+BA14*'Assumption Setting'!$F$127</f>
        <v>59</v>
      </c>
      <c r="BB33" s="81" t="n">
        <f aca="false">SUM(BC33:BN33)</f>
        <v>828</v>
      </c>
      <c r="BC33" s="82" t="n">
        <f aca="false">Payroll!BC$83*'Assumption Setting'!$C$127+Payroll!BC$80*'Assumption Setting'!$D$127+BC12*'Assumption Setting'!$E$127+BC14*'Assumption Setting'!$F$127</f>
        <v>69</v>
      </c>
      <c r="BD33" s="82" t="n">
        <f aca="false">Payroll!BD$83*'Assumption Setting'!$C$127+Payroll!BD$80*'Assumption Setting'!$D$127+BD12*'Assumption Setting'!$E$127+BD14*'Assumption Setting'!$F$127</f>
        <v>69</v>
      </c>
      <c r="BE33" s="82" t="n">
        <f aca="false">Payroll!BE$83*'Assumption Setting'!$C$127+Payroll!BE$80*'Assumption Setting'!$D$127+BE12*'Assumption Setting'!$E$127+BE14*'Assumption Setting'!$F$127</f>
        <v>69</v>
      </c>
      <c r="BF33" s="82" t="n">
        <f aca="false">Payroll!BF$83*'Assumption Setting'!$C$127+Payroll!BF$80*'Assumption Setting'!$D$127+BF12*'Assumption Setting'!$E$127+BF14*'Assumption Setting'!$F$127</f>
        <v>69</v>
      </c>
      <c r="BG33" s="82" t="n">
        <f aca="false">Payroll!BG$83*'Assumption Setting'!$C$127+Payroll!BG$80*'Assumption Setting'!$D$127+BG12*'Assumption Setting'!$E$127+BG14*'Assumption Setting'!$F$127</f>
        <v>69</v>
      </c>
      <c r="BH33" s="82" t="n">
        <f aca="false">Payroll!BH$83*'Assumption Setting'!$C$127+Payroll!BH$80*'Assumption Setting'!$D$127+BH12*'Assumption Setting'!$E$127+BH14*'Assumption Setting'!$F$127</f>
        <v>69</v>
      </c>
      <c r="BI33" s="82" t="n">
        <f aca="false">Payroll!BI$83*'Assumption Setting'!$C$127+Payroll!BI$80*'Assumption Setting'!$D$127+BI12*'Assumption Setting'!$E$127+BI14*'Assumption Setting'!$F$127</f>
        <v>69</v>
      </c>
      <c r="BJ33" s="82" t="n">
        <f aca="false">Payroll!BJ$83*'Assumption Setting'!$C$127+Payroll!BJ$80*'Assumption Setting'!$D$127+BJ12*'Assumption Setting'!$E$127+BJ14*'Assumption Setting'!$F$127</f>
        <v>69</v>
      </c>
      <c r="BK33" s="82" t="n">
        <f aca="false">Payroll!BK$83*'Assumption Setting'!$C$127+Payroll!BK$80*'Assumption Setting'!$D$127+BK12*'Assumption Setting'!$E$127+BK14*'Assumption Setting'!$F$127</f>
        <v>69</v>
      </c>
      <c r="BL33" s="82" t="n">
        <f aca="false">Payroll!BL$83*'Assumption Setting'!$C$127+Payroll!BL$80*'Assumption Setting'!$D$127+BL12*'Assumption Setting'!$E$127+BL14*'Assumption Setting'!$F$127</f>
        <v>69</v>
      </c>
      <c r="BM33" s="82" t="n">
        <f aca="false">Payroll!BM$83*'Assumption Setting'!$C$127+Payroll!BM$80*'Assumption Setting'!$D$127+BM12*'Assumption Setting'!$E$127+BM14*'Assumption Setting'!$F$127</f>
        <v>69</v>
      </c>
      <c r="BN33" s="82" t="n">
        <f aca="false">Payroll!BN$83*'Assumption Setting'!$C$127+Payroll!BN$80*'Assumption Setting'!$D$127+BN12*'Assumption Setting'!$E$127+BN14*'Assumption Setting'!$F$127</f>
        <v>69</v>
      </c>
    </row>
    <row r="34" customFormat="false" ht="15" hidden="false" customHeight="false" outlineLevel="0" collapsed="false">
      <c r="A34" s="12" t="s">
        <v>669</v>
      </c>
      <c r="B34" s="81" t="n">
        <f aca="false">SUM(C34:N34)</f>
        <v>36</v>
      </c>
      <c r="C34" s="82" t="n">
        <f aca="false">C33-C32</f>
        <v>3</v>
      </c>
      <c r="D34" s="82" t="n">
        <f aca="false">D33-D32</f>
        <v>3</v>
      </c>
      <c r="E34" s="82" t="n">
        <f aca="false">E33-E32</f>
        <v>3</v>
      </c>
      <c r="F34" s="82" t="n">
        <f aca="false">F33-F32</f>
        <v>3</v>
      </c>
      <c r="G34" s="82" t="n">
        <f aca="false">G33-G32</f>
        <v>3</v>
      </c>
      <c r="H34" s="82" t="n">
        <f aca="false">H33-H32</f>
        <v>3</v>
      </c>
      <c r="I34" s="82" t="n">
        <f aca="false">I33-I32</f>
        <v>3</v>
      </c>
      <c r="J34" s="82" t="n">
        <f aca="false">J33-J32</f>
        <v>3</v>
      </c>
      <c r="K34" s="82" t="n">
        <f aca="false">K33-K32</f>
        <v>3</v>
      </c>
      <c r="L34" s="82" t="n">
        <f aca="false">L33-L32</f>
        <v>3</v>
      </c>
      <c r="M34" s="82" t="n">
        <f aca="false">M33-M32</f>
        <v>3</v>
      </c>
      <c r="N34" s="82" t="n">
        <f aca="false">N33-N32</f>
        <v>3</v>
      </c>
      <c r="O34" s="81" t="n">
        <f aca="false">SUM(P34:AA34)</f>
        <v>24</v>
      </c>
      <c r="P34" s="82" t="n">
        <f aca="false">P33-P32</f>
        <v>2</v>
      </c>
      <c r="Q34" s="82" t="n">
        <f aca="false">Q33-Q32</f>
        <v>2</v>
      </c>
      <c r="R34" s="82" t="n">
        <f aca="false">R33-R32</f>
        <v>2</v>
      </c>
      <c r="S34" s="82" t="n">
        <f aca="false">S33-S32</f>
        <v>2</v>
      </c>
      <c r="T34" s="82" t="n">
        <f aca="false">T33-T32</f>
        <v>2</v>
      </c>
      <c r="U34" s="82" t="n">
        <f aca="false">U33-U32</f>
        <v>2</v>
      </c>
      <c r="V34" s="82" t="n">
        <f aca="false">V33-V32</f>
        <v>2</v>
      </c>
      <c r="W34" s="82" t="n">
        <f aca="false">W33-W32</f>
        <v>2</v>
      </c>
      <c r="X34" s="82" t="n">
        <f aca="false">X33-X32</f>
        <v>2</v>
      </c>
      <c r="Y34" s="82" t="n">
        <f aca="false">Y33-Y32</f>
        <v>2</v>
      </c>
      <c r="Z34" s="82" t="n">
        <f aca="false">Z33-Z32</f>
        <v>2</v>
      </c>
      <c r="AA34" s="82" t="n">
        <f aca="false">AA33-AA32</f>
        <v>2</v>
      </c>
      <c r="AB34" s="81" t="n">
        <f aca="false">SUM(AC34:AN34)</f>
        <v>240</v>
      </c>
      <c r="AC34" s="82" t="n">
        <f aca="false">AC33-AC32</f>
        <v>20</v>
      </c>
      <c r="AD34" s="82" t="n">
        <f aca="false">AD33-AD32</f>
        <v>20</v>
      </c>
      <c r="AE34" s="82" t="n">
        <f aca="false">AE33-AE32</f>
        <v>20</v>
      </c>
      <c r="AF34" s="82" t="n">
        <f aca="false">AF33-AF32</f>
        <v>20</v>
      </c>
      <c r="AG34" s="82" t="n">
        <f aca="false">AG33-AG32</f>
        <v>20</v>
      </c>
      <c r="AH34" s="82" t="n">
        <f aca="false">AH33-AH32</f>
        <v>20</v>
      </c>
      <c r="AI34" s="82" t="n">
        <f aca="false">AI33-AI32</f>
        <v>20</v>
      </c>
      <c r="AJ34" s="82" t="n">
        <f aca="false">AJ33-AJ32</f>
        <v>20</v>
      </c>
      <c r="AK34" s="82" t="n">
        <f aca="false">AK33-AK32</f>
        <v>20</v>
      </c>
      <c r="AL34" s="82" t="n">
        <f aca="false">AL33-AL32</f>
        <v>20</v>
      </c>
      <c r="AM34" s="82" t="n">
        <f aca="false">AM33-AM32</f>
        <v>20</v>
      </c>
      <c r="AN34" s="82" t="n">
        <f aca="false">AN33-AN32</f>
        <v>20</v>
      </c>
      <c r="AO34" s="81" t="n">
        <f aca="false">SUM(AP34:BA34)</f>
        <v>324</v>
      </c>
      <c r="AP34" s="82" t="n">
        <f aca="false">AP33-AP32</f>
        <v>27</v>
      </c>
      <c r="AQ34" s="82" t="n">
        <f aca="false">AQ33-AQ32</f>
        <v>27</v>
      </c>
      <c r="AR34" s="82" t="n">
        <f aca="false">AR33-AR32</f>
        <v>27</v>
      </c>
      <c r="AS34" s="82" t="n">
        <f aca="false">AS33-AS32</f>
        <v>27</v>
      </c>
      <c r="AT34" s="82" t="n">
        <f aca="false">AT33-AT32</f>
        <v>27</v>
      </c>
      <c r="AU34" s="82" t="n">
        <f aca="false">AU33-AU32</f>
        <v>27</v>
      </c>
      <c r="AV34" s="82" t="n">
        <f aca="false">AV33-AV32</f>
        <v>27</v>
      </c>
      <c r="AW34" s="82" t="n">
        <f aca="false">AW33-AW32</f>
        <v>27</v>
      </c>
      <c r="AX34" s="82" t="n">
        <f aca="false">AX33-AX32</f>
        <v>27</v>
      </c>
      <c r="AY34" s="82" t="n">
        <f aca="false">AY33-AY32</f>
        <v>27</v>
      </c>
      <c r="AZ34" s="82" t="n">
        <f aca="false">AZ33-AZ32</f>
        <v>27</v>
      </c>
      <c r="BA34" s="82" t="n">
        <f aca="false">BA33-BA32</f>
        <v>27</v>
      </c>
      <c r="BB34" s="81" t="n">
        <f aca="false">SUM(BC34:BN34)</f>
        <v>372</v>
      </c>
      <c r="BC34" s="82" t="n">
        <f aca="false">BC33-BC32</f>
        <v>31</v>
      </c>
      <c r="BD34" s="82" t="n">
        <f aca="false">BD33-BD32</f>
        <v>31</v>
      </c>
      <c r="BE34" s="82" t="n">
        <f aca="false">BE33-BE32</f>
        <v>31</v>
      </c>
      <c r="BF34" s="82" t="n">
        <f aca="false">BF33-BF32</f>
        <v>31</v>
      </c>
      <c r="BG34" s="82" t="n">
        <f aca="false">BG33-BG32</f>
        <v>31</v>
      </c>
      <c r="BH34" s="82" t="n">
        <f aca="false">BH33-BH32</f>
        <v>31</v>
      </c>
      <c r="BI34" s="82" t="n">
        <f aca="false">BI33-BI32</f>
        <v>31</v>
      </c>
      <c r="BJ34" s="82" t="n">
        <f aca="false">BJ33-BJ32</f>
        <v>31</v>
      </c>
      <c r="BK34" s="82" t="n">
        <f aca="false">BK33-BK32</f>
        <v>31</v>
      </c>
      <c r="BL34" s="82" t="n">
        <f aca="false">BL33-BL32</f>
        <v>31</v>
      </c>
      <c r="BM34" s="82" t="n">
        <f aca="false">BM33-BM32</f>
        <v>31</v>
      </c>
      <c r="BN34" s="82" t="n">
        <f aca="false">BN33-BN32</f>
        <v>31</v>
      </c>
    </row>
    <row r="35" customFormat="false" ht="15" hidden="false" customHeight="false" outlineLevel="0" collapsed="false">
      <c r="A35" s="70" t="s">
        <v>674</v>
      </c>
      <c r="B35" s="81" t="n">
        <f aca="false">MAX(C35:N35)</f>
        <v>0</v>
      </c>
      <c r="C35" s="95" t="n">
        <f aca="false">MAX(0,C20-C21)+MAX(0,C23-C24)+MAX(0,C26-C27)+MAX(0,C29-C30)+MAX(0,C32-C33)</f>
        <v>0</v>
      </c>
      <c r="D35" s="95" t="n">
        <f aca="false">MAX(0,D20-D21)+MAX(0,D23-D24)+MAX(0,D26-D27)+MAX(0,D29-D30)+MAX(0,D32-D33)</f>
        <v>0</v>
      </c>
      <c r="E35" s="95" t="n">
        <f aca="false">MAX(0,E20-E21)+MAX(0,E23-E24)+MAX(0,E26-E27)+MAX(0,E29-E30)+MAX(0,E32-E33)</f>
        <v>0</v>
      </c>
      <c r="F35" s="95" t="n">
        <f aca="false">MAX(0,F20-F21)+MAX(0,F23-F24)+MAX(0,F26-F27)+MAX(0,F29-F30)+MAX(0,F32-F33)</f>
        <v>0</v>
      </c>
      <c r="G35" s="95" t="n">
        <f aca="false">MAX(0,G20-G21)+MAX(0,G23-G24)+MAX(0,G26-G27)+MAX(0,G29-G30)+MAX(0,G32-G33)</f>
        <v>0</v>
      </c>
      <c r="H35" s="95" t="n">
        <f aca="false">MAX(0,H20-H21)+MAX(0,H23-H24)+MAX(0,H26-H27)+MAX(0,H29-H30)+MAX(0,H32-H33)</f>
        <v>0</v>
      </c>
      <c r="I35" s="95" t="n">
        <f aca="false">MAX(0,I20-I21)+MAX(0,I23-I24)+MAX(0,I26-I27)+MAX(0,I29-I30)+MAX(0,I32-I33)</f>
        <v>0</v>
      </c>
      <c r="J35" s="95" t="n">
        <f aca="false">MAX(0,J20-J21)+MAX(0,J23-J24)+MAX(0,J26-J27)+MAX(0,J29-J30)+MAX(0,J32-J33)</f>
        <v>0</v>
      </c>
      <c r="K35" s="95" t="n">
        <f aca="false">MAX(0,K20-K21)+MAX(0,K23-K24)+MAX(0,K26-K27)+MAX(0,K29-K30)+MAX(0,K32-K33)</f>
        <v>0</v>
      </c>
      <c r="L35" s="95" t="n">
        <f aca="false">MAX(0,L20-L21)+MAX(0,L23-L24)+MAX(0,L26-L27)+MAX(0,L29-L30)+MAX(0,L32-L33)</f>
        <v>0</v>
      </c>
      <c r="M35" s="95" t="n">
        <f aca="false">MAX(0,M20-M21)+MAX(0,M23-M24)+MAX(0,M26-M27)+MAX(0,M29-M30)+MAX(0,M32-M33)</f>
        <v>0</v>
      </c>
      <c r="N35" s="95" t="n">
        <f aca="false">MAX(0,N20-N21)+MAX(0,N23-N24)+MAX(0,N26-N27)+MAX(0,N29-N30)+MAX(0,N32-N33)</f>
        <v>0</v>
      </c>
      <c r="O35" s="81" t="n">
        <f aca="false">MAX(P35:AA35)</f>
        <v>0</v>
      </c>
      <c r="P35" s="95" t="n">
        <f aca="false">MAX(0,P20-P21)+MAX(0,P23-P24)+MAX(0,P26-P27)+MAX(0,P29-P30)+MAX(0,P32-P33)</f>
        <v>0</v>
      </c>
      <c r="Q35" s="95" t="n">
        <f aca="false">MAX(0,Q20-Q21)+MAX(0,Q23-Q24)+MAX(0,Q26-Q27)+MAX(0,Q29-Q30)+MAX(0,Q32-Q33)</f>
        <v>0</v>
      </c>
      <c r="R35" s="95" t="n">
        <f aca="false">MAX(0,R20-R21)+MAX(0,R23-R24)+MAX(0,R26-R27)+MAX(0,R29-R30)+MAX(0,R32-R33)</f>
        <v>0</v>
      </c>
      <c r="S35" s="95" t="n">
        <f aca="false">MAX(0,S20-S21)+MAX(0,S23-S24)+MAX(0,S26-S27)+MAX(0,S29-S30)+MAX(0,S32-S33)</f>
        <v>0</v>
      </c>
      <c r="T35" s="95" t="n">
        <f aca="false">MAX(0,T20-T21)+MAX(0,T23-T24)+MAX(0,T26-T27)+MAX(0,T29-T30)+MAX(0,T32-T33)</f>
        <v>0</v>
      </c>
      <c r="U35" s="95" t="n">
        <f aca="false">MAX(0,U20-U21)+MAX(0,U23-U24)+MAX(0,U26-U27)+MAX(0,U29-U30)+MAX(0,U32-U33)</f>
        <v>0</v>
      </c>
      <c r="V35" s="95" t="n">
        <f aca="false">MAX(0,V20-V21)+MAX(0,V23-V24)+MAX(0,V26-V27)+MAX(0,V29-V30)+MAX(0,V32-V33)</f>
        <v>0</v>
      </c>
      <c r="W35" s="95" t="n">
        <f aca="false">MAX(0,W20-W21)+MAX(0,W23-W24)+MAX(0,W26-W27)+MAX(0,W29-W30)+MAX(0,W32-W33)</f>
        <v>0</v>
      </c>
      <c r="X35" s="95" t="n">
        <f aca="false">MAX(0,X20-X21)+MAX(0,X23-X24)+MAX(0,X26-X27)+MAX(0,X29-X30)+MAX(0,X32-X33)</f>
        <v>0</v>
      </c>
      <c r="Y35" s="95" t="n">
        <f aca="false">MAX(0,Y20-Y21)+MAX(0,Y23-Y24)+MAX(0,Y26-Y27)+MAX(0,Y29-Y30)+MAX(0,Y32-Y33)</f>
        <v>0</v>
      </c>
      <c r="Z35" s="95" t="n">
        <f aca="false">MAX(0,Z20-Z21)+MAX(0,Z23-Z24)+MAX(0,Z26-Z27)+MAX(0,Z29-Z30)+MAX(0,Z32-Z33)</f>
        <v>0</v>
      </c>
      <c r="AA35" s="95" t="n">
        <f aca="false">MAX(0,AA20-AA21)+MAX(0,AA23-AA24)+MAX(0,AA26-AA27)+MAX(0,AA29-AA30)+MAX(0,AA32-AA33)</f>
        <v>0</v>
      </c>
      <c r="AB35" s="81" t="n">
        <f aca="false">MAX(AC35:AN35)</f>
        <v>0</v>
      </c>
      <c r="AC35" s="95" t="n">
        <f aca="false">MAX(0,AC20-AC21)+MAX(0,AC23-AC24)+MAX(0,AC26-AC27)+MAX(0,AC29-AC30)+MAX(0,AC32-AC33)</f>
        <v>0</v>
      </c>
      <c r="AD35" s="95" t="n">
        <f aca="false">MAX(0,AD20-AD21)+MAX(0,AD23-AD24)+MAX(0,AD26-AD27)+MAX(0,AD29-AD30)+MAX(0,AD32-AD33)</f>
        <v>0</v>
      </c>
      <c r="AE35" s="95" t="n">
        <f aca="false">MAX(0,AE20-AE21)+MAX(0,AE23-AE24)+MAX(0,AE26-AE27)+MAX(0,AE29-AE30)+MAX(0,AE32-AE33)</f>
        <v>0</v>
      </c>
      <c r="AF35" s="95" t="n">
        <f aca="false">MAX(0,AF20-AF21)+MAX(0,AF23-AF24)+MAX(0,AF26-AF27)+MAX(0,AF29-AF30)+MAX(0,AF32-AF33)</f>
        <v>0</v>
      </c>
      <c r="AG35" s="95" t="n">
        <f aca="false">MAX(0,AG20-AG21)+MAX(0,AG23-AG24)+MAX(0,AG26-AG27)+MAX(0,AG29-AG30)+MAX(0,AG32-AG33)</f>
        <v>0</v>
      </c>
      <c r="AH35" s="95" t="n">
        <f aca="false">MAX(0,AH20-AH21)+MAX(0,AH23-AH24)+MAX(0,AH26-AH27)+MAX(0,AH29-AH30)+MAX(0,AH32-AH33)</f>
        <v>0</v>
      </c>
      <c r="AI35" s="95" t="n">
        <f aca="false">MAX(0,AI20-AI21)+MAX(0,AI23-AI24)+MAX(0,AI26-AI27)+MAX(0,AI29-AI30)+MAX(0,AI32-AI33)</f>
        <v>0</v>
      </c>
      <c r="AJ35" s="95" t="n">
        <f aca="false">MAX(0,AJ20-AJ21)+MAX(0,AJ23-AJ24)+MAX(0,AJ26-AJ27)+MAX(0,AJ29-AJ30)+MAX(0,AJ32-AJ33)</f>
        <v>0</v>
      </c>
      <c r="AK35" s="95" t="n">
        <f aca="false">MAX(0,AK20-AK21)+MAX(0,AK23-AK24)+MAX(0,AK26-AK27)+MAX(0,AK29-AK30)+MAX(0,AK32-AK33)</f>
        <v>0</v>
      </c>
      <c r="AL35" s="95" t="n">
        <f aca="false">MAX(0,AL20-AL21)+MAX(0,AL23-AL24)+MAX(0,AL26-AL27)+MAX(0,AL29-AL30)+MAX(0,AL32-AL33)</f>
        <v>0</v>
      </c>
      <c r="AM35" s="95" t="n">
        <f aca="false">MAX(0,AM20-AM21)+MAX(0,AM23-AM24)+MAX(0,AM26-AM27)+MAX(0,AM29-AM30)+MAX(0,AM32-AM33)</f>
        <v>0</v>
      </c>
      <c r="AN35" s="95" t="n">
        <f aca="false">MAX(0,AN20-AN21)+MAX(0,AN23-AN24)+MAX(0,AN26-AN27)+MAX(0,AN29-AN30)+MAX(0,AN32-AN33)</f>
        <v>0</v>
      </c>
      <c r="AO35" s="81" t="n">
        <f aca="false">MAX(AP35:BA35)</f>
        <v>0</v>
      </c>
      <c r="AP35" s="95" t="n">
        <f aca="false">MAX(0,AP20-AP21)+MAX(0,AP23-AP24)+MAX(0,AP26-AP27)+MAX(0,AP29-AP30)+MAX(0,AP32-AP33)</f>
        <v>0</v>
      </c>
      <c r="AQ35" s="95" t="n">
        <f aca="false">MAX(0,AQ20-AQ21)+MAX(0,AQ23-AQ24)+MAX(0,AQ26-AQ27)+MAX(0,AQ29-AQ30)+MAX(0,AQ32-AQ33)</f>
        <v>0</v>
      </c>
      <c r="AR35" s="95" t="n">
        <f aca="false">MAX(0,AR20-AR21)+MAX(0,AR23-AR24)+MAX(0,AR26-AR27)+MAX(0,AR29-AR30)+MAX(0,AR32-AR33)</f>
        <v>0</v>
      </c>
      <c r="AS35" s="95" t="n">
        <f aca="false">MAX(0,AS20-AS21)+MAX(0,AS23-AS24)+MAX(0,AS26-AS27)+MAX(0,AS29-AS30)+MAX(0,AS32-AS33)</f>
        <v>0</v>
      </c>
      <c r="AT35" s="95" t="n">
        <f aca="false">MAX(0,AT20-AT21)+MAX(0,AT23-AT24)+MAX(0,AT26-AT27)+MAX(0,AT29-AT30)+MAX(0,AT32-AT33)</f>
        <v>0</v>
      </c>
      <c r="AU35" s="95" t="n">
        <f aca="false">MAX(0,AU20-AU21)+MAX(0,AU23-AU24)+MAX(0,AU26-AU27)+MAX(0,AU29-AU30)+MAX(0,AU32-AU33)</f>
        <v>0</v>
      </c>
      <c r="AV35" s="95" t="n">
        <f aca="false">MAX(0,AV20-AV21)+MAX(0,AV23-AV24)+MAX(0,AV26-AV27)+MAX(0,AV29-AV30)+MAX(0,AV32-AV33)</f>
        <v>0</v>
      </c>
      <c r="AW35" s="95" t="n">
        <f aca="false">MAX(0,AW20-AW21)+MAX(0,AW23-AW24)+MAX(0,AW26-AW27)+MAX(0,AW29-AW30)+MAX(0,AW32-AW33)</f>
        <v>0</v>
      </c>
      <c r="AX35" s="95" t="n">
        <f aca="false">MAX(0,AX20-AX21)+MAX(0,AX23-AX24)+MAX(0,AX26-AX27)+MAX(0,AX29-AX30)+MAX(0,AX32-AX33)</f>
        <v>0</v>
      </c>
      <c r="AY35" s="95" t="n">
        <f aca="false">MAX(0,AY20-AY21)+MAX(0,AY23-AY24)+MAX(0,AY26-AY27)+MAX(0,AY29-AY30)+MAX(0,AY32-AY33)</f>
        <v>0</v>
      </c>
      <c r="AZ35" s="95" t="n">
        <f aca="false">MAX(0,AZ20-AZ21)+MAX(0,AZ23-AZ24)+MAX(0,AZ26-AZ27)+MAX(0,AZ29-AZ30)+MAX(0,AZ32-AZ33)</f>
        <v>0</v>
      </c>
      <c r="BA35" s="95" t="n">
        <f aca="false">MAX(0,BA20-BA21)+MAX(0,BA23-BA24)+MAX(0,BA26-BA27)+MAX(0,BA29-BA30)+MAX(0,BA32-BA33)</f>
        <v>0</v>
      </c>
      <c r="BB35" s="81" t="n">
        <f aca="false">MAX(BC35:BN35)</f>
        <v>0</v>
      </c>
      <c r="BC35" s="95" t="n">
        <f aca="false">MAX(0,BC20-BC21)+MAX(0,BC23-BC24)+MAX(0,BC26-BC27)+MAX(0,BC29-BC30)+MAX(0,BC32-BC33)</f>
        <v>0</v>
      </c>
      <c r="BD35" s="95" t="n">
        <f aca="false">MAX(0,BD20-BD21)+MAX(0,BD23-BD24)+MAX(0,BD26-BD27)+MAX(0,BD29-BD30)+MAX(0,BD32-BD33)</f>
        <v>0</v>
      </c>
      <c r="BE35" s="95" t="n">
        <f aca="false">MAX(0,BE20-BE21)+MAX(0,BE23-BE24)+MAX(0,BE26-BE27)+MAX(0,BE29-BE30)+MAX(0,BE32-BE33)</f>
        <v>0</v>
      </c>
      <c r="BF35" s="95" t="n">
        <f aca="false">MAX(0,BF20-BF21)+MAX(0,BF23-BF24)+MAX(0,BF26-BF27)+MAX(0,BF29-BF30)+MAX(0,BF32-BF33)</f>
        <v>0</v>
      </c>
      <c r="BG35" s="95" t="n">
        <f aca="false">MAX(0,BG20-BG21)+MAX(0,BG23-BG24)+MAX(0,BG26-BG27)+MAX(0,BG29-BG30)+MAX(0,BG32-BG33)</f>
        <v>0</v>
      </c>
      <c r="BH35" s="95" t="n">
        <f aca="false">MAX(0,BH20-BH21)+MAX(0,BH23-BH24)+MAX(0,BH26-BH27)+MAX(0,BH29-BH30)+MAX(0,BH32-BH33)</f>
        <v>0</v>
      </c>
      <c r="BI35" s="95" t="n">
        <f aca="false">MAX(0,BI20-BI21)+MAX(0,BI23-BI24)+MAX(0,BI26-BI27)+MAX(0,BI29-BI30)+MAX(0,BI32-BI33)</f>
        <v>0</v>
      </c>
      <c r="BJ35" s="95" t="n">
        <f aca="false">MAX(0,BJ20-BJ21)+MAX(0,BJ23-BJ24)+MAX(0,BJ26-BJ27)+MAX(0,BJ29-BJ30)+MAX(0,BJ32-BJ33)</f>
        <v>0</v>
      </c>
      <c r="BK35" s="95" t="n">
        <f aca="false">MAX(0,BK20-BK21)+MAX(0,BK23-BK24)+MAX(0,BK26-BK27)+MAX(0,BK29-BK30)+MAX(0,BK32-BK33)</f>
        <v>0</v>
      </c>
      <c r="BL35" s="95" t="n">
        <f aca="false">MAX(0,BL20-BL21)+MAX(0,BL23-BL24)+MAX(0,BL26-BL27)+MAX(0,BL29-BL30)+MAX(0,BL32-BL33)</f>
        <v>0</v>
      </c>
      <c r="BM35" s="95" t="n">
        <f aca="false">MAX(0,BM20-BM21)+MAX(0,BM23-BM24)+MAX(0,BM26-BM27)+MAX(0,BM29-BM30)+MAX(0,BM32-BM33)</f>
        <v>0</v>
      </c>
      <c r="BN35" s="95" t="n">
        <f aca="false">MAX(0,BN20-BN21)+MAX(0,BN23-BN24)+MAX(0,BN26-BN27)+MAX(0,BN29-BN30)+MAX(0,BN32-BN33)</f>
        <v>0</v>
      </c>
    </row>
    <row r="36" customFormat="false" ht="15" hidden="false" customHeight="false" outlineLevel="0" collapsed="false">
      <c r="A36" s="67" t="s">
        <v>675</v>
      </c>
      <c r="B36" s="96" t="n">
        <f aca="false">IFERROR(AVERAGE(C36:N36),0)</f>
        <v>0.183469422279769</v>
      </c>
      <c r="C36" s="97" t="n">
        <f aca="false">IFERROR((C20+C23+C26+C29+C32)/(C21+C24+C27+C30+C33),0)</f>
        <v>0.187237866986219</v>
      </c>
      <c r="D36" s="97" t="n">
        <f aca="false">IFERROR((D20+D23+D26+D29+D32)/(D21+D24+D27+D30+D33),0)</f>
        <v>0.187237866986219</v>
      </c>
      <c r="E36" s="97" t="n">
        <f aca="false">IFERROR((E20+E23+E26+E29+E32)/(E21+E24+E27+E30+E33),0)</f>
        <v>0.187237866986219</v>
      </c>
      <c r="F36" s="97" t="n">
        <f aca="false">IFERROR((F20+F23+F26+F29+F32)/(F21+F24+F27+F30+F33),0)</f>
        <v>0.187237866986219</v>
      </c>
      <c r="G36" s="97" t="n">
        <f aca="false">IFERROR((G20+G23+G26+G29+G32)/(G21+G24+G27+G30+G33),0)</f>
        <v>0.187237866986219</v>
      </c>
      <c r="H36" s="97" t="n">
        <f aca="false">IFERROR((H20+H23+H26+H29+H32)/(H21+H24+H27+H30+H33),0)</f>
        <v>0.187237866986219</v>
      </c>
      <c r="I36" s="97" t="n">
        <f aca="false">IFERROR((I20+I23+I26+I29+I32)/(I21+I24+I27+I30+I33),0)</f>
        <v>0.179700977573318</v>
      </c>
      <c r="J36" s="97" t="n">
        <f aca="false">IFERROR((J20+J23+J26+J29+J32)/(J21+J24+J27+J30+J33),0)</f>
        <v>0.179700977573318</v>
      </c>
      <c r="K36" s="97" t="n">
        <f aca="false">IFERROR((K20+K23+K26+K29+K32)/(K21+K24+K27+K30+K33),0)</f>
        <v>0.179700977573318</v>
      </c>
      <c r="L36" s="97" t="n">
        <f aca="false">IFERROR((L20+L23+L26+L29+L32)/(L21+L24+L27+L30+L33),0)</f>
        <v>0.179700977573318</v>
      </c>
      <c r="M36" s="97" t="n">
        <f aca="false">IFERROR((M20+M23+M26+M29+M32)/(M21+M24+M27+M30+M33),0)</f>
        <v>0.179700977573318</v>
      </c>
      <c r="N36" s="97" t="n">
        <f aca="false">IFERROR((N20+N23+N26+N29+N32)/(N21+N24+N27+N30+N33),0)</f>
        <v>0.179700977573318</v>
      </c>
      <c r="O36" s="96" t="n">
        <f aca="false">IFERROR(AVERAGE(P36:AA36),0)</f>
        <v>0.315585793235833</v>
      </c>
      <c r="P36" s="97" t="n">
        <f aca="false">IFERROR((P20+P23+P26+P29+P32)/(P21+P24+P27+P30+P33),0)</f>
        <v>0.323565323565324</v>
      </c>
      <c r="Q36" s="97" t="n">
        <f aca="false">IFERROR((Q20+Q23+Q26+Q29+Q32)/(Q21+Q24+Q27+Q30+Q33),0)</f>
        <v>0.323565323565324</v>
      </c>
      <c r="R36" s="97" t="n">
        <f aca="false">IFERROR((R20+R23+R26+R29+R32)/(R21+R24+R27+R30+R33),0)</f>
        <v>0.323565323565324</v>
      </c>
      <c r="S36" s="97" t="n">
        <f aca="false">IFERROR((S20+S23+S26+S29+S32)/(S21+S24+S27+S30+S33),0)</f>
        <v>0.31812725090036</v>
      </c>
      <c r="T36" s="97" t="n">
        <f aca="false">IFERROR((T20+T23+T26+T29+T32)/(T21+T24+T27+T30+T33),0)</f>
        <v>0.31812725090036</v>
      </c>
      <c r="U36" s="97" t="n">
        <f aca="false">IFERROR((U20+U23+U26+U29+U32)/(U21+U24+U27+U30+U33),0)</f>
        <v>0.31812725090036</v>
      </c>
      <c r="V36" s="97" t="n">
        <f aca="false">IFERROR((V20+V23+V26+V29+V32)/(V21+V24+V27+V30+V33),0)</f>
        <v>0.312868949232586</v>
      </c>
      <c r="W36" s="97" t="n">
        <f aca="false">IFERROR((W20+W23+W26+W29+W32)/(W21+W24+W27+W30+W33),0)</f>
        <v>0.312868949232586</v>
      </c>
      <c r="X36" s="97" t="n">
        <f aca="false">IFERROR((X20+X23+X26+X29+X32)/(X21+X24+X27+X30+X33),0)</f>
        <v>0.312868949232586</v>
      </c>
      <c r="Y36" s="97" t="n">
        <f aca="false">IFERROR((Y20+Y23+Y26+Y29+Y32)/(Y21+Y24+Y27+Y30+Y33),0)</f>
        <v>0.307781649245064</v>
      </c>
      <c r="Z36" s="97" t="n">
        <f aca="false">IFERROR((Z20+Z23+Z26+Z29+Z32)/(Z21+Z24+Z27+Z30+Z33),0)</f>
        <v>0.307781649245064</v>
      </c>
      <c r="AA36" s="97" t="n">
        <f aca="false">IFERROR((AA20+AA23+AA26+AA29+AA32)/(AA21+AA24+AA27+AA30+AA33),0)</f>
        <v>0.307781649245064</v>
      </c>
      <c r="AB36" s="96" t="n">
        <f aca="false">IFERROR(AVERAGE(AC36:AN36),0)</f>
        <v>0.25356567145271</v>
      </c>
      <c r="AC36" s="97" t="n">
        <f aca="false">IFERROR((AC20+AC23+AC26+AC29+AC32)/(AC21+AC24+AC27+AC30+AC33),0)</f>
        <v>0.256278831368529</v>
      </c>
      <c r="AD36" s="97" t="n">
        <f aca="false">IFERROR((AD20+AD23+AD26+AD29+AD32)/(AD21+AD24+AD27+AD30+AD33),0)</f>
        <v>0.256278831368529</v>
      </c>
      <c r="AE36" s="97" t="n">
        <f aca="false">IFERROR((AE20+AE23+AE26+AE29+AE32)/(AE21+AE24+AE27+AE30+AE33),0)</f>
        <v>0.256278831368529</v>
      </c>
      <c r="AF36" s="97" t="n">
        <f aca="false">IFERROR((AF20+AF23+AF26+AF29+AF32)/(AF21+AF24+AF27+AF30+AF33),0)</f>
        <v>0.254452926208651</v>
      </c>
      <c r="AG36" s="97" t="n">
        <f aca="false">IFERROR((AG20+AG23+AG26+AG29+AG32)/(AG21+AG24+AG27+AG30+AG33),0)</f>
        <v>0.254452926208651</v>
      </c>
      <c r="AH36" s="97" t="n">
        <f aca="false">IFERROR((AH20+AH23+AH26+AH29+AH32)/(AH21+AH24+AH27+AH30+AH33),0)</f>
        <v>0.254452926208651</v>
      </c>
      <c r="AI36" s="97" t="n">
        <f aca="false">IFERROR((AI20+AI23+AI26+AI29+AI32)/(AI21+AI24+AI27+AI30+AI33),0)</f>
        <v>0.252652854977261</v>
      </c>
      <c r="AJ36" s="97" t="n">
        <f aca="false">IFERROR((AJ20+AJ23+AJ26+AJ29+AJ32)/(AJ21+AJ24+AJ27+AJ30+AJ33),0)</f>
        <v>0.252652854977261</v>
      </c>
      <c r="AK36" s="97" t="n">
        <f aca="false">IFERROR((AK20+AK23+AK26+AK29+AK32)/(AK21+AK24+AK27+AK30+AK33),0)</f>
        <v>0.252652854977261</v>
      </c>
      <c r="AL36" s="97" t="n">
        <f aca="false">IFERROR((AL20+AL23+AL26+AL29+AL32)/(AL21+AL24+AL27+AL30+AL33),0)</f>
        <v>0.250878073256397</v>
      </c>
      <c r="AM36" s="97" t="n">
        <f aca="false">IFERROR((AM20+AM23+AM26+AM29+AM32)/(AM21+AM24+AM27+AM30+AM33),0)</f>
        <v>0.250878073256397</v>
      </c>
      <c r="AN36" s="97" t="n">
        <f aca="false">IFERROR((AN20+AN23+AN26+AN29+AN32)/(AN21+AN24+AN27+AN30+AN33),0)</f>
        <v>0.250878073256397</v>
      </c>
      <c r="AO36" s="96" t="n">
        <f aca="false">IFERROR(AVERAGE(AP36:BA36),0)</f>
        <v>0.221140544169616</v>
      </c>
      <c r="AP36" s="97" t="n">
        <f aca="false">IFERROR((AP20+AP23+AP26+AP29+AP32)/(AP21+AP24+AP27+AP30+AP33),0)</f>
        <v>0.222713362801768</v>
      </c>
      <c r="AQ36" s="97" t="n">
        <f aca="false">IFERROR((AQ20+AQ23+AQ26+AQ29+AQ32)/(AQ21+AQ24+AQ27+AQ30+AQ33),0)</f>
        <v>0.222713362801768</v>
      </c>
      <c r="AR36" s="97" t="n">
        <f aca="false">IFERROR((AR20+AR23+AR26+AR29+AR32)/(AR21+AR24+AR27+AR30+AR33),0)</f>
        <v>0.222713362801768</v>
      </c>
      <c r="AS36" s="97" t="n">
        <f aca="false">IFERROR((AS20+AS23+AS26+AS29+AS32)/(AS21+AS24+AS27+AS30+AS33),0)</f>
        <v>0.22165820642978</v>
      </c>
      <c r="AT36" s="97" t="n">
        <f aca="false">IFERROR((AT20+AT23+AT26+AT29+AT32)/(AT21+AT24+AT27+AT30+AT33),0)</f>
        <v>0.22165820642978</v>
      </c>
      <c r="AU36" s="97" t="n">
        <f aca="false">IFERROR((AU20+AU23+AU26+AU29+AU32)/(AU21+AU24+AU27+AU30+AU33),0)</f>
        <v>0.22165820642978</v>
      </c>
      <c r="AV36" s="97" t="n">
        <f aca="false">IFERROR((AV20+AV23+AV26+AV29+AV32)/(AV21+AV24+AV27+AV30+AV33),0)</f>
        <v>0.220613001010441</v>
      </c>
      <c r="AW36" s="97" t="n">
        <f aca="false">IFERROR((AW20+AW23+AW26+AW29+AW32)/(AW21+AW24+AW27+AW30+AW33),0)</f>
        <v>0.220613001010441</v>
      </c>
      <c r="AX36" s="97" t="n">
        <f aca="false">IFERROR((AX20+AX23+AX26+AX29+AX32)/(AX21+AX24+AX27+AX30+AX33),0)</f>
        <v>0.220613001010441</v>
      </c>
      <c r="AY36" s="97" t="n">
        <f aca="false">IFERROR((AY20+AY23+AY26+AY29+AY32)/(AY21+AY24+AY27+AY30+AY33),0)</f>
        <v>0.219577606436473</v>
      </c>
      <c r="AZ36" s="97" t="n">
        <f aca="false">IFERROR((AZ20+AZ23+AZ26+AZ29+AZ32)/(AZ21+AZ24+AZ27+AZ30+AZ33),0)</f>
        <v>0.219577606436473</v>
      </c>
      <c r="BA36" s="97" t="n">
        <f aca="false">IFERROR((BA20+BA23+BA26+BA29+BA32)/(BA21+BA24+BA27+BA30+BA33),0)</f>
        <v>0.219577606436473</v>
      </c>
      <c r="BB36" s="96" t="n">
        <f aca="false">IFERROR(AVERAGE(BC36:BN36),0)</f>
        <v>0.206688676057778</v>
      </c>
      <c r="BC36" s="97" t="n">
        <f aca="false">IFERROR((BC20+BC23+BC26+BC29+BC32)/(BC21+BC24+BC27+BC30+BC33),0)</f>
        <v>0.207798871216008</v>
      </c>
      <c r="BD36" s="97" t="n">
        <f aca="false">IFERROR((BD20+BD23+BD26+BD29+BD32)/(BD21+BD24+BD27+BD30+BD33),0)</f>
        <v>0.207798871216008</v>
      </c>
      <c r="BE36" s="97" t="n">
        <f aca="false">IFERROR((BE20+BE23+BE26+BE29+BE32)/(BE21+BE24+BE27+BE30+BE33),0)</f>
        <v>0.207798871216008</v>
      </c>
      <c r="BF36" s="97" t="n">
        <f aca="false">IFERROR((BF20+BF23+BF26+BF29+BF32)/(BF21+BF24+BF27+BF30+BF33),0)</f>
        <v>0.207055214723926</v>
      </c>
      <c r="BG36" s="97" t="n">
        <f aca="false">IFERROR((BG20+BG23+BG26+BG29+BG32)/(BG21+BG24+BG27+BG30+BG33),0)</f>
        <v>0.207055214723926</v>
      </c>
      <c r="BH36" s="97" t="n">
        <f aca="false">IFERROR((BH20+BH23+BH26+BH29+BH32)/(BH21+BH24+BH27+BH30+BH33),0)</f>
        <v>0.207055214723926</v>
      </c>
      <c r="BI36" s="97" t="n">
        <f aca="false">IFERROR((BI20+BI23+BI26+BI29+BI32)/(BI21+BI24+BI27+BI30+BI33),0)</f>
        <v>0.206316861946001</v>
      </c>
      <c r="BJ36" s="97" t="n">
        <f aca="false">IFERROR((BJ20+BJ23+BJ26+BJ29+BJ32)/(BJ21+BJ24+BJ27+BJ30+BJ33),0)</f>
        <v>0.206316861946001</v>
      </c>
      <c r="BK36" s="97" t="n">
        <f aca="false">IFERROR((BK20+BK23+BK26+BK29+BK32)/(BK21+BK24+BK27+BK30+BK33),0)</f>
        <v>0.206316861946001</v>
      </c>
      <c r="BL36" s="97" t="n">
        <f aca="false">IFERROR((BL20+BL23+BL26+BL29+BL32)/(BL21+BL24+BL27+BL30+BL33),0)</f>
        <v>0.205583756345178</v>
      </c>
      <c r="BM36" s="97" t="n">
        <f aca="false">IFERROR((BM20+BM23+BM26+BM29+BM32)/(BM21+BM24+BM27+BM30+BM33),0)</f>
        <v>0.205583756345178</v>
      </c>
      <c r="BN36" s="97" t="n">
        <f aca="false">IFERROR((BN20+BN23+BN26+BN29+BN32)/(BN21+BN24+BN27+BN30+BN33),0)</f>
        <v>0.205583756345178</v>
      </c>
    </row>
    <row r="37" customFormat="false" ht="15" hidden="false" customHeight="false" outlineLevel="0" collapsed="false">
      <c r="A37" s="72" t="s">
        <v>676</v>
      </c>
    </row>
    <row r="39" customFormat="false" ht="16.5" hidden="false" customHeight="true" outlineLevel="0" collapsed="false">
      <c r="A39" s="15" t="s">
        <v>677</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true" outlineLevel="0" collapsed="false">
      <c r="A40" s="26" t="s">
        <v>505</v>
      </c>
      <c r="B40" s="62" t="s">
        <v>80</v>
      </c>
      <c r="C40" s="63" t="s">
        <v>506</v>
      </c>
      <c r="D40" s="63" t="s">
        <v>507</v>
      </c>
      <c r="E40" s="63" t="s">
        <v>508</v>
      </c>
      <c r="F40" s="63" t="s">
        <v>509</v>
      </c>
      <c r="G40" s="63" t="s">
        <v>510</v>
      </c>
      <c r="H40" s="63" t="s">
        <v>511</v>
      </c>
      <c r="I40" s="63" t="s">
        <v>512</v>
      </c>
      <c r="J40" s="63" t="s">
        <v>513</v>
      </c>
      <c r="K40" s="63" t="s">
        <v>514</v>
      </c>
      <c r="L40" s="63" t="s">
        <v>515</v>
      </c>
      <c r="M40" s="63" t="s">
        <v>516</v>
      </c>
      <c r="N40" s="63" t="s">
        <v>517</v>
      </c>
      <c r="O40" s="62" t="s">
        <v>81</v>
      </c>
      <c r="P40" s="64" t="s">
        <v>518</v>
      </c>
      <c r="Q40" s="64" t="s">
        <v>519</v>
      </c>
      <c r="R40" s="64" t="s">
        <v>520</v>
      </c>
      <c r="S40" s="64" t="s">
        <v>521</v>
      </c>
      <c r="T40" s="64" t="s">
        <v>522</v>
      </c>
      <c r="U40" s="64" t="s">
        <v>523</v>
      </c>
      <c r="V40" s="64" t="s">
        <v>524</v>
      </c>
      <c r="W40" s="64" t="s">
        <v>525</v>
      </c>
      <c r="X40" s="64" t="s">
        <v>526</v>
      </c>
      <c r="Y40" s="64" t="s">
        <v>527</v>
      </c>
      <c r="Z40" s="64" t="s">
        <v>528</v>
      </c>
      <c r="AA40" s="64" t="s">
        <v>529</v>
      </c>
      <c r="AB40" s="62" t="s">
        <v>82</v>
      </c>
      <c r="AC40" s="63" t="s">
        <v>530</v>
      </c>
      <c r="AD40" s="63" t="s">
        <v>531</v>
      </c>
      <c r="AE40" s="63" t="s">
        <v>532</v>
      </c>
      <c r="AF40" s="63" t="s">
        <v>533</v>
      </c>
      <c r="AG40" s="63" t="s">
        <v>534</v>
      </c>
      <c r="AH40" s="63" t="s">
        <v>535</v>
      </c>
      <c r="AI40" s="63" t="s">
        <v>536</v>
      </c>
      <c r="AJ40" s="63" t="s">
        <v>537</v>
      </c>
      <c r="AK40" s="63" t="s">
        <v>538</v>
      </c>
      <c r="AL40" s="63" t="s">
        <v>539</v>
      </c>
      <c r="AM40" s="63" t="s">
        <v>540</v>
      </c>
      <c r="AN40" s="63" t="s">
        <v>541</v>
      </c>
      <c r="AO40" s="62" t="s">
        <v>83</v>
      </c>
      <c r="AP40" s="64" t="s">
        <v>542</v>
      </c>
      <c r="AQ40" s="64" t="s">
        <v>543</v>
      </c>
      <c r="AR40" s="64" t="s">
        <v>544</v>
      </c>
      <c r="AS40" s="64" t="s">
        <v>545</v>
      </c>
      <c r="AT40" s="64" t="s">
        <v>546</v>
      </c>
      <c r="AU40" s="64" t="s">
        <v>547</v>
      </c>
      <c r="AV40" s="64" t="s">
        <v>548</v>
      </c>
      <c r="AW40" s="64" t="s">
        <v>549</v>
      </c>
      <c r="AX40" s="64" t="s">
        <v>550</v>
      </c>
      <c r="AY40" s="64" t="s">
        <v>551</v>
      </c>
      <c r="AZ40" s="64" t="s">
        <v>552</v>
      </c>
      <c r="BA40" s="64" t="s">
        <v>553</v>
      </c>
      <c r="BB40" s="62" t="s">
        <v>84</v>
      </c>
      <c r="BC40" s="63" t="s">
        <v>554</v>
      </c>
      <c r="BD40" s="63" t="s">
        <v>555</v>
      </c>
      <c r="BE40" s="63" t="s">
        <v>556</v>
      </c>
      <c r="BF40" s="63" t="s">
        <v>557</v>
      </c>
      <c r="BG40" s="63" t="s">
        <v>558</v>
      </c>
      <c r="BH40" s="63" t="s">
        <v>559</v>
      </c>
      <c r="BI40" s="63" t="s">
        <v>560</v>
      </c>
      <c r="BJ40" s="63" t="s">
        <v>561</v>
      </c>
      <c r="BK40" s="63" t="s">
        <v>562</v>
      </c>
      <c r="BL40" s="63" t="s">
        <v>563</v>
      </c>
      <c r="BM40" s="63" t="s">
        <v>564</v>
      </c>
      <c r="BN40" s="63" t="s">
        <v>565</v>
      </c>
    </row>
    <row r="41" customFormat="false" ht="15" hidden="false" customHeight="false" outlineLevel="0" collapsed="false">
      <c r="A41" s="12" t="s">
        <v>678</v>
      </c>
      <c r="B41" s="81" t="n">
        <f aca="false">SUM(C41:N41)</f>
        <v>46.7982850090909</v>
      </c>
      <c r="C41" s="91" t="n">
        <f aca="false">Acquisitions!C$83+Acquisitions!C$87+Acquisitions!C$91+Acquisitions!C$95+Acquisitions!C$99</f>
        <v>3.89985708409091</v>
      </c>
      <c r="D41" s="91" t="n">
        <f aca="false">Acquisitions!D$83+Acquisitions!D$87+Acquisitions!D$91+Acquisitions!D$95+Acquisitions!D$99</f>
        <v>3.89985708409091</v>
      </c>
      <c r="E41" s="91" t="n">
        <f aca="false">Acquisitions!E$83+Acquisitions!E$87+Acquisitions!E$91+Acquisitions!E$95+Acquisitions!E$99</f>
        <v>3.89985708409091</v>
      </c>
      <c r="F41" s="91" t="n">
        <f aca="false">Acquisitions!F$83+Acquisitions!F$87+Acquisitions!F$91+Acquisitions!F$95+Acquisitions!F$99</f>
        <v>3.89985708409091</v>
      </c>
      <c r="G41" s="91" t="n">
        <f aca="false">Acquisitions!G$83+Acquisitions!G$87+Acquisitions!G$91+Acquisitions!G$95+Acquisitions!G$99</f>
        <v>3.89985708409091</v>
      </c>
      <c r="H41" s="91" t="n">
        <f aca="false">Acquisitions!H$83+Acquisitions!H$87+Acquisitions!H$91+Acquisitions!H$95+Acquisitions!H$99</f>
        <v>3.89985708409091</v>
      </c>
      <c r="I41" s="91" t="n">
        <f aca="false">Acquisitions!I$83+Acquisitions!I$87+Acquisitions!I$91+Acquisitions!I$95+Acquisitions!I$99</f>
        <v>3.89985708409091</v>
      </c>
      <c r="J41" s="91" t="n">
        <f aca="false">Acquisitions!J$83+Acquisitions!J$87+Acquisitions!J$91+Acquisitions!J$95+Acquisitions!J$99</f>
        <v>3.89985708409091</v>
      </c>
      <c r="K41" s="91" t="n">
        <f aca="false">Acquisitions!K$83+Acquisitions!K$87+Acquisitions!K$91+Acquisitions!K$95+Acquisitions!K$99</f>
        <v>3.89985708409091</v>
      </c>
      <c r="L41" s="91" t="n">
        <f aca="false">Acquisitions!L$83+Acquisitions!L$87+Acquisitions!L$91+Acquisitions!L$95+Acquisitions!L$99</f>
        <v>3.89985708409091</v>
      </c>
      <c r="M41" s="91" t="n">
        <f aca="false">Acquisitions!M$83+Acquisitions!M$87+Acquisitions!M$91+Acquisitions!M$95+Acquisitions!M$99</f>
        <v>3.89985708409091</v>
      </c>
      <c r="N41" s="91" t="n">
        <f aca="false">Acquisitions!N$83+Acquisitions!N$87+Acquisitions!N$91+Acquisitions!N$95+Acquisitions!N$99</f>
        <v>3.89985708409091</v>
      </c>
      <c r="O41" s="81" t="n">
        <f aca="false">SUM(P41:AA41)</f>
        <v>226.981277454545</v>
      </c>
      <c r="P41" s="91" t="n">
        <f aca="false">Acquisitions!P$83+Acquisitions!P$87+Acquisitions!P$91+Acquisitions!P$95+Acquisitions!P$99</f>
        <v>18.9151064545455</v>
      </c>
      <c r="Q41" s="91" t="n">
        <f aca="false">Acquisitions!Q$83+Acquisitions!Q$87+Acquisitions!Q$91+Acquisitions!Q$95+Acquisitions!Q$99</f>
        <v>18.9151064545455</v>
      </c>
      <c r="R41" s="91" t="n">
        <f aca="false">Acquisitions!R$83+Acquisitions!R$87+Acquisitions!R$91+Acquisitions!R$95+Acquisitions!R$99</f>
        <v>18.9151064545455</v>
      </c>
      <c r="S41" s="91" t="n">
        <f aca="false">Acquisitions!S$83+Acquisitions!S$87+Acquisitions!S$91+Acquisitions!S$95+Acquisitions!S$99</f>
        <v>18.9151064545455</v>
      </c>
      <c r="T41" s="91" t="n">
        <f aca="false">Acquisitions!T$83+Acquisitions!T$87+Acquisitions!T$91+Acquisitions!T$95+Acquisitions!T$99</f>
        <v>18.9151064545455</v>
      </c>
      <c r="U41" s="91" t="n">
        <f aca="false">Acquisitions!U$83+Acquisitions!U$87+Acquisitions!U$91+Acquisitions!U$95+Acquisitions!U$99</f>
        <v>18.9151064545455</v>
      </c>
      <c r="V41" s="91" t="n">
        <f aca="false">Acquisitions!V$83+Acquisitions!V$87+Acquisitions!V$91+Acquisitions!V$95+Acquisitions!V$99</f>
        <v>18.9151064545455</v>
      </c>
      <c r="W41" s="91" t="n">
        <f aca="false">Acquisitions!W$83+Acquisitions!W$87+Acquisitions!W$91+Acquisitions!W$95+Acquisitions!W$99</f>
        <v>18.9151064545455</v>
      </c>
      <c r="X41" s="91" t="n">
        <f aca="false">Acquisitions!X$83+Acquisitions!X$87+Acquisitions!X$91+Acquisitions!X$95+Acquisitions!X$99</f>
        <v>18.9151064545455</v>
      </c>
      <c r="Y41" s="91" t="n">
        <f aca="false">Acquisitions!Y$83+Acquisitions!Y$87+Acquisitions!Y$91+Acquisitions!Y$95+Acquisitions!Y$99</f>
        <v>18.9151064545455</v>
      </c>
      <c r="Z41" s="91" t="n">
        <f aca="false">Acquisitions!Z$83+Acquisitions!Z$87+Acquisitions!Z$91+Acquisitions!Z$95+Acquisitions!Z$99</f>
        <v>18.9151064545455</v>
      </c>
      <c r="AA41" s="91" t="n">
        <f aca="false">Acquisitions!AA$83+Acquisitions!AA$87+Acquisitions!AA$91+Acquisitions!AA$95+Acquisitions!AA$99</f>
        <v>18.9151064545455</v>
      </c>
      <c r="AB41" s="81" t="n">
        <f aca="false">SUM(AC41:AN41)</f>
        <v>466.328624563636</v>
      </c>
      <c r="AC41" s="91" t="n">
        <f aca="false">Acquisitions!AC$83+Acquisitions!AC$87+Acquisitions!AC$91+Acquisitions!AC$95+Acquisitions!AC$99</f>
        <v>38.8607187136364</v>
      </c>
      <c r="AD41" s="91" t="n">
        <f aca="false">Acquisitions!AD$83+Acquisitions!AD$87+Acquisitions!AD$91+Acquisitions!AD$95+Acquisitions!AD$99</f>
        <v>38.8607187136364</v>
      </c>
      <c r="AE41" s="91" t="n">
        <f aca="false">Acquisitions!AE$83+Acquisitions!AE$87+Acquisitions!AE$91+Acquisitions!AE$95+Acquisitions!AE$99</f>
        <v>38.8607187136364</v>
      </c>
      <c r="AF41" s="91" t="n">
        <f aca="false">Acquisitions!AF$83+Acquisitions!AF$87+Acquisitions!AF$91+Acquisitions!AF$95+Acquisitions!AF$99</f>
        <v>38.8607187136364</v>
      </c>
      <c r="AG41" s="91" t="n">
        <f aca="false">Acquisitions!AG$83+Acquisitions!AG$87+Acquisitions!AG$91+Acquisitions!AG$95+Acquisitions!AG$99</f>
        <v>38.8607187136364</v>
      </c>
      <c r="AH41" s="91" t="n">
        <f aca="false">Acquisitions!AH$83+Acquisitions!AH$87+Acquisitions!AH$91+Acquisitions!AH$95+Acquisitions!AH$99</f>
        <v>38.8607187136364</v>
      </c>
      <c r="AI41" s="91" t="n">
        <f aca="false">Acquisitions!AI$83+Acquisitions!AI$87+Acquisitions!AI$91+Acquisitions!AI$95+Acquisitions!AI$99</f>
        <v>38.8607187136364</v>
      </c>
      <c r="AJ41" s="91" t="n">
        <f aca="false">Acquisitions!AJ$83+Acquisitions!AJ$87+Acquisitions!AJ$91+Acquisitions!AJ$95+Acquisitions!AJ$99</f>
        <v>38.8607187136364</v>
      </c>
      <c r="AK41" s="91" t="n">
        <f aca="false">Acquisitions!AK$83+Acquisitions!AK$87+Acquisitions!AK$91+Acquisitions!AK$95+Acquisitions!AK$99</f>
        <v>38.8607187136364</v>
      </c>
      <c r="AL41" s="91" t="n">
        <f aca="false">Acquisitions!AL$83+Acquisitions!AL$87+Acquisitions!AL$91+Acquisitions!AL$95+Acquisitions!AL$99</f>
        <v>38.8607187136364</v>
      </c>
      <c r="AM41" s="91" t="n">
        <f aca="false">Acquisitions!AM$83+Acquisitions!AM$87+Acquisitions!AM$91+Acquisitions!AM$95+Acquisitions!AM$99</f>
        <v>38.8607187136364</v>
      </c>
      <c r="AN41" s="91" t="n">
        <f aca="false">Acquisitions!AN$83+Acquisitions!AN$87+Acquisitions!AN$91+Acquisitions!AN$95+Acquisitions!AN$99</f>
        <v>38.8607187136364</v>
      </c>
      <c r="AO41" s="81" t="n">
        <f aca="false">SUM(AP41:BA41)</f>
        <v>668.736209418182</v>
      </c>
      <c r="AP41" s="91" t="n">
        <f aca="false">Acquisitions!AP$83+Acquisitions!AP$87+Acquisitions!AP$91+Acquisitions!AP$95+Acquisitions!AP$99</f>
        <v>55.7280174515152</v>
      </c>
      <c r="AQ41" s="91" t="n">
        <f aca="false">Acquisitions!AQ$83+Acquisitions!AQ$87+Acquisitions!AQ$91+Acquisitions!AQ$95+Acquisitions!AQ$99</f>
        <v>55.7280174515152</v>
      </c>
      <c r="AR41" s="91" t="n">
        <f aca="false">Acquisitions!AR$83+Acquisitions!AR$87+Acquisitions!AR$91+Acquisitions!AR$95+Acquisitions!AR$99</f>
        <v>55.7280174515152</v>
      </c>
      <c r="AS41" s="91" t="n">
        <f aca="false">Acquisitions!AS$83+Acquisitions!AS$87+Acquisitions!AS$91+Acquisitions!AS$95+Acquisitions!AS$99</f>
        <v>55.7280174515152</v>
      </c>
      <c r="AT41" s="91" t="n">
        <f aca="false">Acquisitions!AT$83+Acquisitions!AT$87+Acquisitions!AT$91+Acquisitions!AT$95+Acquisitions!AT$99</f>
        <v>55.7280174515152</v>
      </c>
      <c r="AU41" s="91" t="n">
        <f aca="false">Acquisitions!AU$83+Acquisitions!AU$87+Acquisitions!AU$91+Acquisitions!AU$95+Acquisitions!AU$99</f>
        <v>55.7280174515152</v>
      </c>
      <c r="AV41" s="91" t="n">
        <f aca="false">Acquisitions!AV$83+Acquisitions!AV$87+Acquisitions!AV$91+Acquisitions!AV$95+Acquisitions!AV$99</f>
        <v>55.7280174515152</v>
      </c>
      <c r="AW41" s="91" t="n">
        <f aca="false">Acquisitions!AW$83+Acquisitions!AW$87+Acquisitions!AW$91+Acquisitions!AW$95+Acquisitions!AW$99</f>
        <v>55.7280174515152</v>
      </c>
      <c r="AX41" s="91" t="n">
        <f aca="false">Acquisitions!AX$83+Acquisitions!AX$87+Acquisitions!AX$91+Acquisitions!AX$95+Acquisitions!AX$99</f>
        <v>55.7280174515152</v>
      </c>
      <c r="AY41" s="91" t="n">
        <f aca="false">Acquisitions!AY$83+Acquisitions!AY$87+Acquisitions!AY$91+Acquisitions!AY$95+Acquisitions!AY$99</f>
        <v>55.7280174515152</v>
      </c>
      <c r="AZ41" s="91" t="n">
        <f aca="false">Acquisitions!AZ$83+Acquisitions!AZ$87+Acquisitions!AZ$91+Acquisitions!AZ$95+Acquisitions!AZ$99</f>
        <v>55.7280174515152</v>
      </c>
      <c r="BA41" s="91" t="n">
        <f aca="false">Acquisitions!BA$83+Acquisitions!BA$87+Acquisitions!BA$91+Acquisitions!BA$95+Acquisitions!BA$99</f>
        <v>55.7280174515152</v>
      </c>
      <c r="BB41" s="81" t="n">
        <f aca="false">SUM(BC41:BN41)</f>
        <v>886.59770425</v>
      </c>
      <c r="BC41" s="91" t="n">
        <f aca="false">Acquisitions!BC$83+Acquisitions!BC$87+Acquisitions!BC$91+Acquisitions!BC$95+Acquisitions!BC$99</f>
        <v>73.8831420208333</v>
      </c>
      <c r="BD41" s="91" t="n">
        <f aca="false">Acquisitions!BD$83+Acquisitions!BD$87+Acquisitions!BD$91+Acquisitions!BD$95+Acquisitions!BD$99</f>
        <v>73.8831420208333</v>
      </c>
      <c r="BE41" s="91" t="n">
        <f aca="false">Acquisitions!BE$83+Acquisitions!BE$87+Acquisitions!BE$91+Acquisitions!BE$95+Acquisitions!BE$99</f>
        <v>73.8831420208333</v>
      </c>
      <c r="BF41" s="91" t="n">
        <f aca="false">Acquisitions!BF$83+Acquisitions!BF$87+Acquisitions!BF$91+Acquisitions!BF$95+Acquisitions!BF$99</f>
        <v>73.8831420208333</v>
      </c>
      <c r="BG41" s="91" t="n">
        <f aca="false">Acquisitions!BG$83+Acquisitions!BG$87+Acquisitions!BG$91+Acquisitions!BG$95+Acquisitions!BG$99</f>
        <v>73.8831420208333</v>
      </c>
      <c r="BH41" s="91" t="n">
        <f aca="false">Acquisitions!BH$83+Acquisitions!BH$87+Acquisitions!BH$91+Acquisitions!BH$95+Acquisitions!BH$99</f>
        <v>73.8831420208333</v>
      </c>
      <c r="BI41" s="91" t="n">
        <f aca="false">Acquisitions!BI$83+Acquisitions!BI$87+Acquisitions!BI$91+Acquisitions!BI$95+Acquisitions!BI$99</f>
        <v>73.8831420208333</v>
      </c>
      <c r="BJ41" s="91" t="n">
        <f aca="false">Acquisitions!BJ$83+Acquisitions!BJ$87+Acquisitions!BJ$91+Acquisitions!BJ$95+Acquisitions!BJ$99</f>
        <v>73.8831420208333</v>
      </c>
      <c r="BK41" s="91" t="n">
        <f aca="false">Acquisitions!BK$83+Acquisitions!BK$87+Acquisitions!BK$91+Acquisitions!BK$95+Acquisitions!BK$99</f>
        <v>73.8831420208333</v>
      </c>
      <c r="BL41" s="91" t="n">
        <f aca="false">Acquisitions!BL$83+Acquisitions!BL$87+Acquisitions!BL$91+Acquisitions!BL$95+Acquisitions!BL$99</f>
        <v>73.8831420208333</v>
      </c>
      <c r="BM41" s="91" t="n">
        <f aca="false">Acquisitions!BM$83+Acquisitions!BM$87+Acquisitions!BM$91+Acquisitions!BM$95+Acquisitions!BM$99</f>
        <v>73.8831420208333</v>
      </c>
      <c r="BN41" s="91" t="n">
        <f aca="false">Acquisitions!BN$83+Acquisitions!BN$87+Acquisitions!BN$91+Acquisitions!BN$95+Acquisitions!BN$99</f>
        <v>73.8831420208333</v>
      </c>
    </row>
    <row r="42" customFormat="false" ht="15" hidden="false" customHeight="false" outlineLevel="0" collapsed="false">
      <c r="A42" s="12" t="s">
        <v>679</v>
      </c>
      <c r="B42" s="81" t="n">
        <f aca="false">SUM(C42:N42)</f>
        <v>144</v>
      </c>
      <c r="C42" s="82" t="n">
        <f aca="false">Payroll!C$76*'Assumption Setting'!$C$129+Payroll!C$80*'Assumption Setting'!$C$130+Payroll!C$84*'Assumption Setting'!$C$131</f>
        <v>12</v>
      </c>
      <c r="D42" s="82" t="n">
        <f aca="false">Payroll!D$76*'Assumption Setting'!$C$129+Payroll!D$80*'Assumption Setting'!$C$130+Payroll!D$84*'Assumption Setting'!$C$131</f>
        <v>12</v>
      </c>
      <c r="E42" s="82" t="n">
        <f aca="false">Payroll!E$76*'Assumption Setting'!$C$129+Payroll!E$80*'Assumption Setting'!$C$130+Payroll!E$84*'Assumption Setting'!$C$131</f>
        <v>12</v>
      </c>
      <c r="F42" s="82" t="n">
        <f aca="false">Payroll!F$76*'Assumption Setting'!$C$129+Payroll!F$80*'Assumption Setting'!$C$130+Payroll!F$84*'Assumption Setting'!$C$131</f>
        <v>12</v>
      </c>
      <c r="G42" s="82" t="n">
        <f aca="false">Payroll!G$76*'Assumption Setting'!$C$129+Payroll!G$80*'Assumption Setting'!$C$130+Payroll!G$84*'Assumption Setting'!$C$131</f>
        <v>12</v>
      </c>
      <c r="H42" s="82" t="n">
        <f aca="false">Payroll!H$76*'Assumption Setting'!$C$129+Payroll!H$80*'Assumption Setting'!$C$130+Payroll!H$84*'Assumption Setting'!$C$131</f>
        <v>12</v>
      </c>
      <c r="I42" s="82" t="n">
        <f aca="false">Payroll!I$76*'Assumption Setting'!$C$129+Payroll!I$80*'Assumption Setting'!$C$130+Payroll!I$84*'Assumption Setting'!$C$131</f>
        <v>12</v>
      </c>
      <c r="J42" s="82" t="n">
        <f aca="false">Payroll!J$76*'Assumption Setting'!$C$129+Payroll!J$80*'Assumption Setting'!$C$130+Payroll!J$84*'Assumption Setting'!$C$131</f>
        <v>12</v>
      </c>
      <c r="K42" s="82" t="n">
        <f aca="false">Payroll!K$76*'Assumption Setting'!$C$129+Payroll!K$80*'Assumption Setting'!$C$130+Payroll!K$84*'Assumption Setting'!$C$131</f>
        <v>12</v>
      </c>
      <c r="L42" s="82" t="n">
        <f aca="false">Payroll!L$76*'Assumption Setting'!$C$129+Payroll!L$80*'Assumption Setting'!$C$130+Payroll!L$84*'Assumption Setting'!$C$131</f>
        <v>12</v>
      </c>
      <c r="M42" s="82" t="n">
        <f aca="false">Payroll!M$76*'Assumption Setting'!$C$129+Payroll!M$80*'Assumption Setting'!$C$130+Payroll!M$84*'Assumption Setting'!$C$131</f>
        <v>12</v>
      </c>
      <c r="N42" s="82" t="n">
        <f aca="false">Payroll!N$76*'Assumption Setting'!$C$129+Payroll!N$80*'Assumption Setting'!$C$130+Payroll!N$84*'Assumption Setting'!$C$131</f>
        <v>12</v>
      </c>
      <c r="O42" s="81" t="n">
        <f aca="false">SUM(P42:AA42)</f>
        <v>360</v>
      </c>
      <c r="P42" s="82" t="n">
        <f aca="false">Payroll!P$76*'Assumption Setting'!$C$129+Payroll!P$80*'Assumption Setting'!$C$130+Payroll!P$84*'Assumption Setting'!$C$131</f>
        <v>30</v>
      </c>
      <c r="Q42" s="82" t="n">
        <f aca="false">Payroll!Q$76*'Assumption Setting'!$C$129+Payroll!Q$80*'Assumption Setting'!$C$130+Payroll!Q$84*'Assumption Setting'!$C$131</f>
        <v>30</v>
      </c>
      <c r="R42" s="82" t="n">
        <f aca="false">Payroll!R$76*'Assumption Setting'!$C$129+Payroll!R$80*'Assumption Setting'!$C$130+Payroll!R$84*'Assumption Setting'!$C$131</f>
        <v>30</v>
      </c>
      <c r="S42" s="82" t="n">
        <f aca="false">Payroll!S$76*'Assumption Setting'!$C$129+Payroll!S$80*'Assumption Setting'!$C$130+Payroll!S$84*'Assumption Setting'!$C$131</f>
        <v>30</v>
      </c>
      <c r="T42" s="82" t="n">
        <f aca="false">Payroll!T$76*'Assumption Setting'!$C$129+Payroll!T$80*'Assumption Setting'!$C$130+Payroll!T$84*'Assumption Setting'!$C$131</f>
        <v>30</v>
      </c>
      <c r="U42" s="82" t="n">
        <f aca="false">Payroll!U$76*'Assumption Setting'!$C$129+Payroll!U$80*'Assumption Setting'!$C$130+Payroll!U$84*'Assumption Setting'!$C$131</f>
        <v>30</v>
      </c>
      <c r="V42" s="82" t="n">
        <f aca="false">Payroll!V$76*'Assumption Setting'!$C$129+Payroll!V$80*'Assumption Setting'!$C$130+Payroll!V$84*'Assumption Setting'!$C$131</f>
        <v>30</v>
      </c>
      <c r="W42" s="82" t="n">
        <f aca="false">Payroll!W$76*'Assumption Setting'!$C$129+Payroll!W$80*'Assumption Setting'!$C$130+Payroll!W$84*'Assumption Setting'!$C$131</f>
        <v>30</v>
      </c>
      <c r="X42" s="82" t="n">
        <f aca="false">Payroll!X$76*'Assumption Setting'!$C$129+Payroll!X$80*'Assumption Setting'!$C$130+Payroll!X$84*'Assumption Setting'!$C$131</f>
        <v>30</v>
      </c>
      <c r="Y42" s="82" t="n">
        <f aca="false">Payroll!Y$76*'Assumption Setting'!$C$129+Payroll!Y$80*'Assumption Setting'!$C$130+Payroll!Y$84*'Assumption Setting'!$C$131</f>
        <v>30</v>
      </c>
      <c r="Z42" s="82" t="n">
        <f aca="false">Payroll!Z$76*'Assumption Setting'!$C$129+Payroll!Z$80*'Assumption Setting'!$C$130+Payroll!Z$84*'Assumption Setting'!$C$131</f>
        <v>30</v>
      </c>
      <c r="AA42" s="82" t="n">
        <f aca="false">Payroll!AA$76*'Assumption Setting'!$C$129+Payroll!AA$80*'Assumption Setting'!$C$130+Payroll!AA$84*'Assumption Setting'!$C$131</f>
        <v>30</v>
      </c>
      <c r="AB42" s="81" t="n">
        <f aca="false">SUM(AC42:AN42)</f>
        <v>864</v>
      </c>
      <c r="AC42" s="82" t="n">
        <f aca="false">Payroll!AC$76*'Assumption Setting'!$C$129+Payroll!AC$80*'Assumption Setting'!$C$130+Payroll!AC$84*'Assumption Setting'!$C$131</f>
        <v>72</v>
      </c>
      <c r="AD42" s="82" t="n">
        <f aca="false">Payroll!AD$76*'Assumption Setting'!$C$129+Payroll!AD$80*'Assumption Setting'!$C$130+Payroll!AD$84*'Assumption Setting'!$C$131</f>
        <v>72</v>
      </c>
      <c r="AE42" s="82" t="n">
        <f aca="false">Payroll!AE$76*'Assumption Setting'!$C$129+Payroll!AE$80*'Assumption Setting'!$C$130+Payroll!AE$84*'Assumption Setting'!$C$131</f>
        <v>72</v>
      </c>
      <c r="AF42" s="82" t="n">
        <f aca="false">Payroll!AF$76*'Assumption Setting'!$C$129+Payroll!AF$80*'Assumption Setting'!$C$130+Payroll!AF$84*'Assumption Setting'!$C$131</f>
        <v>72</v>
      </c>
      <c r="AG42" s="82" t="n">
        <f aca="false">Payroll!AG$76*'Assumption Setting'!$C$129+Payroll!AG$80*'Assumption Setting'!$C$130+Payroll!AG$84*'Assumption Setting'!$C$131</f>
        <v>72</v>
      </c>
      <c r="AH42" s="82" t="n">
        <f aca="false">Payroll!AH$76*'Assumption Setting'!$C$129+Payroll!AH$80*'Assumption Setting'!$C$130+Payroll!AH$84*'Assumption Setting'!$C$131</f>
        <v>72</v>
      </c>
      <c r="AI42" s="82" t="n">
        <f aca="false">Payroll!AI$76*'Assumption Setting'!$C$129+Payroll!AI$80*'Assumption Setting'!$C$130+Payroll!AI$84*'Assumption Setting'!$C$131</f>
        <v>72</v>
      </c>
      <c r="AJ42" s="82" t="n">
        <f aca="false">Payroll!AJ$76*'Assumption Setting'!$C$129+Payroll!AJ$80*'Assumption Setting'!$C$130+Payroll!AJ$84*'Assumption Setting'!$C$131</f>
        <v>72</v>
      </c>
      <c r="AK42" s="82" t="n">
        <f aca="false">Payroll!AK$76*'Assumption Setting'!$C$129+Payroll!AK$80*'Assumption Setting'!$C$130+Payroll!AK$84*'Assumption Setting'!$C$131</f>
        <v>72</v>
      </c>
      <c r="AL42" s="82" t="n">
        <f aca="false">Payroll!AL$76*'Assumption Setting'!$C$129+Payroll!AL$80*'Assumption Setting'!$C$130+Payroll!AL$84*'Assumption Setting'!$C$131</f>
        <v>72</v>
      </c>
      <c r="AM42" s="82" t="n">
        <f aca="false">Payroll!AM$76*'Assumption Setting'!$C$129+Payroll!AM$80*'Assumption Setting'!$C$130+Payroll!AM$84*'Assumption Setting'!$C$131</f>
        <v>72</v>
      </c>
      <c r="AN42" s="82" t="n">
        <f aca="false">Payroll!AN$76*'Assumption Setting'!$C$129+Payroll!AN$80*'Assumption Setting'!$C$130+Payroll!AN$84*'Assumption Setting'!$C$131</f>
        <v>72</v>
      </c>
      <c r="AO42" s="81" t="n">
        <f aca="false">SUM(AP42:BA42)</f>
        <v>1104</v>
      </c>
      <c r="AP42" s="82" t="n">
        <f aca="false">Payroll!AP$76*'Assumption Setting'!$C$129+Payroll!AP$80*'Assumption Setting'!$C$130+Payroll!AP$84*'Assumption Setting'!$C$131</f>
        <v>92</v>
      </c>
      <c r="AQ42" s="82" t="n">
        <f aca="false">Payroll!AQ$76*'Assumption Setting'!$C$129+Payroll!AQ$80*'Assumption Setting'!$C$130+Payroll!AQ$84*'Assumption Setting'!$C$131</f>
        <v>92</v>
      </c>
      <c r="AR42" s="82" t="n">
        <f aca="false">Payroll!AR$76*'Assumption Setting'!$C$129+Payroll!AR$80*'Assumption Setting'!$C$130+Payroll!AR$84*'Assumption Setting'!$C$131</f>
        <v>92</v>
      </c>
      <c r="AS42" s="82" t="n">
        <f aca="false">Payroll!AS$76*'Assumption Setting'!$C$129+Payroll!AS$80*'Assumption Setting'!$C$130+Payroll!AS$84*'Assumption Setting'!$C$131</f>
        <v>92</v>
      </c>
      <c r="AT42" s="82" t="n">
        <f aca="false">Payroll!AT$76*'Assumption Setting'!$C$129+Payroll!AT$80*'Assumption Setting'!$C$130+Payroll!AT$84*'Assumption Setting'!$C$131</f>
        <v>92</v>
      </c>
      <c r="AU42" s="82" t="n">
        <f aca="false">Payroll!AU$76*'Assumption Setting'!$C$129+Payroll!AU$80*'Assumption Setting'!$C$130+Payroll!AU$84*'Assumption Setting'!$C$131</f>
        <v>92</v>
      </c>
      <c r="AV42" s="82" t="n">
        <f aca="false">Payroll!AV$76*'Assumption Setting'!$C$129+Payroll!AV$80*'Assumption Setting'!$C$130+Payroll!AV$84*'Assumption Setting'!$C$131</f>
        <v>92</v>
      </c>
      <c r="AW42" s="82" t="n">
        <f aca="false">Payroll!AW$76*'Assumption Setting'!$C$129+Payroll!AW$80*'Assumption Setting'!$C$130+Payroll!AW$84*'Assumption Setting'!$C$131</f>
        <v>92</v>
      </c>
      <c r="AX42" s="82" t="n">
        <f aca="false">Payroll!AX$76*'Assumption Setting'!$C$129+Payroll!AX$80*'Assumption Setting'!$C$130+Payroll!AX$84*'Assumption Setting'!$C$131</f>
        <v>92</v>
      </c>
      <c r="AY42" s="82" t="n">
        <f aca="false">Payroll!AY$76*'Assumption Setting'!$C$129+Payroll!AY$80*'Assumption Setting'!$C$130+Payroll!AY$84*'Assumption Setting'!$C$131</f>
        <v>92</v>
      </c>
      <c r="AZ42" s="82" t="n">
        <f aca="false">Payroll!AZ$76*'Assumption Setting'!$C$129+Payroll!AZ$80*'Assumption Setting'!$C$130+Payroll!AZ$84*'Assumption Setting'!$C$131</f>
        <v>92</v>
      </c>
      <c r="BA42" s="82" t="n">
        <f aca="false">Payroll!BA$76*'Assumption Setting'!$C$129+Payroll!BA$80*'Assumption Setting'!$C$130+Payroll!BA$84*'Assumption Setting'!$C$131</f>
        <v>92</v>
      </c>
      <c r="BB42" s="81" t="n">
        <f aca="false">SUM(BC42:BN42)</f>
        <v>1320</v>
      </c>
      <c r="BC42" s="82" t="n">
        <f aca="false">Payroll!BC$76*'Assumption Setting'!$C$129+Payroll!BC$80*'Assumption Setting'!$C$130+Payroll!BC$84*'Assumption Setting'!$C$131</f>
        <v>110</v>
      </c>
      <c r="BD42" s="82" t="n">
        <f aca="false">Payroll!BD$76*'Assumption Setting'!$C$129+Payroll!BD$80*'Assumption Setting'!$C$130+Payroll!BD$84*'Assumption Setting'!$C$131</f>
        <v>110</v>
      </c>
      <c r="BE42" s="82" t="n">
        <f aca="false">Payroll!BE$76*'Assumption Setting'!$C$129+Payroll!BE$80*'Assumption Setting'!$C$130+Payroll!BE$84*'Assumption Setting'!$C$131</f>
        <v>110</v>
      </c>
      <c r="BF42" s="82" t="n">
        <f aca="false">Payroll!BF$76*'Assumption Setting'!$C$129+Payroll!BF$80*'Assumption Setting'!$C$130+Payroll!BF$84*'Assumption Setting'!$C$131</f>
        <v>110</v>
      </c>
      <c r="BG42" s="82" t="n">
        <f aca="false">Payroll!BG$76*'Assumption Setting'!$C$129+Payroll!BG$80*'Assumption Setting'!$C$130+Payroll!BG$84*'Assumption Setting'!$C$131</f>
        <v>110</v>
      </c>
      <c r="BH42" s="82" t="n">
        <f aca="false">Payroll!BH$76*'Assumption Setting'!$C$129+Payroll!BH$80*'Assumption Setting'!$C$130+Payroll!BH$84*'Assumption Setting'!$C$131</f>
        <v>110</v>
      </c>
      <c r="BI42" s="82" t="n">
        <f aca="false">Payroll!BI$76*'Assumption Setting'!$C$129+Payroll!BI$80*'Assumption Setting'!$C$130+Payroll!BI$84*'Assumption Setting'!$C$131</f>
        <v>110</v>
      </c>
      <c r="BJ42" s="82" t="n">
        <f aca="false">Payroll!BJ$76*'Assumption Setting'!$C$129+Payroll!BJ$80*'Assumption Setting'!$C$130+Payroll!BJ$84*'Assumption Setting'!$C$131</f>
        <v>110</v>
      </c>
      <c r="BK42" s="82" t="n">
        <f aca="false">Payroll!BK$76*'Assumption Setting'!$C$129+Payroll!BK$80*'Assumption Setting'!$C$130+Payroll!BK$84*'Assumption Setting'!$C$131</f>
        <v>110</v>
      </c>
      <c r="BL42" s="82" t="n">
        <f aca="false">Payroll!BL$76*'Assumption Setting'!$C$129+Payroll!BL$80*'Assumption Setting'!$C$130+Payroll!BL$84*'Assumption Setting'!$C$131</f>
        <v>110</v>
      </c>
      <c r="BM42" s="82" t="n">
        <f aca="false">Payroll!BM$76*'Assumption Setting'!$C$129+Payroll!BM$80*'Assumption Setting'!$C$130+Payroll!BM$84*'Assumption Setting'!$C$131</f>
        <v>110</v>
      </c>
      <c r="BN42" s="82" t="n">
        <f aca="false">Payroll!BN$76*'Assumption Setting'!$C$129+Payroll!BN$80*'Assumption Setting'!$C$130+Payroll!BN$84*'Assumption Setting'!$C$131</f>
        <v>110</v>
      </c>
    </row>
    <row r="43" customFormat="false" ht="15" hidden="false" customHeight="false" outlineLevel="0" collapsed="false">
      <c r="A43" s="18" t="s">
        <v>680</v>
      </c>
      <c r="B43" s="81" t="n">
        <f aca="false">MAX(C43:N43)</f>
        <v>0</v>
      </c>
      <c r="C43" s="98" t="n">
        <f aca="false">MAX(0,C41-C42)</f>
        <v>0</v>
      </c>
      <c r="D43" s="98" t="n">
        <f aca="false">MAX(0,D41-D42)</f>
        <v>0</v>
      </c>
      <c r="E43" s="98" t="n">
        <f aca="false">MAX(0,E41-E42)</f>
        <v>0</v>
      </c>
      <c r="F43" s="98" t="n">
        <f aca="false">MAX(0,F41-F42)</f>
        <v>0</v>
      </c>
      <c r="G43" s="98" t="n">
        <f aca="false">MAX(0,G41-G42)</f>
        <v>0</v>
      </c>
      <c r="H43" s="98" t="n">
        <f aca="false">MAX(0,H41-H42)</f>
        <v>0</v>
      </c>
      <c r="I43" s="98" t="n">
        <f aca="false">MAX(0,I41-I42)</f>
        <v>0</v>
      </c>
      <c r="J43" s="98" t="n">
        <f aca="false">MAX(0,J41-J42)</f>
        <v>0</v>
      </c>
      <c r="K43" s="98" t="n">
        <f aca="false">MAX(0,K41-K42)</f>
        <v>0</v>
      </c>
      <c r="L43" s="98" t="n">
        <f aca="false">MAX(0,L41-L42)</f>
        <v>0</v>
      </c>
      <c r="M43" s="98" t="n">
        <f aca="false">MAX(0,M41-M42)</f>
        <v>0</v>
      </c>
      <c r="N43" s="98" t="n">
        <f aca="false">MAX(0,N41-N42)</f>
        <v>0</v>
      </c>
      <c r="O43" s="81" t="n">
        <f aca="false">MAX(P43:AA43)</f>
        <v>0</v>
      </c>
      <c r="P43" s="98" t="n">
        <f aca="false">MAX(0,P41-P42)</f>
        <v>0</v>
      </c>
      <c r="Q43" s="98" t="n">
        <f aca="false">MAX(0,Q41-Q42)</f>
        <v>0</v>
      </c>
      <c r="R43" s="98" t="n">
        <f aca="false">MAX(0,R41-R42)</f>
        <v>0</v>
      </c>
      <c r="S43" s="98" t="n">
        <f aca="false">MAX(0,S41-S42)</f>
        <v>0</v>
      </c>
      <c r="T43" s="98" t="n">
        <f aca="false">MAX(0,T41-T42)</f>
        <v>0</v>
      </c>
      <c r="U43" s="98" t="n">
        <f aca="false">MAX(0,U41-U42)</f>
        <v>0</v>
      </c>
      <c r="V43" s="98" t="n">
        <f aca="false">MAX(0,V41-V42)</f>
        <v>0</v>
      </c>
      <c r="W43" s="98" t="n">
        <f aca="false">MAX(0,W41-W42)</f>
        <v>0</v>
      </c>
      <c r="X43" s="98" t="n">
        <f aca="false">MAX(0,X41-X42)</f>
        <v>0</v>
      </c>
      <c r="Y43" s="98" t="n">
        <f aca="false">MAX(0,Y41-Y42)</f>
        <v>0</v>
      </c>
      <c r="Z43" s="98" t="n">
        <f aca="false">MAX(0,Z41-Z42)</f>
        <v>0</v>
      </c>
      <c r="AA43" s="98" t="n">
        <f aca="false">MAX(0,AA41-AA42)</f>
        <v>0</v>
      </c>
      <c r="AB43" s="81" t="n">
        <f aca="false">MAX(AC43:AN43)</f>
        <v>0</v>
      </c>
      <c r="AC43" s="98" t="n">
        <f aca="false">MAX(0,AC41-AC42)</f>
        <v>0</v>
      </c>
      <c r="AD43" s="98" t="n">
        <f aca="false">MAX(0,AD41-AD42)</f>
        <v>0</v>
      </c>
      <c r="AE43" s="98" t="n">
        <f aca="false">MAX(0,AE41-AE42)</f>
        <v>0</v>
      </c>
      <c r="AF43" s="98" t="n">
        <f aca="false">MAX(0,AF41-AF42)</f>
        <v>0</v>
      </c>
      <c r="AG43" s="98" t="n">
        <f aca="false">MAX(0,AG41-AG42)</f>
        <v>0</v>
      </c>
      <c r="AH43" s="98" t="n">
        <f aca="false">MAX(0,AH41-AH42)</f>
        <v>0</v>
      </c>
      <c r="AI43" s="98" t="n">
        <f aca="false">MAX(0,AI41-AI42)</f>
        <v>0</v>
      </c>
      <c r="AJ43" s="98" t="n">
        <f aca="false">MAX(0,AJ41-AJ42)</f>
        <v>0</v>
      </c>
      <c r="AK43" s="98" t="n">
        <f aca="false">MAX(0,AK41-AK42)</f>
        <v>0</v>
      </c>
      <c r="AL43" s="98" t="n">
        <f aca="false">MAX(0,AL41-AL42)</f>
        <v>0</v>
      </c>
      <c r="AM43" s="98" t="n">
        <f aca="false">MAX(0,AM41-AM42)</f>
        <v>0</v>
      </c>
      <c r="AN43" s="98" t="n">
        <f aca="false">MAX(0,AN41-AN42)</f>
        <v>0</v>
      </c>
      <c r="AO43" s="81" t="n">
        <f aca="false">MAX(AP43:BA43)</f>
        <v>0</v>
      </c>
      <c r="AP43" s="98" t="n">
        <f aca="false">MAX(0,AP41-AP42)</f>
        <v>0</v>
      </c>
      <c r="AQ43" s="98" t="n">
        <f aca="false">MAX(0,AQ41-AQ42)</f>
        <v>0</v>
      </c>
      <c r="AR43" s="98" t="n">
        <f aca="false">MAX(0,AR41-AR42)</f>
        <v>0</v>
      </c>
      <c r="AS43" s="98" t="n">
        <f aca="false">MAX(0,AS41-AS42)</f>
        <v>0</v>
      </c>
      <c r="AT43" s="98" t="n">
        <f aca="false">MAX(0,AT41-AT42)</f>
        <v>0</v>
      </c>
      <c r="AU43" s="98" t="n">
        <f aca="false">MAX(0,AU41-AU42)</f>
        <v>0</v>
      </c>
      <c r="AV43" s="98" t="n">
        <f aca="false">MAX(0,AV41-AV42)</f>
        <v>0</v>
      </c>
      <c r="AW43" s="98" t="n">
        <f aca="false">MAX(0,AW41-AW42)</f>
        <v>0</v>
      </c>
      <c r="AX43" s="98" t="n">
        <f aca="false">MAX(0,AX41-AX42)</f>
        <v>0</v>
      </c>
      <c r="AY43" s="98" t="n">
        <f aca="false">MAX(0,AY41-AY42)</f>
        <v>0</v>
      </c>
      <c r="AZ43" s="98" t="n">
        <f aca="false">MAX(0,AZ41-AZ42)</f>
        <v>0</v>
      </c>
      <c r="BA43" s="98" t="n">
        <f aca="false">MAX(0,BA41-BA42)</f>
        <v>0</v>
      </c>
      <c r="BB43" s="81" t="n">
        <f aca="false">MAX(BC43:BN43)</f>
        <v>0</v>
      </c>
      <c r="BC43" s="98" t="n">
        <f aca="false">MAX(0,BC41-BC42)</f>
        <v>0</v>
      </c>
      <c r="BD43" s="98" t="n">
        <f aca="false">MAX(0,BD41-BD42)</f>
        <v>0</v>
      </c>
      <c r="BE43" s="98" t="n">
        <f aca="false">MAX(0,BE41-BE42)</f>
        <v>0</v>
      </c>
      <c r="BF43" s="98" t="n">
        <f aca="false">MAX(0,BF41-BF42)</f>
        <v>0</v>
      </c>
      <c r="BG43" s="98" t="n">
        <f aca="false">MAX(0,BG41-BG42)</f>
        <v>0</v>
      </c>
      <c r="BH43" s="98" t="n">
        <f aca="false">MAX(0,BH41-BH42)</f>
        <v>0</v>
      </c>
      <c r="BI43" s="98" t="n">
        <f aca="false">MAX(0,BI41-BI42)</f>
        <v>0</v>
      </c>
      <c r="BJ43" s="98" t="n">
        <f aca="false">MAX(0,BJ41-BJ42)</f>
        <v>0</v>
      </c>
      <c r="BK43" s="98" t="n">
        <f aca="false">MAX(0,BK41-BK42)</f>
        <v>0</v>
      </c>
      <c r="BL43" s="98" t="n">
        <f aca="false">MAX(0,BL41-BL42)</f>
        <v>0</v>
      </c>
      <c r="BM43" s="98" t="n">
        <f aca="false">MAX(0,BM41-BM42)</f>
        <v>0</v>
      </c>
      <c r="BN43" s="98" t="n">
        <f aca="false">MAX(0,BN41-BN42)</f>
        <v>0</v>
      </c>
    </row>
    <row r="44" customFormat="false" ht="15" hidden="false" customHeight="false" outlineLevel="0" collapsed="false">
      <c r="A44" s="67" t="s">
        <v>681</v>
      </c>
      <c r="B44" s="96" t="n">
        <f aca="false">IFERROR(AVERAGE(C44:N44),0)</f>
        <v>0.324988090340909</v>
      </c>
      <c r="C44" s="97" t="n">
        <f aca="false">IFERROR(C41/C42,0)</f>
        <v>0.324988090340909</v>
      </c>
      <c r="D44" s="97" t="n">
        <f aca="false">IFERROR(D41/D42,0)</f>
        <v>0.324988090340909</v>
      </c>
      <c r="E44" s="97" t="n">
        <f aca="false">IFERROR(E41/E42,0)</f>
        <v>0.324988090340909</v>
      </c>
      <c r="F44" s="97" t="n">
        <f aca="false">IFERROR(F41/F42,0)</f>
        <v>0.324988090340909</v>
      </c>
      <c r="G44" s="97" t="n">
        <f aca="false">IFERROR(G41/G42,0)</f>
        <v>0.324988090340909</v>
      </c>
      <c r="H44" s="97" t="n">
        <f aca="false">IFERROR(H41/H42,0)</f>
        <v>0.324988090340909</v>
      </c>
      <c r="I44" s="97" t="n">
        <f aca="false">IFERROR(I41/I42,0)</f>
        <v>0.324988090340909</v>
      </c>
      <c r="J44" s="97" t="n">
        <f aca="false">IFERROR(J41/J42,0)</f>
        <v>0.324988090340909</v>
      </c>
      <c r="K44" s="97" t="n">
        <f aca="false">IFERROR(K41/K42,0)</f>
        <v>0.324988090340909</v>
      </c>
      <c r="L44" s="97" t="n">
        <f aca="false">IFERROR(L41/L42,0)</f>
        <v>0.324988090340909</v>
      </c>
      <c r="M44" s="97" t="n">
        <f aca="false">IFERROR(M41/M42,0)</f>
        <v>0.324988090340909</v>
      </c>
      <c r="N44" s="97" t="n">
        <f aca="false">IFERROR(N41/N42,0)</f>
        <v>0.324988090340909</v>
      </c>
      <c r="O44" s="96" t="n">
        <f aca="false">IFERROR(AVERAGE(P44:AA44),0)</f>
        <v>0.630503548484848</v>
      </c>
      <c r="P44" s="97" t="n">
        <f aca="false">IFERROR(P41/P42,0)</f>
        <v>0.630503548484848</v>
      </c>
      <c r="Q44" s="97" t="n">
        <f aca="false">IFERROR(Q41/Q42,0)</f>
        <v>0.630503548484848</v>
      </c>
      <c r="R44" s="97" t="n">
        <f aca="false">IFERROR(R41/R42,0)</f>
        <v>0.630503548484848</v>
      </c>
      <c r="S44" s="97" t="n">
        <f aca="false">IFERROR(S41/S42,0)</f>
        <v>0.630503548484848</v>
      </c>
      <c r="T44" s="97" t="n">
        <f aca="false">IFERROR(T41/T42,0)</f>
        <v>0.630503548484848</v>
      </c>
      <c r="U44" s="97" t="n">
        <f aca="false">IFERROR(U41/U42,0)</f>
        <v>0.630503548484848</v>
      </c>
      <c r="V44" s="97" t="n">
        <f aca="false">IFERROR(V41/V42,0)</f>
        <v>0.630503548484848</v>
      </c>
      <c r="W44" s="97" t="n">
        <f aca="false">IFERROR(W41/W42,0)</f>
        <v>0.630503548484848</v>
      </c>
      <c r="X44" s="97" t="n">
        <f aca="false">IFERROR(X41/X42,0)</f>
        <v>0.630503548484848</v>
      </c>
      <c r="Y44" s="97" t="n">
        <f aca="false">IFERROR(Y41/Y42,0)</f>
        <v>0.630503548484848</v>
      </c>
      <c r="Z44" s="97" t="n">
        <f aca="false">IFERROR(Z41/Z42,0)</f>
        <v>0.630503548484848</v>
      </c>
      <c r="AA44" s="97" t="n">
        <f aca="false">IFERROR(AA41/AA42,0)</f>
        <v>0.630503548484848</v>
      </c>
      <c r="AB44" s="96" t="n">
        <f aca="false">IFERROR(AVERAGE(AC44:AN44),0)</f>
        <v>0.539732204356061</v>
      </c>
      <c r="AC44" s="97" t="n">
        <f aca="false">IFERROR(AC41/AC42,0)</f>
        <v>0.539732204356061</v>
      </c>
      <c r="AD44" s="97" t="n">
        <f aca="false">IFERROR(AD41/AD42,0)</f>
        <v>0.539732204356061</v>
      </c>
      <c r="AE44" s="97" t="n">
        <f aca="false">IFERROR(AE41/AE42,0)</f>
        <v>0.539732204356061</v>
      </c>
      <c r="AF44" s="97" t="n">
        <f aca="false">IFERROR(AF41/AF42,0)</f>
        <v>0.539732204356061</v>
      </c>
      <c r="AG44" s="97" t="n">
        <f aca="false">IFERROR(AG41/AG42,0)</f>
        <v>0.539732204356061</v>
      </c>
      <c r="AH44" s="97" t="n">
        <f aca="false">IFERROR(AH41/AH42,0)</f>
        <v>0.539732204356061</v>
      </c>
      <c r="AI44" s="97" t="n">
        <f aca="false">IFERROR(AI41/AI42,0)</f>
        <v>0.539732204356061</v>
      </c>
      <c r="AJ44" s="97" t="n">
        <f aca="false">IFERROR(AJ41/AJ42,0)</f>
        <v>0.539732204356061</v>
      </c>
      <c r="AK44" s="97" t="n">
        <f aca="false">IFERROR(AK41/AK42,0)</f>
        <v>0.539732204356061</v>
      </c>
      <c r="AL44" s="97" t="n">
        <f aca="false">IFERROR(AL41/AL42,0)</f>
        <v>0.539732204356061</v>
      </c>
      <c r="AM44" s="97" t="n">
        <f aca="false">IFERROR(AM41/AM42,0)</f>
        <v>0.539732204356061</v>
      </c>
      <c r="AN44" s="97" t="n">
        <f aca="false">IFERROR(AN41/AN42,0)</f>
        <v>0.539732204356061</v>
      </c>
      <c r="AO44" s="96" t="n">
        <f aca="false">IFERROR(AVERAGE(AP44:BA44),0)</f>
        <v>0.605739320125165</v>
      </c>
      <c r="AP44" s="97" t="n">
        <f aca="false">IFERROR(AP41/AP42,0)</f>
        <v>0.605739320125165</v>
      </c>
      <c r="AQ44" s="97" t="n">
        <f aca="false">IFERROR(AQ41/AQ42,0)</f>
        <v>0.605739320125165</v>
      </c>
      <c r="AR44" s="97" t="n">
        <f aca="false">IFERROR(AR41/AR42,0)</f>
        <v>0.605739320125165</v>
      </c>
      <c r="AS44" s="97" t="n">
        <f aca="false">IFERROR(AS41/AS42,0)</f>
        <v>0.605739320125165</v>
      </c>
      <c r="AT44" s="97" t="n">
        <f aca="false">IFERROR(AT41/AT42,0)</f>
        <v>0.605739320125165</v>
      </c>
      <c r="AU44" s="97" t="n">
        <f aca="false">IFERROR(AU41/AU42,0)</f>
        <v>0.605739320125165</v>
      </c>
      <c r="AV44" s="97" t="n">
        <f aca="false">IFERROR(AV41/AV42,0)</f>
        <v>0.605739320125165</v>
      </c>
      <c r="AW44" s="97" t="n">
        <f aca="false">IFERROR(AW41/AW42,0)</f>
        <v>0.605739320125165</v>
      </c>
      <c r="AX44" s="97" t="n">
        <f aca="false">IFERROR(AX41/AX42,0)</f>
        <v>0.605739320125165</v>
      </c>
      <c r="AY44" s="97" t="n">
        <f aca="false">IFERROR(AY41/AY42,0)</f>
        <v>0.605739320125165</v>
      </c>
      <c r="AZ44" s="97" t="n">
        <f aca="false">IFERROR(AZ41/AZ42,0)</f>
        <v>0.605739320125165</v>
      </c>
      <c r="BA44" s="97" t="n">
        <f aca="false">IFERROR(BA41/BA42,0)</f>
        <v>0.605739320125165</v>
      </c>
      <c r="BB44" s="96" t="n">
        <f aca="false">IFERROR(AVERAGE(BC44:BN44),0)</f>
        <v>0.671664927462121</v>
      </c>
      <c r="BC44" s="97" t="n">
        <f aca="false">IFERROR(BC41/BC42,0)</f>
        <v>0.671664927462121</v>
      </c>
      <c r="BD44" s="97" t="n">
        <f aca="false">IFERROR(BD41/BD42,0)</f>
        <v>0.671664927462121</v>
      </c>
      <c r="BE44" s="97" t="n">
        <f aca="false">IFERROR(BE41/BE42,0)</f>
        <v>0.671664927462121</v>
      </c>
      <c r="BF44" s="97" t="n">
        <f aca="false">IFERROR(BF41/BF42,0)</f>
        <v>0.671664927462121</v>
      </c>
      <c r="BG44" s="97" t="n">
        <f aca="false">IFERROR(BG41/BG42,0)</f>
        <v>0.671664927462121</v>
      </c>
      <c r="BH44" s="97" t="n">
        <f aca="false">IFERROR(BH41/BH42,0)</f>
        <v>0.671664927462121</v>
      </c>
      <c r="BI44" s="97" t="n">
        <f aca="false">IFERROR(BI41/BI42,0)</f>
        <v>0.671664927462121</v>
      </c>
      <c r="BJ44" s="97" t="n">
        <f aca="false">IFERROR(BJ41/BJ42,0)</f>
        <v>0.671664927462121</v>
      </c>
      <c r="BK44" s="97" t="n">
        <f aca="false">IFERROR(BK41/BK42,0)</f>
        <v>0.671664927462121</v>
      </c>
      <c r="BL44" s="97" t="n">
        <f aca="false">IFERROR(BL41/BL42,0)</f>
        <v>0.671664927462121</v>
      </c>
      <c r="BM44" s="97" t="n">
        <f aca="false">IFERROR(BM41/BM42,0)</f>
        <v>0.671664927462121</v>
      </c>
      <c r="BN44" s="97" t="n">
        <f aca="false">IFERROR(BN41/BN42,0)</f>
        <v>0.671664927462121</v>
      </c>
    </row>
    <row r="47" customFormat="false" ht="16.5" hidden="false" customHeight="true" outlineLevel="0" collapsed="false">
      <c r="A47" s="15" t="s">
        <v>682</v>
      </c>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row>
    <row r="48" customFormat="false" ht="15" hidden="false" customHeight="true" outlineLevel="0" collapsed="false">
      <c r="A48" s="26" t="s">
        <v>505</v>
      </c>
      <c r="B48" s="62" t="s">
        <v>80</v>
      </c>
      <c r="C48" s="63" t="s">
        <v>506</v>
      </c>
      <c r="D48" s="63" t="s">
        <v>507</v>
      </c>
      <c r="E48" s="63" t="s">
        <v>508</v>
      </c>
      <c r="F48" s="63" t="s">
        <v>509</v>
      </c>
      <c r="G48" s="63" t="s">
        <v>510</v>
      </c>
      <c r="H48" s="63" t="s">
        <v>511</v>
      </c>
      <c r="I48" s="63" t="s">
        <v>512</v>
      </c>
      <c r="J48" s="63" t="s">
        <v>513</v>
      </c>
      <c r="K48" s="63" t="s">
        <v>514</v>
      </c>
      <c r="L48" s="63" t="s">
        <v>515</v>
      </c>
      <c r="M48" s="63" t="s">
        <v>516</v>
      </c>
      <c r="N48" s="63" t="s">
        <v>517</v>
      </c>
      <c r="O48" s="62" t="s">
        <v>81</v>
      </c>
      <c r="P48" s="64" t="s">
        <v>518</v>
      </c>
      <c r="Q48" s="64" t="s">
        <v>519</v>
      </c>
      <c r="R48" s="64" t="s">
        <v>520</v>
      </c>
      <c r="S48" s="64" t="s">
        <v>521</v>
      </c>
      <c r="T48" s="64" t="s">
        <v>522</v>
      </c>
      <c r="U48" s="64" t="s">
        <v>523</v>
      </c>
      <c r="V48" s="64" t="s">
        <v>524</v>
      </c>
      <c r="W48" s="64" t="s">
        <v>525</v>
      </c>
      <c r="X48" s="64" t="s">
        <v>526</v>
      </c>
      <c r="Y48" s="64" t="s">
        <v>527</v>
      </c>
      <c r="Z48" s="64" t="s">
        <v>528</v>
      </c>
      <c r="AA48" s="64" t="s">
        <v>529</v>
      </c>
      <c r="AB48" s="62" t="s">
        <v>82</v>
      </c>
      <c r="AC48" s="63" t="s">
        <v>530</v>
      </c>
      <c r="AD48" s="63" t="s">
        <v>531</v>
      </c>
      <c r="AE48" s="63" t="s">
        <v>532</v>
      </c>
      <c r="AF48" s="63" t="s">
        <v>533</v>
      </c>
      <c r="AG48" s="63" t="s">
        <v>534</v>
      </c>
      <c r="AH48" s="63" t="s">
        <v>535</v>
      </c>
      <c r="AI48" s="63" t="s">
        <v>536</v>
      </c>
      <c r="AJ48" s="63" t="s">
        <v>537</v>
      </c>
      <c r="AK48" s="63" t="s">
        <v>538</v>
      </c>
      <c r="AL48" s="63" t="s">
        <v>539</v>
      </c>
      <c r="AM48" s="63" t="s">
        <v>540</v>
      </c>
      <c r="AN48" s="63" t="s">
        <v>541</v>
      </c>
      <c r="AO48" s="62" t="s">
        <v>83</v>
      </c>
      <c r="AP48" s="64" t="s">
        <v>542</v>
      </c>
      <c r="AQ48" s="64" t="s">
        <v>543</v>
      </c>
      <c r="AR48" s="64" t="s">
        <v>544</v>
      </c>
      <c r="AS48" s="64" t="s">
        <v>545</v>
      </c>
      <c r="AT48" s="64" t="s">
        <v>546</v>
      </c>
      <c r="AU48" s="64" t="s">
        <v>547</v>
      </c>
      <c r="AV48" s="64" t="s">
        <v>548</v>
      </c>
      <c r="AW48" s="64" t="s">
        <v>549</v>
      </c>
      <c r="AX48" s="64" t="s">
        <v>550</v>
      </c>
      <c r="AY48" s="64" t="s">
        <v>551</v>
      </c>
      <c r="AZ48" s="64" t="s">
        <v>552</v>
      </c>
      <c r="BA48" s="64" t="s">
        <v>553</v>
      </c>
      <c r="BB48" s="62" t="s">
        <v>84</v>
      </c>
      <c r="BC48" s="63" t="s">
        <v>554</v>
      </c>
      <c r="BD48" s="63" t="s">
        <v>555</v>
      </c>
      <c r="BE48" s="63" t="s">
        <v>556</v>
      </c>
      <c r="BF48" s="63" t="s">
        <v>557</v>
      </c>
      <c r="BG48" s="63" t="s">
        <v>558</v>
      </c>
      <c r="BH48" s="63" t="s">
        <v>559</v>
      </c>
      <c r="BI48" s="63" t="s">
        <v>560</v>
      </c>
      <c r="BJ48" s="63" t="s">
        <v>561</v>
      </c>
      <c r="BK48" s="63" t="s">
        <v>562</v>
      </c>
      <c r="BL48" s="63" t="s">
        <v>563</v>
      </c>
      <c r="BM48" s="63" t="s">
        <v>564</v>
      </c>
      <c r="BN48" s="63" t="s">
        <v>565</v>
      </c>
    </row>
    <row r="49" customFormat="false" ht="15" hidden="false" customHeight="false" outlineLevel="0" collapsed="false">
      <c r="A49" s="12" t="s">
        <v>683</v>
      </c>
      <c r="B49" s="81" t="n">
        <f aca="false">SUM(C49:N49)</f>
        <v>168</v>
      </c>
      <c r="C49" s="91" t="n">
        <f aca="false">(('Revenue Streams'!C$7+'Revenue Streams'!C$8+'Revenue Streams'!C$9)*'Assumption Setting'!$C$138+'Revenue Streams'!C$11*'Assumption Setting'!$C$139+'Revenue Streams'!C$13*'Assumption Setting'!$C$140)*'Assumption Setting'!$C$137</f>
        <v>10.08</v>
      </c>
      <c r="D49" s="91" t="n">
        <f aca="false">(('Revenue Streams'!D$7+'Revenue Streams'!D$8+'Revenue Streams'!D$9)*'Assumption Setting'!$C$138+'Revenue Streams'!D$11*'Assumption Setting'!$C$139+'Revenue Streams'!D$13*'Assumption Setting'!$C$140)*'Assumption Setting'!$C$137</f>
        <v>11.88</v>
      </c>
      <c r="E49" s="91" t="n">
        <f aca="false">(('Revenue Streams'!E$7+'Revenue Streams'!E$8+'Revenue Streams'!E$9)*'Assumption Setting'!$C$138+'Revenue Streams'!E$11*'Assumption Setting'!$C$139+'Revenue Streams'!E$13*'Assumption Setting'!$C$140)*'Assumption Setting'!$C$137</f>
        <v>14.04</v>
      </c>
      <c r="F49" s="91" t="n">
        <f aca="false">(('Revenue Streams'!F$7+'Revenue Streams'!F$8+'Revenue Streams'!F$9)*'Assumption Setting'!$C$138+'Revenue Streams'!F$11*'Assumption Setting'!$C$139+'Revenue Streams'!F$13*'Assumption Setting'!$C$140)*'Assumption Setting'!$C$137</f>
        <v>10.08</v>
      </c>
      <c r="G49" s="91" t="n">
        <f aca="false">(('Revenue Streams'!G$7+'Revenue Streams'!G$8+'Revenue Streams'!G$9)*'Assumption Setting'!$C$138+'Revenue Streams'!G$11*'Assumption Setting'!$C$139+'Revenue Streams'!G$13*'Assumption Setting'!$C$140)*'Assumption Setting'!$C$137</f>
        <v>11.88</v>
      </c>
      <c r="H49" s="91" t="n">
        <f aca="false">(('Revenue Streams'!H$7+'Revenue Streams'!H$8+'Revenue Streams'!H$9)*'Assumption Setting'!$C$138+'Revenue Streams'!H$11*'Assumption Setting'!$C$139+'Revenue Streams'!H$13*'Assumption Setting'!$C$140)*'Assumption Setting'!$C$137</f>
        <v>14.04</v>
      </c>
      <c r="I49" s="91" t="n">
        <f aca="false">(('Revenue Streams'!I$7+'Revenue Streams'!I$8+'Revenue Streams'!I$9)*'Assumption Setting'!$C$138+'Revenue Streams'!I$11*'Assumption Setting'!$C$139+'Revenue Streams'!I$13*'Assumption Setting'!$C$140)*'Assumption Setting'!$C$137</f>
        <v>13.44</v>
      </c>
      <c r="J49" s="91" t="n">
        <f aca="false">(('Revenue Streams'!J$7+'Revenue Streams'!J$8+'Revenue Streams'!J$9)*'Assumption Setting'!$C$138+'Revenue Streams'!J$11*'Assumption Setting'!$C$139+'Revenue Streams'!J$13*'Assumption Setting'!$C$140)*'Assumption Setting'!$C$137</f>
        <v>15.84</v>
      </c>
      <c r="K49" s="91" t="n">
        <f aca="false">(('Revenue Streams'!K$7+'Revenue Streams'!K$8+'Revenue Streams'!K$9)*'Assumption Setting'!$C$138+'Revenue Streams'!K$11*'Assumption Setting'!$C$139+'Revenue Streams'!K$13*'Assumption Setting'!$C$140)*'Assumption Setting'!$C$137</f>
        <v>18.72</v>
      </c>
      <c r="L49" s="91" t="n">
        <f aca="false">(('Revenue Streams'!L$7+'Revenue Streams'!L$8+'Revenue Streams'!L$9)*'Assumption Setting'!$C$138+'Revenue Streams'!L$11*'Assumption Setting'!$C$139+'Revenue Streams'!L$13*'Assumption Setting'!$C$140)*'Assumption Setting'!$C$137</f>
        <v>13.44</v>
      </c>
      <c r="M49" s="91" t="n">
        <f aca="false">(('Revenue Streams'!M$7+'Revenue Streams'!M$8+'Revenue Streams'!M$9)*'Assumption Setting'!$C$138+'Revenue Streams'!M$11*'Assumption Setting'!$C$139+'Revenue Streams'!M$13*'Assumption Setting'!$C$140)*'Assumption Setting'!$C$137</f>
        <v>15.84</v>
      </c>
      <c r="N49" s="91" t="n">
        <f aca="false">(('Revenue Streams'!N$7+'Revenue Streams'!N$8+'Revenue Streams'!N$9)*'Assumption Setting'!$C$138+'Revenue Streams'!N$11*'Assumption Setting'!$C$139+'Revenue Streams'!N$13*'Assumption Setting'!$C$140)*'Assumption Setting'!$C$137</f>
        <v>18.72</v>
      </c>
      <c r="O49" s="81" t="n">
        <f aca="false">SUM(P49:AA49)</f>
        <v>534</v>
      </c>
      <c r="P49" s="91" t="n">
        <f aca="false">(('Revenue Streams'!P$7+'Revenue Streams'!P$8+'Revenue Streams'!P$9)*'Assumption Setting'!$C$138+'Revenue Streams'!P$11*'Assumption Setting'!$C$139+'Revenue Streams'!P$13*'Assumption Setting'!$C$140)*'Assumption Setting'!$C$137</f>
        <v>20.16</v>
      </c>
      <c r="Q49" s="91" t="n">
        <f aca="false">(('Revenue Streams'!Q$7+'Revenue Streams'!Q$8+'Revenue Streams'!Q$9)*'Assumption Setting'!$C$138+'Revenue Streams'!Q$11*'Assumption Setting'!$C$139+'Revenue Streams'!Q$13*'Assumption Setting'!$C$140)*'Assumption Setting'!$C$137</f>
        <v>23.76</v>
      </c>
      <c r="R49" s="91" t="n">
        <f aca="false">(('Revenue Streams'!R$7+'Revenue Streams'!R$8+'Revenue Streams'!R$9)*'Assumption Setting'!$C$138+'Revenue Streams'!R$11*'Assumption Setting'!$C$139+'Revenue Streams'!R$13*'Assumption Setting'!$C$140)*'Assumption Setting'!$C$137</f>
        <v>28.08</v>
      </c>
      <c r="S49" s="91" t="n">
        <f aca="false">(('Revenue Streams'!S$7+'Revenue Streams'!S$8+'Revenue Streams'!S$9)*'Assumption Setting'!$C$138+'Revenue Streams'!S$11*'Assumption Setting'!$C$139+'Revenue Streams'!S$13*'Assumption Setting'!$C$140)*'Assumption Setting'!$C$137</f>
        <v>31.36</v>
      </c>
      <c r="T49" s="91" t="n">
        <f aca="false">(('Revenue Streams'!T$7+'Revenue Streams'!T$8+'Revenue Streams'!T$9)*'Assumption Setting'!$C$138+'Revenue Streams'!T$11*'Assumption Setting'!$C$139+'Revenue Streams'!T$13*'Assumption Setting'!$C$140)*'Assumption Setting'!$C$137</f>
        <v>36.96</v>
      </c>
      <c r="U49" s="91" t="n">
        <f aca="false">(('Revenue Streams'!U$7+'Revenue Streams'!U$8+'Revenue Streams'!U$9)*'Assumption Setting'!$C$138+'Revenue Streams'!U$11*'Assumption Setting'!$C$139+'Revenue Streams'!U$13*'Assumption Setting'!$C$140)*'Assumption Setting'!$C$137</f>
        <v>43.68</v>
      </c>
      <c r="V49" s="91" t="n">
        <f aca="false">(('Revenue Streams'!V$7+'Revenue Streams'!V$8+'Revenue Streams'!V$9)*'Assumption Setting'!$C$138+'Revenue Streams'!V$11*'Assumption Setting'!$C$139+'Revenue Streams'!V$13*'Assumption Setting'!$C$140)*'Assumption Setting'!$C$137</f>
        <v>43.12</v>
      </c>
      <c r="W49" s="91" t="n">
        <f aca="false">(('Revenue Streams'!W$7+'Revenue Streams'!W$8+'Revenue Streams'!W$9)*'Assumption Setting'!$C$138+'Revenue Streams'!W$11*'Assumption Setting'!$C$139+'Revenue Streams'!W$13*'Assumption Setting'!$C$140)*'Assumption Setting'!$C$137</f>
        <v>50.82</v>
      </c>
      <c r="X49" s="91" t="n">
        <f aca="false">(('Revenue Streams'!X$7+'Revenue Streams'!X$8+'Revenue Streams'!X$9)*'Assumption Setting'!$C$138+'Revenue Streams'!X$11*'Assumption Setting'!$C$139+'Revenue Streams'!X$13*'Assumption Setting'!$C$140)*'Assumption Setting'!$C$137</f>
        <v>60.06</v>
      </c>
      <c r="Y49" s="91" t="n">
        <f aca="false">(('Revenue Streams'!Y$7+'Revenue Streams'!Y$8+'Revenue Streams'!Y$9)*'Assumption Setting'!$C$138+'Revenue Streams'!Y$11*'Assumption Setting'!$C$139+'Revenue Streams'!Y$13*'Assumption Setting'!$C$140)*'Assumption Setting'!$C$137</f>
        <v>54.88</v>
      </c>
      <c r="Z49" s="91" t="n">
        <f aca="false">(('Revenue Streams'!Z$7+'Revenue Streams'!Z$8+'Revenue Streams'!Z$9)*'Assumption Setting'!$C$138+'Revenue Streams'!Z$11*'Assumption Setting'!$C$139+'Revenue Streams'!Z$13*'Assumption Setting'!$C$140)*'Assumption Setting'!$C$137</f>
        <v>64.68</v>
      </c>
      <c r="AA49" s="91" t="n">
        <f aca="false">(('Revenue Streams'!AA$7+'Revenue Streams'!AA$8+'Revenue Streams'!AA$9)*'Assumption Setting'!$C$138+'Revenue Streams'!AA$11*'Assumption Setting'!$C$139+'Revenue Streams'!AA$13*'Assumption Setting'!$C$140)*'Assumption Setting'!$C$137</f>
        <v>76.44</v>
      </c>
      <c r="AB49" s="81" t="n">
        <f aca="false">SUM(AC49:AN49)</f>
        <v>1452</v>
      </c>
      <c r="AC49" s="91" t="n">
        <f aca="false">(('Revenue Streams'!AC$7+'Revenue Streams'!AC$8+'Revenue Streams'!AC$9)*'Assumption Setting'!$C$138+'Revenue Streams'!AC$11*'Assumption Setting'!$C$139+'Revenue Streams'!AC$13*'Assumption Setting'!$C$140)*'Assumption Setting'!$C$137</f>
        <v>75.6</v>
      </c>
      <c r="AD49" s="91" t="n">
        <f aca="false">(('Revenue Streams'!AD$7+'Revenue Streams'!AD$8+'Revenue Streams'!AD$9)*'Assumption Setting'!$C$138+'Revenue Streams'!AD$11*'Assumption Setting'!$C$139+'Revenue Streams'!AD$13*'Assumption Setting'!$C$140)*'Assumption Setting'!$C$137</f>
        <v>89.1</v>
      </c>
      <c r="AE49" s="91" t="n">
        <f aca="false">(('Revenue Streams'!AE$7+'Revenue Streams'!AE$8+'Revenue Streams'!AE$9)*'Assumption Setting'!$C$138+'Revenue Streams'!AE$11*'Assumption Setting'!$C$139+'Revenue Streams'!AE$13*'Assumption Setting'!$C$140)*'Assumption Setting'!$C$137</f>
        <v>105.3</v>
      </c>
      <c r="AF49" s="91" t="n">
        <f aca="false">(('Revenue Streams'!AF$7+'Revenue Streams'!AF$8+'Revenue Streams'!AF$9)*'Assumption Setting'!$C$138+'Revenue Streams'!AF$11*'Assumption Setting'!$C$139+'Revenue Streams'!AF$13*'Assumption Setting'!$C$140)*'Assumption Setting'!$C$137</f>
        <v>92.96</v>
      </c>
      <c r="AG49" s="91" t="n">
        <f aca="false">(('Revenue Streams'!AG$7+'Revenue Streams'!AG$8+'Revenue Streams'!AG$9)*'Assumption Setting'!$C$138+'Revenue Streams'!AG$11*'Assumption Setting'!$C$139+'Revenue Streams'!AG$13*'Assumption Setting'!$C$140)*'Assumption Setting'!$C$137</f>
        <v>109.56</v>
      </c>
      <c r="AH49" s="91" t="n">
        <f aca="false">(('Revenue Streams'!AH$7+'Revenue Streams'!AH$8+'Revenue Streams'!AH$9)*'Assumption Setting'!$C$138+'Revenue Streams'!AH$11*'Assumption Setting'!$C$139+'Revenue Streams'!AH$13*'Assumption Setting'!$C$140)*'Assumption Setting'!$C$137</f>
        <v>129.48</v>
      </c>
      <c r="AI49" s="91" t="n">
        <f aca="false">(('Revenue Streams'!AI$7+'Revenue Streams'!AI$8+'Revenue Streams'!AI$9)*'Assumption Setting'!$C$138+'Revenue Streams'!AI$11*'Assumption Setting'!$C$139+'Revenue Streams'!AI$13*'Assumption Setting'!$C$140)*'Assumption Setting'!$C$137</f>
        <v>110.32</v>
      </c>
      <c r="AJ49" s="91" t="n">
        <f aca="false">(('Revenue Streams'!AJ$7+'Revenue Streams'!AJ$8+'Revenue Streams'!AJ$9)*'Assumption Setting'!$C$138+'Revenue Streams'!AJ$11*'Assumption Setting'!$C$139+'Revenue Streams'!AJ$13*'Assumption Setting'!$C$140)*'Assumption Setting'!$C$137</f>
        <v>130.02</v>
      </c>
      <c r="AK49" s="91" t="n">
        <f aca="false">(('Revenue Streams'!AK$7+'Revenue Streams'!AK$8+'Revenue Streams'!AK$9)*'Assumption Setting'!$C$138+'Revenue Streams'!AK$11*'Assumption Setting'!$C$139+'Revenue Streams'!AK$13*'Assumption Setting'!$C$140)*'Assumption Setting'!$C$137</f>
        <v>153.66</v>
      </c>
      <c r="AL49" s="91" t="n">
        <f aca="false">(('Revenue Streams'!AL$7+'Revenue Streams'!AL$8+'Revenue Streams'!AL$9)*'Assumption Setting'!$C$138+'Revenue Streams'!AL$11*'Assumption Setting'!$C$139+'Revenue Streams'!AL$13*'Assumption Setting'!$C$140)*'Assumption Setting'!$C$137</f>
        <v>127.68</v>
      </c>
      <c r="AM49" s="91" t="n">
        <f aca="false">(('Revenue Streams'!AM$7+'Revenue Streams'!AM$8+'Revenue Streams'!AM$9)*'Assumption Setting'!$C$138+'Revenue Streams'!AM$11*'Assumption Setting'!$C$139+'Revenue Streams'!AM$13*'Assumption Setting'!$C$140)*'Assumption Setting'!$C$137</f>
        <v>150.48</v>
      </c>
      <c r="AN49" s="91" t="n">
        <f aca="false">(('Revenue Streams'!AN$7+'Revenue Streams'!AN$8+'Revenue Streams'!AN$9)*'Assumption Setting'!$C$138+'Revenue Streams'!AN$11*'Assumption Setting'!$C$139+'Revenue Streams'!AN$13*'Assumption Setting'!$C$140)*'Assumption Setting'!$C$137</f>
        <v>177.84</v>
      </c>
      <c r="AO49" s="81" t="n">
        <f aca="false">SUM(AP49:BA49)</f>
        <v>2444</v>
      </c>
      <c r="AP49" s="91" t="n">
        <f aca="false">(('Revenue Streams'!AP$7+'Revenue Streams'!AP$8+'Revenue Streams'!AP$9)*'Assumption Setting'!$C$138+'Revenue Streams'!AP$11*'Assumption Setting'!$C$139+'Revenue Streams'!AP$13*'Assumption Setting'!$C$140)*'Assumption Setting'!$C$137</f>
        <v>145.04</v>
      </c>
      <c r="AQ49" s="91" t="n">
        <f aca="false">(('Revenue Streams'!AQ$7+'Revenue Streams'!AQ$8+'Revenue Streams'!AQ$9)*'Assumption Setting'!$C$138+'Revenue Streams'!AQ$11*'Assumption Setting'!$C$139+'Revenue Streams'!AQ$13*'Assumption Setting'!$C$140)*'Assumption Setting'!$C$137</f>
        <v>170.94</v>
      </c>
      <c r="AR49" s="91" t="n">
        <f aca="false">(('Revenue Streams'!AR$7+'Revenue Streams'!AR$8+'Revenue Streams'!AR$9)*'Assumption Setting'!$C$138+'Revenue Streams'!AR$11*'Assumption Setting'!$C$139+'Revenue Streams'!AR$13*'Assumption Setting'!$C$140)*'Assumption Setting'!$C$137</f>
        <v>202.02</v>
      </c>
      <c r="AS49" s="91" t="n">
        <f aca="false">(('Revenue Streams'!AS$7+'Revenue Streams'!AS$8+'Revenue Streams'!AS$9)*'Assumption Setting'!$C$138+'Revenue Streams'!AS$11*'Assumption Setting'!$C$139+'Revenue Streams'!AS$13*'Assumption Setting'!$C$140)*'Assumption Setting'!$C$137</f>
        <v>162.4</v>
      </c>
      <c r="AT49" s="91" t="n">
        <f aca="false">(('Revenue Streams'!AT$7+'Revenue Streams'!AT$8+'Revenue Streams'!AT$9)*'Assumption Setting'!$C$138+'Revenue Streams'!AT$11*'Assumption Setting'!$C$139+'Revenue Streams'!AT$13*'Assumption Setting'!$C$140)*'Assumption Setting'!$C$137</f>
        <v>191.4</v>
      </c>
      <c r="AU49" s="91" t="n">
        <f aca="false">(('Revenue Streams'!AU$7+'Revenue Streams'!AU$8+'Revenue Streams'!AU$9)*'Assumption Setting'!$C$138+'Revenue Streams'!AU$11*'Assumption Setting'!$C$139+'Revenue Streams'!AU$13*'Assumption Setting'!$C$140)*'Assumption Setting'!$C$137</f>
        <v>226.2</v>
      </c>
      <c r="AV49" s="91" t="n">
        <f aca="false">(('Revenue Streams'!AV$7+'Revenue Streams'!AV$8+'Revenue Streams'!AV$9)*'Assumption Setting'!$C$138+'Revenue Streams'!AV$11*'Assumption Setting'!$C$139+'Revenue Streams'!AV$13*'Assumption Setting'!$C$140)*'Assumption Setting'!$C$137</f>
        <v>179.76</v>
      </c>
      <c r="AW49" s="91" t="n">
        <f aca="false">(('Revenue Streams'!AW$7+'Revenue Streams'!AW$8+'Revenue Streams'!AW$9)*'Assumption Setting'!$C$138+'Revenue Streams'!AW$11*'Assumption Setting'!$C$139+'Revenue Streams'!AW$13*'Assumption Setting'!$C$140)*'Assumption Setting'!$C$137</f>
        <v>211.86</v>
      </c>
      <c r="AX49" s="91" t="n">
        <f aca="false">(('Revenue Streams'!AX$7+'Revenue Streams'!AX$8+'Revenue Streams'!AX$9)*'Assumption Setting'!$C$138+'Revenue Streams'!AX$11*'Assumption Setting'!$C$139+'Revenue Streams'!AX$13*'Assumption Setting'!$C$140)*'Assumption Setting'!$C$137</f>
        <v>250.38</v>
      </c>
      <c r="AY49" s="91" t="n">
        <f aca="false">(('Revenue Streams'!AY$7+'Revenue Streams'!AY$8+'Revenue Streams'!AY$9)*'Assumption Setting'!$C$138+'Revenue Streams'!AY$11*'Assumption Setting'!$C$139+'Revenue Streams'!AY$13*'Assumption Setting'!$C$140)*'Assumption Setting'!$C$137</f>
        <v>197.12</v>
      </c>
      <c r="AZ49" s="91" t="n">
        <f aca="false">(('Revenue Streams'!AZ$7+'Revenue Streams'!AZ$8+'Revenue Streams'!AZ$9)*'Assumption Setting'!$C$138+'Revenue Streams'!AZ$11*'Assumption Setting'!$C$139+'Revenue Streams'!AZ$13*'Assumption Setting'!$C$140)*'Assumption Setting'!$C$137</f>
        <v>232.32</v>
      </c>
      <c r="BA49" s="91" t="n">
        <f aca="false">(('Revenue Streams'!BA$7+'Revenue Streams'!BA$8+'Revenue Streams'!BA$9)*'Assumption Setting'!$C$138+'Revenue Streams'!BA$11*'Assumption Setting'!$C$139+'Revenue Streams'!BA$13*'Assumption Setting'!$C$140)*'Assumption Setting'!$C$137</f>
        <v>274.56</v>
      </c>
      <c r="BB49" s="81" t="n">
        <f aca="false">SUM(BC49:BN49)</f>
        <v>3436</v>
      </c>
      <c r="BC49" s="91" t="n">
        <f aca="false">(('Revenue Streams'!BC$7+'Revenue Streams'!BC$8+'Revenue Streams'!BC$9)*'Assumption Setting'!$C$138+'Revenue Streams'!BC$11*'Assumption Setting'!$C$139+'Revenue Streams'!BC$13*'Assumption Setting'!$C$140)*'Assumption Setting'!$C$137</f>
        <v>214.48</v>
      </c>
      <c r="BD49" s="91" t="n">
        <f aca="false">(('Revenue Streams'!BD$7+'Revenue Streams'!BD$8+'Revenue Streams'!BD$9)*'Assumption Setting'!$C$138+'Revenue Streams'!BD$11*'Assumption Setting'!$C$139+'Revenue Streams'!BD$13*'Assumption Setting'!$C$140)*'Assumption Setting'!$C$137</f>
        <v>252.78</v>
      </c>
      <c r="BE49" s="91" t="n">
        <f aca="false">(('Revenue Streams'!BE$7+'Revenue Streams'!BE$8+'Revenue Streams'!BE$9)*'Assumption Setting'!$C$138+'Revenue Streams'!BE$11*'Assumption Setting'!$C$139+'Revenue Streams'!BE$13*'Assumption Setting'!$C$140)*'Assumption Setting'!$C$137</f>
        <v>298.74</v>
      </c>
      <c r="BF49" s="91" t="n">
        <f aca="false">(('Revenue Streams'!BF$7+'Revenue Streams'!BF$8+'Revenue Streams'!BF$9)*'Assumption Setting'!$C$138+'Revenue Streams'!BF$11*'Assumption Setting'!$C$139+'Revenue Streams'!BF$13*'Assumption Setting'!$C$140)*'Assumption Setting'!$C$137</f>
        <v>231.84</v>
      </c>
      <c r="BG49" s="91" t="n">
        <f aca="false">(('Revenue Streams'!BG$7+'Revenue Streams'!BG$8+'Revenue Streams'!BG$9)*'Assumption Setting'!$C$138+'Revenue Streams'!BG$11*'Assumption Setting'!$C$139+'Revenue Streams'!BG$13*'Assumption Setting'!$C$140)*'Assumption Setting'!$C$137</f>
        <v>273.24</v>
      </c>
      <c r="BH49" s="91" t="n">
        <f aca="false">(('Revenue Streams'!BH$7+'Revenue Streams'!BH$8+'Revenue Streams'!BH$9)*'Assumption Setting'!$C$138+'Revenue Streams'!BH$11*'Assumption Setting'!$C$139+'Revenue Streams'!BH$13*'Assumption Setting'!$C$140)*'Assumption Setting'!$C$137</f>
        <v>322.92</v>
      </c>
      <c r="BI49" s="91" t="n">
        <f aca="false">(('Revenue Streams'!BI$7+'Revenue Streams'!BI$8+'Revenue Streams'!BI$9)*'Assumption Setting'!$C$138+'Revenue Streams'!BI$11*'Assumption Setting'!$C$139+'Revenue Streams'!BI$13*'Assumption Setting'!$C$140)*'Assumption Setting'!$C$137</f>
        <v>249.2</v>
      </c>
      <c r="BJ49" s="91" t="n">
        <f aca="false">(('Revenue Streams'!BJ$7+'Revenue Streams'!BJ$8+'Revenue Streams'!BJ$9)*'Assumption Setting'!$C$138+'Revenue Streams'!BJ$11*'Assumption Setting'!$C$139+'Revenue Streams'!BJ$13*'Assumption Setting'!$C$140)*'Assumption Setting'!$C$137</f>
        <v>293.7</v>
      </c>
      <c r="BK49" s="91" t="n">
        <f aca="false">(('Revenue Streams'!BK$7+'Revenue Streams'!BK$8+'Revenue Streams'!BK$9)*'Assumption Setting'!$C$138+'Revenue Streams'!BK$11*'Assumption Setting'!$C$139+'Revenue Streams'!BK$13*'Assumption Setting'!$C$140)*'Assumption Setting'!$C$137</f>
        <v>347.1</v>
      </c>
      <c r="BL49" s="91" t="n">
        <f aca="false">(('Revenue Streams'!BL$7+'Revenue Streams'!BL$8+'Revenue Streams'!BL$9)*'Assumption Setting'!$C$138+'Revenue Streams'!BL$11*'Assumption Setting'!$C$139+'Revenue Streams'!BL$13*'Assumption Setting'!$C$140)*'Assumption Setting'!$C$137</f>
        <v>266.56</v>
      </c>
      <c r="BM49" s="91" t="n">
        <f aca="false">(('Revenue Streams'!BM$7+'Revenue Streams'!BM$8+'Revenue Streams'!BM$9)*'Assumption Setting'!$C$138+'Revenue Streams'!BM$11*'Assumption Setting'!$C$139+'Revenue Streams'!BM$13*'Assumption Setting'!$C$140)*'Assumption Setting'!$C$137</f>
        <v>314.16</v>
      </c>
      <c r="BN49" s="91" t="n">
        <f aca="false">(('Revenue Streams'!BN$7+'Revenue Streams'!BN$8+'Revenue Streams'!BN$9)*'Assumption Setting'!$C$138+'Revenue Streams'!BN$11*'Assumption Setting'!$C$139+'Revenue Streams'!BN$13*'Assumption Setting'!$C$140)*'Assumption Setting'!$C$137</f>
        <v>371.28</v>
      </c>
    </row>
    <row r="50" customFormat="false" ht="15" hidden="false" customHeight="false" outlineLevel="0" collapsed="false">
      <c r="A50" s="12" t="s">
        <v>684</v>
      </c>
      <c r="B50" s="81" t="n">
        <f aca="false">SUM(C50:N50)</f>
        <v>441</v>
      </c>
      <c r="C50" s="82" t="n">
        <f aca="false">C13*'Assumption Setting'!$C$132</f>
        <v>21</v>
      </c>
      <c r="D50" s="82" t="n">
        <f aca="false">D13*'Assumption Setting'!$C$132</f>
        <v>21</v>
      </c>
      <c r="E50" s="82" t="n">
        <f aca="false">E13*'Assumption Setting'!$C$132</f>
        <v>21</v>
      </c>
      <c r="F50" s="82" t="n">
        <f aca="false">F13*'Assumption Setting'!$C$132</f>
        <v>31.5</v>
      </c>
      <c r="G50" s="82" t="n">
        <f aca="false">G13*'Assumption Setting'!$C$132</f>
        <v>31.5</v>
      </c>
      <c r="H50" s="82" t="n">
        <f aca="false">H13*'Assumption Setting'!$C$132</f>
        <v>31.5</v>
      </c>
      <c r="I50" s="82" t="n">
        <f aca="false">I13*'Assumption Setting'!$C$132</f>
        <v>42</v>
      </c>
      <c r="J50" s="82" t="n">
        <f aca="false">J13*'Assumption Setting'!$C$132</f>
        <v>42</v>
      </c>
      <c r="K50" s="82" t="n">
        <f aca="false">K13*'Assumption Setting'!$C$132</f>
        <v>42</v>
      </c>
      <c r="L50" s="82" t="n">
        <f aca="false">L13*'Assumption Setting'!$C$132</f>
        <v>52.5</v>
      </c>
      <c r="M50" s="82" t="n">
        <f aca="false">M13*'Assumption Setting'!$C$132</f>
        <v>52.5</v>
      </c>
      <c r="N50" s="82" t="n">
        <f aca="false">N13*'Assumption Setting'!$C$132</f>
        <v>52.5</v>
      </c>
      <c r="O50" s="81" t="n">
        <f aca="false">SUM(P50:AA50)</f>
        <v>1113</v>
      </c>
      <c r="P50" s="82" t="n">
        <f aca="false">P13*'Assumption Setting'!$C$132</f>
        <v>66.5</v>
      </c>
      <c r="Q50" s="82" t="n">
        <f aca="false">Q13*'Assumption Setting'!$C$132</f>
        <v>66.5</v>
      </c>
      <c r="R50" s="82" t="n">
        <f aca="false">R13*'Assumption Setting'!$C$132</f>
        <v>66.5</v>
      </c>
      <c r="S50" s="82" t="n">
        <f aca="false">S13*'Assumption Setting'!$C$132</f>
        <v>84</v>
      </c>
      <c r="T50" s="82" t="n">
        <f aca="false">T13*'Assumption Setting'!$C$132</f>
        <v>84</v>
      </c>
      <c r="U50" s="82" t="n">
        <f aca="false">U13*'Assumption Setting'!$C$132</f>
        <v>84</v>
      </c>
      <c r="V50" s="82" t="n">
        <f aca="false">V13*'Assumption Setting'!$C$132</f>
        <v>101.5</v>
      </c>
      <c r="W50" s="82" t="n">
        <f aca="false">W13*'Assumption Setting'!$C$132</f>
        <v>101.5</v>
      </c>
      <c r="X50" s="82" t="n">
        <f aca="false">X13*'Assumption Setting'!$C$132</f>
        <v>101.5</v>
      </c>
      <c r="Y50" s="82" t="n">
        <f aca="false">Y13*'Assumption Setting'!$C$132</f>
        <v>119</v>
      </c>
      <c r="Z50" s="82" t="n">
        <f aca="false">Z13*'Assumption Setting'!$C$132</f>
        <v>119</v>
      </c>
      <c r="AA50" s="82" t="n">
        <f aca="false">AA13*'Assumption Setting'!$C$132</f>
        <v>119</v>
      </c>
      <c r="AB50" s="81" t="n">
        <f aca="false">SUM(AC50:AN50)</f>
        <v>2058</v>
      </c>
      <c r="AC50" s="82" t="n">
        <f aca="false">AC13*'Assumption Setting'!$C$132</f>
        <v>140</v>
      </c>
      <c r="AD50" s="82" t="n">
        <f aca="false">AD13*'Assumption Setting'!$C$132</f>
        <v>140</v>
      </c>
      <c r="AE50" s="82" t="n">
        <f aca="false">AE13*'Assumption Setting'!$C$132</f>
        <v>140</v>
      </c>
      <c r="AF50" s="82" t="n">
        <f aca="false">AF13*'Assumption Setting'!$C$132</f>
        <v>161</v>
      </c>
      <c r="AG50" s="82" t="n">
        <f aca="false">AG13*'Assumption Setting'!$C$132</f>
        <v>161</v>
      </c>
      <c r="AH50" s="82" t="n">
        <f aca="false">AH13*'Assumption Setting'!$C$132</f>
        <v>161</v>
      </c>
      <c r="AI50" s="82" t="n">
        <f aca="false">AI13*'Assumption Setting'!$C$132</f>
        <v>182</v>
      </c>
      <c r="AJ50" s="82" t="n">
        <f aca="false">AJ13*'Assumption Setting'!$C$132</f>
        <v>182</v>
      </c>
      <c r="AK50" s="82" t="n">
        <f aca="false">AK13*'Assumption Setting'!$C$132</f>
        <v>182</v>
      </c>
      <c r="AL50" s="82" t="n">
        <f aca="false">AL13*'Assumption Setting'!$C$132</f>
        <v>203</v>
      </c>
      <c r="AM50" s="82" t="n">
        <f aca="false">AM13*'Assumption Setting'!$C$132</f>
        <v>203</v>
      </c>
      <c r="AN50" s="82" t="n">
        <f aca="false">AN13*'Assumption Setting'!$C$132</f>
        <v>203</v>
      </c>
      <c r="AO50" s="81" t="n">
        <f aca="false">SUM(AP50:BA50)</f>
        <v>3276</v>
      </c>
      <c r="AP50" s="82" t="n">
        <f aca="false">AP13*'Assumption Setting'!$C$132</f>
        <v>231</v>
      </c>
      <c r="AQ50" s="82" t="n">
        <f aca="false">AQ13*'Assumption Setting'!$C$132</f>
        <v>231</v>
      </c>
      <c r="AR50" s="82" t="n">
        <f aca="false">AR13*'Assumption Setting'!$C$132</f>
        <v>231</v>
      </c>
      <c r="AS50" s="82" t="n">
        <f aca="false">AS13*'Assumption Setting'!$C$132</f>
        <v>259</v>
      </c>
      <c r="AT50" s="82" t="n">
        <f aca="false">AT13*'Assumption Setting'!$C$132</f>
        <v>259</v>
      </c>
      <c r="AU50" s="82" t="n">
        <f aca="false">AU13*'Assumption Setting'!$C$132</f>
        <v>259</v>
      </c>
      <c r="AV50" s="82" t="n">
        <f aca="false">AV13*'Assumption Setting'!$C$132</f>
        <v>287</v>
      </c>
      <c r="AW50" s="82" t="n">
        <f aca="false">AW13*'Assumption Setting'!$C$132</f>
        <v>287</v>
      </c>
      <c r="AX50" s="82" t="n">
        <f aca="false">AX13*'Assumption Setting'!$C$132</f>
        <v>287</v>
      </c>
      <c r="AY50" s="82" t="n">
        <f aca="false">AY13*'Assumption Setting'!$C$132</f>
        <v>315</v>
      </c>
      <c r="AZ50" s="82" t="n">
        <f aca="false">AZ13*'Assumption Setting'!$C$132</f>
        <v>315</v>
      </c>
      <c r="BA50" s="82" t="n">
        <f aca="false">BA13*'Assumption Setting'!$C$132</f>
        <v>315</v>
      </c>
      <c r="BB50" s="81" t="n">
        <f aca="false">SUM(BC50:BN50)</f>
        <v>4620</v>
      </c>
      <c r="BC50" s="82" t="n">
        <f aca="false">BC13*'Assumption Setting'!$C$132</f>
        <v>343</v>
      </c>
      <c r="BD50" s="82" t="n">
        <f aca="false">BD13*'Assumption Setting'!$C$132</f>
        <v>343</v>
      </c>
      <c r="BE50" s="82" t="n">
        <f aca="false">BE13*'Assumption Setting'!$C$132</f>
        <v>343</v>
      </c>
      <c r="BF50" s="82" t="n">
        <f aca="false">BF13*'Assumption Setting'!$C$132</f>
        <v>371</v>
      </c>
      <c r="BG50" s="82" t="n">
        <f aca="false">BG13*'Assumption Setting'!$C$132</f>
        <v>371</v>
      </c>
      <c r="BH50" s="82" t="n">
        <f aca="false">BH13*'Assumption Setting'!$C$132</f>
        <v>371</v>
      </c>
      <c r="BI50" s="82" t="n">
        <f aca="false">BI13*'Assumption Setting'!$C$132</f>
        <v>399</v>
      </c>
      <c r="BJ50" s="82" t="n">
        <f aca="false">BJ13*'Assumption Setting'!$C$132</f>
        <v>399</v>
      </c>
      <c r="BK50" s="82" t="n">
        <f aca="false">BK13*'Assumption Setting'!$C$132</f>
        <v>399</v>
      </c>
      <c r="BL50" s="82" t="n">
        <f aca="false">BL13*'Assumption Setting'!$C$132</f>
        <v>427</v>
      </c>
      <c r="BM50" s="82" t="n">
        <f aca="false">BM13*'Assumption Setting'!$C$132</f>
        <v>427</v>
      </c>
      <c r="BN50" s="82" t="n">
        <f aca="false">BN13*'Assumption Setting'!$C$132</f>
        <v>427</v>
      </c>
    </row>
    <row r="51" customFormat="false" ht="15" hidden="false" customHeight="false" outlineLevel="0" collapsed="false">
      <c r="A51" s="18" t="s">
        <v>685</v>
      </c>
      <c r="B51" s="81" t="n">
        <f aca="false">MAX(C51:N51)</f>
        <v>0</v>
      </c>
      <c r="C51" s="98" t="n">
        <f aca="false">MAX(0,C49-C50)</f>
        <v>0</v>
      </c>
      <c r="D51" s="98" t="n">
        <f aca="false">MAX(0,D49-D50)</f>
        <v>0</v>
      </c>
      <c r="E51" s="98" t="n">
        <f aca="false">MAX(0,E49-E50)</f>
        <v>0</v>
      </c>
      <c r="F51" s="98" t="n">
        <f aca="false">MAX(0,F49-F50)</f>
        <v>0</v>
      </c>
      <c r="G51" s="98" t="n">
        <f aca="false">MAX(0,G49-G50)</f>
        <v>0</v>
      </c>
      <c r="H51" s="98" t="n">
        <f aca="false">MAX(0,H49-H50)</f>
        <v>0</v>
      </c>
      <c r="I51" s="98" t="n">
        <f aca="false">MAX(0,I49-I50)</f>
        <v>0</v>
      </c>
      <c r="J51" s="98" t="n">
        <f aca="false">MAX(0,J49-J50)</f>
        <v>0</v>
      </c>
      <c r="K51" s="98" t="n">
        <f aca="false">MAX(0,K49-K50)</f>
        <v>0</v>
      </c>
      <c r="L51" s="98" t="n">
        <f aca="false">MAX(0,L49-L50)</f>
        <v>0</v>
      </c>
      <c r="M51" s="98" t="n">
        <f aca="false">MAX(0,M49-M50)</f>
        <v>0</v>
      </c>
      <c r="N51" s="98" t="n">
        <f aca="false">MAX(0,N49-N50)</f>
        <v>0</v>
      </c>
      <c r="O51" s="81" t="n">
        <f aca="false">MAX(P51:AA51)</f>
        <v>0</v>
      </c>
      <c r="P51" s="98" t="n">
        <f aca="false">MAX(0,P49-P50)</f>
        <v>0</v>
      </c>
      <c r="Q51" s="98" t="n">
        <f aca="false">MAX(0,Q49-Q50)</f>
        <v>0</v>
      </c>
      <c r="R51" s="98" t="n">
        <f aca="false">MAX(0,R49-R50)</f>
        <v>0</v>
      </c>
      <c r="S51" s="98" t="n">
        <f aca="false">MAX(0,S49-S50)</f>
        <v>0</v>
      </c>
      <c r="T51" s="98" t="n">
        <f aca="false">MAX(0,T49-T50)</f>
        <v>0</v>
      </c>
      <c r="U51" s="98" t="n">
        <f aca="false">MAX(0,U49-U50)</f>
        <v>0</v>
      </c>
      <c r="V51" s="98" t="n">
        <f aca="false">MAX(0,V49-V50)</f>
        <v>0</v>
      </c>
      <c r="W51" s="98" t="n">
        <f aca="false">MAX(0,W49-W50)</f>
        <v>0</v>
      </c>
      <c r="X51" s="98" t="n">
        <f aca="false">MAX(0,X49-X50)</f>
        <v>0</v>
      </c>
      <c r="Y51" s="98" t="n">
        <f aca="false">MAX(0,Y49-Y50)</f>
        <v>0</v>
      </c>
      <c r="Z51" s="98" t="n">
        <f aca="false">MAX(0,Z49-Z50)</f>
        <v>0</v>
      </c>
      <c r="AA51" s="98" t="n">
        <f aca="false">MAX(0,AA49-AA50)</f>
        <v>0</v>
      </c>
      <c r="AB51" s="81" t="n">
        <f aca="false">MAX(AC51:AN51)</f>
        <v>0</v>
      </c>
      <c r="AC51" s="98" t="n">
        <f aca="false">MAX(0,AC49-AC50)</f>
        <v>0</v>
      </c>
      <c r="AD51" s="98" t="n">
        <f aca="false">MAX(0,AD49-AD50)</f>
        <v>0</v>
      </c>
      <c r="AE51" s="98" t="n">
        <f aca="false">MAX(0,AE49-AE50)</f>
        <v>0</v>
      </c>
      <c r="AF51" s="98" t="n">
        <f aca="false">MAX(0,AF49-AF50)</f>
        <v>0</v>
      </c>
      <c r="AG51" s="98" t="n">
        <f aca="false">MAX(0,AG49-AG50)</f>
        <v>0</v>
      </c>
      <c r="AH51" s="98" t="n">
        <f aca="false">MAX(0,AH49-AH50)</f>
        <v>0</v>
      </c>
      <c r="AI51" s="98" t="n">
        <f aca="false">MAX(0,AI49-AI50)</f>
        <v>0</v>
      </c>
      <c r="AJ51" s="98" t="n">
        <f aca="false">MAX(0,AJ49-AJ50)</f>
        <v>0</v>
      </c>
      <c r="AK51" s="98" t="n">
        <f aca="false">MAX(0,AK49-AK50)</f>
        <v>0</v>
      </c>
      <c r="AL51" s="98" t="n">
        <f aca="false">MAX(0,AL49-AL50)</f>
        <v>0</v>
      </c>
      <c r="AM51" s="98" t="n">
        <f aca="false">MAX(0,AM49-AM50)</f>
        <v>0</v>
      </c>
      <c r="AN51" s="98" t="n">
        <f aca="false">MAX(0,AN49-AN50)</f>
        <v>0</v>
      </c>
      <c r="AO51" s="81" t="n">
        <f aca="false">MAX(AP51:BA51)</f>
        <v>0</v>
      </c>
      <c r="AP51" s="98" t="n">
        <f aca="false">MAX(0,AP49-AP50)</f>
        <v>0</v>
      </c>
      <c r="AQ51" s="98" t="n">
        <f aca="false">MAX(0,AQ49-AQ50)</f>
        <v>0</v>
      </c>
      <c r="AR51" s="98" t="n">
        <f aca="false">MAX(0,AR49-AR50)</f>
        <v>0</v>
      </c>
      <c r="AS51" s="98" t="n">
        <f aca="false">MAX(0,AS49-AS50)</f>
        <v>0</v>
      </c>
      <c r="AT51" s="98" t="n">
        <f aca="false">MAX(0,AT49-AT50)</f>
        <v>0</v>
      </c>
      <c r="AU51" s="98" t="n">
        <f aca="false">MAX(0,AU49-AU50)</f>
        <v>0</v>
      </c>
      <c r="AV51" s="98" t="n">
        <f aca="false">MAX(0,AV49-AV50)</f>
        <v>0</v>
      </c>
      <c r="AW51" s="98" t="n">
        <f aca="false">MAX(0,AW49-AW50)</f>
        <v>0</v>
      </c>
      <c r="AX51" s="98" t="n">
        <f aca="false">MAX(0,AX49-AX50)</f>
        <v>0</v>
      </c>
      <c r="AY51" s="98" t="n">
        <f aca="false">MAX(0,AY49-AY50)</f>
        <v>0</v>
      </c>
      <c r="AZ51" s="98" t="n">
        <f aca="false">MAX(0,AZ49-AZ50)</f>
        <v>0</v>
      </c>
      <c r="BA51" s="98" t="n">
        <f aca="false">MAX(0,BA49-BA50)</f>
        <v>0</v>
      </c>
      <c r="BB51" s="81" t="n">
        <f aca="false">MAX(BC51:BN51)</f>
        <v>0</v>
      </c>
      <c r="BC51" s="98" t="n">
        <f aca="false">MAX(0,BC49-BC50)</f>
        <v>0</v>
      </c>
      <c r="BD51" s="98" t="n">
        <f aca="false">MAX(0,BD49-BD50)</f>
        <v>0</v>
      </c>
      <c r="BE51" s="98" t="n">
        <f aca="false">MAX(0,BE49-BE50)</f>
        <v>0</v>
      </c>
      <c r="BF51" s="98" t="n">
        <f aca="false">MAX(0,BF49-BF50)</f>
        <v>0</v>
      </c>
      <c r="BG51" s="98" t="n">
        <f aca="false">MAX(0,BG49-BG50)</f>
        <v>0</v>
      </c>
      <c r="BH51" s="98" t="n">
        <f aca="false">MAX(0,BH49-BH50)</f>
        <v>0</v>
      </c>
      <c r="BI51" s="98" t="n">
        <f aca="false">MAX(0,BI49-BI50)</f>
        <v>0</v>
      </c>
      <c r="BJ51" s="98" t="n">
        <f aca="false">MAX(0,BJ49-BJ50)</f>
        <v>0</v>
      </c>
      <c r="BK51" s="98" t="n">
        <f aca="false">MAX(0,BK49-BK50)</f>
        <v>0</v>
      </c>
      <c r="BL51" s="98" t="n">
        <f aca="false">MAX(0,BL49-BL50)</f>
        <v>0</v>
      </c>
      <c r="BM51" s="98" t="n">
        <f aca="false">MAX(0,BM49-BM50)</f>
        <v>0</v>
      </c>
      <c r="BN51" s="98" t="n">
        <f aca="false">MAX(0,BN49-BN50)</f>
        <v>0</v>
      </c>
    </row>
    <row r="52" customFormat="false" ht="15" hidden="false" customHeight="false" outlineLevel="0" collapsed="false">
      <c r="A52" s="67" t="s">
        <v>686</v>
      </c>
      <c r="B52" s="96" t="n">
        <f aca="false">IFERROR(AVERAGE(C52:N52),0)</f>
        <v>0.409523809523809</v>
      </c>
      <c r="C52" s="97" t="n">
        <f aca="false">IFERROR(C49/C50,0)</f>
        <v>0.48</v>
      </c>
      <c r="D52" s="97" t="n">
        <f aca="false">IFERROR(D49/D50,0)</f>
        <v>0.565714285714286</v>
      </c>
      <c r="E52" s="97" t="n">
        <f aca="false">IFERROR(E49/E50,0)</f>
        <v>0.668571428571429</v>
      </c>
      <c r="F52" s="97" t="n">
        <f aca="false">IFERROR(F49/F50,0)</f>
        <v>0.32</v>
      </c>
      <c r="G52" s="97" t="n">
        <f aca="false">IFERROR(G49/G50,0)</f>
        <v>0.377142857142857</v>
      </c>
      <c r="H52" s="97" t="n">
        <f aca="false">IFERROR(H49/H50,0)</f>
        <v>0.445714285714286</v>
      </c>
      <c r="I52" s="97" t="n">
        <f aca="false">IFERROR(I49/I50,0)</f>
        <v>0.32</v>
      </c>
      <c r="J52" s="97" t="n">
        <f aca="false">IFERROR(J49/J50,0)</f>
        <v>0.377142857142857</v>
      </c>
      <c r="K52" s="97" t="n">
        <f aca="false">IFERROR(K49/K50,0)</f>
        <v>0.445714285714286</v>
      </c>
      <c r="L52" s="97" t="n">
        <f aca="false">IFERROR(L49/L50,0)</f>
        <v>0.256</v>
      </c>
      <c r="M52" s="97" t="n">
        <f aca="false">IFERROR(M49/M50,0)</f>
        <v>0.301714285714286</v>
      </c>
      <c r="N52" s="97" t="n">
        <f aca="false">IFERROR(N49/N50,0)</f>
        <v>0.356571428571429</v>
      </c>
      <c r="O52" s="96" t="n">
        <f aca="false">IFERROR(AVERAGE(P52:AA52),0)</f>
        <v>0.465028358590865</v>
      </c>
      <c r="P52" s="97" t="n">
        <f aca="false">IFERROR(P49/P50,0)</f>
        <v>0.303157894736842</v>
      </c>
      <c r="Q52" s="97" t="n">
        <f aca="false">IFERROR(Q49/Q50,0)</f>
        <v>0.357293233082707</v>
      </c>
      <c r="R52" s="97" t="n">
        <f aca="false">IFERROR(R49/R50,0)</f>
        <v>0.422255639097744</v>
      </c>
      <c r="S52" s="97" t="n">
        <f aca="false">IFERROR(S49/S50,0)</f>
        <v>0.373333333333333</v>
      </c>
      <c r="T52" s="97" t="n">
        <f aca="false">IFERROR(T49/T50,0)</f>
        <v>0.44</v>
      </c>
      <c r="U52" s="97" t="n">
        <f aca="false">IFERROR(U49/U50,0)</f>
        <v>0.52</v>
      </c>
      <c r="V52" s="97" t="n">
        <f aca="false">IFERROR(V49/V50,0)</f>
        <v>0.424827586206897</v>
      </c>
      <c r="W52" s="97" t="n">
        <f aca="false">IFERROR(W49/W50,0)</f>
        <v>0.500689655172414</v>
      </c>
      <c r="X52" s="97" t="n">
        <f aca="false">IFERROR(X49/X50,0)</f>
        <v>0.591724137931035</v>
      </c>
      <c r="Y52" s="97" t="n">
        <f aca="false">IFERROR(Y49/Y50,0)</f>
        <v>0.461176470588235</v>
      </c>
      <c r="Z52" s="97" t="n">
        <f aca="false">IFERROR(Z49/Z50,0)</f>
        <v>0.543529411764706</v>
      </c>
      <c r="AA52" s="97" t="n">
        <f aca="false">IFERROR(AA49/AA50,0)</f>
        <v>0.642352941176471</v>
      </c>
      <c r="AB52" s="96" t="n">
        <f aca="false">IFERROR(AVERAGE(AC52:AN52),0)</f>
        <v>0.700151984447337</v>
      </c>
      <c r="AC52" s="97" t="n">
        <f aca="false">IFERROR(AC49/AC50,0)</f>
        <v>0.54</v>
      </c>
      <c r="AD52" s="97" t="n">
        <f aca="false">IFERROR(AD49/AD50,0)</f>
        <v>0.636428571428572</v>
      </c>
      <c r="AE52" s="97" t="n">
        <f aca="false">IFERROR(AE49/AE50,0)</f>
        <v>0.752142857142857</v>
      </c>
      <c r="AF52" s="97" t="n">
        <f aca="false">IFERROR(AF49/AF50,0)</f>
        <v>0.577391304347826</v>
      </c>
      <c r="AG52" s="97" t="n">
        <f aca="false">IFERROR(AG49/AG50,0)</f>
        <v>0.680496894409938</v>
      </c>
      <c r="AH52" s="97" t="n">
        <f aca="false">IFERROR(AH49/AH50,0)</f>
        <v>0.804223602484472</v>
      </c>
      <c r="AI52" s="97" t="n">
        <f aca="false">IFERROR(AI49/AI50,0)</f>
        <v>0.606153846153846</v>
      </c>
      <c r="AJ52" s="97" t="n">
        <f aca="false">IFERROR(AJ49/AJ50,0)</f>
        <v>0.714395604395605</v>
      </c>
      <c r="AK52" s="97" t="n">
        <f aca="false">IFERROR(AK49/AK50,0)</f>
        <v>0.844285714285714</v>
      </c>
      <c r="AL52" s="97" t="n">
        <f aca="false">IFERROR(AL49/AL50,0)</f>
        <v>0.628965517241379</v>
      </c>
      <c r="AM52" s="97" t="n">
        <f aca="false">IFERROR(AM49/AM50,0)</f>
        <v>0.74128078817734</v>
      </c>
      <c r="AN52" s="97" t="n">
        <f aca="false">IFERROR(AN49/AN50,0)</f>
        <v>0.876059113300493</v>
      </c>
      <c r="AO52" s="96" t="n">
        <f aca="false">IFERROR(AVERAGE(AP52:BA52),0)</f>
        <v>0.746138409553044</v>
      </c>
      <c r="AP52" s="97" t="n">
        <f aca="false">IFERROR(AP49/AP50,0)</f>
        <v>0.627878787878788</v>
      </c>
      <c r="AQ52" s="97" t="n">
        <f aca="false">IFERROR(AQ49/AQ50,0)</f>
        <v>0.74</v>
      </c>
      <c r="AR52" s="97" t="n">
        <f aca="false">IFERROR(AR49/AR50,0)</f>
        <v>0.874545454545455</v>
      </c>
      <c r="AS52" s="97" t="n">
        <f aca="false">IFERROR(AS49/AS50,0)</f>
        <v>0.627027027027027</v>
      </c>
      <c r="AT52" s="97" t="n">
        <f aca="false">IFERROR(AT49/AT50,0)</f>
        <v>0.738996138996139</v>
      </c>
      <c r="AU52" s="97" t="n">
        <f aca="false">IFERROR(AU49/AU50,0)</f>
        <v>0.873359073359073</v>
      </c>
      <c r="AV52" s="97" t="n">
        <f aca="false">IFERROR(AV49/AV50,0)</f>
        <v>0.626341463414634</v>
      </c>
      <c r="AW52" s="97" t="n">
        <f aca="false">IFERROR(AW49/AW50,0)</f>
        <v>0.738188153310105</v>
      </c>
      <c r="AX52" s="97" t="n">
        <f aca="false">IFERROR(AX49/AX50,0)</f>
        <v>0.872404181184669</v>
      </c>
      <c r="AY52" s="97" t="n">
        <f aca="false">IFERROR(AY49/AY50,0)</f>
        <v>0.625777777777778</v>
      </c>
      <c r="AZ52" s="97" t="n">
        <f aca="false">IFERROR(AZ49/AZ50,0)</f>
        <v>0.73752380952381</v>
      </c>
      <c r="BA52" s="97" t="n">
        <f aca="false">IFERROR(BA49/BA50,0)</f>
        <v>0.871619047619048</v>
      </c>
      <c r="BB52" s="96" t="n">
        <f aca="false">IFERROR(AVERAGE(BC52:BN52),0)</f>
        <v>0.743760559945559</v>
      </c>
      <c r="BC52" s="97" t="n">
        <f aca="false">IFERROR(BC49/BC50,0)</f>
        <v>0.62530612244898</v>
      </c>
      <c r="BD52" s="97" t="n">
        <f aca="false">IFERROR(BD49/BD50,0)</f>
        <v>0.736967930029155</v>
      </c>
      <c r="BE52" s="97" t="n">
        <f aca="false">IFERROR(BE49/BE50,0)</f>
        <v>0.870962099125365</v>
      </c>
      <c r="BF52" s="97" t="n">
        <f aca="false">IFERROR(BF49/BF50,0)</f>
        <v>0.624905660377359</v>
      </c>
      <c r="BG52" s="97" t="n">
        <f aca="false">IFERROR(BG49/BG50,0)</f>
        <v>0.736495956873315</v>
      </c>
      <c r="BH52" s="97" t="n">
        <f aca="false">IFERROR(BH49/BH50,0)</f>
        <v>0.870404312668464</v>
      </c>
      <c r="BI52" s="97" t="n">
        <f aca="false">IFERROR(BI49/BI50,0)</f>
        <v>0.624561403508772</v>
      </c>
      <c r="BJ52" s="97" t="n">
        <f aca="false">IFERROR(BJ49/BJ50,0)</f>
        <v>0.73609022556391</v>
      </c>
      <c r="BK52" s="97" t="n">
        <f aca="false">IFERROR(BK49/BK50,0)</f>
        <v>0.869924812030075</v>
      </c>
      <c r="BL52" s="97" t="n">
        <f aca="false">IFERROR(BL49/BL50,0)</f>
        <v>0.624262295081967</v>
      </c>
      <c r="BM52" s="97" t="n">
        <f aca="false">IFERROR(BM49/BM50,0)</f>
        <v>0.735737704918033</v>
      </c>
      <c r="BN52" s="97" t="n">
        <f aca="false">IFERROR(BN49/BN50,0)</f>
        <v>0.869508196721312</v>
      </c>
    </row>
    <row r="53" customFormat="false" ht="15" hidden="false" customHeight="false" outlineLevel="0" collapsed="false">
      <c r="A53" s="72" t="s">
        <v>687</v>
      </c>
    </row>
    <row r="55" customFormat="false" ht="16.5" hidden="false" customHeight="true" outlineLevel="0" collapsed="false">
      <c r="A55" s="15" t="s">
        <v>688</v>
      </c>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row>
    <row r="56" customFormat="false" ht="15" hidden="false" customHeight="true" outlineLevel="0" collapsed="false">
      <c r="A56" s="26" t="s">
        <v>505</v>
      </c>
      <c r="B56" s="62" t="s">
        <v>80</v>
      </c>
      <c r="C56" s="63" t="s">
        <v>506</v>
      </c>
      <c r="D56" s="63" t="s">
        <v>507</v>
      </c>
      <c r="E56" s="63" t="s">
        <v>508</v>
      </c>
      <c r="F56" s="63" t="s">
        <v>509</v>
      </c>
      <c r="G56" s="63" t="s">
        <v>510</v>
      </c>
      <c r="H56" s="63" t="s">
        <v>511</v>
      </c>
      <c r="I56" s="63" t="s">
        <v>512</v>
      </c>
      <c r="J56" s="63" t="s">
        <v>513</v>
      </c>
      <c r="K56" s="63" t="s">
        <v>514</v>
      </c>
      <c r="L56" s="63" t="s">
        <v>515</v>
      </c>
      <c r="M56" s="63" t="s">
        <v>516</v>
      </c>
      <c r="N56" s="63" t="s">
        <v>517</v>
      </c>
      <c r="O56" s="62" t="s">
        <v>81</v>
      </c>
      <c r="P56" s="64" t="s">
        <v>518</v>
      </c>
      <c r="Q56" s="64" t="s">
        <v>519</v>
      </c>
      <c r="R56" s="64" t="s">
        <v>520</v>
      </c>
      <c r="S56" s="64" t="s">
        <v>521</v>
      </c>
      <c r="T56" s="64" t="s">
        <v>522</v>
      </c>
      <c r="U56" s="64" t="s">
        <v>523</v>
      </c>
      <c r="V56" s="64" t="s">
        <v>524</v>
      </c>
      <c r="W56" s="64" t="s">
        <v>525</v>
      </c>
      <c r="X56" s="64" t="s">
        <v>526</v>
      </c>
      <c r="Y56" s="64" t="s">
        <v>527</v>
      </c>
      <c r="Z56" s="64" t="s">
        <v>528</v>
      </c>
      <c r="AA56" s="64" t="s">
        <v>529</v>
      </c>
      <c r="AB56" s="62" t="s">
        <v>82</v>
      </c>
      <c r="AC56" s="63" t="s">
        <v>530</v>
      </c>
      <c r="AD56" s="63" t="s">
        <v>531</v>
      </c>
      <c r="AE56" s="63" t="s">
        <v>532</v>
      </c>
      <c r="AF56" s="63" t="s">
        <v>533</v>
      </c>
      <c r="AG56" s="63" t="s">
        <v>534</v>
      </c>
      <c r="AH56" s="63" t="s">
        <v>535</v>
      </c>
      <c r="AI56" s="63" t="s">
        <v>536</v>
      </c>
      <c r="AJ56" s="63" t="s">
        <v>537</v>
      </c>
      <c r="AK56" s="63" t="s">
        <v>538</v>
      </c>
      <c r="AL56" s="63" t="s">
        <v>539</v>
      </c>
      <c r="AM56" s="63" t="s">
        <v>540</v>
      </c>
      <c r="AN56" s="63" t="s">
        <v>541</v>
      </c>
      <c r="AO56" s="62" t="s">
        <v>83</v>
      </c>
      <c r="AP56" s="64" t="s">
        <v>542</v>
      </c>
      <c r="AQ56" s="64" t="s">
        <v>543</v>
      </c>
      <c r="AR56" s="64" t="s">
        <v>544</v>
      </c>
      <c r="AS56" s="64" t="s">
        <v>545</v>
      </c>
      <c r="AT56" s="64" t="s">
        <v>546</v>
      </c>
      <c r="AU56" s="64" t="s">
        <v>547</v>
      </c>
      <c r="AV56" s="64" t="s">
        <v>548</v>
      </c>
      <c r="AW56" s="64" t="s">
        <v>549</v>
      </c>
      <c r="AX56" s="64" t="s">
        <v>550</v>
      </c>
      <c r="AY56" s="64" t="s">
        <v>551</v>
      </c>
      <c r="AZ56" s="64" t="s">
        <v>552</v>
      </c>
      <c r="BA56" s="64" t="s">
        <v>553</v>
      </c>
      <c r="BB56" s="62" t="s">
        <v>84</v>
      </c>
      <c r="BC56" s="63" t="s">
        <v>554</v>
      </c>
      <c r="BD56" s="63" t="s">
        <v>555</v>
      </c>
      <c r="BE56" s="63" t="s">
        <v>556</v>
      </c>
      <c r="BF56" s="63" t="s">
        <v>557</v>
      </c>
      <c r="BG56" s="63" t="s">
        <v>558</v>
      </c>
      <c r="BH56" s="63" t="s">
        <v>559</v>
      </c>
      <c r="BI56" s="63" t="s">
        <v>560</v>
      </c>
      <c r="BJ56" s="63" t="s">
        <v>561</v>
      </c>
      <c r="BK56" s="63" t="s">
        <v>562</v>
      </c>
      <c r="BL56" s="63" t="s">
        <v>563</v>
      </c>
      <c r="BM56" s="63" t="s">
        <v>564</v>
      </c>
      <c r="BN56" s="63" t="s">
        <v>565</v>
      </c>
    </row>
    <row r="57" customFormat="false" ht="15" hidden="false" customHeight="false" outlineLevel="0" collapsed="false">
      <c r="A57" s="12" t="s">
        <v>689</v>
      </c>
      <c r="B57" s="81" t="n">
        <f aca="false">SUM(C57:N57)</f>
        <v>2.6390678445</v>
      </c>
      <c r="C57" s="82" t="n">
        <f aca="true">IF((1-'Assumption Setting'!$H$109)&lt;1,0,OFFSET(Acquisitions!$A$85,0,2+13*INT(((1-'Assumption Setting'!$H$109)-1)/12)+MOD((1-'Assumption Setting'!$H$109)-1,12)))</f>
        <v>0</v>
      </c>
      <c r="D57" s="82" t="n">
        <f aca="true">IF((2-'Assumption Setting'!$H$109)&lt;1,0,OFFSET(Acquisitions!$A$85,0,2+13*INT(((2-'Assumption Setting'!$H$109)-1)/12)+MOD((2-'Assumption Setting'!$H$109)-1,12)))</f>
        <v>0</v>
      </c>
      <c r="E57" s="82" t="n">
        <f aca="true">IF((3-'Assumption Setting'!$H$109)&lt;1,0,OFFSET(Acquisitions!$A$85,0,2+13*INT(((3-'Assumption Setting'!$H$109)-1)/12)+MOD((3-'Assumption Setting'!$H$109)-1,12)))</f>
        <v>0</v>
      </c>
      <c r="F57" s="82" t="n">
        <f aca="true">IF((4-'Assumption Setting'!$H$109)&lt;1,0,OFFSET(Acquisitions!$A$85,0,2+13*INT(((4-'Assumption Setting'!$H$109)-1)/12)+MOD((4-'Assumption Setting'!$H$109)-1,12)))</f>
        <v>0</v>
      </c>
      <c r="G57" s="82" t="n">
        <f aca="true">IF((5-'Assumption Setting'!$H$109)&lt;1,0,OFFSET(Acquisitions!$A$85,0,2+13*INT(((5-'Assumption Setting'!$H$109)-1)/12)+MOD((5-'Assumption Setting'!$H$109)-1,12)))</f>
        <v>0</v>
      </c>
      <c r="H57" s="82" t="n">
        <f aca="true">IF((6-'Assumption Setting'!$H$109)&lt;1,0,OFFSET(Acquisitions!$A$85,0,2+13*INT(((6-'Assumption Setting'!$H$109)-1)/12)+MOD((6-'Assumption Setting'!$H$109)-1,12)))</f>
        <v>0</v>
      </c>
      <c r="I57" s="82" t="n">
        <f aca="true">IF((7-'Assumption Setting'!$H$109)&lt;1,0,OFFSET(Acquisitions!$A$85,0,2+13*INT(((7-'Assumption Setting'!$H$109)-1)/12)+MOD((7-'Assumption Setting'!$H$109)-1,12)))</f>
        <v>0.43984464075</v>
      </c>
      <c r="J57" s="82" t="n">
        <f aca="true">IF((8-'Assumption Setting'!$H$109)&lt;1,0,OFFSET(Acquisitions!$A$85,0,2+13*INT(((8-'Assumption Setting'!$H$109)-1)/12)+MOD((8-'Assumption Setting'!$H$109)-1,12)))</f>
        <v>0.43984464075</v>
      </c>
      <c r="K57" s="82" t="n">
        <f aca="true">IF((9-'Assumption Setting'!$H$109)&lt;1,0,OFFSET(Acquisitions!$A$85,0,2+13*INT(((9-'Assumption Setting'!$H$109)-1)/12)+MOD((9-'Assumption Setting'!$H$109)-1,12)))</f>
        <v>0.43984464075</v>
      </c>
      <c r="L57" s="82" t="n">
        <f aca="true">IF((10-'Assumption Setting'!$H$109)&lt;1,0,OFFSET(Acquisitions!$A$85,0,2+13*INT(((10-'Assumption Setting'!$H$109)-1)/12)+MOD((10-'Assumption Setting'!$H$109)-1,12)))</f>
        <v>0.43984464075</v>
      </c>
      <c r="M57" s="82" t="n">
        <f aca="true">IF((11-'Assumption Setting'!$H$109)&lt;1,0,OFFSET(Acquisitions!$A$85,0,2+13*INT(((11-'Assumption Setting'!$H$109)-1)/12)+MOD((11-'Assumption Setting'!$H$109)-1,12)))</f>
        <v>0.43984464075</v>
      </c>
      <c r="N57" s="82" t="n">
        <f aca="true">IF((12-'Assumption Setting'!$H$109)&lt;1,0,OFFSET(Acquisitions!$A$85,0,2+13*INT(((12-'Assumption Setting'!$H$109)-1)/12)+MOD((12-'Assumption Setting'!$H$109)-1,12)))</f>
        <v>0.43984464075</v>
      </c>
      <c r="O57" s="81" t="n">
        <f aca="false">SUM(P57:AA57)</f>
        <v>17.62299778995</v>
      </c>
      <c r="P57" s="82" t="n">
        <f aca="true">IF((13-'Assumption Setting'!$H$109)&lt;1,0,OFFSET(Acquisitions!$A$85,0,2+13*INT(((13-'Assumption Setting'!$H$109)-1)/12)+MOD((13-'Assumption Setting'!$H$109)-1,12)))</f>
        <v>0.43984464075</v>
      </c>
      <c r="Q57" s="82" t="n">
        <f aca="true">IF((14-'Assumption Setting'!$H$109)&lt;1,0,OFFSET(Acquisitions!$A$85,0,2+13*INT(((14-'Assumption Setting'!$H$109)-1)/12)+MOD((14-'Assumption Setting'!$H$109)-1,12)))</f>
        <v>0.43984464075</v>
      </c>
      <c r="R57" s="82" t="n">
        <f aca="true">IF((15-'Assumption Setting'!$H$109)&lt;1,0,OFFSET(Acquisitions!$A$85,0,2+13*INT(((15-'Assumption Setting'!$H$109)-1)/12)+MOD((15-'Assumption Setting'!$H$109)-1,12)))</f>
        <v>0.5058213368625</v>
      </c>
      <c r="S57" s="82" t="n">
        <f aca="true">IF((16-'Assumption Setting'!$H$109)&lt;1,0,OFFSET(Acquisitions!$A$85,0,2+13*INT(((16-'Assumption Setting'!$H$109)-1)/12)+MOD((16-'Assumption Setting'!$H$109)-1,12)))</f>
        <v>0.5058213368625</v>
      </c>
      <c r="T57" s="82" t="n">
        <f aca="true">IF((17-'Assumption Setting'!$H$109)&lt;1,0,OFFSET(Acquisitions!$A$85,0,2+13*INT(((17-'Assumption Setting'!$H$109)-1)/12)+MOD((17-'Assumption Setting'!$H$109)-1,12)))</f>
        <v>0.5058213368625</v>
      </c>
      <c r="U57" s="82" t="n">
        <f aca="true">IF((18-'Assumption Setting'!$H$109)&lt;1,0,OFFSET(Acquisitions!$A$85,0,2+13*INT(((18-'Assumption Setting'!$H$109)-1)/12)+MOD((18-'Assumption Setting'!$H$109)-1,12)))</f>
        <v>0.5058213368625</v>
      </c>
      <c r="V57" s="82" t="n">
        <f aca="true">IF((19-'Assumption Setting'!$H$109)&lt;1,0,OFFSET(Acquisitions!$A$85,0,2+13*INT(((19-'Assumption Setting'!$H$109)-1)/12)+MOD((19-'Assumption Setting'!$H$109)-1,12)))</f>
        <v>2.4533371935</v>
      </c>
      <c r="W57" s="82" t="n">
        <f aca="true">IF((20-'Assumption Setting'!$H$109)&lt;1,0,OFFSET(Acquisitions!$A$85,0,2+13*INT(((20-'Assumption Setting'!$H$109)-1)/12)+MOD((20-'Assumption Setting'!$H$109)-1,12)))</f>
        <v>2.4533371935</v>
      </c>
      <c r="X57" s="82" t="n">
        <f aca="true">IF((21-'Assumption Setting'!$H$109)&lt;1,0,OFFSET(Acquisitions!$A$85,0,2+13*INT(((21-'Assumption Setting'!$H$109)-1)/12)+MOD((21-'Assumption Setting'!$H$109)-1,12)))</f>
        <v>2.4533371935</v>
      </c>
      <c r="Y57" s="82" t="n">
        <f aca="true">IF((22-'Assumption Setting'!$H$109)&lt;1,0,OFFSET(Acquisitions!$A$85,0,2+13*INT(((22-'Assumption Setting'!$H$109)-1)/12)+MOD((22-'Assumption Setting'!$H$109)-1,12)))</f>
        <v>2.4533371935</v>
      </c>
      <c r="Z57" s="82" t="n">
        <f aca="true">IF((23-'Assumption Setting'!$H$109)&lt;1,0,OFFSET(Acquisitions!$A$85,0,2+13*INT(((23-'Assumption Setting'!$H$109)-1)/12)+MOD((23-'Assumption Setting'!$H$109)-1,12)))</f>
        <v>2.4533371935</v>
      </c>
      <c r="AA57" s="82" t="n">
        <f aca="true">IF((24-'Assumption Setting'!$H$109)&lt;1,0,OFFSET(Acquisitions!$A$85,0,2+13*INT(((24-'Assumption Setting'!$H$109)-1)/12)+MOD((24-'Assumption Setting'!$H$109)-1,12)))</f>
        <v>2.4533371935</v>
      </c>
      <c r="AB57" s="81" t="n">
        <f aca="false">SUM(AC57:AN57)</f>
        <v>51.92817264315</v>
      </c>
      <c r="AC57" s="82" t="n">
        <f aca="true">IF((25-'Assumption Setting'!$H$109)&lt;1,0,OFFSET(Acquisitions!$A$85,0,2+13*INT(((25-'Assumption Setting'!$H$109)-1)/12)+MOD((25-'Assumption Setting'!$H$109)-1,12)))</f>
        <v>2.4533371935</v>
      </c>
      <c r="AD57" s="82" t="n">
        <f aca="true">IF((26-'Assumption Setting'!$H$109)&lt;1,0,OFFSET(Acquisitions!$A$85,0,2+13*INT(((26-'Assumption Setting'!$H$109)-1)/12)+MOD((26-'Assumption Setting'!$H$109)-1,12)))</f>
        <v>2.4533371935</v>
      </c>
      <c r="AE57" s="82" t="n">
        <f aca="true">IF((27-'Assumption Setting'!$H$109)&lt;1,0,OFFSET(Acquisitions!$A$85,0,2+13*INT(((27-'Assumption Setting'!$H$109)-1)/12)+MOD((27-'Assumption Setting'!$H$109)-1,12)))</f>
        <v>2.8800045315</v>
      </c>
      <c r="AF57" s="82" t="n">
        <f aca="true">IF((28-'Assumption Setting'!$H$109)&lt;1,0,OFFSET(Acquisitions!$A$85,0,2+13*INT(((28-'Assumption Setting'!$H$109)-1)/12)+MOD((28-'Assumption Setting'!$H$109)-1,12)))</f>
        <v>2.8800045315</v>
      </c>
      <c r="AG57" s="82" t="n">
        <f aca="true">IF((29-'Assumption Setting'!$H$109)&lt;1,0,OFFSET(Acquisitions!$A$85,0,2+13*INT(((29-'Assumption Setting'!$H$109)-1)/12)+MOD((29-'Assumption Setting'!$H$109)-1,12)))</f>
        <v>2.8800045315</v>
      </c>
      <c r="AH57" s="82" t="n">
        <f aca="true">IF((30-'Assumption Setting'!$H$109)&lt;1,0,OFFSET(Acquisitions!$A$85,0,2+13*INT(((30-'Assumption Setting'!$H$109)-1)/12)+MOD((30-'Assumption Setting'!$H$109)-1,12)))</f>
        <v>2.8800045315</v>
      </c>
      <c r="AI57" s="82" t="n">
        <f aca="true">IF((31-'Assumption Setting'!$H$109)&lt;1,0,OFFSET(Acquisitions!$A$85,0,2+13*INT(((31-'Assumption Setting'!$H$109)-1)/12)+MOD((31-'Assumption Setting'!$H$109)-1,12)))</f>
        <v>5.916913355025</v>
      </c>
      <c r="AJ57" s="82" t="n">
        <f aca="true">IF((32-'Assumption Setting'!$H$109)&lt;1,0,OFFSET(Acquisitions!$A$85,0,2+13*INT(((32-'Assumption Setting'!$H$109)-1)/12)+MOD((32-'Assumption Setting'!$H$109)-1,12)))</f>
        <v>5.916913355025</v>
      </c>
      <c r="AK57" s="82" t="n">
        <f aca="true">IF((33-'Assumption Setting'!$H$109)&lt;1,0,OFFSET(Acquisitions!$A$85,0,2+13*INT(((33-'Assumption Setting'!$H$109)-1)/12)+MOD((33-'Assumption Setting'!$H$109)-1,12)))</f>
        <v>5.916913355025</v>
      </c>
      <c r="AL57" s="82" t="n">
        <f aca="true">IF((34-'Assumption Setting'!$H$109)&lt;1,0,OFFSET(Acquisitions!$A$85,0,2+13*INT(((34-'Assumption Setting'!$H$109)-1)/12)+MOD((34-'Assumption Setting'!$H$109)-1,12)))</f>
        <v>5.916913355025</v>
      </c>
      <c r="AM57" s="82" t="n">
        <f aca="true">IF((35-'Assumption Setting'!$H$109)&lt;1,0,OFFSET(Acquisitions!$A$85,0,2+13*INT(((35-'Assumption Setting'!$H$109)-1)/12)+MOD((35-'Assumption Setting'!$H$109)-1,12)))</f>
        <v>5.916913355025</v>
      </c>
      <c r="AN57" s="82" t="n">
        <f aca="true">IF((36-'Assumption Setting'!$H$109)&lt;1,0,OFFSET(Acquisitions!$A$85,0,2+13*INT(((36-'Assumption Setting'!$H$109)-1)/12)+MOD((36-'Assumption Setting'!$H$109)-1,12)))</f>
        <v>5.916913355025</v>
      </c>
      <c r="AO57" s="81" t="n">
        <f aca="false">SUM(AP57:BA57)</f>
        <v>91.93652228565</v>
      </c>
      <c r="AP57" s="82" t="n">
        <f aca="true">IF((37-'Assumption Setting'!$H$109)&lt;1,0,OFFSET(Acquisitions!$A$85,0,2+13*INT(((37-'Assumption Setting'!$H$109)-1)/12)+MOD((37-'Assumption Setting'!$H$109)-1,12)))</f>
        <v>5.916913355025</v>
      </c>
      <c r="AQ57" s="82" t="n">
        <f aca="true">IF((38-'Assumption Setting'!$H$109)&lt;1,0,OFFSET(Acquisitions!$A$85,0,2+13*INT(((38-'Assumption Setting'!$H$109)-1)/12)+MOD((38-'Assumption Setting'!$H$109)-1,12)))</f>
        <v>5.916913355025</v>
      </c>
      <c r="AR57" s="82" t="n">
        <f aca="true">IF((39-'Assumption Setting'!$H$109)&lt;1,0,OFFSET(Acquisitions!$A$85,0,2+13*INT(((39-'Assumption Setting'!$H$109)-1)/12)+MOD((39-'Assumption Setting'!$H$109)-1,12)))</f>
        <v>6.355203233175</v>
      </c>
      <c r="AS57" s="82" t="n">
        <f aca="true">IF((40-'Assumption Setting'!$H$109)&lt;1,0,OFFSET(Acquisitions!$A$85,0,2+13*INT(((40-'Assumption Setting'!$H$109)-1)/12)+MOD((40-'Assumption Setting'!$H$109)-1,12)))</f>
        <v>6.355203233175</v>
      </c>
      <c r="AT57" s="82" t="n">
        <f aca="true">IF((41-'Assumption Setting'!$H$109)&lt;1,0,OFFSET(Acquisitions!$A$85,0,2+13*INT(((41-'Assumption Setting'!$H$109)-1)/12)+MOD((41-'Assumption Setting'!$H$109)-1,12)))</f>
        <v>6.355203233175</v>
      </c>
      <c r="AU57" s="82" t="n">
        <f aca="true">IF((42-'Assumption Setting'!$H$109)&lt;1,0,OFFSET(Acquisitions!$A$85,0,2+13*INT(((42-'Assumption Setting'!$H$109)-1)/12)+MOD((42-'Assumption Setting'!$H$109)-1,12)))</f>
        <v>6.355203233175</v>
      </c>
      <c r="AV57" s="82" t="n">
        <f aca="true">IF((43-'Assumption Setting'!$H$109)&lt;1,0,OFFSET(Acquisitions!$A$85,0,2+13*INT(((43-'Assumption Setting'!$H$109)-1)/12)+MOD((43-'Assumption Setting'!$H$109)-1,12)))</f>
        <v>9.11364710715</v>
      </c>
      <c r="AW57" s="82" t="n">
        <f aca="true">IF((44-'Assumption Setting'!$H$109)&lt;1,0,OFFSET(Acquisitions!$A$85,0,2+13*INT(((44-'Assumption Setting'!$H$109)-1)/12)+MOD((44-'Assumption Setting'!$H$109)-1,12)))</f>
        <v>9.11364710715</v>
      </c>
      <c r="AX57" s="82" t="n">
        <f aca="true">IF((45-'Assumption Setting'!$H$109)&lt;1,0,OFFSET(Acquisitions!$A$85,0,2+13*INT(((45-'Assumption Setting'!$H$109)-1)/12)+MOD((45-'Assumption Setting'!$H$109)-1,12)))</f>
        <v>9.11364710715</v>
      </c>
      <c r="AY57" s="82" t="n">
        <f aca="true">IF((46-'Assumption Setting'!$H$109)&lt;1,0,OFFSET(Acquisitions!$A$85,0,2+13*INT(((46-'Assumption Setting'!$H$109)-1)/12)+MOD((46-'Assumption Setting'!$H$109)-1,12)))</f>
        <v>9.11364710715</v>
      </c>
      <c r="AZ57" s="82" t="n">
        <f aca="true">IF((47-'Assumption Setting'!$H$109)&lt;1,0,OFFSET(Acquisitions!$A$85,0,2+13*INT(((47-'Assumption Setting'!$H$109)-1)/12)+MOD((47-'Assumption Setting'!$H$109)-1,12)))</f>
        <v>9.11364710715</v>
      </c>
      <c r="BA57" s="82" t="n">
        <f aca="true">IF((48-'Assumption Setting'!$H$109)&lt;1,0,OFFSET(Acquisitions!$A$85,0,2+13*INT(((48-'Assumption Setting'!$H$109)-1)/12)+MOD((48-'Assumption Setting'!$H$109)-1,12)))</f>
        <v>9.11364710715</v>
      </c>
      <c r="BB57" s="81" t="n">
        <f aca="false">SUM(BC57:BN57)</f>
        <v>130.935002715675</v>
      </c>
      <c r="BC57" s="82" t="n">
        <f aca="true">IF((49-'Assumption Setting'!$H$109)&lt;1,0,OFFSET(Acquisitions!$A$85,0,2+13*INT(((49-'Assumption Setting'!$H$109)-1)/12)+MOD((49-'Assumption Setting'!$H$109)-1,12)))</f>
        <v>9.11364710715</v>
      </c>
      <c r="BD57" s="82" t="n">
        <f aca="true">IF((50-'Assumption Setting'!$H$109)&lt;1,0,OFFSET(Acquisitions!$A$85,0,2+13*INT(((50-'Assumption Setting'!$H$109)-1)/12)+MOD((50-'Assumption Setting'!$H$109)-1,12)))</f>
        <v>9.11364710715</v>
      </c>
      <c r="BE57" s="82" t="n">
        <f aca="true">IF((51-'Assumption Setting'!$H$109)&lt;1,0,OFFSET(Acquisitions!$A$85,0,2+13*INT(((51-'Assumption Setting'!$H$109)-1)/12)+MOD((51-'Assumption Setting'!$H$109)-1,12)))</f>
        <v>9.4279108005</v>
      </c>
      <c r="BF57" s="82" t="n">
        <f aca="true">IF((52-'Assumption Setting'!$H$109)&lt;1,0,OFFSET(Acquisitions!$A$85,0,2+13*INT(((52-'Assumption Setting'!$H$109)-1)/12)+MOD((52-'Assumption Setting'!$H$109)-1,12)))</f>
        <v>9.4279108005</v>
      </c>
      <c r="BG57" s="82" t="n">
        <f aca="true">IF((53-'Assumption Setting'!$H$109)&lt;1,0,OFFSET(Acquisitions!$A$85,0,2+13*INT(((53-'Assumption Setting'!$H$109)-1)/12)+MOD((53-'Assumption Setting'!$H$109)-1,12)))</f>
        <v>9.4279108005</v>
      </c>
      <c r="BH57" s="82" t="n">
        <f aca="true">IF((54-'Assumption Setting'!$H$109)&lt;1,0,OFFSET(Acquisitions!$A$85,0,2+13*INT(((54-'Assumption Setting'!$H$109)-1)/12)+MOD((54-'Assumption Setting'!$H$109)-1,12)))</f>
        <v>9.4279108005</v>
      </c>
      <c r="BI57" s="82" t="n">
        <f aca="true">IF((55-'Assumption Setting'!$H$109)&lt;1,0,OFFSET(Acquisitions!$A$85,0,2+13*INT(((55-'Assumption Setting'!$H$109)-1)/12)+MOD((55-'Assumption Setting'!$H$109)-1,12)))</f>
        <v>12.4993442165625</v>
      </c>
      <c r="BJ57" s="82" t="n">
        <f aca="true">IF((56-'Assumption Setting'!$H$109)&lt;1,0,OFFSET(Acquisitions!$A$85,0,2+13*INT(((56-'Assumption Setting'!$H$109)-1)/12)+MOD((56-'Assumption Setting'!$H$109)-1,12)))</f>
        <v>12.4993442165625</v>
      </c>
      <c r="BK57" s="82" t="n">
        <f aca="true">IF((57-'Assumption Setting'!$H$109)&lt;1,0,OFFSET(Acquisitions!$A$85,0,2+13*INT(((57-'Assumption Setting'!$H$109)-1)/12)+MOD((57-'Assumption Setting'!$H$109)-1,12)))</f>
        <v>12.4993442165625</v>
      </c>
      <c r="BL57" s="82" t="n">
        <f aca="true">IF((58-'Assumption Setting'!$H$109)&lt;1,0,OFFSET(Acquisitions!$A$85,0,2+13*INT(((58-'Assumption Setting'!$H$109)-1)/12)+MOD((58-'Assumption Setting'!$H$109)-1,12)))</f>
        <v>12.4993442165625</v>
      </c>
      <c r="BM57" s="82" t="n">
        <f aca="true">IF((59-'Assumption Setting'!$H$109)&lt;1,0,OFFSET(Acquisitions!$A$85,0,2+13*INT(((59-'Assumption Setting'!$H$109)-1)/12)+MOD((59-'Assumption Setting'!$H$109)-1,12)))</f>
        <v>12.4993442165625</v>
      </c>
      <c r="BN57" s="82" t="n">
        <f aca="true">IF((60-'Assumption Setting'!$H$109)&lt;1,0,OFFSET(Acquisitions!$A$85,0,2+13*INT(((60-'Assumption Setting'!$H$109)-1)/12)+MOD((60-'Assumption Setting'!$H$109)-1,12)))</f>
        <v>12.4993442165625</v>
      </c>
    </row>
    <row r="58" customFormat="false" ht="15" hidden="false" customHeight="false" outlineLevel="0" collapsed="false">
      <c r="A58" s="12" t="s">
        <v>690</v>
      </c>
      <c r="B58" s="81" t="n">
        <f aca="false">SUM(C58:N58)</f>
        <v>0.725669609318182</v>
      </c>
      <c r="C58" s="82" t="n">
        <f aca="true">IF((1-'Assumption Setting'!$H$110)&lt;1,0,OFFSET(Acquisitions!$A$89,0,2+13*INT(((1-'Assumption Setting'!$H$110)-1)/12)+MOD((1-'Assumption Setting'!$H$110)-1,12)))</f>
        <v>0</v>
      </c>
      <c r="D58" s="82" t="n">
        <f aca="true">IF((2-'Assumption Setting'!$H$110)&lt;1,0,OFFSET(Acquisitions!$A$89,0,2+13*INT(((2-'Assumption Setting'!$H$110)-1)/12)+MOD((2-'Assumption Setting'!$H$110)-1,12)))</f>
        <v>0</v>
      </c>
      <c r="E58" s="82" t="n">
        <f aca="true">IF((3-'Assumption Setting'!$H$110)&lt;1,0,OFFSET(Acquisitions!$A$89,0,2+13*INT(((3-'Assumption Setting'!$H$110)-1)/12)+MOD((3-'Assumption Setting'!$H$110)-1,12)))</f>
        <v>0</v>
      </c>
      <c r="F58" s="82" t="n">
        <f aca="true">IF((4-'Assumption Setting'!$H$110)&lt;1,0,OFFSET(Acquisitions!$A$89,0,2+13*INT(((4-'Assumption Setting'!$H$110)-1)/12)+MOD((4-'Assumption Setting'!$H$110)-1,12)))</f>
        <v>0</v>
      </c>
      <c r="G58" s="82" t="n">
        <f aca="true">IF((5-'Assumption Setting'!$H$110)&lt;1,0,OFFSET(Acquisitions!$A$89,0,2+13*INT(((5-'Assumption Setting'!$H$110)-1)/12)+MOD((5-'Assumption Setting'!$H$110)-1,12)))</f>
        <v>0</v>
      </c>
      <c r="H58" s="82" t="n">
        <f aca="true">IF((6-'Assumption Setting'!$H$110)&lt;1,0,OFFSET(Acquisitions!$A$89,0,2+13*INT(((6-'Assumption Setting'!$H$110)-1)/12)+MOD((6-'Assumption Setting'!$H$110)-1,12)))</f>
        <v>0.103667087045455</v>
      </c>
      <c r="I58" s="82" t="n">
        <f aca="true">IF((7-'Assumption Setting'!$H$110)&lt;1,0,OFFSET(Acquisitions!$A$89,0,2+13*INT(((7-'Assumption Setting'!$H$110)-1)/12)+MOD((7-'Assumption Setting'!$H$110)-1,12)))</f>
        <v>0.103667087045455</v>
      </c>
      <c r="J58" s="82" t="n">
        <f aca="true">IF((8-'Assumption Setting'!$H$110)&lt;1,0,OFFSET(Acquisitions!$A$89,0,2+13*INT(((8-'Assumption Setting'!$H$110)-1)/12)+MOD((8-'Assumption Setting'!$H$110)-1,12)))</f>
        <v>0.103667087045455</v>
      </c>
      <c r="K58" s="82" t="n">
        <f aca="true">IF((9-'Assumption Setting'!$H$110)&lt;1,0,OFFSET(Acquisitions!$A$89,0,2+13*INT(((9-'Assumption Setting'!$H$110)-1)/12)+MOD((9-'Assumption Setting'!$H$110)-1,12)))</f>
        <v>0.103667087045455</v>
      </c>
      <c r="L58" s="82" t="n">
        <f aca="true">IF((10-'Assumption Setting'!$H$110)&lt;1,0,OFFSET(Acquisitions!$A$89,0,2+13*INT(((10-'Assumption Setting'!$H$110)-1)/12)+MOD((10-'Assumption Setting'!$H$110)-1,12)))</f>
        <v>0.103667087045455</v>
      </c>
      <c r="M58" s="82" t="n">
        <f aca="true">IF((11-'Assumption Setting'!$H$110)&lt;1,0,OFFSET(Acquisitions!$A$89,0,2+13*INT(((11-'Assumption Setting'!$H$110)-1)/12)+MOD((11-'Assumption Setting'!$H$110)-1,12)))</f>
        <v>0.103667087045455</v>
      </c>
      <c r="N58" s="82" t="n">
        <f aca="true">IF((12-'Assumption Setting'!$H$110)&lt;1,0,OFFSET(Acquisitions!$A$89,0,2+13*INT(((12-'Assumption Setting'!$H$110)-1)/12)+MOD((12-'Assumption Setting'!$H$110)-1,12)))</f>
        <v>0.103667087045455</v>
      </c>
      <c r="O58" s="81" t="n">
        <f aca="false">SUM(P58:AA58)</f>
        <v>4.628129037</v>
      </c>
      <c r="P58" s="82" t="n">
        <f aca="true">IF((13-'Assumption Setting'!$H$110)&lt;1,0,OFFSET(Acquisitions!$A$89,0,2+13*INT(((13-'Assumption Setting'!$H$110)-1)/12)+MOD((13-'Assumption Setting'!$H$110)-1,12)))</f>
        <v>0.103667087045455</v>
      </c>
      <c r="Q58" s="82" t="n">
        <f aca="true">IF((14-'Assumption Setting'!$H$110)&lt;1,0,OFFSET(Acquisitions!$A$89,0,2+13*INT(((14-'Assumption Setting'!$H$110)-1)/12)+MOD((14-'Assumption Setting'!$H$110)-1,12)))</f>
        <v>0.119217150102273</v>
      </c>
      <c r="R58" s="82" t="n">
        <f aca="true">IF((15-'Assumption Setting'!$H$110)&lt;1,0,OFFSET(Acquisitions!$A$89,0,2+13*INT(((15-'Assumption Setting'!$H$110)-1)/12)+MOD((15-'Assumption Setting'!$H$110)-1,12)))</f>
        <v>0.119217150102273</v>
      </c>
      <c r="S58" s="82" t="n">
        <f aca="true">IF((16-'Assumption Setting'!$H$110)&lt;1,0,OFFSET(Acquisitions!$A$89,0,2+13*INT(((16-'Assumption Setting'!$H$110)-1)/12)+MOD((16-'Assumption Setting'!$H$110)-1,12)))</f>
        <v>0.119217150102273</v>
      </c>
      <c r="T58" s="82" t="n">
        <f aca="true">IF((17-'Assumption Setting'!$H$110)&lt;1,0,OFFSET(Acquisitions!$A$89,0,2+13*INT(((17-'Assumption Setting'!$H$110)-1)/12)+MOD((17-'Assumption Setting'!$H$110)-1,12)))</f>
        <v>0.119217150102273</v>
      </c>
      <c r="U58" s="82" t="n">
        <f aca="true">IF((18-'Assumption Setting'!$H$110)&lt;1,0,OFFSET(Acquisitions!$A$89,0,2+13*INT(((18-'Assumption Setting'!$H$110)-1)/12)+MOD((18-'Assumption Setting'!$H$110)-1,12)))</f>
        <v>0.578227621363636</v>
      </c>
      <c r="V58" s="82" t="n">
        <f aca="true">IF((19-'Assumption Setting'!$H$110)&lt;1,0,OFFSET(Acquisitions!$A$89,0,2+13*INT(((19-'Assumption Setting'!$H$110)-1)/12)+MOD((19-'Assumption Setting'!$H$110)-1,12)))</f>
        <v>0.578227621363636</v>
      </c>
      <c r="W58" s="82" t="n">
        <f aca="true">IF((20-'Assumption Setting'!$H$110)&lt;1,0,OFFSET(Acquisitions!$A$89,0,2+13*INT(((20-'Assumption Setting'!$H$110)-1)/12)+MOD((20-'Assumption Setting'!$H$110)-1,12)))</f>
        <v>0.578227621363636</v>
      </c>
      <c r="X58" s="82" t="n">
        <f aca="true">IF((21-'Assumption Setting'!$H$110)&lt;1,0,OFFSET(Acquisitions!$A$89,0,2+13*INT(((21-'Assumption Setting'!$H$110)-1)/12)+MOD((21-'Assumption Setting'!$H$110)-1,12)))</f>
        <v>0.578227621363636</v>
      </c>
      <c r="Y58" s="82" t="n">
        <f aca="true">IF((22-'Assumption Setting'!$H$110)&lt;1,0,OFFSET(Acquisitions!$A$89,0,2+13*INT(((22-'Assumption Setting'!$H$110)-1)/12)+MOD((22-'Assumption Setting'!$H$110)-1,12)))</f>
        <v>0.578227621363636</v>
      </c>
      <c r="Z58" s="82" t="n">
        <f aca="true">IF((23-'Assumption Setting'!$H$110)&lt;1,0,OFFSET(Acquisitions!$A$89,0,2+13*INT(((23-'Assumption Setting'!$H$110)-1)/12)+MOD((23-'Assumption Setting'!$H$110)-1,12)))</f>
        <v>0.578227621363636</v>
      </c>
      <c r="AA58" s="82" t="n">
        <f aca="true">IF((24-'Assumption Setting'!$H$110)&lt;1,0,OFFSET(Acquisitions!$A$89,0,2+13*INT(((24-'Assumption Setting'!$H$110)-1)/12)+MOD((24-'Assumption Setting'!$H$110)-1,12)))</f>
        <v>0.578227621363636</v>
      </c>
      <c r="AB58" s="81" t="n">
        <f aca="false">SUM(AC58:AN58)</f>
        <v>13.0552943310682</v>
      </c>
      <c r="AC58" s="82" t="n">
        <f aca="true">IF((25-'Assumption Setting'!$H$110)&lt;1,0,OFFSET(Acquisitions!$A$89,0,2+13*INT(((25-'Assumption Setting'!$H$110)-1)/12)+MOD((25-'Assumption Setting'!$H$110)-1,12)))</f>
        <v>0.578227621363636</v>
      </c>
      <c r="AD58" s="82" t="n">
        <f aca="true">IF((26-'Assumption Setting'!$H$110)&lt;1,0,OFFSET(Acquisitions!$A$89,0,2+13*INT(((26-'Assumption Setting'!$H$110)-1)/12)+MOD((26-'Assumption Setting'!$H$110)-1,12)))</f>
        <v>0.678788946818182</v>
      </c>
      <c r="AE58" s="82" t="n">
        <f aca="true">IF((27-'Assumption Setting'!$H$110)&lt;1,0,OFFSET(Acquisitions!$A$89,0,2+13*INT(((27-'Assumption Setting'!$H$110)-1)/12)+MOD((27-'Assumption Setting'!$H$110)-1,12)))</f>
        <v>0.678788946818182</v>
      </c>
      <c r="AF58" s="82" t="n">
        <f aca="true">IF((28-'Assumption Setting'!$H$110)&lt;1,0,OFFSET(Acquisitions!$A$89,0,2+13*INT(((28-'Assumption Setting'!$H$110)-1)/12)+MOD((28-'Assumption Setting'!$H$110)-1,12)))</f>
        <v>0.678788946818182</v>
      </c>
      <c r="AG58" s="82" t="n">
        <f aca="true">IF((29-'Assumption Setting'!$H$110)&lt;1,0,OFFSET(Acquisitions!$A$89,0,2+13*INT(((29-'Assumption Setting'!$H$110)-1)/12)+MOD((29-'Assumption Setting'!$H$110)-1,12)))</f>
        <v>0.678788946818182</v>
      </c>
      <c r="AH58" s="82" t="n">
        <f aca="true">IF((30-'Assumption Setting'!$H$110)&lt;1,0,OFFSET(Acquisitions!$A$89,0,2+13*INT(((30-'Assumption Setting'!$H$110)-1)/12)+MOD((30-'Assumption Setting'!$H$110)-1,12)))</f>
        <v>1.39455870320455</v>
      </c>
      <c r="AI58" s="82" t="n">
        <f aca="true">IF((31-'Assumption Setting'!$H$110)&lt;1,0,OFFSET(Acquisitions!$A$89,0,2+13*INT(((31-'Assumption Setting'!$H$110)-1)/12)+MOD((31-'Assumption Setting'!$H$110)-1,12)))</f>
        <v>1.39455870320455</v>
      </c>
      <c r="AJ58" s="82" t="n">
        <f aca="true">IF((32-'Assumption Setting'!$H$110)&lt;1,0,OFFSET(Acquisitions!$A$89,0,2+13*INT(((32-'Assumption Setting'!$H$110)-1)/12)+MOD((32-'Assumption Setting'!$H$110)-1,12)))</f>
        <v>1.39455870320455</v>
      </c>
      <c r="AK58" s="82" t="n">
        <f aca="true">IF((33-'Assumption Setting'!$H$110)&lt;1,0,OFFSET(Acquisitions!$A$89,0,2+13*INT(((33-'Assumption Setting'!$H$110)-1)/12)+MOD((33-'Assumption Setting'!$H$110)-1,12)))</f>
        <v>1.39455870320455</v>
      </c>
      <c r="AL58" s="82" t="n">
        <f aca="true">IF((34-'Assumption Setting'!$H$110)&lt;1,0,OFFSET(Acquisitions!$A$89,0,2+13*INT(((34-'Assumption Setting'!$H$110)-1)/12)+MOD((34-'Assumption Setting'!$H$110)-1,12)))</f>
        <v>1.39455870320455</v>
      </c>
      <c r="AM58" s="82" t="n">
        <f aca="true">IF((35-'Assumption Setting'!$H$110)&lt;1,0,OFFSET(Acquisitions!$A$89,0,2+13*INT(((35-'Assumption Setting'!$H$110)-1)/12)+MOD((35-'Assumption Setting'!$H$110)-1,12)))</f>
        <v>1.39455870320455</v>
      </c>
      <c r="AN58" s="82" t="n">
        <f aca="true">IF((36-'Assumption Setting'!$H$110)&lt;1,0,OFFSET(Acquisitions!$A$89,0,2+13*INT(((36-'Assumption Setting'!$H$110)-1)/12)+MOD((36-'Assumption Setting'!$H$110)-1,12)))</f>
        <v>1.39455870320455</v>
      </c>
      <c r="AO58" s="81" t="n">
        <f aca="false">SUM(AP58:BA58)</f>
        <v>22.4219795375227</v>
      </c>
      <c r="AP58" s="82" t="n">
        <f aca="true">IF((37-'Assumption Setting'!$H$110)&lt;1,0,OFFSET(Acquisitions!$A$89,0,2+13*INT(((37-'Assumption Setting'!$H$110)-1)/12)+MOD((37-'Assumption Setting'!$H$110)-1,12)))</f>
        <v>1.39455870320455</v>
      </c>
      <c r="AQ58" s="82" t="n">
        <f aca="true">IF((38-'Assumption Setting'!$H$110)&lt;1,0,OFFSET(Acquisitions!$A$89,0,2+13*INT(((38-'Assumption Setting'!$H$110)-1)/12)+MOD((38-'Assumption Setting'!$H$110)-1,12)))</f>
        <v>1.49785934788636</v>
      </c>
      <c r="AR58" s="82" t="n">
        <f aca="true">IF((39-'Assumption Setting'!$H$110)&lt;1,0,OFFSET(Acquisitions!$A$89,0,2+13*INT(((39-'Assumption Setting'!$H$110)-1)/12)+MOD((39-'Assumption Setting'!$H$110)-1,12)))</f>
        <v>1.49785934788636</v>
      </c>
      <c r="AS58" s="82" t="n">
        <f aca="true">IF((40-'Assumption Setting'!$H$110)&lt;1,0,OFFSET(Acquisitions!$A$89,0,2+13*INT(((40-'Assumption Setting'!$H$110)-1)/12)+MOD((40-'Assumption Setting'!$H$110)-1,12)))</f>
        <v>1.49785934788636</v>
      </c>
      <c r="AT58" s="82" t="n">
        <f aca="true">IF((41-'Assumption Setting'!$H$110)&lt;1,0,OFFSET(Acquisitions!$A$89,0,2+13*INT(((41-'Assumption Setting'!$H$110)-1)/12)+MOD((41-'Assumption Setting'!$H$110)-1,12)))</f>
        <v>1.49785934788636</v>
      </c>
      <c r="AU58" s="82" t="n">
        <f aca="true">IF((42-'Assumption Setting'!$H$110)&lt;1,0,OFFSET(Acquisitions!$A$89,0,2+13*INT(((42-'Assumption Setting'!$H$110)-1)/12)+MOD((42-'Assumption Setting'!$H$110)-1,12)))</f>
        <v>2.14799763468182</v>
      </c>
      <c r="AV58" s="82" t="n">
        <f aca="true">IF((43-'Assumption Setting'!$H$110)&lt;1,0,OFFSET(Acquisitions!$A$89,0,2+13*INT(((43-'Assumption Setting'!$H$110)-1)/12)+MOD((43-'Assumption Setting'!$H$110)-1,12)))</f>
        <v>2.14799763468182</v>
      </c>
      <c r="AW58" s="82" t="n">
        <f aca="true">IF((44-'Assumption Setting'!$H$110)&lt;1,0,OFFSET(Acquisitions!$A$89,0,2+13*INT(((44-'Assumption Setting'!$H$110)-1)/12)+MOD((44-'Assumption Setting'!$H$110)-1,12)))</f>
        <v>2.14799763468182</v>
      </c>
      <c r="AX58" s="82" t="n">
        <f aca="true">IF((45-'Assumption Setting'!$H$110)&lt;1,0,OFFSET(Acquisitions!$A$89,0,2+13*INT(((45-'Assumption Setting'!$H$110)-1)/12)+MOD((45-'Assumption Setting'!$H$110)-1,12)))</f>
        <v>2.14799763468182</v>
      </c>
      <c r="AY58" s="82" t="n">
        <f aca="true">IF((46-'Assumption Setting'!$H$110)&lt;1,0,OFFSET(Acquisitions!$A$89,0,2+13*INT(((46-'Assumption Setting'!$H$110)-1)/12)+MOD((46-'Assumption Setting'!$H$110)-1,12)))</f>
        <v>2.14799763468182</v>
      </c>
      <c r="AZ58" s="82" t="n">
        <f aca="true">IF((47-'Assumption Setting'!$H$110)&lt;1,0,OFFSET(Acquisitions!$A$89,0,2+13*INT(((47-'Assumption Setting'!$H$110)-1)/12)+MOD((47-'Assumption Setting'!$H$110)-1,12)))</f>
        <v>2.14799763468182</v>
      </c>
      <c r="BA58" s="82" t="n">
        <f aca="true">IF((48-'Assumption Setting'!$H$110)&lt;1,0,OFFSET(Acquisitions!$A$89,0,2+13*INT(((48-'Assumption Setting'!$H$110)-1)/12)+MOD((48-'Assumption Setting'!$H$110)-1,12)))</f>
        <v>2.14799763468182</v>
      </c>
      <c r="BB58" s="81" t="n">
        <f aca="false">SUM(BC58:BN58)</f>
        <v>31.6580773998523</v>
      </c>
      <c r="BC58" s="82" t="n">
        <f aca="true">IF((49-'Assumption Setting'!$H$110)&lt;1,0,OFFSET(Acquisitions!$A$89,0,2+13*INT(((49-'Assumption Setting'!$H$110)-1)/12)+MOD((49-'Assumption Setting'!$H$110)-1,12)))</f>
        <v>2.14799763468182</v>
      </c>
      <c r="BD58" s="82" t="n">
        <f aca="true">IF((50-'Assumption Setting'!$H$110)&lt;1,0,OFFSET(Acquisitions!$A$89,0,2+13*INT(((50-'Assumption Setting'!$H$110)-1)/12)+MOD((50-'Assumption Setting'!$H$110)-1,12)))</f>
        <v>2.22206651863636</v>
      </c>
      <c r="BE58" s="82" t="n">
        <f aca="true">IF((51-'Assumption Setting'!$H$110)&lt;1,0,OFFSET(Acquisitions!$A$89,0,2+13*INT(((51-'Assumption Setting'!$H$110)-1)/12)+MOD((51-'Assumption Setting'!$H$110)-1,12)))</f>
        <v>2.22206651863636</v>
      </c>
      <c r="BF58" s="82" t="n">
        <f aca="true">IF((52-'Assumption Setting'!$H$110)&lt;1,0,OFFSET(Acquisitions!$A$89,0,2+13*INT(((52-'Assumption Setting'!$H$110)-1)/12)+MOD((52-'Assumption Setting'!$H$110)-1,12)))</f>
        <v>2.22206651863636</v>
      </c>
      <c r="BG58" s="82" t="n">
        <f aca="true">IF((53-'Assumption Setting'!$H$110)&lt;1,0,OFFSET(Acquisitions!$A$89,0,2+13*INT(((53-'Assumption Setting'!$H$110)-1)/12)+MOD((53-'Assumption Setting'!$H$110)-1,12)))</f>
        <v>2.22206651863636</v>
      </c>
      <c r="BH58" s="82" t="n">
        <f aca="true">IF((54-'Assumption Setting'!$H$110)&lt;1,0,OFFSET(Acquisitions!$A$89,0,2+13*INT(((54-'Assumption Setting'!$H$110)-1)/12)+MOD((54-'Assumption Setting'!$H$110)-1,12)))</f>
        <v>2.945973384375</v>
      </c>
      <c r="BI58" s="82" t="n">
        <f aca="true">IF((55-'Assumption Setting'!$H$110)&lt;1,0,OFFSET(Acquisitions!$A$89,0,2+13*INT(((55-'Assumption Setting'!$H$110)-1)/12)+MOD((55-'Assumption Setting'!$H$110)-1,12)))</f>
        <v>2.945973384375</v>
      </c>
      <c r="BJ58" s="82" t="n">
        <f aca="true">IF((56-'Assumption Setting'!$H$110)&lt;1,0,OFFSET(Acquisitions!$A$89,0,2+13*INT(((56-'Assumption Setting'!$H$110)-1)/12)+MOD((56-'Assumption Setting'!$H$110)-1,12)))</f>
        <v>2.945973384375</v>
      </c>
      <c r="BK58" s="82" t="n">
        <f aca="true">IF((57-'Assumption Setting'!$H$110)&lt;1,0,OFFSET(Acquisitions!$A$89,0,2+13*INT(((57-'Assumption Setting'!$H$110)-1)/12)+MOD((57-'Assumption Setting'!$H$110)-1,12)))</f>
        <v>2.945973384375</v>
      </c>
      <c r="BL58" s="82" t="n">
        <f aca="true">IF((58-'Assumption Setting'!$H$110)&lt;1,0,OFFSET(Acquisitions!$A$89,0,2+13*INT(((58-'Assumption Setting'!$H$110)-1)/12)+MOD((58-'Assumption Setting'!$H$110)-1,12)))</f>
        <v>2.945973384375</v>
      </c>
      <c r="BM58" s="82" t="n">
        <f aca="true">IF((59-'Assumption Setting'!$H$110)&lt;1,0,OFFSET(Acquisitions!$A$89,0,2+13*INT(((59-'Assumption Setting'!$H$110)-1)/12)+MOD((59-'Assumption Setting'!$H$110)-1,12)))</f>
        <v>2.945973384375</v>
      </c>
      <c r="BN58" s="82" t="n">
        <f aca="true">IF((60-'Assumption Setting'!$H$110)&lt;1,0,OFFSET(Acquisitions!$A$89,0,2+13*INT(((60-'Assumption Setting'!$H$110)-1)/12)+MOD((60-'Assumption Setting'!$H$110)-1,12)))</f>
        <v>2.945973384375</v>
      </c>
    </row>
    <row r="59" customFormat="false" ht="15" hidden="false" customHeight="false" outlineLevel="0" collapsed="false">
      <c r="A59" s="12" t="s">
        <v>691</v>
      </c>
      <c r="B59" s="81" t="n">
        <f aca="false">SUM(C59:N59)</f>
        <v>0</v>
      </c>
      <c r="C59" s="82" t="n">
        <f aca="true">IF((1-'Assumption Setting'!$H$111)&lt;1,0,OFFSET(Acquisitions!$A$93,0,2+13*INT(((1-'Assumption Setting'!$H$111)-1)/12)+MOD((1-'Assumption Setting'!$H$111)-1,12)))</f>
        <v>0</v>
      </c>
      <c r="D59" s="82" t="n">
        <f aca="true">IF((2-'Assumption Setting'!$H$111)&lt;1,0,OFFSET(Acquisitions!$A$93,0,2+13*INT(((2-'Assumption Setting'!$H$111)-1)/12)+MOD((2-'Assumption Setting'!$H$111)-1,12)))</f>
        <v>0</v>
      </c>
      <c r="E59" s="82" t="n">
        <f aca="true">IF((3-'Assumption Setting'!$H$111)&lt;1,0,OFFSET(Acquisitions!$A$93,0,2+13*INT(((3-'Assumption Setting'!$H$111)-1)/12)+MOD((3-'Assumption Setting'!$H$111)-1,12)))</f>
        <v>0</v>
      </c>
      <c r="F59" s="82" t="n">
        <f aca="true">IF((4-'Assumption Setting'!$H$111)&lt;1,0,OFFSET(Acquisitions!$A$93,0,2+13*INT(((4-'Assumption Setting'!$H$111)-1)/12)+MOD((4-'Assumption Setting'!$H$111)-1,12)))</f>
        <v>0</v>
      </c>
      <c r="G59" s="82" t="n">
        <f aca="true">IF((5-'Assumption Setting'!$H$111)&lt;1,0,OFFSET(Acquisitions!$A$93,0,2+13*INT(((5-'Assumption Setting'!$H$111)-1)/12)+MOD((5-'Assumption Setting'!$H$111)-1,12)))</f>
        <v>0</v>
      </c>
      <c r="H59" s="82" t="n">
        <f aca="true">IF((6-'Assumption Setting'!$H$111)&lt;1,0,OFFSET(Acquisitions!$A$93,0,2+13*INT(((6-'Assumption Setting'!$H$111)-1)/12)+MOD((6-'Assumption Setting'!$H$111)-1,12)))</f>
        <v>0</v>
      </c>
      <c r="I59" s="82" t="n">
        <f aca="true">IF((7-'Assumption Setting'!$H$111)&lt;1,0,OFFSET(Acquisitions!$A$93,0,2+13*INT(((7-'Assumption Setting'!$H$111)-1)/12)+MOD((7-'Assumption Setting'!$H$111)-1,12)))</f>
        <v>0</v>
      </c>
      <c r="J59" s="82" t="n">
        <f aca="true">IF((8-'Assumption Setting'!$H$111)&lt;1,0,OFFSET(Acquisitions!$A$93,0,2+13*INT(((8-'Assumption Setting'!$H$111)-1)/12)+MOD((8-'Assumption Setting'!$H$111)-1,12)))</f>
        <v>0</v>
      </c>
      <c r="K59" s="82" t="n">
        <f aca="true">IF((9-'Assumption Setting'!$H$111)&lt;1,0,OFFSET(Acquisitions!$A$93,0,2+13*INT(((9-'Assumption Setting'!$H$111)-1)/12)+MOD((9-'Assumption Setting'!$H$111)-1,12)))</f>
        <v>0</v>
      </c>
      <c r="L59" s="82" t="n">
        <f aca="true">IF((10-'Assumption Setting'!$H$111)&lt;1,0,OFFSET(Acquisitions!$A$93,0,2+13*INT(((10-'Assumption Setting'!$H$111)-1)/12)+MOD((10-'Assumption Setting'!$H$111)-1,12)))</f>
        <v>0</v>
      </c>
      <c r="M59" s="82" t="n">
        <f aca="true">IF((11-'Assumption Setting'!$H$111)&lt;1,0,OFFSET(Acquisitions!$A$93,0,2+13*INT(((11-'Assumption Setting'!$H$111)-1)/12)+MOD((11-'Assumption Setting'!$H$111)-1,12)))</f>
        <v>0</v>
      </c>
      <c r="N59" s="82" t="n">
        <f aca="true">IF((12-'Assumption Setting'!$H$111)&lt;1,0,OFFSET(Acquisitions!$A$93,0,2+13*INT(((12-'Assumption Setting'!$H$111)-1)/12)+MOD((12-'Assumption Setting'!$H$111)-1,12)))</f>
        <v>0</v>
      </c>
      <c r="O59" s="81" t="n">
        <f aca="false">SUM(P59:AA59)</f>
        <v>0.724244186871307</v>
      </c>
      <c r="P59" s="82" t="n">
        <f aca="true">IF((13-'Assumption Setting'!$H$111)&lt;1,0,OFFSET(Acquisitions!$A$93,0,2+13*INT(((13-'Assumption Setting'!$H$111)-1)/12)+MOD((13-'Assumption Setting'!$H$111)-1,12)))</f>
        <v>0</v>
      </c>
      <c r="Q59" s="82" t="n">
        <f aca="true">IF((14-'Assumption Setting'!$H$111)&lt;1,0,OFFSET(Acquisitions!$A$93,0,2+13*INT(((14-'Assumption Setting'!$H$111)-1)/12)+MOD((14-'Assumption Setting'!$H$111)-1,12)))</f>
        <v>0</v>
      </c>
      <c r="R59" s="82" t="n">
        <f aca="true">IF((15-'Assumption Setting'!$H$111)&lt;1,0,OFFSET(Acquisitions!$A$93,0,2+13*INT(((15-'Assumption Setting'!$H$111)-1)/12)+MOD((15-'Assumption Setting'!$H$111)-1,12)))</f>
        <v>0</v>
      </c>
      <c r="S59" s="82" t="n">
        <f aca="true">IF((16-'Assumption Setting'!$H$111)&lt;1,0,OFFSET(Acquisitions!$A$93,0,2+13*INT(((16-'Assumption Setting'!$H$111)-1)/12)+MOD((16-'Assumption Setting'!$H$111)-1,12)))</f>
        <v>0.0804715763190341</v>
      </c>
      <c r="T59" s="82" t="n">
        <f aca="true">IF((17-'Assumption Setting'!$H$111)&lt;1,0,OFFSET(Acquisitions!$A$93,0,2+13*INT(((17-'Assumption Setting'!$H$111)-1)/12)+MOD((17-'Assumption Setting'!$H$111)-1,12)))</f>
        <v>0.0804715763190341</v>
      </c>
      <c r="U59" s="82" t="n">
        <f aca="true">IF((18-'Assumption Setting'!$H$111)&lt;1,0,OFFSET(Acquisitions!$A$93,0,2+13*INT(((18-'Assumption Setting'!$H$111)-1)/12)+MOD((18-'Assumption Setting'!$H$111)-1,12)))</f>
        <v>0.0804715763190341</v>
      </c>
      <c r="V59" s="82" t="n">
        <f aca="true">IF((19-'Assumption Setting'!$H$111)&lt;1,0,OFFSET(Acquisitions!$A$93,0,2+13*INT(((19-'Assumption Setting'!$H$111)-1)/12)+MOD((19-'Assumption Setting'!$H$111)-1,12)))</f>
        <v>0.0804715763190341</v>
      </c>
      <c r="W59" s="82" t="n">
        <f aca="true">IF((20-'Assumption Setting'!$H$111)&lt;1,0,OFFSET(Acquisitions!$A$93,0,2+13*INT(((20-'Assumption Setting'!$H$111)-1)/12)+MOD((20-'Assumption Setting'!$H$111)-1,12)))</f>
        <v>0.0804715763190341</v>
      </c>
      <c r="X59" s="82" t="n">
        <f aca="true">IF((21-'Assumption Setting'!$H$111)&lt;1,0,OFFSET(Acquisitions!$A$93,0,2+13*INT(((21-'Assumption Setting'!$H$111)-1)/12)+MOD((21-'Assumption Setting'!$H$111)-1,12)))</f>
        <v>0.0804715763190341</v>
      </c>
      <c r="Y59" s="82" t="n">
        <f aca="true">IF((22-'Assumption Setting'!$H$111)&lt;1,0,OFFSET(Acquisitions!$A$93,0,2+13*INT(((22-'Assumption Setting'!$H$111)-1)/12)+MOD((22-'Assumption Setting'!$H$111)-1,12)))</f>
        <v>0.0804715763190341</v>
      </c>
      <c r="Z59" s="82" t="n">
        <f aca="true">IF((23-'Assumption Setting'!$H$111)&lt;1,0,OFFSET(Acquisitions!$A$93,0,2+13*INT(((23-'Assumption Setting'!$H$111)-1)/12)+MOD((23-'Assumption Setting'!$H$111)-1,12)))</f>
        <v>0.0804715763190341</v>
      </c>
      <c r="AA59" s="82" t="n">
        <f aca="true">IF((24-'Assumption Setting'!$H$111)&lt;1,0,OFFSET(Acquisitions!$A$93,0,2+13*INT(((24-'Assumption Setting'!$H$111)-1)/12)+MOD((24-'Assumption Setting'!$H$111)-1,12)))</f>
        <v>0.0804715763190341</v>
      </c>
      <c r="AB59" s="81" t="n">
        <f aca="false">SUM(AC59:AN59)</f>
        <v>4.36505758087756</v>
      </c>
      <c r="AC59" s="82" t="n">
        <f aca="true">IF((25-'Assumption Setting'!$H$111)&lt;1,0,OFFSET(Acquisitions!$A$93,0,2+13*INT(((25-'Assumption Setting'!$H$111)-1)/12)+MOD((25-'Assumption Setting'!$H$111)-1,12)))</f>
        <v>0.0804715763190341</v>
      </c>
      <c r="AD59" s="82" t="n">
        <f aca="true">IF((26-'Assumption Setting'!$H$111)&lt;1,0,OFFSET(Acquisitions!$A$93,0,2+13*INT(((26-'Assumption Setting'!$H$111)-1)/12)+MOD((26-'Assumption Setting'!$H$111)-1,12)))</f>
        <v>0.0804715763190341</v>
      </c>
      <c r="AE59" s="82" t="n">
        <f aca="true">IF((27-'Assumption Setting'!$H$111)&lt;1,0,OFFSET(Acquisitions!$A$93,0,2+13*INT(((27-'Assumption Setting'!$H$111)-1)/12)+MOD((27-'Assumption Setting'!$H$111)-1,12)))</f>
        <v>0.0804715763190341</v>
      </c>
      <c r="AF59" s="82" t="n">
        <f aca="true">IF((28-'Assumption Setting'!$H$111)&lt;1,0,OFFSET(Acquisitions!$A$93,0,2+13*INT(((28-'Assumption Setting'!$H$111)-1)/12)+MOD((28-'Assumption Setting'!$H$111)-1,12)))</f>
        <v>0.458182539102273</v>
      </c>
      <c r="AG59" s="82" t="n">
        <f aca="true">IF((29-'Assumption Setting'!$H$111)&lt;1,0,OFFSET(Acquisitions!$A$93,0,2+13*INT(((29-'Assumption Setting'!$H$111)-1)/12)+MOD((29-'Assumption Setting'!$H$111)-1,12)))</f>
        <v>0.458182539102273</v>
      </c>
      <c r="AH59" s="82" t="n">
        <f aca="true">IF((30-'Assumption Setting'!$H$111)&lt;1,0,OFFSET(Acquisitions!$A$93,0,2+13*INT(((30-'Assumption Setting'!$H$111)-1)/12)+MOD((30-'Assumption Setting'!$H$111)-1,12)))</f>
        <v>0.458182539102273</v>
      </c>
      <c r="AI59" s="82" t="n">
        <f aca="true">IF((31-'Assumption Setting'!$H$111)&lt;1,0,OFFSET(Acquisitions!$A$93,0,2+13*INT(((31-'Assumption Setting'!$H$111)-1)/12)+MOD((31-'Assumption Setting'!$H$111)-1,12)))</f>
        <v>0.458182539102273</v>
      </c>
      <c r="AJ59" s="82" t="n">
        <f aca="true">IF((32-'Assumption Setting'!$H$111)&lt;1,0,OFFSET(Acquisitions!$A$93,0,2+13*INT(((32-'Assumption Setting'!$H$111)-1)/12)+MOD((32-'Assumption Setting'!$H$111)-1,12)))</f>
        <v>0.458182539102273</v>
      </c>
      <c r="AK59" s="82" t="n">
        <f aca="true">IF((33-'Assumption Setting'!$H$111)&lt;1,0,OFFSET(Acquisitions!$A$93,0,2+13*INT(((33-'Assumption Setting'!$H$111)-1)/12)+MOD((33-'Assumption Setting'!$H$111)-1,12)))</f>
        <v>0.458182539102273</v>
      </c>
      <c r="AL59" s="82" t="n">
        <f aca="true">IF((34-'Assumption Setting'!$H$111)&lt;1,0,OFFSET(Acquisitions!$A$93,0,2+13*INT(((34-'Assumption Setting'!$H$111)-1)/12)+MOD((34-'Assumption Setting'!$H$111)-1,12)))</f>
        <v>0.458182539102273</v>
      </c>
      <c r="AM59" s="82" t="n">
        <f aca="true">IF((35-'Assumption Setting'!$H$111)&lt;1,0,OFFSET(Acquisitions!$A$93,0,2+13*INT(((35-'Assumption Setting'!$H$111)-1)/12)+MOD((35-'Assumption Setting'!$H$111)-1,12)))</f>
        <v>0.458182539102273</v>
      </c>
      <c r="AN59" s="82" t="n">
        <f aca="true">IF((36-'Assumption Setting'!$H$111)&lt;1,0,OFFSET(Acquisitions!$A$93,0,2+13*INT(((36-'Assumption Setting'!$H$111)-1)/12)+MOD((36-'Assumption Setting'!$H$111)-1,12)))</f>
        <v>0.458182539102273</v>
      </c>
      <c r="AO59" s="81" t="n">
        <f aca="false">SUM(AP59:BA59)</f>
        <v>10.4740431557165</v>
      </c>
      <c r="AP59" s="82" t="n">
        <f aca="true">IF((37-'Assumption Setting'!$H$111)&lt;1,0,OFFSET(Acquisitions!$A$93,0,2+13*INT(((37-'Assumption Setting'!$H$111)-1)/12)+MOD((37-'Assumption Setting'!$H$111)-1,12)))</f>
        <v>0.458182539102273</v>
      </c>
      <c r="AQ59" s="82" t="n">
        <f aca="true">IF((38-'Assumption Setting'!$H$111)&lt;1,0,OFFSET(Acquisitions!$A$93,0,2+13*INT(((38-'Assumption Setting'!$H$111)-1)/12)+MOD((38-'Assumption Setting'!$H$111)-1,12)))</f>
        <v>0.458182539102273</v>
      </c>
      <c r="AR59" s="82" t="n">
        <f aca="true">IF((39-'Assumption Setting'!$H$111)&lt;1,0,OFFSET(Acquisitions!$A$93,0,2+13*INT(((39-'Assumption Setting'!$H$111)-1)/12)+MOD((39-'Assumption Setting'!$H$111)-1,12)))</f>
        <v>0.458182539102273</v>
      </c>
      <c r="AS59" s="82" t="n">
        <f aca="true">IF((40-'Assumption Setting'!$H$111)&lt;1,0,OFFSET(Acquisitions!$A$93,0,2+13*INT(((40-'Assumption Setting'!$H$111)-1)/12)+MOD((40-'Assumption Setting'!$H$111)-1,12)))</f>
        <v>1.0110550598233</v>
      </c>
      <c r="AT59" s="82" t="n">
        <f aca="true">IF((41-'Assumption Setting'!$H$111)&lt;1,0,OFFSET(Acquisitions!$A$93,0,2+13*INT(((41-'Assumption Setting'!$H$111)-1)/12)+MOD((41-'Assumption Setting'!$H$111)-1,12)))</f>
        <v>1.0110550598233</v>
      </c>
      <c r="AU59" s="82" t="n">
        <f aca="true">IF((42-'Assumption Setting'!$H$111)&lt;1,0,OFFSET(Acquisitions!$A$93,0,2+13*INT(((42-'Assumption Setting'!$H$111)-1)/12)+MOD((42-'Assumption Setting'!$H$111)-1,12)))</f>
        <v>1.0110550598233</v>
      </c>
      <c r="AV59" s="82" t="n">
        <f aca="true">IF((43-'Assumption Setting'!$H$111)&lt;1,0,OFFSET(Acquisitions!$A$93,0,2+13*INT(((43-'Assumption Setting'!$H$111)-1)/12)+MOD((43-'Assumption Setting'!$H$111)-1,12)))</f>
        <v>1.0110550598233</v>
      </c>
      <c r="AW59" s="82" t="n">
        <f aca="true">IF((44-'Assumption Setting'!$H$111)&lt;1,0,OFFSET(Acquisitions!$A$93,0,2+13*INT(((44-'Assumption Setting'!$H$111)-1)/12)+MOD((44-'Assumption Setting'!$H$111)-1,12)))</f>
        <v>1.0110550598233</v>
      </c>
      <c r="AX59" s="82" t="n">
        <f aca="true">IF((45-'Assumption Setting'!$H$111)&lt;1,0,OFFSET(Acquisitions!$A$93,0,2+13*INT(((45-'Assumption Setting'!$H$111)-1)/12)+MOD((45-'Assumption Setting'!$H$111)-1,12)))</f>
        <v>1.0110550598233</v>
      </c>
      <c r="AY59" s="82" t="n">
        <f aca="true">IF((46-'Assumption Setting'!$H$111)&lt;1,0,OFFSET(Acquisitions!$A$93,0,2+13*INT(((46-'Assumption Setting'!$H$111)-1)/12)+MOD((46-'Assumption Setting'!$H$111)-1,12)))</f>
        <v>1.0110550598233</v>
      </c>
      <c r="AZ59" s="82" t="n">
        <f aca="true">IF((47-'Assumption Setting'!$H$111)&lt;1,0,OFFSET(Acquisitions!$A$93,0,2+13*INT(((47-'Assumption Setting'!$H$111)-1)/12)+MOD((47-'Assumption Setting'!$H$111)-1,12)))</f>
        <v>1.0110550598233</v>
      </c>
      <c r="BA59" s="82" t="n">
        <f aca="true">IF((48-'Assumption Setting'!$H$111)&lt;1,0,OFFSET(Acquisitions!$A$93,0,2+13*INT(((48-'Assumption Setting'!$H$111)-1)/12)+MOD((48-'Assumption Setting'!$H$111)-1,12)))</f>
        <v>1.0110550598233</v>
      </c>
      <c r="BB59" s="81" t="n">
        <f aca="false">SUM(BC59:BN59)</f>
        <v>16.5322192801858</v>
      </c>
      <c r="BC59" s="82" t="n">
        <f aca="true">IF((49-'Assumption Setting'!$H$111)&lt;1,0,OFFSET(Acquisitions!$A$93,0,2+13*INT(((49-'Assumption Setting'!$H$111)-1)/12)+MOD((49-'Assumption Setting'!$H$111)-1,12)))</f>
        <v>1.0110550598233</v>
      </c>
      <c r="BD59" s="82" t="n">
        <f aca="true">IF((50-'Assumption Setting'!$H$111)&lt;1,0,OFFSET(Acquisitions!$A$93,0,2+13*INT(((50-'Assumption Setting'!$H$111)-1)/12)+MOD((50-'Assumption Setting'!$H$111)-1,12)))</f>
        <v>1.0110550598233</v>
      </c>
      <c r="BE59" s="82" t="n">
        <f aca="true">IF((51-'Assumption Setting'!$H$111)&lt;1,0,OFFSET(Acquisitions!$A$93,0,2+13*INT(((51-'Assumption Setting'!$H$111)-1)/12)+MOD((51-'Assumption Setting'!$H$111)-1,12)))</f>
        <v>1.0110550598233</v>
      </c>
      <c r="BF59" s="82" t="n">
        <f aca="true">IF((52-'Assumption Setting'!$H$111)&lt;1,0,OFFSET(Acquisitions!$A$93,0,2+13*INT(((52-'Assumption Setting'!$H$111)-1)/12)+MOD((52-'Assumption Setting'!$H$111)-1,12)))</f>
        <v>1.49989490007955</v>
      </c>
      <c r="BG59" s="82" t="n">
        <f aca="true">IF((53-'Assumption Setting'!$H$111)&lt;1,0,OFFSET(Acquisitions!$A$93,0,2+13*INT(((53-'Assumption Setting'!$H$111)-1)/12)+MOD((53-'Assumption Setting'!$H$111)-1,12)))</f>
        <v>1.49989490007955</v>
      </c>
      <c r="BH59" s="82" t="n">
        <f aca="true">IF((54-'Assumption Setting'!$H$111)&lt;1,0,OFFSET(Acquisitions!$A$93,0,2+13*INT(((54-'Assumption Setting'!$H$111)-1)/12)+MOD((54-'Assumption Setting'!$H$111)-1,12)))</f>
        <v>1.49989490007955</v>
      </c>
      <c r="BI59" s="82" t="n">
        <f aca="true">IF((55-'Assumption Setting'!$H$111)&lt;1,0,OFFSET(Acquisitions!$A$93,0,2+13*INT(((55-'Assumption Setting'!$H$111)-1)/12)+MOD((55-'Assumption Setting'!$H$111)-1,12)))</f>
        <v>1.49989490007955</v>
      </c>
      <c r="BJ59" s="82" t="n">
        <f aca="true">IF((56-'Assumption Setting'!$H$111)&lt;1,0,OFFSET(Acquisitions!$A$93,0,2+13*INT(((56-'Assumption Setting'!$H$111)-1)/12)+MOD((56-'Assumption Setting'!$H$111)-1,12)))</f>
        <v>1.49989490007955</v>
      </c>
      <c r="BK59" s="82" t="n">
        <f aca="true">IF((57-'Assumption Setting'!$H$111)&lt;1,0,OFFSET(Acquisitions!$A$93,0,2+13*INT(((57-'Assumption Setting'!$H$111)-1)/12)+MOD((57-'Assumption Setting'!$H$111)-1,12)))</f>
        <v>1.49989490007955</v>
      </c>
      <c r="BL59" s="82" t="n">
        <f aca="true">IF((58-'Assumption Setting'!$H$111)&lt;1,0,OFFSET(Acquisitions!$A$93,0,2+13*INT(((58-'Assumption Setting'!$H$111)-1)/12)+MOD((58-'Assumption Setting'!$H$111)-1,12)))</f>
        <v>1.49989490007955</v>
      </c>
      <c r="BM59" s="82" t="n">
        <f aca="true">IF((59-'Assumption Setting'!$H$111)&lt;1,0,OFFSET(Acquisitions!$A$93,0,2+13*INT(((59-'Assumption Setting'!$H$111)-1)/12)+MOD((59-'Assumption Setting'!$H$111)-1,12)))</f>
        <v>1.49989490007955</v>
      </c>
      <c r="BN59" s="82" t="n">
        <f aca="true">IF((60-'Assumption Setting'!$H$111)&lt;1,0,OFFSET(Acquisitions!$A$93,0,2+13*INT(((60-'Assumption Setting'!$H$111)-1)/12)+MOD((60-'Assumption Setting'!$H$111)-1,12)))</f>
        <v>1.49989490007955</v>
      </c>
    </row>
    <row r="60" customFormat="false" ht="15" hidden="false" customHeight="false" outlineLevel="0" collapsed="false">
      <c r="A60" s="12" t="s">
        <v>692</v>
      </c>
      <c r="B60" s="81" t="n">
        <f aca="false">SUM(C60:N60)</f>
        <v>0</v>
      </c>
      <c r="C60" s="82" t="n">
        <f aca="true">IF((1-'Assumption Setting'!$H$112)&lt;1,0,OFFSET(Acquisitions!$A$97,0,2+13*INT(((1-'Assumption Setting'!$H$112)-1)/12)+MOD((1-'Assumption Setting'!$H$112)-1,12)))</f>
        <v>0</v>
      </c>
      <c r="D60" s="82" t="n">
        <f aca="true">IF((2-'Assumption Setting'!$H$112)&lt;1,0,OFFSET(Acquisitions!$A$97,0,2+13*INT(((2-'Assumption Setting'!$H$112)-1)/12)+MOD((2-'Assumption Setting'!$H$112)-1,12)))</f>
        <v>0</v>
      </c>
      <c r="E60" s="82" t="n">
        <f aca="true">IF((3-'Assumption Setting'!$H$112)&lt;1,0,OFFSET(Acquisitions!$A$97,0,2+13*INT(((3-'Assumption Setting'!$H$112)-1)/12)+MOD((3-'Assumption Setting'!$H$112)-1,12)))</f>
        <v>0</v>
      </c>
      <c r="F60" s="82" t="n">
        <f aca="true">IF((4-'Assumption Setting'!$H$112)&lt;1,0,OFFSET(Acquisitions!$A$97,0,2+13*INT(((4-'Assumption Setting'!$H$112)-1)/12)+MOD((4-'Assumption Setting'!$H$112)-1,12)))</f>
        <v>0</v>
      </c>
      <c r="G60" s="82" t="n">
        <f aca="true">IF((5-'Assumption Setting'!$H$112)&lt;1,0,OFFSET(Acquisitions!$A$97,0,2+13*INT(((5-'Assumption Setting'!$H$112)-1)/12)+MOD((5-'Assumption Setting'!$H$112)-1,12)))</f>
        <v>0</v>
      </c>
      <c r="H60" s="82" t="n">
        <f aca="true">IF((6-'Assumption Setting'!$H$112)&lt;1,0,OFFSET(Acquisitions!$A$97,0,2+13*INT(((6-'Assumption Setting'!$H$112)-1)/12)+MOD((6-'Assumption Setting'!$H$112)-1,12)))</f>
        <v>0</v>
      </c>
      <c r="I60" s="82" t="n">
        <f aca="true">IF((7-'Assumption Setting'!$H$112)&lt;1,0,OFFSET(Acquisitions!$A$97,0,2+13*INT(((7-'Assumption Setting'!$H$112)-1)/12)+MOD((7-'Assumption Setting'!$H$112)-1,12)))</f>
        <v>0</v>
      </c>
      <c r="J60" s="82" t="n">
        <f aca="true">IF((8-'Assumption Setting'!$H$112)&lt;1,0,OFFSET(Acquisitions!$A$97,0,2+13*INT(((8-'Assumption Setting'!$H$112)-1)/12)+MOD((8-'Assumption Setting'!$H$112)-1,12)))</f>
        <v>0</v>
      </c>
      <c r="K60" s="82" t="n">
        <f aca="true">IF((9-'Assumption Setting'!$H$112)&lt;1,0,OFFSET(Acquisitions!$A$97,0,2+13*INT(((9-'Assumption Setting'!$H$112)-1)/12)+MOD((9-'Assumption Setting'!$H$112)-1,12)))</f>
        <v>0</v>
      </c>
      <c r="L60" s="82" t="n">
        <f aca="true">IF((10-'Assumption Setting'!$H$112)&lt;1,0,OFFSET(Acquisitions!$A$97,0,2+13*INT(((10-'Assumption Setting'!$H$112)-1)/12)+MOD((10-'Assumption Setting'!$H$112)-1,12)))</f>
        <v>0</v>
      </c>
      <c r="M60" s="82" t="n">
        <f aca="true">IF((11-'Assumption Setting'!$H$112)&lt;1,0,OFFSET(Acquisitions!$A$97,0,2+13*INT(((11-'Assumption Setting'!$H$112)-1)/12)+MOD((11-'Assumption Setting'!$H$112)-1,12)))</f>
        <v>0</v>
      </c>
      <c r="N60" s="82" t="n">
        <f aca="true">IF((12-'Assumption Setting'!$H$112)&lt;1,0,OFFSET(Acquisitions!$A$97,0,2+13*INT(((12-'Assumption Setting'!$H$112)-1)/12)+MOD((12-'Assumption Setting'!$H$112)-1,12)))</f>
        <v>0</v>
      </c>
      <c r="O60" s="81" t="n">
        <f aca="false">SUM(P60:AA60)</f>
        <v>0.504266330556818</v>
      </c>
      <c r="P60" s="82" t="n">
        <f aca="true">IF((13-'Assumption Setting'!$H$112)&lt;1,0,OFFSET(Acquisitions!$A$97,0,2+13*INT(((13-'Assumption Setting'!$H$112)-1)/12)+MOD((13-'Assumption Setting'!$H$112)-1,12)))</f>
        <v>0</v>
      </c>
      <c r="Q60" s="82" t="n">
        <f aca="true">IF((14-'Assumption Setting'!$H$112)&lt;1,0,OFFSET(Acquisitions!$A$97,0,2+13*INT(((14-'Assumption Setting'!$H$112)-1)/12)+MOD((14-'Assumption Setting'!$H$112)-1,12)))</f>
        <v>0</v>
      </c>
      <c r="R60" s="82" t="n">
        <f aca="true">IF((15-'Assumption Setting'!$H$112)&lt;1,0,OFFSET(Acquisitions!$A$97,0,2+13*INT(((15-'Assumption Setting'!$H$112)-1)/12)+MOD((15-'Assumption Setting'!$H$112)-1,12)))</f>
        <v>0.0444287515909091</v>
      </c>
      <c r="S60" s="82" t="n">
        <f aca="true">IF((16-'Assumption Setting'!$H$112)&lt;1,0,OFFSET(Acquisitions!$A$97,0,2+13*INT(((16-'Assumption Setting'!$H$112)-1)/12)+MOD((16-'Assumption Setting'!$H$112)-1,12)))</f>
        <v>0.0510930643295455</v>
      </c>
      <c r="T60" s="82" t="n">
        <f aca="true">IF((17-'Assumption Setting'!$H$112)&lt;1,0,OFFSET(Acquisitions!$A$97,0,2+13*INT(((17-'Assumption Setting'!$H$112)-1)/12)+MOD((17-'Assumption Setting'!$H$112)-1,12)))</f>
        <v>0.0510930643295455</v>
      </c>
      <c r="U60" s="82" t="n">
        <f aca="true">IF((18-'Assumption Setting'!$H$112)&lt;1,0,OFFSET(Acquisitions!$A$97,0,2+13*INT(((18-'Assumption Setting'!$H$112)-1)/12)+MOD((18-'Assumption Setting'!$H$112)-1,12)))</f>
        <v>0.0510930643295455</v>
      </c>
      <c r="V60" s="82" t="n">
        <f aca="true">IF((19-'Assumption Setting'!$H$112)&lt;1,0,OFFSET(Acquisitions!$A$97,0,2+13*INT(((19-'Assumption Setting'!$H$112)-1)/12)+MOD((19-'Assumption Setting'!$H$112)-1,12)))</f>
        <v>0.0510930643295455</v>
      </c>
      <c r="W60" s="82" t="n">
        <f aca="true">IF((20-'Assumption Setting'!$H$112)&lt;1,0,OFFSET(Acquisitions!$A$97,0,2+13*INT(((20-'Assumption Setting'!$H$112)-1)/12)+MOD((20-'Assumption Setting'!$H$112)-1,12)))</f>
        <v>0.0510930643295455</v>
      </c>
      <c r="X60" s="82" t="n">
        <f aca="true">IF((21-'Assumption Setting'!$H$112)&lt;1,0,OFFSET(Acquisitions!$A$97,0,2+13*INT(((21-'Assumption Setting'!$H$112)-1)/12)+MOD((21-'Assumption Setting'!$H$112)-1,12)))</f>
        <v>0.0510930643295455</v>
      </c>
      <c r="Y60" s="82" t="n">
        <f aca="true">IF((22-'Assumption Setting'!$H$112)&lt;1,0,OFFSET(Acquisitions!$A$97,0,2+13*INT(((22-'Assumption Setting'!$H$112)-1)/12)+MOD((22-'Assumption Setting'!$H$112)-1,12)))</f>
        <v>0.0510930643295455</v>
      </c>
      <c r="Z60" s="82" t="n">
        <f aca="true">IF((23-'Assumption Setting'!$H$112)&lt;1,0,OFFSET(Acquisitions!$A$97,0,2+13*INT(((23-'Assumption Setting'!$H$112)-1)/12)+MOD((23-'Assumption Setting'!$H$112)-1,12)))</f>
        <v>0.0510930643295455</v>
      </c>
      <c r="AA60" s="82" t="n">
        <f aca="true">IF((24-'Assumption Setting'!$H$112)&lt;1,0,OFFSET(Acquisitions!$A$97,0,2+13*INT(((24-'Assumption Setting'!$H$112)-1)/12)+MOD((24-'Assumption Setting'!$H$112)-1,12)))</f>
        <v>0.0510930643295455</v>
      </c>
      <c r="AB60" s="81" t="n">
        <f aca="false">SUM(AC60:AN60)</f>
        <v>2.96818390411364</v>
      </c>
      <c r="AC60" s="82" t="n">
        <f aca="true">IF((25-'Assumption Setting'!$H$112)&lt;1,0,OFFSET(Acquisitions!$A$97,0,2+13*INT(((25-'Assumption Setting'!$H$112)-1)/12)+MOD((25-'Assumption Setting'!$H$112)-1,12)))</f>
        <v>0.0510930643295455</v>
      </c>
      <c r="AD60" s="82" t="n">
        <f aca="true">IF((26-'Assumption Setting'!$H$112)&lt;1,0,OFFSET(Acquisitions!$A$97,0,2+13*INT(((26-'Assumption Setting'!$H$112)-1)/12)+MOD((26-'Assumption Setting'!$H$112)-1,12)))</f>
        <v>0.0510930643295455</v>
      </c>
      <c r="AE60" s="82" t="n">
        <f aca="true">IF((27-'Assumption Setting'!$H$112)&lt;1,0,OFFSET(Acquisitions!$A$97,0,2+13*INT(((27-'Assumption Setting'!$H$112)-1)/12)+MOD((27-'Assumption Setting'!$H$112)-1,12)))</f>
        <v>0.247811837727273</v>
      </c>
      <c r="AF60" s="82" t="n">
        <f aca="true">IF((28-'Assumption Setting'!$H$112)&lt;1,0,OFFSET(Acquisitions!$A$97,0,2+13*INT(((28-'Assumption Setting'!$H$112)-1)/12)+MOD((28-'Assumption Setting'!$H$112)-1,12)))</f>
        <v>0.290909548636364</v>
      </c>
      <c r="AG60" s="82" t="n">
        <f aca="true">IF((29-'Assumption Setting'!$H$112)&lt;1,0,OFFSET(Acquisitions!$A$97,0,2+13*INT(((29-'Assumption Setting'!$H$112)-1)/12)+MOD((29-'Assumption Setting'!$H$112)-1,12)))</f>
        <v>0.290909548636364</v>
      </c>
      <c r="AH60" s="82" t="n">
        <f aca="true">IF((30-'Assumption Setting'!$H$112)&lt;1,0,OFFSET(Acquisitions!$A$97,0,2+13*INT(((30-'Assumption Setting'!$H$112)-1)/12)+MOD((30-'Assumption Setting'!$H$112)-1,12)))</f>
        <v>0.290909548636364</v>
      </c>
      <c r="AI60" s="82" t="n">
        <f aca="true">IF((31-'Assumption Setting'!$H$112)&lt;1,0,OFFSET(Acquisitions!$A$97,0,2+13*INT(((31-'Assumption Setting'!$H$112)-1)/12)+MOD((31-'Assumption Setting'!$H$112)-1,12)))</f>
        <v>0.290909548636364</v>
      </c>
      <c r="AJ60" s="82" t="n">
        <f aca="true">IF((32-'Assumption Setting'!$H$112)&lt;1,0,OFFSET(Acquisitions!$A$97,0,2+13*INT(((32-'Assumption Setting'!$H$112)-1)/12)+MOD((32-'Assumption Setting'!$H$112)-1,12)))</f>
        <v>0.290909548636364</v>
      </c>
      <c r="AK60" s="82" t="n">
        <f aca="true">IF((33-'Assumption Setting'!$H$112)&lt;1,0,OFFSET(Acquisitions!$A$97,0,2+13*INT(((33-'Assumption Setting'!$H$112)-1)/12)+MOD((33-'Assumption Setting'!$H$112)-1,12)))</f>
        <v>0.290909548636364</v>
      </c>
      <c r="AL60" s="82" t="n">
        <f aca="true">IF((34-'Assumption Setting'!$H$112)&lt;1,0,OFFSET(Acquisitions!$A$97,0,2+13*INT(((34-'Assumption Setting'!$H$112)-1)/12)+MOD((34-'Assumption Setting'!$H$112)-1,12)))</f>
        <v>0.290909548636364</v>
      </c>
      <c r="AM60" s="82" t="n">
        <f aca="true">IF((35-'Assumption Setting'!$H$112)&lt;1,0,OFFSET(Acquisitions!$A$97,0,2+13*INT(((35-'Assumption Setting'!$H$112)-1)/12)+MOD((35-'Assumption Setting'!$H$112)-1,12)))</f>
        <v>0.290909548636364</v>
      </c>
      <c r="AN60" s="82" t="n">
        <f aca="true">IF((36-'Assumption Setting'!$H$112)&lt;1,0,OFFSET(Acquisitions!$A$97,0,2+13*INT(((36-'Assumption Setting'!$H$112)-1)/12)+MOD((36-'Assumption Setting'!$H$112)-1,12)))</f>
        <v>0.290909548636364</v>
      </c>
      <c r="AO60" s="81" t="n">
        <f aca="false">SUM(AP60:BA60)</f>
        <v>6.95694459763636</v>
      </c>
      <c r="AP60" s="82" t="n">
        <f aca="true">IF((37-'Assumption Setting'!$H$112)&lt;1,0,OFFSET(Acquisitions!$A$97,0,2+13*INT(((37-'Assumption Setting'!$H$112)-1)/12)+MOD((37-'Assumption Setting'!$H$112)-1,12)))</f>
        <v>0.290909548636364</v>
      </c>
      <c r="AQ60" s="82" t="n">
        <f aca="true">IF((38-'Assumption Setting'!$H$112)&lt;1,0,OFFSET(Acquisitions!$A$97,0,2+13*INT(((38-'Assumption Setting'!$H$112)-1)/12)+MOD((38-'Assumption Setting'!$H$112)-1,12)))</f>
        <v>0.290909548636364</v>
      </c>
      <c r="AR60" s="82" t="n">
        <f aca="true">IF((39-'Assumption Setting'!$H$112)&lt;1,0,OFFSET(Acquisitions!$A$97,0,2+13*INT(((39-'Assumption Setting'!$H$112)-1)/12)+MOD((39-'Assumption Setting'!$H$112)-1,12)))</f>
        <v>0.597668015659091</v>
      </c>
      <c r="AS60" s="82" t="n">
        <f aca="true">IF((40-'Assumption Setting'!$H$112)&lt;1,0,OFFSET(Acquisitions!$A$97,0,2+13*INT(((40-'Assumption Setting'!$H$112)-1)/12)+MOD((40-'Assumption Setting'!$H$112)-1,12)))</f>
        <v>0.641939720522727</v>
      </c>
      <c r="AT60" s="82" t="n">
        <f aca="true">IF((41-'Assumption Setting'!$H$112)&lt;1,0,OFFSET(Acquisitions!$A$97,0,2+13*INT(((41-'Assumption Setting'!$H$112)-1)/12)+MOD((41-'Assumption Setting'!$H$112)-1,12)))</f>
        <v>0.641939720522727</v>
      </c>
      <c r="AU60" s="82" t="n">
        <f aca="true">IF((42-'Assumption Setting'!$H$112)&lt;1,0,OFFSET(Acquisitions!$A$97,0,2+13*INT(((42-'Assumption Setting'!$H$112)-1)/12)+MOD((42-'Assumption Setting'!$H$112)-1,12)))</f>
        <v>0.641939720522727</v>
      </c>
      <c r="AV60" s="82" t="n">
        <f aca="true">IF((43-'Assumption Setting'!$H$112)&lt;1,0,OFFSET(Acquisitions!$A$97,0,2+13*INT(((43-'Assumption Setting'!$H$112)-1)/12)+MOD((43-'Assumption Setting'!$H$112)-1,12)))</f>
        <v>0.641939720522727</v>
      </c>
      <c r="AW60" s="82" t="n">
        <f aca="true">IF((44-'Assumption Setting'!$H$112)&lt;1,0,OFFSET(Acquisitions!$A$97,0,2+13*INT(((44-'Assumption Setting'!$H$112)-1)/12)+MOD((44-'Assumption Setting'!$H$112)-1,12)))</f>
        <v>0.641939720522727</v>
      </c>
      <c r="AX60" s="82" t="n">
        <f aca="true">IF((45-'Assumption Setting'!$H$112)&lt;1,0,OFFSET(Acquisitions!$A$97,0,2+13*INT(((45-'Assumption Setting'!$H$112)-1)/12)+MOD((45-'Assumption Setting'!$H$112)-1,12)))</f>
        <v>0.641939720522727</v>
      </c>
      <c r="AY60" s="82" t="n">
        <f aca="true">IF((46-'Assumption Setting'!$H$112)&lt;1,0,OFFSET(Acquisitions!$A$97,0,2+13*INT(((46-'Assumption Setting'!$H$112)-1)/12)+MOD((46-'Assumption Setting'!$H$112)-1,12)))</f>
        <v>0.641939720522727</v>
      </c>
      <c r="AZ60" s="82" t="n">
        <f aca="true">IF((47-'Assumption Setting'!$H$112)&lt;1,0,OFFSET(Acquisitions!$A$97,0,2+13*INT(((47-'Assumption Setting'!$H$112)-1)/12)+MOD((47-'Assumption Setting'!$H$112)-1,12)))</f>
        <v>0.641939720522727</v>
      </c>
      <c r="BA60" s="82" t="n">
        <f aca="true">IF((48-'Assumption Setting'!$H$112)&lt;1,0,OFFSET(Acquisitions!$A$97,0,2+13*INT(((48-'Assumption Setting'!$H$112)-1)/12)+MOD((48-'Assumption Setting'!$H$112)-1,12)))</f>
        <v>0.641939720522727</v>
      </c>
      <c r="BB60" s="81" t="n">
        <f aca="false">SUM(BC60:BN60)</f>
        <v>10.7752778563636</v>
      </c>
      <c r="BC60" s="82" t="n">
        <f aca="true">IF((49-'Assumption Setting'!$H$112)&lt;1,0,OFFSET(Acquisitions!$A$97,0,2+13*INT(((49-'Assumption Setting'!$H$112)-1)/12)+MOD((49-'Assumption Setting'!$H$112)-1,12)))</f>
        <v>0.641939720522727</v>
      </c>
      <c r="BD60" s="82" t="n">
        <f aca="true">IF((50-'Assumption Setting'!$H$112)&lt;1,0,OFFSET(Acquisitions!$A$97,0,2+13*INT(((50-'Assumption Setting'!$H$112)-1)/12)+MOD((50-'Assumption Setting'!$H$112)-1,12)))</f>
        <v>0.641939720522727</v>
      </c>
      <c r="BE60" s="82" t="n">
        <f aca="true">IF((51-'Assumption Setting'!$H$112)&lt;1,0,OFFSET(Acquisitions!$A$97,0,2+13*INT(((51-'Assumption Setting'!$H$112)-1)/12)+MOD((51-'Assumption Setting'!$H$112)-1,12)))</f>
        <v>0.920570414863636</v>
      </c>
      <c r="BF60" s="82" t="n">
        <f aca="true">IF((52-'Assumption Setting'!$H$112)&lt;1,0,OFFSET(Acquisitions!$A$97,0,2+13*INT(((52-'Assumption Setting'!$H$112)-1)/12)+MOD((52-'Assumption Setting'!$H$112)-1,12)))</f>
        <v>0.952314222272727</v>
      </c>
      <c r="BG60" s="82" t="n">
        <f aca="true">IF((53-'Assumption Setting'!$H$112)&lt;1,0,OFFSET(Acquisitions!$A$97,0,2+13*INT(((53-'Assumption Setting'!$H$112)-1)/12)+MOD((53-'Assumption Setting'!$H$112)-1,12)))</f>
        <v>0.952314222272727</v>
      </c>
      <c r="BH60" s="82" t="n">
        <f aca="true">IF((54-'Assumption Setting'!$H$112)&lt;1,0,OFFSET(Acquisitions!$A$97,0,2+13*INT(((54-'Assumption Setting'!$H$112)-1)/12)+MOD((54-'Assumption Setting'!$H$112)-1,12)))</f>
        <v>0.952314222272727</v>
      </c>
      <c r="BI60" s="82" t="n">
        <f aca="true">IF((55-'Assumption Setting'!$H$112)&lt;1,0,OFFSET(Acquisitions!$A$97,0,2+13*INT(((55-'Assumption Setting'!$H$112)-1)/12)+MOD((55-'Assumption Setting'!$H$112)-1,12)))</f>
        <v>0.952314222272727</v>
      </c>
      <c r="BJ60" s="82" t="n">
        <f aca="true">IF((56-'Assumption Setting'!$H$112)&lt;1,0,OFFSET(Acquisitions!$A$97,0,2+13*INT(((56-'Assumption Setting'!$H$112)-1)/12)+MOD((56-'Assumption Setting'!$H$112)-1,12)))</f>
        <v>0.952314222272727</v>
      </c>
      <c r="BK60" s="82" t="n">
        <f aca="true">IF((57-'Assumption Setting'!$H$112)&lt;1,0,OFFSET(Acquisitions!$A$97,0,2+13*INT(((57-'Assumption Setting'!$H$112)-1)/12)+MOD((57-'Assumption Setting'!$H$112)-1,12)))</f>
        <v>0.952314222272727</v>
      </c>
      <c r="BL60" s="82" t="n">
        <f aca="true">IF((58-'Assumption Setting'!$H$112)&lt;1,0,OFFSET(Acquisitions!$A$97,0,2+13*INT(((58-'Assumption Setting'!$H$112)-1)/12)+MOD((58-'Assumption Setting'!$H$112)-1,12)))</f>
        <v>0.952314222272727</v>
      </c>
      <c r="BM60" s="82" t="n">
        <f aca="true">IF((59-'Assumption Setting'!$H$112)&lt;1,0,OFFSET(Acquisitions!$A$97,0,2+13*INT(((59-'Assumption Setting'!$H$112)-1)/12)+MOD((59-'Assumption Setting'!$H$112)-1,12)))</f>
        <v>0.952314222272727</v>
      </c>
      <c r="BN60" s="82" t="n">
        <f aca="true">IF((60-'Assumption Setting'!$H$112)&lt;1,0,OFFSET(Acquisitions!$A$97,0,2+13*INT(((60-'Assumption Setting'!$H$112)-1)/12)+MOD((60-'Assumption Setting'!$H$112)-1,12)))</f>
        <v>0.952314222272727</v>
      </c>
    </row>
    <row r="61" customFormat="false" ht="15" hidden="false" customHeight="false" outlineLevel="0" collapsed="false">
      <c r="A61" s="12" t="s">
        <v>693</v>
      </c>
      <c r="B61" s="81" t="n">
        <f aca="false">SUM(C61:N61)</f>
        <v>0.139950567511364</v>
      </c>
      <c r="C61" s="82" t="n">
        <f aca="true">IF((1-'Assumption Setting'!$H$113)&lt;1,0,OFFSET(Acquisitions!$A$101,0,2+13*INT(((1-'Assumption Setting'!$H$113)-1)/12)+MOD((1-'Assumption Setting'!$H$113)-1,12)))</f>
        <v>0</v>
      </c>
      <c r="D61" s="82" t="n">
        <f aca="true">IF((2-'Assumption Setting'!$H$113)&lt;1,0,OFFSET(Acquisitions!$A$101,0,2+13*INT(((2-'Assumption Setting'!$H$113)-1)/12)+MOD((2-'Assumption Setting'!$H$113)-1,12)))</f>
        <v>0</v>
      </c>
      <c r="E61" s="82" t="n">
        <f aca="true">IF((3-'Assumption Setting'!$H$113)&lt;1,0,OFFSET(Acquisitions!$A$101,0,2+13*INT(((3-'Assumption Setting'!$H$113)-1)/12)+MOD((3-'Assumption Setting'!$H$113)-1,12)))</f>
        <v>0</v>
      </c>
      <c r="F61" s="82" t="n">
        <f aca="true">IF((4-'Assumption Setting'!$H$113)&lt;1,0,OFFSET(Acquisitions!$A$101,0,2+13*INT(((4-'Assumption Setting'!$H$113)-1)/12)+MOD((4-'Assumption Setting'!$H$113)-1,12)))</f>
        <v>0</v>
      </c>
      <c r="G61" s="82" t="n">
        <f aca="true">IF((5-'Assumption Setting'!$H$113)&lt;1,0,OFFSET(Acquisitions!$A$101,0,2+13*INT(((5-'Assumption Setting'!$H$113)-1)/12)+MOD((5-'Assumption Setting'!$H$113)-1,12)))</f>
        <v>0</v>
      </c>
      <c r="H61" s="82" t="n">
        <f aca="true">IF((6-'Assumption Setting'!$H$113)&lt;1,0,OFFSET(Acquisitions!$A$101,0,2+13*INT(((6-'Assumption Setting'!$H$113)-1)/12)+MOD((6-'Assumption Setting'!$H$113)-1,12)))</f>
        <v>0</v>
      </c>
      <c r="I61" s="82" t="n">
        <f aca="true">IF((7-'Assumption Setting'!$H$113)&lt;1,0,OFFSET(Acquisitions!$A$101,0,2+13*INT(((7-'Assumption Setting'!$H$113)-1)/12)+MOD((7-'Assumption Setting'!$H$113)-1,12)))</f>
        <v>0</v>
      </c>
      <c r="J61" s="82" t="n">
        <f aca="true">IF((8-'Assumption Setting'!$H$113)&lt;1,0,OFFSET(Acquisitions!$A$101,0,2+13*INT(((8-'Assumption Setting'!$H$113)-1)/12)+MOD((8-'Assumption Setting'!$H$113)-1,12)))</f>
        <v>0</v>
      </c>
      <c r="K61" s="82" t="n">
        <f aca="true">IF((9-'Assumption Setting'!$H$113)&lt;1,0,OFFSET(Acquisitions!$A$101,0,2+13*INT(((9-'Assumption Setting'!$H$113)-1)/12)+MOD((9-'Assumption Setting'!$H$113)-1,12)))</f>
        <v>0</v>
      </c>
      <c r="L61" s="82" t="n">
        <f aca="true">IF((10-'Assumption Setting'!$H$113)&lt;1,0,OFFSET(Acquisitions!$A$101,0,2+13*INT(((10-'Assumption Setting'!$H$113)-1)/12)+MOD((10-'Assumption Setting'!$H$113)-1,12)))</f>
        <v>0.0466501891704545</v>
      </c>
      <c r="M61" s="82" t="n">
        <f aca="true">IF((11-'Assumption Setting'!$H$113)&lt;1,0,OFFSET(Acquisitions!$A$101,0,2+13*INT(((11-'Assumption Setting'!$H$113)-1)/12)+MOD((11-'Assumption Setting'!$H$113)-1,12)))</f>
        <v>0.0466501891704545</v>
      </c>
      <c r="N61" s="82" t="n">
        <f aca="true">IF((12-'Assumption Setting'!$H$113)&lt;1,0,OFFSET(Acquisitions!$A$101,0,2+13*INT(((12-'Assumption Setting'!$H$113)-1)/12)+MOD((12-'Assumption Setting'!$H$113)-1,12)))</f>
        <v>0.0466501891704545</v>
      </c>
      <c r="O61" s="81" t="n">
        <f aca="false">SUM(P61:AA61)</f>
        <v>1.24944169000398</v>
      </c>
      <c r="P61" s="82" t="n">
        <f aca="true">IF((13-'Assumption Setting'!$H$113)&lt;1,0,OFFSET(Acquisitions!$A$101,0,2+13*INT(((13-'Assumption Setting'!$H$113)-1)/12)+MOD((13-'Assumption Setting'!$H$113)-1,12)))</f>
        <v>0.0466501891704545</v>
      </c>
      <c r="Q61" s="82" t="n">
        <f aca="true">IF((14-'Assumption Setting'!$H$113)&lt;1,0,OFFSET(Acquisitions!$A$101,0,2+13*INT(((14-'Assumption Setting'!$H$113)-1)/12)+MOD((14-'Assumption Setting'!$H$113)-1,12)))</f>
        <v>0.0466501891704545</v>
      </c>
      <c r="R61" s="82" t="n">
        <f aca="true">IF((15-'Assumption Setting'!$H$113)&lt;1,0,OFFSET(Acquisitions!$A$101,0,2+13*INT(((15-'Assumption Setting'!$H$113)-1)/12)+MOD((15-'Assumption Setting'!$H$113)-1,12)))</f>
        <v>0.0536477175460227</v>
      </c>
      <c r="S61" s="82" t="n">
        <f aca="true">IF((16-'Assumption Setting'!$H$113)&lt;1,0,OFFSET(Acquisitions!$A$101,0,2+13*INT(((16-'Assumption Setting'!$H$113)-1)/12)+MOD((16-'Assumption Setting'!$H$113)-1,12)))</f>
        <v>0.0536477175460227</v>
      </c>
      <c r="T61" s="82" t="n">
        <f aca="true">IF((17-'Assumption Setting'!$H$113)&lt;1,0,OFFSET(Acquisitions!$A$101,0,2+13*INT(((17-'Assumption Setting'!$H$113)-1)/12)+MOD((17-'Assumption Setting'!$H$113)-1,12)))</f>
        <v>0.0536477175460227</v>
      </c>
      <c r="U61" s="82" t="n">
        <f aca="true">IF((18-'Assumption Setting'!$H$113)&lt;1,0,OFFSET(Acquisitions!$A$101,0,2+13*INT(((18-'Assumption Setting'!$H$113)-1)/12)+MOD((18-'Assumption Setting'!$H$113)-1,12)))</f>
        <v>0.0536477175460227</v>
      </c>
      <c r="V61" s="82" t="n">
        <f aca="true">IF((19-'Assumption Setting'!$H$113)&lt;1,0,OFFSET(Acquisitions!$A$101,0,2+13*INT(((19-'Assumption Setting'!$H$113)-1)/12)+MOD((19-'Assumption Setting'!$H$113)-1,12)))</f>
        <v>0.0536477175460227</v>
      </c>
      <c r="W61" s="82" t="n">
        <f aca="true">IF((20-'Assumption Setting'!$H$113)&lt;1,0,OFFSET(Acquisitions!$A$101,0,2+13*INT(((20-'Assumption Setting'!$H$113)-1)/12)+MOD((20-'Assumption Setting'!$H$113)-1,12)))</f>
        <v>0.0536477175460227</v>
      </c>
      <c r="X61" s="82" t="n">
        <f aca="true">IF((21-'Assumption Setting'!$H$113)&lt;1,0,OFFSET(Acquisitions!$A$101,0,2+13*INT(((21-'Assumption Setting'!$H$113)-1)/12)+MOD((21-'Assumption Setting'!$H$113)-1,12)))</f>
        <v>0.0536477175460227</v>
      </c>
      <c r="Y61" s="82" t="n">
        <f aca="true">IF((22-'Assumption Setting'!$H$113)&lt;1,0,OFFSET(Acquisitions!$A$101,0,2+13*INT(((22-'Assumption Setting'!$H$113)-1)/12)+MOD((22-'Assumption Setting'!$H$113)-1,12)))</f>
        <v>0.260202429613636</v>
      </c>
      <c r="Z61" s="82" t="n">
        <f aca="true">IF((23-'Assumption Setting'!$H$113)&lt;1,0,OFFSET(Acquisitions!$A$101,0,2+13*INT(((23-'Assumption Setting'!$H$113)-1)/12)+MOD((23-'Assumption Setting'!$H$113)-1,12)))</f>
        <v>0.260202429613636</v>
      </c>
      <c r="AA61" s="82" t="n">
        <f aca="true">IF((24-'Assumption Setting'!$H$113)&lt;1,0,OFFSET(Acquisitions!$A$101,0,2+13*INT(((24-'Assumption Setting'!$H$113)-1)/12)+MOD((24-'Assumption Setting'!$H$113)-1,12)))</f>
        <v>0.260202429613636</v>
      </c>
      <c r="AB61" s="81" t="n">
        <f aca="false">SUM(AC61:AN61)</f>
        <v>4.54124429103068</v>
      </c>
      <c r="AC61" s="82" t="n">
        <f aca="true">IF((25-'Assumption Setting'!$H$113)&lt;1,0,OFFSET(Acquisitions!$A$101,0,2+13*INT(((25-'Assumption Setting'!$H$113)-1)/12)+MOD((25-'Assumption Setting'!$H$113)-1,12)))</f>
        <v>0.260202429613636</v>
      </c>
      <c r="AD61" s="82" t="n">
        <f aca="true">IF((26-'Assumption Setting'!$H$113)&lt;1,0,OFFSET(Acquisitions!$A$101,0,2+13*INT(((26-'Assumption Setting'!$H$113)-1)/12)+MOD((26-'Assumption Setting'!$H$113)-1,12)))</f>
        <v>0.260202429613636</v>
      </c>
      <c r="AE61" s="82" t="n">
        <f aca="true">IF((27-'Assumption Setting'!$H$113)&lt;1,0,OFFSET(Acquisitions!$A$101,0,2+13*INT(((27-'Assumption Setting'!$H$113)-1)/12)+MOD((27-'Assumption Setting'!$H$113)-1,12)))</f>
        <v>0.305455026068182</v>
      </c>
      <c r="AF61" s="82" t="n">
        <f aca="true">IF((28-'Assumption Setting'!$H$113)&lt;1,0,OFFSET(Acquisitions!$A$101,0,2+13*INT(((28-'Assumption Setting'!$H$113)-1)/12)+MOD((28-'Assumption Setting'!$H$113)-1,12)))</f>
        <v>0.305455026068182</v>
      </c>
      <c r="AG61" s="82" t="n">
        <f aca="true">IF((29-'Assumption Setting'!$H$113)&lt;1,0,OFFSET(Acquisitions!$A$101,0,2+13*INT(((29-'Assumption Setting'!$H$113)-1)/12)+MOD((29-'Assumption Setting'!$H$113)-1,12)))</f>
        <v>0.305455026068182</v>
      </c>
      <c r="AH61" s="82" t="n">
        <f aca="true">IF((30-'Assumption Setting'!$H$113)&lt;1,0,OFFSET(Acquisitions!$A$101,0,2+13*INT(((30-'Assumption Setting'!$H$113)-1)/12)+MOD((30-'Assumption Setting'!$H$113)-1,12)))</f>
        <v>0.305455026068182</v>
      </c>
      <c r="AI61" s="82" t="n">
        <f aca="true">IF((31-'Assumption Setting'!$H$113)&lt;1,0,OFFSET(Acquisitions!$A$101,0,2+13*INT(((31-'Assumption Setting'!$H$113)-1)/12)+MOD((31-'Assumption Setting'!$H$113)-1,12)))</f>
        <v>0.305455026068182</v>
      </c>
      <c r="AJ61" s="82" t="n">
        <f aca="true">IF((32-'Assumption Setting'!$H$113)&lt;1,0,OFFSET(Acquisitions!$A$101,0,2+13*INT(((32-'Assumption Setting'!$H$113)-1)/12)+MOD((32-'Assumption Setting'!$H$113)-1,12)))</f>
        <v>0.305455026068182</v>
      </c>
      <c r="AK61" s="82" t="n">
        <f aca="true">IF((33-'Assumption Setting'!$H$113)&lt;1,0,OFFSET(Acquisitions!$A$101,0,2+13*INT(((33-'Assumption Setting'!$H$113)-1)/12)+MOD((33-'Assumption Setting'!$H$113)-1,12)))</f>
        <v>0.305455026068182</v>
      </c>
      <c r="AL61" s="82" t="n">
        <f aca="true">IF((34-'Assumption Setting'!$H$113)&lt;1,0,OFFSET(Acquisitions!$A$101,0,2+13*INT(((34-'Assumption Setting'!$H$113)-1)/12)+MOD((34-'Assumption Setting'!$H$113)-1,12)))</f>
        <v>0.627551416442046</v>
      </c>
      <c r="AM61" s="82" t="n">
        <f aca="true">IF((35-'Assumption Setting'!$H$113)&lt;1,0,OFFSET(Acquisitions!$A$101,0,2+13*INT(((35-'Assumption Setting'!$H$113)-1)/12)+MOD((35-'Assumption Setting'!$H$113)-1,12)))</f>
        <v>0.627551416442046</v>
      </c>
      <c r="AN61" s="82" t="n">
        <f aca="true">IF((36-'Assumption Setting'!$H$113)&lt;1,0,OFFSET(Acquisitions!$A$101,0,2+13*INT(((36-'Assumption Setting'!$H$113)-1)/12)+MOD((36-'Assumption Setting'!$H$113)-1,12)))</f>
        <v>0.627551416442046</v>
      </c>
      <c r="AO61" s="81" t="n">
        <f aca="false">SUM(AP61:BA61)</f>
        <v>8.87315658554659</v>
      </c>
      <c r="AP61" s="82" t="n">
        <f aca="true">IF((37-'Assumption Setting'!$H$113)&lt;1,0,OFFSET(Acquisitions!$A$101,0,2+13*INT(((37-'Assumption Setting'!$H$113)-1)/12)+MOD((37-'Assumption Setting'!$H$113)-1,12)))</f>
        <v>0.627551416442046</v>
      </c>
      <c r="AQ61" s="82" t="n">
        <f aca="true">IF((38-'Assumption Setting'!$H$113)&lt;1,0,OFFSET(Acquisitions!$A$101,0,2+13*INT(((38-'Assumption Setting'!$H$113)-1)/12)+MOD((38-'Assumption Setting'!$H$113)-1,12)))</f>
        <v>0.627551416442046</v>
      </c>
      <c r="AR61" s="82" t="n">
        <f aca="true">IF((39-'Assumption Setting'!$H$113)&lt;1,0,OFFSET(Acquisitions!$A$101,0,2+13*INT(((39-'Assumption Setting'!$H$113)-1)/12)+MOD((39-'Assumption Setting'!$H$113)-1,12)))</f>
        <v>0.674036706548864</v>
      </c>
      <c r="AS61" s="82" t="n">
        <f aca="true">IF((40-'Assumption Setting'!$H$113)&lt;1,0,OFFSET(Acquisitions!$A$101,0,2+13*INT(((40-'Assumption Setting'!$H$113)-1)/12)+MOD((40-'Assumption Setting'!$H$113)-1,12)))</f>
        <v>0.674036706548864</v>
      </c>
      <c r="AT61" s="82" t="n">
        <f aca="true">IF((41-'Assumption Setting'!$H$113)&lt;1,0,OFFSET(Acquisitions!$A$101,0,2+13*INT(((41-'Assumption Setting'!$H$113)-1)/12)+MOD((41-'Assumption Setting'!$H$113)-1,12)))</f>
        <v>0.674036706548864</v>
      </c>
      <c r="AU61" s="82" t="n">
        <f aca="true">IF((42-'Assumption Setting'!$H$113)&lt;1,0,OFFSET(Acquisitions!$A$101,0,2+13*INT(((42-'Assumption Setting'!$H$113)-1)/12)+MOD((42-'Assumption Setting'!$H$113)-1,12)))</f>
        <v>0.674036706548864</v>
      </c>
      <c r="AV61" s="82" t="n">
        <f aca="true">IF((43-'Assumption Setting'!$H$113)&lt;1,0,OFFSET(Acquisitions!$A$101,0,2+13*INT(((43-'Assumption Setting'!$H$113)-1)/12)+MOD((43-'Assumption Setting'!$H$113)-1,12)))</f>
        <v>0.674036706548864</v>
      </c>
      <c r="AW61" s="82" t="n">
        <f aca="true">IF((44-'Assumption Setting'!$H$113)&lt;1,0,OFFSET(Acquisitions!$A$101,0,2+13*INT(((44-'Assumption Setting'!$H$113)-1)/12)+MOD((44-'Assumption Setting'!$H$113)-1,12)))</f>
        <v>0.674036706548864</v>
      </c>
      <c r="AX61" s="82" t="n">
        <f aca="true">IF((45-'Assumption Setting'!$H$113)&lt;1,0,OFFSET(Acquisitions!$A$101,0,2+13*INT(((45-'Assumption Setting'!$H$113)-1)/12)+MOD((45-'Assumption Setting'!$H$113)-1,12)))</f>
        <v>0.674036706548864</v>
      </c>
      <c r="AY61" s="82" t="n">
        <f aca="true">IF((46-'Assumption Setting'!$H$113)&lt;1,0,OFFSET(Acquisitions!$A$101,0,2+13*INT(((46-'Assumption Setting'!$H$113)-1)/12)+MOD((46-'Assumption Setting'!$H$113)-1,12)))</f>
        <v>0.966598935606818</v>
      </c>
      <c r="AZ61" s="82" t="n">
        <f aca="true">IF((47-'Assumption Setting'!$H$113)&lt;1,0,OFFSET(Acquisitions!$A$101,0,2+13*INT(((47-'Assumption Setting'!$H$113)-1)/12)+MOD((47-'Assumption Setting'!$H$113)-1,12)))</f>
        <v>0.966598935606818</v>
      </c>
      <c r="BA61" s="82" t="n">
        <f aca="true">IF((48-'Assumption Setting'!$H$113)&lt;1,0,OFFSET(Acquisitions!$A$101,0,2+13*INT(((48-'Assumption Setting'!$H$113)-1)/12)+MOD((48-'Assumption Setting'!$H$113)-1,12)))</f>
        <v>0.966598935606818</v>
      </c>
      <c r="BB61" s="81" t="n">
        <f aca="false">SUM(BC61:BN61)</f>
        <v>12.9097714738244</v>
      </c>
      <c r="BC61" s="82" t="n">
        <f aca="true">IF((49-'Assumption Setting'!$H$113)&lt;1,0,OFFSET(Acquisitions!$A$101,0,2+13*INT(((49-'Assumption Setting'!$H$113)-1)/12)+MOD((49-'Assumption Setting'!$H$113)-1,12)))</f>
        <v>0.966598935606818</v>
      </c>
      <c r="BD61" s="82" t="n">
        <f aca="true">IF((50-'Assumption Setting'!$H$113)&lt;1,0,OFFSET(Acquisitions!$A$101,0,2+13*INT(((50-'Assumption Setting'!$H$113)-1)/12)+MOD((50-'Assumption Setting'!$H$113)-1,12)))</f>
        <v>0.966598935606818</v>
      </c>
      <c r="BE61" s="82" t="n">
        <f aca="true">IF((51-'Assumption Setting'!$H$113)&lt;1,0,OFFSET(Acquisitions!$A$101,0,2+13*INT(((51-'Assumption Setting'!$H$113)-1)/12)+MOD((51-'Assumption Setting'!$H$113)-1,12)))</f>
        <v>0.999929933386364</v>
      </c>
      <c r="BF61" s="82" t="n">
        <f aca="true">IF((52-'Assumption Setting'!$H$113)&lt;1,0,OFFSET(Acquisitions!$A$101,0,2+13*INT(((52-'Assumption Setting'!$H$113)-1)/12)+MOD((52-'Assumption Setting'!$H$113)-1,12)))</f>
        <v>0.999929933386364</v>
      </c>
      <c r="BG61" s="82" t="n">
        <f aca="true">IF((53-'Assumption Setting'!$H$113)&lt;1,0,OFFSET(Acquisitions!$A$101,0,2+13*INT(((53-'Assumption Setting'!$H$113)-1)/12)+MOD((53-'Assumption Setting'!$H$113)-1,12)))</f>
        <v>0.999929933386364</v>
      </c>
      <c r="BH61" s="82" t="n">
        <f aca="true">IF((54-'Assumption Setting'!$H$113)&lt;1,0,OFFSET(Acquisitions!$A$101,0,2+13*INT(((54-'Assumption Setting'!$H$113)-1)/12)+MOD((54-'Assumption Setting'!$H$113)-1,12)))</f>
        <v>0.999929933386364</v>
      </c>
      <c r="BI61" s="82" t="n">
        <f aca="true">IF((55-'Assumption Setting'!$H$113)&lt;1,0,OFFSET(Acquisitions!$A$101,0,2+13*INT(((55-'Assumption Setting'!$H$113)-1)/12)+MOD((55-'Assumption Setting'!$H$113)-1,12)))</f>
        <v>0.999929933386364</v>
      </c>
      <c r="BJ61" s="82" t="n">
        <f aca="true">IF((56-'Assumption Setting'!$H$113)&lt;1,0,OFFSET(Acquisitions!$A$101,0,2+13*INT(((56-'Assumption Setting'!$H$113)-1)/12)+MOD((56-'Assumption Setting'!$H$113)-1,12)))</f>
        <v>0.999929933386364</v>
      </c>
      <c r="BK61" s="82" t="n">
        <f aca="true">IF((57-'Assumption Setting'!$H$113)&lt;1,0,OFFSET(Acquisitions!$A$101,0,2+13*INT(((57-'Assumption Setting'!$H$113)-1)/12)+MOD((57-'Assumption Setting'!$H$113)-1,12)))</f>
        <v>0.999929933386364</v>
      </c>
      <c r="BL61" s="82" t="n">
        <f aca="true">IF((58-'Assumption Setting'!$H$113)&lt;1,0,OFFSET(Acquisitions!$A$101,0,2+13*INT(((58-'Assumption Setting'!$H$113)-1)/12)+MOD((58-'Assumption Setting'!$H$113)-1,12)))</f>
        <v>1.32568802296875</v>
      </c>
      <c r="BM61" s="82" t="n">
        <f aca="true">IF((59-'Assumption Setting'!$H$113)&lt;1,0,OFFSET(Acquisitions!$A$101,0,2+13*INT(((59-'Assumption Setting'!$H$113)-1)/12)+MOD((59-'Assumption Setting'!$H$113)-1,12)))</f>
        <v>1.32568802296875</v>
      </c>
      <c r="BN61" s="82" t="n">
        <f aca="true">IF((60-'Assumption Setting'!$H$113)&lt;1,0,OFFSET(Acquisitions!$A$101,0,2+13*INT(((60-'Assumption Setting'!$H$113)-1)/12)+MOD((60-'Assumption Setting'!$H$113)-1,12)))</f>
        <v>1.32568802296875</v>
      </c>
    </row>
    <row r="62" customFormat="false" ht="15" hidden="false" customHeight="false" outlineLevel="0" collapsed="false">
      <c r="A62" s="70" t="s">
        <v>694</v>
      </c>
      <c r="B62" s="81" t="n">
        <f aca="false">SUM(C62:N62)</f>
        <v>3.50468802132955</v>
      </c>
      <c r="C62" s="90" t="n">
        <f aca="false">C57+C58+C59+C60+C61</f>
        <v>0</v>
      </c>
      <c r="D62" s="90" t="n">
        <f aca="false">D57+D58+D59+D60+D61</f>
        <v>0</v>
      </c>
      <c r="E62" s="90" t="n">
        <f aca="false">E57+E58+E59+E60+E61</f>
        <v>0</v>
      </c>
      <c r="F62" s="90" t="n">
        <f aca="false">F57+F58+F59+F60+F61</f>
        <v>0</v>
      </c>
      <c r="G62" s="90" t="n">
        <f aca="false">G57+G58+G59+G60+G61</f>
        <v>0</v>
      </c>
      <c r="H62" s="90" t="n">
        <f aca="false">H57+H58+H59+H60+H61</f>
        <v>0.103667087045455</v>
      </c>
      <c r="I62" s="90" t="n">
        <f aca="false">I57+I58+I59+I60+I61</f>
        <v>0.543511727795455</v>
      </c>
      <c r="J62" s="90" t="n">
        <f aca="false">J57+J58+J59+J60+J61</f>
        <v>0.543511727795455</v>
      </c>
      <c r="K62" s="90" t="n">
        <f aca="false">K57+K58+K59+K60+K61</f>
        <v>0.543511727795455</v>
      </c>
      <c r="L62" s="90" t="n">
        <f aca="false">L57+L58+L59+L60+L61</f>
        <v>0.590161916965909</v>
      </c>
      <c r="M62" s="90" t="n">
        <f aca="false">M57+M58+M59+M60+M61</f>
        <v>0.590161916965909</v>
      </c>
      <c r="N62" s="90" t="n">
        <f aca="false">N57+N58+N59+N60+N61</f>
        <v>0.590161916965909</v>
      </c>
      <c r="O62" s="81" t="n">
        <f aca="false">SUM(P62:AA62)</f>
        <v>24.7290790343821</v>
      </c>
      <c r="P62" s="90" t="n">
        <f aca="false">P57+P58+P59+P60+P61</f>
        <v>0.590161916965909</v>
      </c>
      <c r="Q62" s="90" t="n">
        <f aca="false">Q57+Q58+Q59+Q60+Q61</f>
        <v>0.605711980022727</v>
      </c>
      <c r="R62" s="90" t="n">
        <f aca="false">R57+R58+R59+R60+R61</f>
        <v>0.723114956101705</v>
      </c>
      <c r="S62" s="90" t="n">
        <f aca="false">S57+S58+S59+S60+S61</f>
        <v>0.810250845159375</v>
      </c>
      <c r="T62" s="90" t="n">
        <f aca="false">T57+T58+T59+T60+T61</f>
        <v>0.810250845159375</v>
      </c>
      <c r="U62" s="90" t="n">
        <f aca="false">U57+U58+U59+U60+U61</f>
        <v>1.26926131642074</v>
      </c>
      <c r="V62" s="90" t="n">
        <f aca="false">V57+V58+V59+V60+V61</f>
        <v>3.21677717305824</v>
      </c>
      <c r="W62" s="90" t="n">
        <f aca="false">W57+W58+W59+W60+W61</f>
        <v>3.21677717305824</v>
      </c>
      <c r="X62" s="90" t="n">
        <f aca="false">X57+X58+X59+X60+X61</f>
        <v>3.21677717305824</v>
      </c>
      <c r="Y62" s="90" t="n">
        <f aca="false">Y57+Y58+Y59+Y60+Y61</f>
        <v>3.42333188512585</v>
      </c>
      <c r="Z62" s="90" t="n">
        <f aca="false">Z57+Z58+Z59+Z60+Z61</f>
        <v>3.42333188512585</v>
      </c>
      <c r="AA62" s="90" t="n">
        <f aca="false">AA57+AA58+AA59+AA60+AA61</f>
        <v>3.42333188512585</v>
      </c>
      <c r="AB62" s="81" t="n">
        <f aca="false">SUM(AC62:AN62)</f>
        <v>76.8579527502401</v>
      </c>
      <c r="AC62" s="90" t="n">
        <f aca="false">AC57+AC58+AC59+AC60+AC61</f>
        <v>3.42333188512585</v>
      </c>
      <c r="AD62" s="90" t="n">
        <f aca="false">AD57+AD58+AD59+AD60+AD61</f>
        <v>3.5238932105804</v>
      </c>
      <c r="AE62" s="90" t="n">
        <f aca="false">AE57+AE58+AE59+AE60+AE61</f>
        <v>4.19253191843267</v>
      </c>
      <c r="AF62" s="90" t="n">
        <f aca="false">AF57+AF58+AF59+AF60+AF61</f>
        <v>4.613340592125</v>
      </c>
      <c r="AG62" s="90" t="n">
        <f aca="false">AG57+AG58+AG59+AG60+AG61</f>
        <v>4.613340592125</v>
      </c>
      <c r="AH62" s="90" t="n">
        <f aca="false">AH57+AH58+AH59+AH60+AH61</f>
        <v>5.32911034851137</v>
      </c>
      <c r="AI62" s="90" t="n">
        <f aca="false">AI57+AI58+AI59+AI60+AI61</f>
        <v>8.36601917203636</v>
      </c>
      <c r="AJ62" s="90" t="n">
        <f aca="false">AJ57+AJ58+AJ59+AJ60+AJ61</f>
        <v>8.36601917203636</v>
      </c>
      <c r="AK62" s="90" t="n">
        <f aca="false">AK57+AK58+AK59+AK60+AK61</f>
        <v>8.36601917203636</v>
      </c>
      <c r="AL62" s="90" t="n">
        <f aca="false">AL57+AL58+AL59+AL60+AL61</f>
        <v>8.68811556241023</v>
      </c>
      <c r="AM62" s="90" t="n">
        <f aca="false">AM57+AM58+AM59+AM60+AM61</f>
        <v>8.68811556241023</v>
      </c>
      <c r="AN62" s="90" t="n">
        <f aca="false">AN57+AN58+AN59+AN60+AN61</f>
        <v>8.68811556241023</v>
      </c>
      <c r="AO62" s="81" t="n">
        <f aca="false">SUM(AP62:BA62)</f>
        <v>140.662646162072</v>
      </c>
      <c r="AP62" s="90" t="n">
        <f aca="false">AP57+AP58+AP59+AP60+AP61</f>
        <v>8.68811556241023</v>
      </c>
      <c r="AQ62" s="90" t="n">
        <f aca="false">AQ57+AQ58+AQ59+AQ60+AQ61</f>
        <v>8.79141620709205</v>
      </c>
      <c r="AR62" s="90" t="n">
        <f aca="false">AR57+AR58+AR59+AR60+AR61</f>
        <v>9.58294984237159</v>
      </c>
      <c r="AS62" s="90" t="n">
        <f aca="false">AS57+AS58+AS59+AS60+AS61</f>
        <v>10.1800940679562</v>
      </c>
      <c r="AT62" s="90" t="n">
        <f aca="false">AT57+AT58+AT59+AT60+AT61</f>
        <v>10.1800940679562</v>
      </c>
      <c r="AU62" s="90" t="n">
        <f aca="false">AU57+AU58+AU59+AU60+AU61</f>
        <v>10.8302323547517</v>
      </c>
      <c r="AV62" s="90" t="n">
        <f aca="false">AV57+AV58+AV59+AV60+AV61</f>
        <v>13.5886762287267</v>
      </c>
      <c r="AW62" s="90" t="n">
        <f aca="false">AW57+AW58+AW59+AW60+AW61</f>
        <v>13.5886762287267</v>
      </c>
      <c r="AX62" s="90" t="n">
        <f aca="false">AX57+AX58+AX59+AX60+AX61</f>
        <v>13.5886762287267</v>
      </c>
      <c r="AY62" s="90" t="n">
        <f aca="false">AY57+AY58+AY59+AY60+AY61</f>
        <v>13.8812384577847</v>
      </c>
      <c r="AZ62" s="90" t="n">
        <f aca="false">AZ57+AZ58+AZ59+AZ60+AZ61</f>
        <v>13.8812384577847</v>
      </c>
      <c r="BA62" s="90" t="n">
        <f aca="false">BA57+BA58+BA59+BA60+BA61</f>
        <v>13.8812384577847</v>
      </c>
      <c r="BB62" s="81" t="n">
        <f aca="false">SUM(BC62:BN62)</f>
        <v>202.810348725901</v>
      </c>
      <c r="BC62" s="90" t="n">
        <f aca="false">BC57+BC58+BC59+BC60+BC61</f>
        <v>13.8812384577847</v>
      </c>
      <c r="BD62" s="90" t="n">
        <f aca="false">BD57+BD58+BD59+BD60+BD61</f>
        <v>13.9553073417392</v>
      </c>
      <c r="BE62" s="90" t="n">
        <f aca="false">BE57+BE58+BE59+BE60+BE61</f>
        <v>14.5815327272097</v>
      </c>
      <c r="BF62" s="90" t="n">
        <f aca="false">BF57+BF58+BF59+BF60+BF61</f>
        <v>15.102116374875</v>
      </c>
      <c r="BG62" s="90" t="n">
        <f aca="false">BG57+BG58+BG59+BG60+BG61</f>
        <v>15.102116374875</v>
      </c>
      <c r="BH62" s="90" t="n">
        <f aca="false">BH57+BH58+BH59+BH60+BH61</f>
        <v>15.8260232406136</v>
      </c>
      <c r="BI62" s="90" t="n">
        <f aca="false">BI57+BI58+BI59+BI60+BI61</f>
        <v>18.8974566566761</v>
      </c>
      <c r="BJ62" s="90" t="n">
        <f aca="false">BJ57+BJ58+BJ59+BJ60+BJ61</f>
        <v>18.8974566566761</v>
      </c>
      <c r="BK62" s="90" t="n">
        <f aca="false">BK57+BK58+BK59+BK60+BK61</f>
        <v>18.8974566566761</v>
      </c>
      <c r="BL62" s="90" t="n">
        <f aca="false">BL57+BL58+BL59+BL60+BL61</f>
        <v>19.2232147462585</v>
      </c>
      <c r="BM62" s="90" t="n">
        <f aca="false">BM57+BM58+BM59+BM60+BM61</f>
        <v>19.2232147462585</v>
      </c>
      <c r="BN62" s="90" t="n">
        <f aca="false">BN57+BN58+BN59+BN60+BN61</f>
        <v>19.2232147462585</v>
      </c>
    </row>
    <row r="63" customFormat="false" ht="15" hidden="false" customHeight="false" outlineLevel="0" collapsed="false">
      <c r="A63" s="12" t="s">
        <v>655</v>
      </c>
      <c r="B63" s="81" t="n">
        <f aca="false">SUM(C63:N63)</f>
        <v>4.28571428571429</v>
      </c>
      <c r="C63" s="91" t="n">
        <f aca="false">Acquisitions!C$103</f>
        <v>0.1</v>
      </c>
      <c r="D63" s="91" t="n">
        <f aca="false">Acquisitions!D$103</f>
        <v>0.117857142857143</v>
      </c>
      <c r="E63" s="91" t="n">
        <f aca="false">Acquisitions!E$103</f>
        <v>0.139285714285714</v>
      </c>
      <c r="F63" s="91" t="n">
        <f aca="false">Acquisitions!F$103</f>
        <v>0.2</v>
      </c>
      <c r="G63" s="91" t="n">
        <f aca="false">Acquisitions!G$103</f>
        <v>0.235714285714286</v>
      </c>
      <c r="H63" s="91" t="n">
        <f aca="false">Acquisitions!H$103</f>
        <v>0.278571428571429</v>
      </c>
      <c r="I63" s="91" t="n">
        <f aca="false">Acquisitions!I$103</f>
        <v>0.3</v>
      </c>
      <c r="J63" s="91" t="n">
        <f aca="false">Acquisitions!J$103</f>
        <v>0.353571428571429</v>
      </c>
      <c r="K63" s="91" t="n">
        <f aca="false">Acquisitions!K$103</f>
        <v>0.417857142857143</v>
      </c>
      <c r="L63" s="91" t="n">
        <f aca="false">Acquisitions!L$103</f>
        <v>0.6</v>
      </c>
      <c r="M63" s="91" t="n">
        <f aca="false">Acquisitions!M$103</f>
        <v>0.707142857142857</v>
      </c>
      <c r="N63" s="91" t="n">
        <f aca="false">Acquisitions!N$103</f>
        <v>0.835714285714286</v>
      </c>
      <c r="O63" s="81" t="n">
        <f aca="false">SUM(P63:AA63)</f>
        <v>26.6666666666667</v>
      </c>
      <c r="P63" s="91" t="n">
        <f aca="false">Acquisitions!P$103</f>
        <v>0.816666666666667</v>
      </c>
      <c r="Q63" s="91" t="n">
        <f aca="false">Acquisitions!Q$103</f>
        <v>0.9625</v>
      </c>
      <c r="R63" s="91" t="n">
        <f aca="false">Acquisitions!R$103</f>
        <v>1.1375</v>
      </c>
      <c r="S63" s="91" t="n">
        <f aca="false">Acquisitions!S$103</f>
        <v>1.4</v>
      </c>
      <c r="T63" s="91" t="n">
        <f aca="false">Acquisitions!T$103</f>
        <v>1.65</v>
      </c>
      <c r="U63" s="91" t="n">
        <f aca="false">Acquisitions!U$103</f>
        <v>1.95</v>
      </c>
      <c r="V63" s="91" t="n">
        <f aca="false">Acquisitions!V$103</f>
        <v>2.21666666666667</v>
      </c>
      <c r="W63" s="91" t="n">
        <f aca="false">Acquisitions!W$103</f>
        <v>2.6125</v>
      </c>
      <c r="X63" s="91" t="n">
        <f aca="false">Acquisitions!X$103</f>
        <v>3.0875</v>
      </c>
      <c r="Y63" s="91" t="n">
        <f aca="false">Acquisitions!Y$103</f>
        <v>3.03333333333333</v>
      </c>
      <c r="Z63" s="91" t="n">
        <f aca="false">Acquisitions!Z$103</f>
        <v>3.575</v>
      </c>
      <c r="AA63" s="91" t="n">
        <f aca="false">Acquisitions!AA$103</f>
        <v>4.225</v>
      </c>
      <c r="AB63" s="81" t="n">
        <f aca="false">SUM(AC63:AN63)</f>
        <v>82.0833333333333</v>
      </c>
      <c r="AC63" s="91" t="n">
        <f aca="false">Acquisitions!AC$103</f>
        <v>4.31666666666667</v>
      </c>
      <c r="AD63" s="91" t="n">
        <f aca="false">Acquisitions!AD$103</f>
        <v>5.0875</v>
      </c>
      <c r="AE63" s="91" t="n">
        <f aca="false">Acquisitions!AE$103</f>
        <v>6.0125</v>
      </c>
      <c r="AF63" s="91" t="n">
        <f aca="false">Acquisitions!AF$103</f>
        <v>5.13333333333333</v>
      </c>
      <c r="AG63" s="91" t="n">
        <f aca="false">Acquisitions!AG$103</f>
        <v>6.05</v>
      </c>
      <c r="AH63" s="91" t="n">
        <f aca="false">Acquisitions!AH$103</f>
        <v>7.15</v>
      </c>
      <c r="AI63" s="91" t="n">
        <f aca="false">Acquisitions!AI$103</f>
        <v>6.41666666666667</v>
      </c>
      <c r="AJ63" s="91" t="n">
        <f aca="false">Acquisitions!AJ$103</f>
        <v>7.5625</v>
      </c>
      <c r="AK63" s="91" t="n">
        <f aca="false">Acquisitions!AK$103</f>
        <v>8.93750000000001</v>
      </c>
      <c r="AL63" s="91" t="n">
        <f aca="false">Acquisitions!AL$103</f>
        <v>7.11666666666667</v>
      </c>
      <c r="AM63" s="91" t="n">
        <f aca="false">Acquisitions!AM$103</f>
        <v>8.3875</v>
      </c>
      <c r="AN63" s="91" t="n">
        <f aca="false">Acquisitions!AN$103</f>
        <v>9.9125</v>
      </c>
      <c r="AO63" s="81" t="n">
        <f aca="false">SUM(AP63:BA63)</f>
        <v>129.615384615385</v>
      </c>
      <c r="AP63" s="91" t="n">
        <f aca="false">Acquisitions!AP$103</f>
        <v>7.64615384615385</v>
      </c>
      <c r="AQ63" s="91" t="n">
        <f aca="false">Acquisitions!AQ$103</f>
        <v>9.01153846153846</v>
      </c>
      <c r="AR63" s="91" t="n">
        <f aca="false">Acquisitions!AR$103</f>
        <v>10.65</v>
      </c>
      <c r="AS63" s="91" t="n">
        <f aca="false">Acquisitions!AS$103</f>
        <v>8.61538461538462</v>
      </c>
      <c r="AT63" s="91" t="n">
        <f aca="false">Acquisitions!AT$103</f>
        <v>10.1538461538462</v>
      </c>
      <c r="AU63" s="91" t="n">
        <f aca="false">Acquisitions!AU$103</f>
        <v>12</v>
      </c>
      <c r="AV63" s="91" t="n">
        <f aca="false">Acquisitions!AV$103</f>
        <v>9.58461538461538</v>
      </c>
      <c r="AW63" s="91" t="n">
        <f aca="false">Acquisitions!AW$103</f>
        <v>11.2961538461538</v>
      </c>
      <c r="AX63" s="91" t="n">
        <f aca="false">Acquisitions!AX$103</f>
        <v>13.35</v>
      </c>
      <c r="AY63" s="91" t="n">
        <f aca="false">Acquisitions!AY$103</f>
        <v>10.4461538461538</v>
      </c>
      <c r="AZ63" s="91" t="n">
        <f aca="false">Acquisitions!AZ$103</f>
        <v>12.3115384615385</v>
      </c>
      <c r="BA63" s="91" t="n">
        <f aca="false">Acquisitions!BA$103</f>
        <v>14.55</v>
      </c>
      <c r="BB63" s="81" t="n">
        <f aca="false">SUM(BC63:BN63)</f>
        <v>170.357142857143</v>
      </c>
      <c r="BC63" s="91" t="n">
        <f aca="false">Acquisitions!BC$103</f>
        <v>10.7</v>
      </c>
      <c r="BD63" s="91" t="n">
        <f aca="false">Acquisitions!BD$103</f>
        <v>12.6107142857143</v>
      </c>
      <c r="BE63" s="91" t="n">
        <f aca="false">Acquisitions!BE$103</f>
        <v>14.9035714285714</v>
      </c>
      <c r="BF63" s="91" t="n">
        <f aca="false">Acquisitions!BF$103</f>
        <v>11.4</v>
      </c>
      <c r="BG63" s="91" t="n">
        <f aca="false">Acquisitions!BG$103</f>
        <v>13.4357142857143</v>
      </c>
      <c r="BH63" s="91" t="n">
        <f aca="false">Acquisitions!BH$103</f>
        <v>15.8785714285714</v>
      </c>
      <c r="BI63" s="91" t="n">
        <f aca="false">Acquisitions!BI$103</f>
        <v>12.5</v>
      </c>
      <c r="BJ63" s="91" t="n">
        <f aca="false">Acquisitions!BJ$103</f>
        <v>14.7321428571429</v>
      </c>
      <c r="BK63" s="91" t="n">
        <f aca="false">Acquisitions!BK$103</f>
        <v>17.4107142857143</v>
      </c>
      <c r="BL63" s="91" t="n">
        <f aca="false">Acquisitions!BL$103</f>
        <v>13.1</v>
      </c>
      <c r="BM63" s="91" t="n">
        <f aca="false">Acquisitions!BM$103</f>
        <v>15.4392857142857</v>
      </c>
      <c r="BN63" s="91" t="n">
        <f aca="false">Acquisitions!BN$103</f>
        <v>18.2464285714286</v>
      </c>
    </row>
    <row r="64" customFormat="false" ht="15" hidden="false" customHeight="false" outlineLevel="0" collapsed="false">
      <c r="A64" s="67" t="s">
        <v>695</v>
      </c>
      <c r="B64" s="92" t="n">
        <f aca="false">IFERROR(AVERAGE(C64:N64),0)</f>
        <v>0.628842749163124</v>
      </c>
      <c r="C64" s="93" t="n">
        <f aca="false">IFERROR(C62/C63,0)</f>
        <v>0</v>
      </c>
      <c r="D64" s="93" t="n">
        <f aca="false">IFERROR(D62/D63,0)</f>
        <v>0</v>
      </c>
      <c r="E64" s="93" t="n">
        <f aca="false">IFERROR(E62/E63,0)</f>
        <v>0</v>
      </c>
      <c r="F64" s="93" t="n">
        <f aca="false">IFERROR(F62/F63,0)</f>
        <v>0</v>
      </c>
      <c r="G64" s="93" t="n">
        <f aca="false">IFERROR(G62/G63,0)</f>
        <v>0</v>
      </c>
      <c r="H64" s="93" t="n">
        <f aca="false">IFERROR(H62/H63,0)</f>
        <v>0.372138261188811</v>
      </c>
      <c r="I64" s="93" t="n">
        <f aca="false">IFERROR(I62/I63,0)</f>
        <v>1.81170575931818</v>
      </c>
      <c r="J64" s="93" t="n">
        <f aca="false">IFERROR(J62/J63,0)</f>
        <v>1.53720488669422</v>
      </c>
      <c r="K64" s="93" t="n">
        <f aca="false">IFERROR(K62/K63,0)</f>
        <v>1.3007118272028</v>
      </c>
      <c r="L64" s="93" t="n">
        <f aca="false">IFERROR(L62/L63,0)</f>
        <v>0.983603194943182</v>
      </c>
      <c r="M64" s="93" t="n">
        <f aca="false">IFERROR(M62/M63,0)</f>
        <v>0.834572407830578</v>
      </c>
      <c r="N64" s="93" t="n">
        <f aca="false">IFERROR(N62/N63,0)</f>
        <v>0.70617665277972</v>
      </c>
      <c r="O64" s="92" t="n">
        <f aca="false">IFERROR(AVERAGE(P64:AA64),0)</f>
        <v>0.860761022495018</v>
      </c>
      <c r="P64" s="93" t="n">
        <f aca="false">IFERROR(P62/P63,0)</f>
        <v>0.722647245264378</v>
      </c>
      <c r="Q64" s="93" t="n">
        <f aca="false">IFERROR(Q62/Q63,0)</f>
        <v>0.629311148075561</v>
      </c>
      <c r="R64" s="93" t="n">
        <f aca="false">IFERROR(R62/R63,0)</f>
        <v>0.635705455913586</v>
      </c>
      <c r="S64" s="93" t="n">
        <f aca="false">IFERROR(S62/S63,0)</f>
        <v>0.578750603685268</v>
      </c>
      <c r="T64" s="93" t="n">
        <f aca="false">IFERROR(T62/T63,0)</f>
        <v>0.491061118278409</v>
      </c>
      <c r="U64" s="93" t="n">
        <f aca="false">IFERROR(U62/U63,0)</f>
        <v>0.650903239190122</v>
      </c>
      <c r="V64" s="93" t="n">
        <f aca="false">IFERROR(V62/V63,0)</f>
        <v>1.45117767205635</v>
      </c>
      <c r="W64" s="93" t="n">
        <f aca="false">IFERROR(W62/W63,0)</f>
        <v>1.23130226719933</v>
      </c>
      <c r="X64" s="93" t="n">
        <f aca="false">IFERROR(X62/X63,0)</f>
        <v>1.04187114916866</v>
      </c>
      <c r="Y64" s="93" t="n">
        <f aca="false">IFERROR(Y62/Y63,0)</f>
        <v>1.12857095114039</v>
      </c>
      <c r="Z64" s="93" t="n">
        <f aca="false">IFERROR(Z62/Z63,0)</f>
        <v>0.957575352482756</v>
      </c>
      <c r="AA64" s="93" t="n">
        <f aca="false">IFERROR(AA62/AA63,0)</f>
        <v>0.810256067485409</v>
      </c>
      <c r="AB64" s="92" t="n">
        <f aca="false">IFERROR(AVERAGE(AC64:AN64),0)</f>
        <v>0.922401331812557</v>
      </c>
      <c r="AC64" s="93" t="n">
        <f aca="false">IFERROR(AC62/AC63,0)</f>
        <v>0.793049857558112</v>
      </c>
      <c r="AD64" s="93" t="n">
        <f aca="false">IFERROR(AD62/AD63,0)</f>
        <v>0.692657142128825</v>
      </c>
      <c r="AE64" s="93" t="n">
        <f aca="false">IFERROR(AE62/AE63,0)</f>
        <v>0.697302605976328</v>
      </c>
      <c r="AF64" s="93" t="n">
        <f aca="false">IFERROR(AF62/AF63,0)</f>
        <v>0.898702712751623</v>
      </c>
      <c r="AG64" s="93" t="n">
        <f aca="false">IFERROR(AG62/AG63,0)</f>
        <v>0.762535635061984</v>
      </c>
      <c r="AH64" s="93" t="n">
        <f aca="false">IFERROR(AH62/AH63,0)</f>
        <v>0.745330118672918</v>
      </c>
      <c r="AI64" s="93" t="n">
        <f aca="false">IFERROR(AI62/AI63,0)</f>
        <v>1.30379519564203</v>
      </c>
      <c r="AJ64" s="93" t="n">
        <f aca="false">IFERROR(AJ62/AJ63,0)</f>
        <v>1.1062504690296</v>
      </c>
      <c r="AK64" s="93" t="n">
        <f aca="false">IFERROR(AK62/AK63,0)</f>
        <v>0.936058089178893</v>
      </c>
      <c r="AL64" s="93" t="n">
        <f aca="false">IFERROR(AL62/AL63,0)</f>
        <v>1.22081249120518</v>
      </c>
      <c r="AM64" s="93" t="n">
        <f aca="false">IFERROR(AM62/AM63,0)</f>
        <v>1.03584090162864</v>
      </c>
      <c r="AN64" s="93" t="n">
        <f aca="false">IFERROR(AN62/AN63,0)</f>
        <v>0.876480762916542</v>
      </c>
      <c r="AO64" s="92" t="n">
        <f aca="false">IFERROR(AVERAGE(AP64:BA64),0)</f>
        <v>1.09561109410934</v>
      </c>
      <c r="AP64" s="93" t="n">
        <f aca="false">IFERROR(AP62/AP63,0)</f>
        <v>1.13627265906774</v>
      </c>
      <c r="AQ64" s="93" t="n">
        <f aca="false">IFERROR(AQ62/AQ63,0)</f>
        <v>0.975573288025579</v>
      </c>
      <c r="AR64" s="93" t="n">
        <f aca="false">IFERROR(AR62/AR63,0)</f>
        <v>0.8998074969363</v>
      </c>
      <c r="AS64" s="93" t="n">
        <f aca="false">IFERROR(AS62/AS63,0)</f>
        <v>1.18161806145921</v>
      </c>
      <c r="AT64" s="93" t="n">
        <f aca="false">IFERROR(AT62/AT63,0)</f>
        <v>1.00258502184418</v>
      </c>
      <c r="AU64" s="93" t="n">
        <f aca="false">IFERROR(AU62/AU63,0)</f>
        <v>0.902519362895975</v>
      </c>
      <c r="AV64" s="93" t="n">
        <f aca="false">IFERROR(AV62/AV63,0)</f>
        <v>1.41775915709027</v>
      </c>
      <c r="AW64" s="93" t="n">
        <f aca="false">IFERROR(AW62/AW63,0)</f>
        <v>1.20294716359174</v>
      </c>
      <c r="AX64" s="93" t="n">
        <f aca="false">IFERROR(AX62/AX63,0)</f>
        <v>1.01787836919301</v>
      </c>
      <c r="AY64" s="93" t="n">
        <f aca="false">IFERROR(AY62/AY63,0)</f>
        <v>1.32883726031812</v>
      </c>
      <c r="AZ64" s="93" t="n">
        <f aca="false">IFERROR(AZ62/AZ63,0)</f>
        <v>1.12749828148204</v>
      </c>
      <c r="BA64" s="93" t="n">
        <f aca="false">IFERROR(BA62/BA63,0)</f>
        <v>0.95403700740788</v>
      </c>
      <c r="BB64" s="92" t="n">
        <f aca="false">IFERROR(AVERAGE(BC64:BN64),0)</f>
        <v>1.20614634991077</v>
      </c>
      <c r="BC64" s="93" t="n">
        <f aca="false">IFERROR(BC62/BC63,0)</f>
        <v>1.29731200540044</v>
      </c>
      <c r="BD64" s="93" t="n">
        <f aca="false">IFERROR(BD62/BD63,0)</f>
        <v>1.10662306873038</v>
      </c>
      <c r="BE64" s="93" t="n">
        <f aca="false">IFERROR(BE62/BE63,0)</f>
        <v>0.978391843666116</v>
      </c>
      <c r="BF64" s="93" t="n">
        <f aca="false">IFERROR(BF62/BF63,0)</f>
        <v>1.32474705042763</v>
      </c>
      <c r="BG64" s="93" t="n">
        <f aca="false">IFERROR(BG62/BG63,0)</f>
        <v>1.12402780036284</v>
      </c>
      <c r="BH64" s="93" t="n">
        <f aca="false">IFERROR(BH62/BH63,0)</f>
        <v>0.996690622440805</v>
      </c>
      <c r="BI64" s="93" t="n">
        <f aca="false">IFERROR(BI62/BI63,0)</f>
        <v>1.51179653253409</v>
      </c>
      <c r="BJ64" s="93" t="n">
        <f aca="false">IFERROR(BJ62/BJ63,0)</f>
        <v>1.28273645184711</v>
      </c>
      <c r="BK64" s="93" t="n">
        <f aca="false">IFERROR(BK62/BK63,0)</f>
        <v>1.08539238233217</v>
      </c>
      <c r="BL64" s="93" t="n">
        <f aca="false">IFERROR(BL62/BL63,0)</f>
        <v>1.46742097299683</v>
      </c>
      <c r="BM64" s="93" t="n">
        <f aca="false">IFERROR(BM62/BM63,0)</f>
        <v>1.24508446193671</v>
      </c>
      <c r="BN64" s="93" t="n">
        <f aca="false">IFERROR(BN62/BN63,0)</f>
        <v>1.05353300625414</v>
      </c>
    </row>
    <row r="65" customFormat="false" ht="15" hidden="false" customHeight="false" outlineLevel="0" collapsed="false">
      <c r="A65" s="72" t="s">
        <v>696</v>
      </c>
    </row>
    <row r="67" customFormat="false" ht="16.5" hidden="false" customHeight="true" outlineLevel="0" collapsed="false">
      <c r="A67" s="15" t="s">
        <v>697</v>
      </c>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row>
    <row r="68" customFormat="false" ht="15" hidden="false" customHeight="false" outlineLevel="0" collapsed="false">
      <c r="A68" s="72" t="s">
        <v>698</v>
      </c>
    </row>
    <row r="69" customFormat="false" ht="30" hidden="false" customHeight="true" outlineLevel="0" collapsed="false">
      <c r="A69" s="57" t="s">
        <v>371</v>
      </c>
      <c r="B69" s="57" t="s">
        <v>699</v>
      </c>
      <c r="C69" s="57" t="s">
        <v>376</v>
      </c>
      <c r="D69" s="57" t="s">
        <v>700</v>
      </c>
      <c r="E69" s="57" t="s">
        <v>701</v>
      </c>
      <c r="F69" s="57" t="s">
        <v>702</v>
      </c>
      <c r="G69" s="57" t="s">
        <v>703</v>
      </c>
    </row>
    <row r="70" customFormat="false" ht="15" hidden="false" customHeight="false" outlineLevel="0" collapsed="false">
      <c r="A70" s="51" t="s">
        <v>378</v>
      </c>
      <c r="B70" s="99" t="n">
        <f aca="false">1</f>
        <v>1</v>
      </c>
      <c r="C70" s="99" t="n">
        <f aca="false">'Assumption Setting'!$G$109</f>
        <v>4</v>
      </c>
      <c r="D70" s="99" t="n">
        <f aca="false">B70+C70</f>
        <v>5</v>
      </c>
      <c r="E70" s="99" t="n">
        <f aca="false">'Assumption Setting'!$H$109</f>
        <v>2</v>
      </c>
      <c r="F70" s="100" t="n">
        <f aca="false">D70+E70</f>
        <v>7</v>
      </c>
      <c r="G70" s="101" t="n">
        <f aca="false">EDATE('Assumption Setting'!$C$7,F70-1)</f>
        <v>46478</v>
      </c>
    </row>
    <row r="71" customFormat="false" ht="15" hidden="false" customHeight="false" outlineLevel="0" collapsed="false">
      <c r="A71" s="51" t="s">
        <v>380</v>
      </c>
      <c r="B71" s="99" t="n">
        <f aca="false">1</f>
        <v>1</v>
      </c>
      <c r="C71" s="99" t="n">
        <f aca="false">'Assumption Setting'!$G$110</f>
        <v>4</v>
      </c>
      <c r="D71" s="99" t="n">
        <f aca="false">B71+C71</f>
        <v>5</v>
      </c>
      <c r="E71" s="99" t="n">
        <f aca="false">'Assumption Setting'!$H$110</f>
        <v>1</v>
      </c>
      <c r="F71" s="100" t="n">
        <f aca="false">D71+E71</f>
        <v>6</v>
      </c>
      <c r="G71" s="101" t="n">
        <f aca="false">EDATE('Assumption Setting'!$C$7,F71-1)</f>
        <v>46447</v>
      </c>
    </row>
    <row r="72" customFormat="false" ht="15" hidden="false" customHeight="false" outlineLevel="0" collapsed="false">
      <c r="A72" s="51" t="s">
        <v>382</v>
      </c>
      <c r="B72" s="99" t="n">
        <f aca="false">1</f>
        <v>1</v>
      </c>
      <c r="C72" s="99" t="n">
        <f aca="false">'Assumption Setting'!$G$111</f>
        <v>12</v>
      </c>
      <c r="D72" s="99" t="n">
        <f aca="false">B72+C72</f>
        <v>13</v>
      </c>
      <c r="E72" s="99" t="n">
        <f aca="false">'Assumption Setting'!$H$111</f>
        <v>3</v>
      </c>
      <c r="F72" s="100" t="n">
        <f aca="false">D72+E72</f>
        <v>16</v>
      </c>
      <c r="G72" s="101" t="n">
        <f aca="false">EDATE('Assumption Setting'!$C$7,F72-1)</f>
        <v>46753</v>
      </c>
    </row>
    <row r="73" customFormat="false" ht="15" hidden="false" customHeight="false" outlineLevel="0" collapsed="false">
      <c r="A73" s="51" t="s">
        <v>384</v>
      </c>
      <c r="B73" s="99" t="n">
        <f aca="false">1</f>
        <v>1</v>
      </c>
      <c r="C73" s="99" t="n">
        <f aca="false">'Assumption Setting'!$G$112</f>
        <v>11</v>
      </c>
      <c r="D73" s="99" t="n">
        <f aca="false">B73+C73</f>
        <v>12</v>
      </c>
      <c r="E73" s="99" t="n">
        <f aca="false">'Assumption Setting'!$H$112</f>
        <v>3</v>
      </c>
      <c r="F73" s="100" t="n">
        <f aca="false">D73+E73</f>
        <v>15</v>
      </c>
      <c r="G73" s="101" t="n">
        <f aca="false">EDATE('Assumption Setting'!$C$7,F73-1)</f>
        <v>46722</v>
      </c>
    </row>
    <row r="74" customFormat="false" ht="15" hidden="false" customHeight="false" outlineLevel="0" collapsed="false">
      <c r="A74" s="51" t="s">
        <v>386</v>
      </c>
      <c r="B74" s="99" t="n">
        <f aca="false">1</f>
        <v>1</v>
      </c>
      <c r="C74" s="99" t="n">
        <f aca="false">'Assumption Setting'!$G$113</f>
        <v>7</v>
      </c>
      <c r="D74" s="99" t="n">
        <f aca="false">B74+C74</f>
        <v>8</v>
      </c>
      <c r="E74" s="99" t="n">
        <f aca="false">'Assumption Setting'!$H$113</f>
        <v>2</v>
      </c>
      <c r="F74" s="100" t="n">
        <f aca="false">D74+E74</f>
        <v>10</v>
      </c>
      <c r="G74" s="101" t="n">
        <f aca="false">EDATE('Assumption Setting'!$C$7,F74-1)</f>
        <v>46569</v>
      </c>
    </row>
    <row r="76" customFormat="false" ht="15" hidden="false" customHeight="false" outlineLevel="0" collapsed="false">
      <c r="A76" s="72" t="s">
        <v>704</v>
      </c>
    </row>
    <row r="78" customFormat="false" ht="16.5" hidden="false" customHeight="true" outlineLevel="0" collapsed="false">
      <c r="A78" s="15" t="s">
        <v>705</v>
      </c>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row>
    <row r="79" customFormat="false" ht="15" hidden="false" customHeight="true" outlineLevel="0" collapsed="false">
      <c r="A79" s="26" t="s">
        <v>505</v>
      </c>
      <c r="B79" s="62" t="s">
        <v>80</v>
      </c>
      <c r="C79" s="63" t="s">
        <v>506</v>
      </c>
      <c r="D79" s="63" t="s">
        <v>507</v>
      </c>
      <c r="E79" s="63" t="s">
        <v>508</v>
      </c>
      <c r="F79" s="63" t="s">
        <v>509</v>
      </c>
      <c r="G79" s="63" t="s">
        <v>510</v>
      </c>
      <c r="H79" s="63" t="s">
        <v>511</v>
      </c>
      <c r="I79" s="63" t="s">
        <v>512</v>
      </c>
      <c r="J79" s="63" t="s">
        <v>513</v>
      </c>
      <c r="K79" s="63" t="s">
        <v>514</v>
      </c>
      <c r="L79" s="63" t="s">
        <v>515</v>
      </c>
      <c r="M79" s="63" t="s">
        <v>516</v>
      </c>
      <c r="N79" s="63" t="s">
        <v>517</v>
      </c>
      <c r="O79" s="62" t="s">
        <v>81</v>
      </c>
      <c r="P79" s="64" t="s">
        <v>518</v>
      </c>
      <c r="Q79" s="64" t="s">
        <v>519</v>
      </c>
      <c r="R79" s="64" t="s">
        <v>520</v>
      </c>
      <c r="S79" s="64" t="s">
        <v>521</v>
      </c>
      <c r="T79" s="64" t="s">
        <v>522</v>
      </c>
      <c r="U79" s="64" t="s">
        <v>523</v>
      </c>
      <c r="V79" s="64" t="s">
        <v>524</v>
      </c>
      <c r="W79" s="64" t="s">
        <v>525</v>
      </c>
      <c r="X79" s="64" t="s">
        <v>526</v>
      </c>
      <c r="Y79" s="64" t="s">
        <v>527</v>
      </c>
      <c r="Z79" s="64" t="s">
        <v>528</v>
      </c>
      <c r="AA79" s="64" t="s">
        <v>529</v>
      </c>
      <c r="AB79" s="62" t="s">
        <v>82</v>
      </c>
      <c r="AC79" s="63" t="s">
        <v>530</v>
      </c>
      <c r="AD79" s="63" t="s">
        <v>531</v>
      </c>
      <c r="AE79" s="63" t="s">
        <v>532</v>
      </c>
      <c r="AF79" s="63" t="s">
        <v>533</v>
      </c>
      <c r="AG79" s="63" t="s">
        <v>534</v>
      </c>
      <c r="AH79" s="63" t="s">
        <v>535</v>
      </c>
      <c r="AI79" s="63" t="s">
        <v>536</v>
      </c>
      <c r="AJ79" s="63" t="s">
        <v>537</v>
      </c>
      <c r="AK79" s="63" t="s">
        <v>538</v>
      </c>
      <c r="AL79" s="63" t="s">
        <v>539</v>
      </c>
      <c r="AM79" s="63" t="s">
        <v>540</v>
      </c>
      <c r="AN79" s="63" t="s">
        <v>541</v>
      </c>
      <c r="AO79" s="62" t="s">
        <v>83</v>
      </c>
      <c r="AP79" s="64" t="s">
        <v>542</v>
      </c>
      <c r="AQ79" s="64" t="s">
        <v>543</v>
      </c>
      <c r="AR79" s="64" t="s">
        <v>544</v>
      </c>
      <c r="AS79" s="64" t="s">
        <v>545</v>
      </c>
      <c r="AT79" s="64" t="s">
        <v>546</v>
      </c>
      <c r="AU79" s="64" t="s">
        <v>547</v>
      </c>
      <c r="AV79" s="64" t="s">
        <v>548</v>
      </c>
      <c r="AW79" s="64" t="s">
        <v>549</v>
      </c>
      <c r="AX79" s="64" t="s">
        <v>550</v>
      </c>
      <c r="AY79" s="64" t="s">
        <v>551</v>
      </c>
      <c r="AZ79" s="64" t="s">
        <v>552</v>
      </c>
      <c r="BA79" s="64" t="s">
        <v>553</v>
      </c>
      <c r="BB79" s="62" t="s">
        <v>84</v>
      </c>
      <c r="BC79" s="63" t="s">
        <v>554</v>
      </c>
      <c r="BD79" s="63" t="s">
        <v>555</v>
      </c>
      <c r="BE79" s="63" t="s">
        <v>556</v>
      </c>
      <c r="BF79" s="63" t="s">
        <v>557</v>
      </c>
      <c r="BG79" s="63" t="s">
        <v>558</v>
      </c>
      <c r="BH79" s="63" t="s">
        <v>559</v>
      </c>
      <c r="BI79" s="63" t="s">
        <v>560</v>
      </c>
      <c r="BJ79" s="63" t="s">
        <v>561</v>
      </c>
      <c r="BK79" s="63" t="s">
        <v>562</v>
      </c>
      <c r="BL79" s="63" t="s">
        <v>563</v>
      </c>
      <c r="BM79" s="63" t="s">
        <v>564</v>
      </c>
      <c r="BN79" s="63" t="s">
        <v>565</v>
      </c>
    </row>
    <row r="80" customFormat="false" ht="15" hidden="false" customHeight="false" outlineLevel="0" collapsed="false">
      <c r="A80" s="12" t="s">
        <v>706</v>
      </c>
      <c r="B80" s="65" t="n">
        <f aca="false">SUM(C80:N80)</f>
        <v>15960</v>
      </c>
      <c r="C80" s="77" t="n">
        <f aca="false">Acquisitions!C$61</f>
        <v>1330</v>
      </c>
      <c r="D80" s="77" t="n">
        <f aca="false">Acquisitions!D$61</f>
        <v>1330</v>
      </c>
      <c r="E80" s="77" t="n">
        <f aca="false">Acquisitions!E$61</f>
        <v>1330</v>
      </c>
      <c r="F80" s="77" t="n">
        <f aca="false">Acquisitions!F$61</f>
        <v>1330</v>
      </c>
      <c r="G80" s="77" t="n">
        <f aca="false">Acquisitions!G$61</f>
        <v>1330</v>
      </c>
      <c r="H80" s="77" t="n">
        <f aca="false">Acquisitions!H$61</f>
        <v>1330</v>
      </c>
      <c r="I80" s="77" t="n">
        <f aca="false">Acquisitions!I$61</f>
        <v>1330</v>
      </c>
      <c r="J80" s="77" t="n">
        <f aca="false">Acquisitions!J$61</f>
        <v>1330</v>
      </c>
      <c r="K80" s="77" t="n">
        <f aca="false">Acquisitions!K$61</f>
        <v>1330</v>
      </c>
      <c r="L80" s="77" t="n">
        <f aca="false">Acquisitions!L$61</f>
        <v>1330</v>
      </c>
      <c r="M80" s="77" t="n">
        <f aca="false">Acquisitions!M$61</f>
        <v>1330</v>
      </c>
      <c r="N80" s="77" t="n">
        <f aca="false">Acquisitions!N$61</f>
        <v>1330</v>
      </c>
      <c r="O80" s="65" t="n">
        <f aca="false">SUM(P80:AA80)</f>
        <v>78600</v>
      </c>
      <c r="P80" s="77" t="n">
        <f aca="false">Acquisitions!P$61</f>
        <v>6550</v>
      </c>
      <c r="Q80" s="77" t="n">
        <f aca="false">Acquisitions!Q$61</f>
        <v>6550</v>
      </c>
      <c r="R80" s="77" t="n">
        <f aca="false">Acquisitions!R$61</f>
        <v>6550</v>
      </c>
      <c r="S80" s="77" t="n">
        <f aca="false">Acquisitions!S$61</f>
        <v>6550</v>
      </c>
      <c r="T80" s="77" t="n">
        <f aca="false">Acquisitions!T$61</f>
        <v>6550</v>
      </c>
      <c r="U80" s="77" t="n">
        <f aca="false">Acquisitions!U$61</f>
        <v>6550</v>
      </c>
      <c r="V80" s="77" t="n">
        <f aca="false">Acquisitions!V$61</f>
        <v>6550</v>
      </c>
      <c r="W80" s="77" t="n">
        <f aca="false">Acquisitions!W$61</f>
        <v>6550</v>
      </c>
      <c r="X80" s="77" t="n">
        <f aca="false">Acquisitions!X$61</f>
        <v>6550</v>
      </c>
      <c r="Y80" s="77" t="n">
        <f aca="false">Acquisitions!Y$61</f>
        <v>6550</v>
      </c>
      <c r="Z80" s="77" t="n">
        <f aca="false">Acquisitions!Z$61</f>
        <v>6550</v>
      </c>
      <c r="AA80" s="77" t="n">
        <f aca="false">Acquisitions!AA$61</f>
        <v>6550</v>
      </c>
      <c r="AB80" s="65" t="n">
        <f aca="false">SUM(AC80:AN80)</f>
        <v>168000</v>
      </c>
      <c r="AC80" s="77" t="n">
        <f aca="false">Acquisitions!AC$61</f>
        <v>14000</v>
      </c>
      <c r="AD80" s="77" t="n">
        <f aca="false">Acquisitions!AD$61</f>
        <v>14000</v>
      </c>
      <c r="AE80" s="77" t="n">
        <f aca="false">Acquisitions!AE$61</f>
        <v>14000</v>
      </c>
      <c r="AF80" s="77" t="n">
        <f aca="false">Acquisitions!AF$61</f>
        <v>14000</v>
      </c>
      <c r="AG80" s="77" t="n">
        <f aca="false">Acquisitions!AG$61</f>
        <v>14000</v>
      </c>
      <c r="AH80" s="77" t="n">
        <f aca="false">Acquisitions!AH$61</f>
        <v>14000</v>
      </c>
      <c r="AI80" s="77" t="n">
        <f aca="false">Acquisitions!AI$61</f>
        <v>14000</v>
      </c>
      <c r="AJ80" s="77" t="n">
        <f aca="false">Acquisitions!AJ$61</f>
        <v>14000</v>
      </c>
      <c r="AK80" s="77" t="n">
        <f aca="false">Acquisitions!AK$61</f>
        <v>14000</v>
      </c>
      <c r="AL80" s="77" t="n">
        <f aca="false">Acquisitions!AL$61</f>
        <v>14000</v>
      </c>
      <c r="AM80" s="77" t="n">
        <f aca="false">Acquisitions!AM$61</f>
        <v>14000</v>
      </c>
      <c r="AN80" s="77" t="n">
        <f aca="false">Acquisitions!AN$61</f>
        <v>14000</v>
      </c>
      <c r="AO80" s="65" t="n">
        <f aca="false">SUM(AP80:BA80)</f>
        <v>261000</v>
      </c>
      <c r="AP80" s="77" t="n">
        <f aca="false">Acquisitions!AP$61</f>
        <v>21750</v>
      </c>
      <c r="AQ80" s="77" t="n">
        <f aca="false">Acquisitions!AQ$61</f>
        <v>21750</v>
      </c>
      <c r="AR80" s="77" t="n">
        <f aca="false">Acquisitions!AR$61</f>
        <v>21750</v>
      </c>
      <c r="AS80" s="77" t="n">
        <f aca="false">Acquisitions!AS$61</f>
        <v>21750</v>
      </c>
      <c r="AT80" s="77" t="n">
        <f aca="false">Acquisitions!AT$61</f>
        <v>21750</v>
      </c>
      <c r="AU80" s="77" t="n">
        <f aca="false">Acquisitions!AU$61</f>
        <v>21750</v>
      </c>
      <c r="AV80" s="77" t="n">
        <f aca="false">Acquisitions!AV$61</f>
        <v>21750</v>
      </c>
      <c r="AW80" s="77" t="n">
        <f aca="false">Acquisitions!AW$61</f>
        <v>21750</v>
      </c>
      <c r="AX80" s="77" t="n">
        <f aca="false">Acquisitions!AX$61</f>
        <v>21750</v>
      </c>
      <c r="AY80" s="77" t="n">
        <f aca="false">Acquisitions!AY$61</f>
        <v>21750</v>
      </c>
      <c r="AZ80" s="77" t="n">
        <f aca="false">Acquisitions!AZ$61</f>
        <v>21750</v>
      </c>
      <c r="BA80" s="77" t="n">
        <f aca="false">Acquisitions!BA$61</f>
        <v>21750</v>
      </c>
      <c r="BB80" s="65" t="n">
        <f aca="false">SUM(BC80:BN80)</f>
        <v>356400</v>
      </c>
      <c r="BC80" s="77" t="n">
        <f aca="false">Acquisitions!BC$61</f>
        <v>29700</v>
      </c>
      <c r="BD80" s="77" t="n">
        <f aca="false">Acquisitions!BD$61</f>
        <v>29700</v>
      </c>
      <c r="BE80" s="77" t="n">
        <f aca="false">Acquisitions!BE$61</f>
        <v>29700</v>
      </c>
      <c r="BF80" s="77" t="n">
        <f aca="false">Acquisitions!BF$61</f>
        <v>29700</v>
      </c>
      <c r="BG80" s="77" t="n">
        <f aca="false">Acquisitions!BG$61</f>
        <v>29700</v>
      </c>
      <c r="BH80" s="77" t="n">
        <f aca="false">Acquisitions!BH$61</f>
        <v>29700</v>
      </c>
      <c r="BI80" s="77" t="n">
        <f aca="false">Acquisitions!BI$61</f>
        <v>29700</v>
      </c>
      <c r="BJ80" s="77" t="n">
        <f aca="false">Acquisitions!BJ$61</f>
        <v>29700</v>
      </c>
      <c r="BK80" s="77" t="n">
        <f aca="false">Acquisitions!BK$61</f>
        <v>29700</v>
      </c>
      <c r="BL80" s="77" t="n">
        <f aca="false">Acquisitions!BL$61</f>
        <v>29700</v>
      </c>
      <c r="BM80" s="77" t="n">
        <f aca="false">Acquisitions!BM$61</f>
        <v>29700</v>
      </c>
      <c r="BN80" s="77" t="n">
        <f aca="false">Acquisitions!BN$61</f>
        <v>29700</v>
      </c>
    </row>
    <row r="81" customFormat="false" ht="15" hidden="false" customHeight="false" outlineLevel="0" collapsed="false">
      <c r="A81" s="12" t="s">
        <v>94</v>
      </c>
      <c r="B81" s="79" t="n">
        <f aca="false">SUM(C81:N81)</f>
        <v>4828.05590909091</v>
      </c>
      <c r="C81" s="94" t="n">
        <f aca="false">Acquisitions!C$72</f>
        <v>453.504659090909</v>
      </c>
      <c r="D81" s="94" t="n">
        <f aca="false">Acquisitions!D$72</f>
        <v>492.254659090909</v>
      </c>
      <c r="E81" s="94" t="n">
        <f aca="false">Acquisitions!E$72</f>
        <v>538.754659090909</v>
      </c>
      <c r="F81" s="94" t="n">
        <f aca="false">Acquisitions!F$72</f>
        <v>274.304659090909</v>
      </c>
      <c r="G81" s="94" t="n">
        <f aca="false">Acquisitions!G$72</f>
        <v>281.054659090909</v>
      </c>
      <c r="H81" s="94" t="n">
        <f aca="false">Acquisitions!H$72</f>
        <v>289.154659090909</v>
      </c>
      <c r="I81" s="94" t="n">
        <f aca="false">Acquisitions!I$72</f>
        <v>281.304659090909</v>
      </c>
      <c r="J81" s="94" t="n">
        <f aca="false">Acquisitions!J$72</f>
        <v>289.304659090909</v>
      </c>
      <c r="K81" s="94" t="n">
        <f aca="false">Acquisitions!K$72</f>
        <v>298.904659090909</v>
      </c>
      <c r="L81" s="94" t="n">
        <f aca="false">Acquisitions!L$72</f>
        <v>494.104659090909</v>
      </c>
      <c r="M81" s="94" t="n">
        <f aca="false">Acquisitions!M$72</f>
        <v>540.104659090909</v>
      </c>
      <c r="N81" s="94" t="n">
        <f aca="false">Acquisitions!N$72</f>
        <v>595.304659090909</v>
      </c>
      <c r="O81" s="79" t="n">
        <f aca="false">SUM(P81:AA81)</f>
        <v>25676.3454545455</v>
      </c>
      <c r="P81" s="94" t="n">
        <f aca="false">Acquisitions!P$72</f>
        <v>1549.82878787879</v>
      </c>
      <c r="Q81" s="94" t="n">
        <f aca="false">Acquisitions!Q$72</f>
        <v>1602.82878787879</v>
      </c>
      <c r="R81" s="94" t="n">
        <f aca="false">Acquisitions!R$72</f>
        <v>1666.42878787879</v>
      </c>
      <c r="S81" s="94" t="n">
        <f aca="false">Acquisitions!S$72</f>
        <v>1639.42878787879</v>
      </c>
      <c r="T81" s="94" t="n">
        <f aca="false">Acquisitions!T$72</f>
        <v>1708.42878787879</v>
      </c>
      <c r="U81" s="94" t="n">
        <f aca="false">Acquisitions!U$72</f>
        <v>1791.22878787879</v>
      </c>
      <c r="V81" s="94" t="n">
        <f aca="false">Acquisitions!V$72</f>
        <v>2109.82878787879</v>
      </c>
      <c r="W81" s="94" t="n">
        <f aca="false">Acquisitions!W$72</f>
        <v>2262.82878787879</v>
      </c>
      <c r="X81" s="94" t="n">
        <f aca="false">Acquisitions!X$72</f>
        <v>2446.42878787879</v>
      </c>
      <c r="Y81" s="94" t="n">
        <f aca="false">Acquisitions!Y$72</f>
        <v>2692.22878787879</v>
      </c>
      <c r="Z81" s="94" t="n">
        <f aca="false">Acquisitions!Z$72</f>
        <v>2949.22878787879</v>
      </c>
      <c r="AA81" s="94" t="n">
        <f aca="false">Acquisitions!AA$72</f>
        <v>3257.62878787879</v>
      </c>
      <c r="AB81" s="79" t="n">
        <f aca="false">SUM(AC81:AN81)</f>
        <v>79411.5663636364</v>
      </c>
      <c r="AC81" s="94" t="n">
        <f aca="false">Acquisitions!AC$72</f>
        <v>4950.06386363636</v>
      </c>
      <c r="AD81" s="94" t="n">
        <f aca="false">Acquisitions!AD$72</f>
        <v>5298.56386363636</v>
      </c>
      <c r="AE81" s="94" t="n">
        <f aca="false">Acquisitions!AE$72</f>
        <v>5716.76386363636</v>
      </c>
      <c r="AF81" s="94" t="n">
        <f aca="false">Acquisitions!AF$72</f>
        <v>5617.86386363637</v>
      </c>
      <c r="AG81" s="94" t="n">
        <f aca="false">Acquisitions!AG$72</f>
        <v>6085.61386363636</v>
      </c>
      <c r="AH81" s="94" t="n">
        <f aca="false">Acquisitions!AH$72</f>
        <v>6646.91386363636</v>
      </c>
      <c r="AI81" s="94" t="n">
        <f aca="false">Acquisitions!AI$72</f>
        <v>6459.26386363636</v>
      </c>
      <c r="AJ81" s="94" t="n">
        <f aca="false">Acquisitions!AJ$72</f>
        <v>7077.26386363636</v>
      </c>
      <c r="AK81" s="94" t="n">
        <f aca="false">Acquisitions!AK$72</f>
        <v>7818.86386363637</v>
      </c>
      <c r="AL81" s="94" t="n">
        <f aca="false">Acquisitions!AL$72</f>
        <v>7127.06386363636</v>
      </c>
      <c r="AM81" s="94" t="n">
        <f aca="false">Acquisitions!AM$72</f>
        <v>7864.31386363636</v>
      </c>
      <c r="AN81" s="94" t="n">
        <f aca="false">Acquisitions!AN$72</f>
        <v>8749.01386363636</v>
      </c>
      <c r="AO81" s="79" t="n">
        <f aca="false">SUM(AP81:BA81)</f>
        <v>159213.588484849</v>
      </c>
      <c r="AP81" s="94" t="n">
        <f aca="false">Acquisitions!AP$72</f>
        <v>10327.0657070707</v>
      </c>
      <c r="AQ81" s="94" t="n">
        <f aca="false">Acquisitions!AQ$72</f>
        <v>11279.3157070707</v>
      </c>
      <c r="AR81" s="94" t="n">
        <f aca="false">Acquisitions!AR$72</f>
        <v>12422.0157070707</v>
      </c>
      <c r="AS81" s="94" t="n">
        <f aca="false">Acquisitions!AS$72</f>
        <v>11489.0657070707</v>
      </c>
      <c r="AT81" s="94" t="n">
        <f aca="false">Acquisitions!AT$72</f>
        <v>12648.8157070707</v>
      </c>
      <c r="AU81" s="94" t="n">
        <f aca="false">Acquisitions!AU$72</f>
        <v>14040.5157070707</v>
      </c>
      <c r="AV81" s="94" t="n">
        <f aca="false">Acquisitions!AV$72</f>
        <v>12399.0657070707</v>
      </c>
      <c r="AW81" s="94" t="n">
        <f aca="false">Acquisitions!AW$72</f>
        <v>13721.3157070707</v>
      </c>
      <c r="AX81" s="94" t="n">
        <f aca="false">Acquisitions!AX$72</f>
        <v>15308.0157070707</v>
      </c>
      <c r="AY81" s="94" t="n">
        <f aca="false">Acquisitions!AY$72</f>
        <v>13561.0657070707</v>
      </c>
      <c r="AZ81" s="94" t="n">
        <f aca="false">Acquisitions!AZ$72</f>
        <v>15090.8157070707</v>
      </c>
      <c r="BA81" s="94" t="n">
        <f aca="false">Acquisitions!BA$72</f>
        <v>16926.5157070707</v>
      </c>
      <c r="BB81" s="79" t="n">
        <f aca="false">SUM(BC81:BN81)</f>
        <v>244435.929166667</v>
      </c>
      <c r="BC81" s="94" t="n">
        <f aca="false">Acquisitions!BC$72</f>
        <v>16759.7607638889</v>
      </c>
      <c r="BD81" s="94" t="n">
        <f aca="false">Acquisitions!BD$72</f>
        <v>18455.7607638889</v>
      </c>
      <c r="BE81" s="94" t="n">
        <f aca="false">Acquisitions!BE$72</f>
        <v>20490.9607638889</v>
      </c>
      <c r="BF81" s="94" t="n">
        <f aca="false">Acquisitions!BF$72</f>
        <v>17710.3607638889</v>
      </c>
      <c r="BG81" s="94" t="n">
        <f aca="false">Acquisitions!BG$72</f>
        <v>19576.1107638889</v>
      </c>
      <c r="BH81" s="94" t="n">
        <f aca="false">Acquisitions!BH$72</f>
        <v>21815.0107638889</v>
      </c>
      <c r="BI81" s="94" t="n">
        <f aca="false">Acquisitions!BI$72</f>
        <v>18834.5607638889</v>
      </c>
      <c r="BJ81" s="94" t="n">
        <f aca="false">Acquisitions!BJ$72</f>
        <v>20901.0607638889</v>
      </c>
      <c r="BK81" s="94" t="n">
        <f aca="false">Acquisitions!BK$72</f>
        <v>23380.8607638889</v>
      </c>
      <c r="BL81" s="94" t="n">
        <f aca="false">Acquisitions!BL$72</f>
        <v>19785.1607638889</v>
      </c>
      <c r="BM81" s="94" t="n">
        <f aca="false">Acquisitions!BM$72</f>
        <v>22021.4107638889</v>
      </c>
      <c r="BN81" s="94" t="n">
        <f aca="false">Acquisitions!BN$72</f>
        <v>24704.9107638889</v>
      </c>
    </row>
    <row r="82" customFormat="false" ht="15" hidden="false" customHeight="false" outlineLevel="0" collapsed="false">
      <c r="A82" s="12" t="s">
        <v>707</v>
      </c>
      <c r="B82" s="81" t="n">
        <f aca="false">SUM(C82:N82)</f>
        <v>176.161118181818</v>
      </c>
      <c r="C82" s="91" t="n">
        <f aca="false">Acquisitions!C$74</f>
        <v>17.7500931818182</v>
      </c>
      <c r="D82" s="91" t="n">
        <f aca="false">Acquisitions!D$74</f>
        <v>20.0750931818182</v>
      </c>
      <c r="E82" s="91" t="n">
        <f aca="false">Acquisitions!E$74</f>
        <v>22.8650931818182</v>
      </c>
      <c r="F82" s="91" t="n">
        <f aca="false">Acquisitions!F$74</f>
        <v>6.99809318181818</v>
      </c>
      <c r="G82" s="91" t="n">
        <f aca="false">Acquisitions!G$74</f>
        <v>7.40309318181818</v>
      </c>
      <c r="H82" s="91" t="n">
        <f aca="false">Acquisitions!H$74</f>
        <v>7.88909318181818</v>
      </c>
      <c r="I82" s="91" t="n">
        <f aca="false">Acquisitions!I$74</f>
        <v>7.41809318181818</v>
      </c>
      <c r="J82" s="91" t="n">
        <f aca="false">Acquisitions!J$74</f>
        <v>7.89809318181818</v>
      </c>
      <c r="K82" s="91" t="n">
        <f aca="false">Acquisitions!K$74</f>
        <v>8.47409318181818</v>
      </c>
      <c r="L82" s="91" t="n">
        <f aca="false">Acquisitions!L$74</f>
        <v>20.1860931818182</v>
      </c>
      <c r="M82" s="91" t="n">
        <f aca="false">Acquisitions!M$74</f>
        <v>22.9460931818182</v>
      </c>
      <c r="N82" s="91" t="n">
        <f aca="false">Acquisitions!N$74</f>
        <v>26.2580931818182</v>
      </c>
      <c r="O82" s="81" t="n">
        <f aca="false">SUM(P82:AA82)</f>
        <v>1135.74498181818</v>
      </c>
      <c r="P82" s="91" t="n">
        <f aca="false">Acquisitions!P$74</f>
        <v>53.3547484848485</v>
      </c>
      <c r="Q82" s="91" t="n">
        <f aca="false">Acquisitions!Q$74</f>
        <v>57.0647484848485</v>
      </c>
      <c r="R82" s="91" t="n">
        <f aca="false">Acquisitions!R$74</f>
        <v>61.5167484848485</v>
      </c>
      <c r="S82" s="91" t="n">
        <f aca="false">Acquisitions!S$74</f>
        <v>59.6267484848485</v>
      </c>
      <c r="T82" s="91" t="n">
        <f aca="false">Acquisitions!T$74</f>
        <v>64.4567484848485</v>
      </c>
      <c r="U82" s="91" t="n">
        <f aca="false">Acquisitions!U$74</f>
        <v>70.2527484848485</v>
      </c>
      <c r="V82" s="91" t="n">
        <f aca="false">Acquisitions!V$74</f>
        <v>92.5547484848485</v>
      </c>
      <c r="W82" s="91" t="n">
        <f aca="false">Acquisitions!W$74</f>
        <v>103.264748484849</v>
      </c>
      <c r="X82" s="91" t="n">
        <f aca="false">Acquisitions!X$74</f>
        <v>116.116748484848</v>
      </c>
      <c r="Y82" s="91" t="n">
        <f aca="false">Acquisitions!Y$74</f>
        <v>133.322748484849</v>
      </c>
      <c r="Z82" s="91" t="n">
        <f aca="false">Acquisitions!Z$74</f>
        <v>151.312748484849</v>
      </c>
      <c r="AA82" s="91" t="n">
        <f aca="false">Acquisitions!AA$74</f>
        <v>172.900748484849</v>
      </c>
      <c r="AB82" s="81" t="n">
        <f aca="false">SUM(AC82:AN82)</f>
        <v>4625.81012363636</v>
      </c>
      <c r="AC82" s="91" t="n">
        <f aca="false">Acquisitions!AC$74</f>
        <v>252.078843636364</v>
      </c>
      <c r="AD82" s="91" t="n">
        <f aca="false">Acquisitions!AD$74</f>
        <v>279.958843636364</v>
      </c>
      <c r="AE82" s="91" t="n">
        <f aca="false">Acquisitions!AE$74</f>
        <v>313.414843636364</v>
      </c>
      <c r="AF82" s="91" t="n">
        <f aca="false">Acquisitions!AF$74</f>
        <v>305.502843636364</v>
      </c>
      <c r="AG82" s="91" t="n">
        <f aca="false">Acquisitions!AG$74</f>
        <v>342.922843636364</v>
      </c>
      <c r="AH82" s="91" t="n">
        <f aca="false">Acquisitions!AH$74</f>
        <v>387.826843636364</v>
      </c>
      <c r="AI82" s="91" t="n">
        <f aca="false">Acquisitions!AI$74</f>
        <v>372.814843636364</v>
      </c>
      <c r="AJ82" s="91" t="n">
        <f aca="false">Acquisitions!AJ$74</f>
        <v>422.254843636364</v>
      </c>
      <c r="AK82" s="91" t="n">
        <f aca="false">Acquisitions!AK$74</f>
        <v>481.582843636364</v>
      </c>
      <c r="AL82" s="91" t="n">
        <f aca="false">Acquisitions!AL$74</f>
        <v>426.238843636364</v>
      </c>
      <c r="AM82" s="91" t="n">
        <f aca="false">Acquisitions!AM$74</f>
        <v>485.218843636364</v>
      </c>
      <c r="AN82" s="91" t="n">
        <f aca="false">Acquisitions!AN$74</f>
        <v>555.994843636364</v>
      </c>
      <c r="AO82" s="81" t="n">
        <f aca="false">SUM(AP82:BA82)</f>
        <v>10894.2491854545</v>
      </c>
      <c r="AP82" s="91" t="n">
        <f aca="false">Acquisitions!AP$74</f>
        <v>649.069565454546</v>
      </c>
      <c r="AQ82" s="91" t="n">
        <f aca="false">Acquisitions!AQ$74</f>
        <v>732.867565454546</v>
      </c>
      <c r="AR82" s="91" t="n">
        <f aca="false">Acquisitions!AR$74</f>
        <v>833.425165454545</v>
      </c>
      <c r="AS82" s="91" t="n">
        <f aca="false">Acquisitions!AS$74</f>
        <v>751.325565454546</v>
      </c>
      <c r="AT82" s="91" t="n">
        <f aca="false">Acquisitions!AT$74</f>
        <v>853.383565454546</v>
      </c>
      <c r="AU82" s="91" t="n">
        <f aca="false">Acquisitions!AU$74</f>
        <v>975.853165454546</v>
      </c>
      <c r="AV82" s="91" t="n">
        <f aca="false">Acquisitions!AV$74</f>
        <v>831.405565454546</v>
      </c>
      <c r="AW82" s="91" t="n">
        <f aca="false">Acquisitions!AW$74</f>
        <v>947.763565454545</v>
      </c>
      <c r="AX82" s="91" t="n">
        <f aca="false">Acquisitions!AX$74</f>
        <v>1087.39316545455</v>
      </c>
      <c r="AY82" s="91" t="n">
        <f aca="false">Acquisitions!AY$74</f>
        <v>933.661565454546</v>
      </c>
      <c r="AZ82" s="91" t="n">
        <f aca="false">Acquisitions!AZ$74</f>
        <v>1068.27956545455</v>
      </c>
      <c r="BA82" s="91" t="n">
        <f aca="false">Acquisitions!BA$74</f>
        <v>1229.82116545455</v>
      </c>
      <c r="BB82" s="81" t="n">
        <f aca="false">SUM(BC82:BN82)</f>
        <v>18428.3871666667</v>
      </c>
      <c r="BC82" s="91" t="n">
        <f aca="false">Acquisitions!BC$74</f>
        <v>1192.75843055556</v>
      </c>
      <c r="BD82" s="91" t="n">
        <f aca="false">Acquisitions!BD$74</f>
        <v>1353.87843055556</v>
      </c>
      <c r="BE82" s="91" t="n">
        <f aca="false">Acquisitions!BE$74</f>
        <v>1547.22243055556</v>
      </c>
      <c r="BF82" s="91" t="n">
        <f aca="false">Acquisitions!BF$74</f>
        <v>1283.06543055556</v>
      </c>
      <c r="BG82" s="91" t="n">
        <f aca="false">Acquisitions!BG$74</f>
        <v>1460.31168055556</v>
      </c>
      <c r="BH82" s="91" t="n">
        <f aca="false">Acquisitions!BH$74</f>
        <v>1673.00718055556</v>
      </c>
      <c r="BI82" s="91" t="n">
        <f aca="false">Acquisitions!BI$74</f>
        <v>1389.86443055556</v>
      </c>
      <c r="BJ82" s="91" t="n">
        <f aca="false">Acquisitions!BJ$74</f>
        <v>1586.18193055556</v>
      </c>
      <c r="BK82" s="91" t="n">
        <f aca="false">Acquisitions!BK$74</f>
        <v>1821.76293055556</v>
      </c>
      <c r="BL82" s="91" t="n">
        <f aca="false">Acquisitions!BL$74</f>
        <v>1480.17143055556</v>
      </c>
      <c r="BM82" s="91" t="n">
        <f aca="false">Acquisitions!BM$74</f>
        <v>1692.61518055556</v>
      </c>
      <c r="BN82" s="91" t="n">
        <f aca="false">Acquisitions!BN$74</f>
        <v>1947.54768055556</v>
      </c>
    </row>
    <row r="83" customFormat="false" ht="15" hidden="false" customHeight="false" outlineLevel="0" collapsed="false">
      <c r="A83" s="18" t="s">
        <v>708</v>
      </c>
      <c r="B83" s="102" t="n">
        <f aca="false">IFERROR(AVERAGE(C83:N83),0)</f>
        <v>0.0342471967401878</v>
      </c>
      <c r="C83" s="103" t="n">
        <f aca="false">IFERROR(C82/C81,0)</f>
        <v>0.0391398254152446</v>
      </c>
      <c r="D83" s="103" t="n">
        <f aca="false">IFERROR(D82/D81,0)</f>
        <v>0.0407819262064328</v>
      </c>
      <c r="E83" s="103" t="n">
        <f aca="false">IFERROR(E82/E81,0)</f>
        <v>0.0424406412009514</v>
      </c>
      <c r="F83" s="103" t="n">
        <f aca="false">IFERROR(F82/F81,0)</f>
        <v>0.0255121192801136</v>
      </c>
      <c r="G83" s="103" t="n">
        <f aca="false">IFERROR(G82/G81,0)</f>
        <v>0.0263404036985688</v>
      </c>
      <c r="H83" s="103" t="n">
        <f aca="false">IFERROR(H82/H81,0)</f>
        <v>0.0272832995554046</v>
      </c>
      <c r="I83" s="103" t="n">
        <f aca="false">IFERROR(I82/I81,0)</f>
        <v>0.0263703175261697</v>
      </c>
      <c r="J83" s="103" t="n">
        <f aca="false">IFERROR(J82/J81,0)</f>
        <v>0.0273002626595666</v>
      </c>
      <c r="K83" s="103" t="n">
        <f aca="false">IFERROR(K82/K81,0)</f>
        <v>0.028350488773214</v>
      </c>
      <c r="L83" s="103" t="n">
        <f aca="false">IFERROR(L82/L81,0)</f>
        <v>0.0408538814812191</v>
      </c>
      <c r="M83" s="103" t="n">
        <f aca="false">IFERROR(M82/M81,0)</f>
        <v>0.0424845310915119</v>
      </c>
      <c r="N83" s="103" t="n">
        <f aca="false">IFERROR(N82/N81,0)</f>
        <v>0.0441086639938565</v>
      </c>
      <c r="O83" s="102" t="n">
        <f aca="false">IFERROR(AVERAGE(P83:AA83),0)</f>
        <v>0.0425944859954025</v>
      </c>
      <c r="P83" s="103" t="n">
        <f aca="false">IFERROR(P82/P81,0)</f>
        <v>0.0344262210781836</v>
      </c>
      <c r="Q83" s="103" t="n">
        <f aca="false">IFERROR(Q82/Q81,0)</f>
        <v>0.035602522812414</v>
      </c>
      <c r="R83" s="103" t="n">
        <f aca="false">IFERROR(R82/R81,0)</f>
        <v>0.0369153179135568</v>
      </c>
      <c r="S83" s="103" t="n">
        <f aca="false">IFERROR(S82/S81,0)</f>
        <v>0.0363704412937618</v>
      </c>
      <c r="T83" s="103" t="n">
        <f aca="false">IFERROR(T82/T81,0)</f>
        <v>0.0377286714799971</v>
      </c>
      <c r="U83" s="103" t="n">
        <f aca="false">IFERROR(U82/U81,0)</f>
        <v>0.0392204217352063</v>
      </c>
      <c r="V83" s="103" t="n">
        <f aca="false">IFERROR(V82/V81,0)</f>
        <v>0.0438683693276849</v>
      </c>
      <c r="W83" s="103" t="n">
        <f aca="false">IFERROR(W82/W81,0)</f>
        <v>0.0456352460415932</v>
      </c>
      <c r="X83" s="103" t="n">
        <f aca="false">IFERROR(X82/X81,0)</f>
        <v>0.0474637762031607</v>
      </c>
      <c r="Y83" s="103" t="n">
        <f aca="false">IFERROR(Y82/Y81,0)</f>
        <v>0.0495213293480506</v>
      </c>
      <c r="Z83" s="103" t="n">
        <f aca="false">IFERROR(Z82/Z81,0)</f>
        <v>0.0513058698961362</v>
      </c>
      <c r="AA83" s="103" t="n">
        <f aca="false">IFERROR(AA82/AA81,0)</f>
        <v>0.0530756448150844</v>
      </c>
      <c r="AB83" s="102" t="n">
        <f aca="false">IFERROR(AVERAGE(AC83:AN83),0)</f>
        <v>0.0576408302272224</v>
      </c>
      <c r="AC83" s="103" t="n">
        <f aca="false">IFERROR(AC82/AC81,0)</f>
        <v>0.0509243619033198</v>
      </c>
      <c r="AD83" s="103" t="n">
        <f aca="false">IFERROR(AD82/AD81,0)</f>
        <v>0.0528367404529555</v>
      </c>
      <c r="AE83" s="103" t="n">
        <f aca="false">IFERROR(AE82/AE81,0)</f>
        <v>0.0548238218531217</v>
      </c>
      <c r="AF83" s="103" t="n">
        <f aca="false">IFERROR(AF82/AF81,0)</f>
        <v>0.0543806064105327</v>
      </c>
      <c r="AG83" s="103" t="n">
        <f aca="false">IFERROR(AG82/AG81,0)</f>
        <v>0.0563497539147933</v>
      </c>
      <c r="AH83" s="103" t="n">
        <f aca="false">IFERROR(AH82/AH81,0)</f>
        <v>0.0583469037801241</v>
      </c>
      <c r="AI83" s="103" t="n">
        <f aca="false">IFERROR(AI82/AI81,0)</f>
        <v>0.0577178532270828</v>
      </c>
      <c r="AJ83" s="103" t="n">
        <f aca="false">IFERROR(AJ82/AJ81,0)</f>
        <v>0.0596635722183467</v>
      </c>
      <c r="AK83" s="103" t="n">
        <f aca="false">IFERROR(AK82/AK81,0)</f>
        <v>0.0615924323578632</v>
      </c>
      <c r="AL83" s="103" t="n">
        <f aca="false">IFERROR(AL82/AL81,0)</f>
        <v>0.0598056719838187</v>
      </c>
      <c r="AM83" s="103" t="n">
        <f aca="false">IFERROR(AM82/AM81,0)</f>
        <v>0.0616988146772673</v>
      </c>
      <c r="AN83" s="103" t="n">
        <f aca="false">IFERROR(AN82/AN81,0)</f>
        <v>0.0635494299474426</v>
      </c>
      <c r="AO83" s="102" t="n">
        <f aca="false">IFERROR(AVERAGE(AP83:BA83),0)</f>
        <v>0.0680615851172727</v>
      </c>
      <c r="AP83" s="103" t="n">
        <f aca="false">IFERROR(AP82/AP81,0)</f>
        <v>0.0628513058661128</v>
      </c>
      <c r="AQ83" s="103" t="n">
        <f aca="false">IFERROR(AQ82/AQ81,0)</f>
        <v>0.0649744704809645</v>
      </c>
      <c r="AR83" s="103" t="n">
        <f aca="false">IFERROR(AR82/AR81,0)</f>
        <v>0.0670925866709502</v>
      </c>
      <c r="AS83" s="103" t="n">
        <f aca="false">IFERROR(AS82/AS81,0)</f>
        <v>0.0653948358039382</v>
      </c>
      <c r="AT83" s="103" t="n">
        <f aca="false">IFERROR(AT82/AT81,0)</f>
        <v>0.0674674677232828</v>
      </c>
      <c r="AU83" s="103" t="n">
        <f aca="false">IFERROR(AU82/AU81,0)</f>
        <v>0.0695026582936062</v>
      </c>
      <c r="AV83" s="103" t="n">
        <f aca="false">IFERROR(AV82/AV81,0)</f>
        <v>0.0670538881796898</v>
      </c>
      <c r="AW83" s="103" t="n">
        <f aca="false">IFERROR(AW82/AW81,0)</f>
        <v>0.0690723532413262</v>
      </c>
      <c r="AX83" s="103" t="n">
        <f aca="false">IFERROR(AX82/AX81,0)</f>
        <v>0.0710342337153654</v>
      </c>
      <c r="AY83" s="103" t="n">
        <f aca="false">IFERROR(AY82/AY81,0)</f>
        <v>0.0688486867936741</v>
      </c>
      <c r="AZ83" s="103" t="n">
        <f aca="false">IFERROR(AZ82/AZ81,0)</f>
        <v>0.070790047813917</v>
      </c>
      <c r="BA83" s="103" t="n">
        <f aca="false">IFERROR(BA82/BA81,0)</f>
        <v>0.0726564868244451</v>
      </c>
      <c r="BB83" s="102" t="n">
        <f aca="false">IFERROR(AVERAGE(BC83:BN83),0)</f>
        <v>0.0751562535737452</v>
      </c>
      <c r="BC83" s="103" t="n">
        <f aca="false">IFERROR(BC82/BC81,0)</f>
        <v>0.0711679866651504</v>
      </c>
      <c r="BD83" s="103" t="n">
        <f aca="false">IFERROR(BD82/BD81,0)</f>
        <v>0.0733580396861557</v>
      </c>
      <c r="BE83" s="103" t="n">
        <f aca="false">IFERROR(BE82/BE81,0)</f>
        <v>0.0755075590834285</v>
      </c>
      <c r="BF83" s="103" t="n">
        <f aca="false">IFERROR(BF82/BF81,0)</f>
        <v>0.0724471651177035</v>
      </c>
      <c r="BG83" s="103" t="n">
        <f aca="false">IFERROR(BG82/BG81,0)</f>
        <v>0.0745966192247606</v>
      </c>
      <c r="BH83" s="103" t="n">
        <f aca="false">IFERROR(BH82/BH81,0)</f>
        <v>0.0766906419924825</v>
      </c>
      <c r="BI83" s="103" t="n">
        <f aca="false">IFERROR(BI82/BI81,0)</f>
        <v>0.0737933020036397</v>
      </c>
      <c r="BJ83" s="103" t="n">
        <f aca="false">IFERROR(BJ82/BJ81,0)</f>
        <v>0.0758900205340788</v>
      </c>
      <c r="BK83" s="103" t="n">
        <f aca="false">IFERROR(BK82/BK81,0)</f>
        <v>0.0779168461312263</v>
      </c>
      <c r="BL83" s="103" t="n">
        <f aca="false">IFERROR(BL82/BL81,0)</f>
        <v>0.0748122013371308</v>
      </c>
      <c r="BM83" s="103" t="n">
        <f aca="false">IFERROR(BM82/BM81,0)</f>
        <v>0.0768622500485363</v>
      </c>
      <c r="BN83" s="103" t="n">
        <f aca="false">IFERROR(BN82/BN81,0)</f>
        <v>0.0788324110606496</v>
      </c>
    </row>
    <row r="84" customFormat="false" ht="15" hidden="false" customHeight="false" outlineLevel="0" collapsed="false">
      <c r="A84" s="12" t="s">
        <v>709</v>
      </c>
      <c r="B84" s="85" t="n">
        <f aca="false">IFERROR(AVERAGE(C84:N84),0)</f>
        <v>44.7403137410859</v>
      </c>
      <c r="C84" s="104" t="n">
        <f aca="false">Acquisitions!C$76</f>
        <v>28.3942171366322</v>
      </c>
      <c r="D84" s="104" t="n">
        <f aca="false">Acquisitions!D$76</f>
        <v>25.1057365181482</v>
      </c>
      <c r="E84" s="104" t="n">
        <f aca="false">Acquisitions!E$76</f>
        <v>22.0423330879215</v>
      </c>
      <c r="F84" s="104" t="n">
        <f aca="false">Acquisitions!F$76</f>
        <v>72.0196183310973</v>
      </c>
      <c r="G84" s="104" t="n">
        <f aca="false">Acquisitions!G$76</f>
        <v>68.0796509812698</v>
      </c>
      <c r="H84" s="104" t="n">
        <f aca="false">Acquisitions!H$76</f>
        <v>63.8856695420403</v>
      </c>
      <c r="I84" s="104" t="n">
        <f aca="false">Acquisitions!I$76</f>
        <v>67.9419882774335</v>
      </c>
      <c r="J84" s="104" t="n">
        <f aca="false">Acquisitions!J$76</f>
        <v>63.8128708281429</v>
      </c>
      <c r="K84" s="104" t="n">
        <f aca="false">Acquisitions!K$76</f>
        <v>59.4753903675936</v>
      </c>
      <c r="L84" s="104" t="n">
        <f aca="false">Acquisitions!L$76</f>
        <v>24.9676842101352</v>
      </c>
      <c r="M84" s="104" t="n">
        <f aca="false">Acquisitions!M$76</f>
        <v>21.9645233725171</v>
      </c>
      <c r="N84" s="104" t="n">
        <f aca="false">Acquisitions!N$76</f>
        <v>19.194082240099</v>
      </c>
      <c r="O84" s="85" t="n">
        <f aca="false">IFERROR(AVERAGE(P84:AA84),0)</f>
        <v>31.9509158952802</v>
      </c>
      <c r="P84" s="104" t="n">
        <f aca="false">Acquisitions!P$76</f>
        <v>48.5430083272813</v>
      </c>
      <c r="Q84" s="104" t="n">
        <f aca="false">Acquisitions!Q$76</f>
        <v>45.3870396132155</v>
      </c>
      <c r="R84" s="104" t="n">
        <f aca="false">Acquisitions!R$76</f>
        <v>42.1023552738311</v>
      </c>
      <c r="S84" s="104" t="n">
        <f aca="false">Acquisitions!S$76</f>
        <v>43.4368813630368</v>
      </c>
      <c r="T84" s="104" t="n">
        <f aca="false">Acquisitions!T$76</f>
        <v>40.1819834366733</v>
      </c>
      <c r="U84" s="104" t="n">
        <f aca="false">Acquisitions!U$76</f>
        <v>36.8668850096105</v>
      </c>
      <c r="V84" s="104" t="n">
        <f aca="false">Acquisitions!V$76</f>
        <v>27.9834372887307</v>
      </c>
      <c r="W84" s="104" t="n">
        <f aca="false">Acquisitions!W$76</f>
        <v>25.0811631074666</v>
      </c>
      <c r="X84" s="104" t="n">
        <f aca="false">Acquisitions!X$76</f>
        <v>22.3051371468428</v>
      </c>
      <c r="Y84" s="104" t="n">
        <f aca="false">Acquisitions!Y$76</f>
        <v>19.4265422025435</v>
      </c>
      <c r="Z84" s="104" t="n">
        <f aca="false">Acquisitions!Z$76</f>
        <v>17.1168657362624</v>
      </c>
      <c r="AA84" s="104" t="n">
        <f aca="false">Acquisitions!AA$76</f>
        <v>14.9796922378677</v>
      </c>
      <c r="AB84" s="85" t="n">
        <f aca="false">IFERROR(AVERAGE(AC84:AN84),0)</f>
        <v>16.0867600444078</v>
      </c>
      <c r="AC84" s="104" t="n">
        <f aca="false">Acquisitions!AC$76</f>
        <v>23.3260352799864</v>
      </c>
      <c r="AD84" s="104" t="n">
        <f aca="false">Acquisitions!AD$76</f>
        <v>21.0030871810482</v>
      </c>
      <c r="AE84" s="104" t="n">
        <f aca="false">Acquisitions!AE$76</f>
        <v>18.7610769540393</v>
      </c>
      <c r="AF84" s="104" t="n">
        <f aca="false">Acquisitions!AF$76</f>
        <v>19.2469566895387</v>
      </c>
      <c r="AG84" s="104" t="n">
        <f aca="false">Acquisitions!AG$76</f>
        <v>17.1467142219174</v>
      </c>
      <c r="AH84" s="104" t="n">
        <f aca="false">Acquisitions!AH$76</f>
        <v>15.1614053964589</v>
      </c>
      <c r="AI84" s="104" t="n">
        <f aca="false">Acquisitions!AI$76</f>
        <v>15.7719042049067</v>
      </c>
      <c r="AJ84" s="104" t="n">
        <f aca="false">Acquisitions!AJ$76</f>
        <v>13.9252399081151</v>
      </c>
      <c r="AK84" s="104" t="n">
        <f aca="false">Acquisitions!AK$76</f>
        <v>12.2097372813387</v>
      </c>
      <c r="AL84" s="104" t="n">
        <f aca="false">Acquisitions!AL$76</f>
        <v>13.795082470279</v>
      </c>
      <c r="AM84" s="104" t="n">
        <f aca="false">Acquisitions!AM$76</f>
        <v>12.1182432980831</v>
      </c>
      <c r="AN84" s="104" t="n">
        <f aca="false">Acquisitions!AN$76</f>
        <v>10.5756376471824</v>
      </c>
      <c r="AO84" s="85" t="n">
        <f aca="false">IFERROR(AVERAGE(AP84:BA84),0)</f>
        <v>11.0519504420959</v>
      </c>
      <c r="AP84" s="104" t="n">
        <f aca="false">Acquisitions!AP$76</f>
        <v>14.9906890075582</v>
      </c>
      <c r="AQ84" s="104" t="n">
        <f aca="false">Acquisitions!AQ$76</f>
        <v>13.276614300655</v>
      </c>
      <c r="AR84" s="104" t="n">
        <f aca="false">Acquisitions!AR$76</f>
        <v>11.6747134635577</v>
      </c>
      <c r="AS84" s="104" t="n">
        <f aca="false">Acquisitions!AS$76</f>
        <v>12.9504444509531</v>
      </c>
      <c r="AT84" s="104" t="n">
        <f aca="false">Acquisitions!AT$76</f>
        <v>11.4016725817979</v>
      </c>
      <c r="AU84" s="104" t="n">
        <f aca="false">Acquisitions!AU$76</f>
        <v>9.97076234872675</v>
      </c>
      <c r="AV84" s="104" t="n">
        <f aca="false">Acquisitions!AV$76</f>
        <v>11.7030729697851</v>
      </c>
      <c r="AW84" s="104" t="n">
        <f aca="false">Acquisitions!AW$76</f>
        <v>10.2662735250152</v>
      </c>
      <c r="AX84" s="104" t="n">
        <f aca="false">Acquisitions!AX$76</f>
        <v>8.94800547687158</v>
      </c>
      <c r="AY84" s="104" t="n">
        <f aca="false">Acquisitions!AY$76</f>
        <v>10.4213350533103</v>
      </c>
      <c r="AZ84" s="104" t="n">
        <f aca="false">Acquisitions!AZ$76</f>
        <v>9.10810270517526</v>
      </c>
      <c r="BA84" s="104" t="n">
        <f aca="false">Acquisitions!BA$76</f>
        <v>7.91171942174516</v>
      </c>
      <c r="BB84" s="85" t="n">
        <f aca="false">IFERROR(AVERAGE(BC84:BN84),0)</f>
        <v>9.10544884595372</v>
      </c>
      <c r="BC84" s="104" t="n">
        <f aca="false">Acquisitions!BC$76</f>
        <v>11.5027482921329</v>
      </c>
      <c r="BD84" s="104" t="n">
        <f aca="false">Acquisitions!BD$76</f>
        <v>10.1338493105102</v>
      </c>
      <c r="BE84" s="104" t="n">
        <f aca="false">Acquisitions!BE$76</f>
        <v>8.86750329432182</v>
      </c>
      <c r="BF84" s="104" t="n">
        <f aca="false">Acquisitions!BF$76</f>
        <v>10.6931413420276</v>
      </c>
      <c r="BG84" s="104" t="n">
        <f aca="false">Acquisitions!BG$76</f>
        <v>9.39525457659862</v>
      </c>
      <c r="BH84" s="104" t="n">
        <f aca="false">Acquisitions!BH$76</f>
        <v>8.20080162204922</v>
      </c>
      <c r="BI84" s="104" t="n">
        <f aca="false">Acquisitions!BI$76</f>
        <v>9.87146638072884</v>
      </c>
      <c r="BJ84" s="104" t="n">
        <f aca="false">Acquisitions!BJ$76</f>
        <v>8.64970135878084</v>
      </c>
      <c r="BK84" s="104" t="n">
        <f aca="false">Acquisitions!BK$76</f>
        <v>7.53116652550177</v>
      </c>
      <c r="BL84" s="104" t="n">
        <f aca="false">Acquisitions!BL$76</f>
        <v>9.26919660572725</v>
      </c>
      <c r="BM84" s="104" t="n">
        <f aca="false">Acquisitions!BM$76</f>
        <v>8.10579992287247</v>
      </c>
      <c r="BN84" s="104" t="n">
        <f aca="false">Acquisitions!BN$76</f>
        <v>7.04475692019322</v>
      </c>
    </row>
    <row r="85" customFormat="false" ht="15" hidden="false" customHeight="false" outlineLevel="0" collapsed="false">
      <c r="A85" s="67" t="s">
        <v>710</v>
      </c>
      <c r="B85" s="105" t="n">
        <f aca="false">N85</f>
        <v>138.989340445837</v>
      </c>
      <c r="C85" s="106" t="n">
        <f aca="false">Acquisitions!C$75</f>
        <v>19.7500931818182</v>
      </c>
      <c r="D85" s="106" t="n">
        <f aca="false">Acquisitions!D$75</f>
        <v>38.8376817045455</v>
      </c>
      <c r="E85" s="106" t="n">
        <f aca="false">Acquisitions!E$75</f>
        <v>59.7608908011364</v>
      </c>
      <c r="F85" s="106" t="n">
        <f aca="false">Acquisitions!F$75</f>
        <v>63.7709394428977</v>
      </c>
      <c r="G85" s="106" t="n">
        <f aca="false">Acquisitions!G$75</f>
        <v>67.985485652571</v>
      </c>
      <c r="H85" s="106" t="n">
        <f aca="false">Acquisitions!H$75</f>
        <v>72.4753045517607</v>
      </c>
      <c r="I85" s="106" t="n">
        <f aca="false">Acquisitions!I$75</f>
        <v>76.2696325059908</v>
      </c>
      <c r="J85" s="106" t="n">
        <f aca="false">Acquisitions!J$75</f>
        <v>80.3542440625094</v>
      </c>
      <c r="K85" s="106" t="n">
        <f aca="false">Acquisitions!K$75</f>
        <v>84.8106250412021</v>
      </c>
      <c r="L85" s="106" t="n">
        <f aca="false">Acquisitions!L$75</f>
        <v>100.75618697096</v>
      </c>
      <c r="M85" s="106" t="n">
        <f aca="false">Acquisitions!M$75</f>
        <v>118.66447080423</v>
      </c>
      <c r="N85" s="106" t="n">
        <f aca="false">Acquisitions!N$75</f>
        <v>138.989340445837</v>
      </c>
      <c r="O85" s="105" t="n">
        <f aca="false">AA85</f>
        <v>1006.85664605295</v>
      </c>
      <c r="P85" s="106" t="n">
        <f aca="false">Acquisitions!P$75</f>
        <v>185.394621908394</v>
      </c>
      <c r="Q85" s="106" t="n">
        <f aca="false">Acquisitions!Q$75</f>
        <v>233.189639297823</v>
      </c>
      <c r="R85" s="106" t="n">
        <f aca="false">Acquisitions!R$75</f>
        <v>283.04690581778</v>
      </c>
      <c r="S85" s="106" t="n">
        <f aca="false">Acquisitions!S$75</f>
        <v>328.521309011739</v>
      </c>
      <c r="T85" s="106" t="n">
        <f aca="false">Acquisitions!T$75</f>
        <v>376.551992046001</v>
      </c>
      <c r="U85" s="106" t="n">
        <f aca="false">Acquisitions!U$75</f>
        <v>427.977140928549</v>
      </c>
      <c r="V85" s="106" t="n">
        <f aca="false">Acquisitions!V$75</f>
        <v>499.13303236697</v>
      </c>
      <c r="W85" s="106" t="n">
        <f aca="false">Acquisitions!W$75</f>
        <v>577.44112923347</v>
      </c>
      <c r="X85" s="106" t="n">
        <f aca="false">Acquisitions!X$75</f>
        <v>664.685821256645</v>
      </c>
      <c r="Y85" s="106" t="n">
        <f aca="false">Acquisitions!Y$75</f>
        <v>764.774278678661</v>
      </c>
      <c r="Z85" s="106" t="n">
        <f aca="false">Acquisitions!Z$75</f>
        <v>877.848313229577</v>
      </c>
      <c r="AA85" s="106" t="n">
        <f aca="false">Acquisitions!AA$75</f>
        <v>1006.85664605295</v>
      </c>
      <c r="AB85" s="105" t="n">
        <f aca="false">AN85</f>
        <v>4226.77646429424</v>
      </c>
      <c r="AC85" s="106" t="n">
        <f aca="false">Acquisitions!AC$75</f>
        <v>1208.59265738666</v>
      </c>
      <c r="AD85" s="106" t="n">
        <f aca="false">Acquisitions!AD$75</f>
        <v>1428.12186815369</v>
      </c>
      <c r="AE85" s="106" t="n">
        <f aca="false">Acquisitions!AE$75</f>
        <v>1670.13061838237</v>
      </c>
      <c r="AF85" s="106" t="n">
        <f aca="false">Acquisitions!AF$75</f>
        <v>1892.12693109962</v>
      </c>
      <c r="AG85" s="106" t="n">
        <f aca="false">Acquisitions!AG$75</f>
        <v>2140.443428181</v>
      </c>
      <c r="AH85" s="106" t="n">
        <f aca="false">Acquisitions!AH$75</f>
        <v>2421.24810040831</v>
      </c>
      <c r="AI85" s="106" t="n">
        <f aca="false">Acquisitions!AI$75</f>
        <v>2673.00053902426</v>
      </c>
      <c r="AJ85" s="106" t="n">
        <f aca="false">Acquisitions!AJ$75</f>
        <v>2961.60535570941</v>
      </c>
      <c r="AK85" s="106" t="n">
        <f aca="false">Acquisitions!AK$75</f>
        <v>3295.1079315603</v>
      </c>
      <c r="AL85" s="106" t="n">
        <f aca="false">Acquisitions!AL$75</f>
        <v>3556.59137861865</v>
      </c>
      <c r="AM85" s="106" t="n">
        <f aca="false">Acquisitions!AM$75</f>
        <v>3863.98065332408</v>
      </c>
      <c r="AN85" s="106" t="n">
        <f aca="false">Acquisitions!AN$75</f>
        <v>4226.77646429424</v>
      </c>
      <c r="AO85" s="105" t="n">
        <f aca="false">BA85</f>
        <v>10863.8739379104</v>
      </c>
      <c r="AP85" s="106" t="n">
        <f aca="false">Acquisitions!AP$75</f>
        <v>4664.50720653408</v>
      </c>
      <c r="AQ85" s="106" t="n">
        <f aca="false">Acquisitions!AQ$75</f>
        <v>5164.14941166192</v>
      </c>
      <c r="AR85" s="106" t="n">
        <f aca="false">Acquisitions!AR$75</f>
        <v>5739.36710653337</v>
      </c>
      <c r="AS85" s="106" t="n">
        <f aca="false">Acquisitions!AS$75</f>
        <v>6203.72431666124</v>
      </c>
      <c r="AT85" s="106" t="n">
        <f aca="false">Acquisitions!AT$75</f>
        <v>6746.92166628273</v>
      </c>
      <c r="AU85" s="106" t="n">
        <f aca="false">Acquisitions!AU$75</f>
        <v>7385.42874842314</v>
      </c>
      <c r="AV85" s="106" t="n">
        <f aca="false">Acquisitions!AV$75</f>
        <v>7847.56287645652</v>
      </c>
      <c r="AW85" s="106" t="n">
        <f aca="false">Acquisitions!AW$75</f>
        <v>8402.94829808824</v>
      </c>
      <c r="AX85" s="106" t="n">
        <f aca="false">Acquisitions!AX$75</f>
        <v>9070.19404863838</v>
      </c>
      <c r="AY85" s="106" t="n">
        <f aca="false">Acquisitions!AY$75</f>
        <v>9550.34591166101</v>
      </c>
      <c r="AZ85" s="106" t="n">
        <f aca="false">Acquisitions!AZ$75</f>
        <v>10141.1081815325</v>
      </c>
      <c r="BA85" s="106" t="n">
        <f aca="false">Acquisitions!BA$75</f>
        <v>10863.8739379104</v>
      </c>
      <c r="BB85" s="105" t="n">
        <f aca="false">BN85</f>
        <v>20256.1404820315</v>
      </c>
      <c r="BC85" s="106" t="n">
        <f aca="false">Acquisitions!BC$75</f>
        <v>11513.4386715705</v>
      </c>
      <c r="BD85" s="106" t="n">
        <f aca="false">Acquisitions!BD$75</f>
        <v>12291.6451685475</v>
      </c>
      <c r="BE85" s="106" t="n">
        <f aca="false">Acquisitions!BE$75</f>
        <v>13224.2853406757</v>
      </c>
      <c r="BF85" s="106" t="n">
        <f aca="false">Acquisitions!BF$75</f>
        <v>13846.1365041974</v>
      </c>
      <c r="BG85" s="106" t="n">
        <f aca="false">Acquisitions!BG$75</f>
        <v>14614.1413595431</v>
      </c>
      <c r="BH85" s="106" t="n">
        <f aca="false">Acquisitions!BH$75</f>
        <v>15556.4414721215</v>
      </c>
      <c r="BI85" s="106" t="n">
        <f aca="false">Acquisitions!BI$75</f>
        <v>16168.483829071</v>
      </c>
      <c r="BJ85" s="106" t="n">
        <f aca="false">Acquisitions!BJ$75</f>
        <v>16946.241568173</v>
      </c>
      <c r="BK85" s="106" t="n">
        <f aca="false">Acquisitions!BK$75</f>
        <v>17920.6924203199</v>
      </c>
      <c r="BL85" s="106" t="n">
        <f aca="false">Acquisitions!BL$75</f>
        <v>18504.8292298595</v>
      </c>
      <c r="BM85" s="106" t="n">
        <f aca="false">Acquisitions!BM$75</f>
        <v>19272.2029489221</v>
      </c>
      <c r="BN85" s="106" t="n">
        <f aca="false">Acquisitions!BN$75</f>
        <v>20256.1404820315</v>
      </c>
    </row>
    <row r="86" customFormat="false" ht="15" hidden="false" customHeight="false" outlineLevel="0" collapsed="false">
      <c r="A86" s="72" t="s">
        <v>711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613</v>
      </c>
    </row>
    <row r="2" customFormat="false" ht="13.5" hidden="false" customHeight="true" outlineLevel="0" collapsed="false">
      <c r="A2" s="6" t="s">
        <v>712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713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239</v>
      </c>
      <c r="B7" s="81" t="n">
        <f aca="false">SUM(C7:N7)</f>
        <v>10</v>
      </c>
      <c r="C7" s="82" t="n">
        <f aca="false">'Assumption Setting'!$C$36*'Assumption Setting'!$C$55</f>
        <v>0.28</v>
      </c>
      <c r="D7" s="82" t="n">
        <f aca="false">'Assumption Setting'!$C$36*'Assumption Setting'!$D$55</f>
        <v>0.33</v>
      </c>
      <c r="E7" s="82" t="n">
        <f aca="false">'Assumption Setting'!$C$36*'Assumption Setting'!$E$55</f>
        <v>0.39</v>
      </c>
      <c r="F7" s="82" t="n">
        <f aca="false">'Assumption Setting'!$D$36*'Assumption Setting'!$C$55</f>
        <v>0.56</v>
      </c>
      <c r="G7" s="82" t="n">
        <f aca="false">'Assumption Setting'!$D$36*'Assumption Setting'!$D$55</f>
        <v>0.66</v>
      </c>
      <c r="H7" s="82" t="n">
        <f aca="false">'Assumption Setting'!$D$36*'Assumption Setting'!$E$55</f>
        <v>0.78</v>
      </c>
      <c r="I7" s="82" t="n">
        <f aca="false">'Assumption Setting'!$E$36*'Assumption Setting'!$C$55</f>
        <v>0.84</v>
      </c>
      <c r="J7" s="82" t="n">
        <f aca="false">'Assumption Setting'!$E$36*'Assumption Setting'!$D$55</f>
        <v>0.99</v>
      </c>
      <c r="K7" s="82" t="n">
        <f aca="false">'Assumption Setting'!$E$36*'Assumption Setting'!$E$55</f>
        <v>1.17</v>
      </c>
      <c r="L7" s="82" t="n">
        <f aca="false">'Assumption Setting'!$F$36*'Assumption Setting'!$C$55</f>
        <v>1.12</v>
      </c>
      <c r="M7" s="82" t="n">
        <f aca="false">'Assumption Setting'!$F$36*'Assumption Setting'!$D$55</f>
        <v>1.32</v>
      </c>
      <c r="N7" s="82" t="n">
        <f aca="false">'Assumption Setting'!$F$36*'Assumption Setting'!$E$55</f>
        <v>1.56</v>
      </c>
      <c r="O7" s="81" t="n">
        <f aca="false">SUM(P7:AA7)</f>
        <v>28</v>
      </c>
      <c r="P7" s="82" t="n">
        <f aca="false">'Assumption Setting'!$G$36*'Assumption Setting'!$C$55</f>
        <v>1.4</v>
      </c>
      <c r="Q7" s="82" t="n">
        <f aca="false">'Assumption Setting'!$G$36*'Assumption Setting'!$D$55</f>
        <v>1.65</v>
      </c>
      <c r="R7" s="82" t="n">
        <f aca="false">'Assumption Setting'!$G$36*'Assumption Setting'!$E$55</f>
        <v>1.95</v>
      </c>
      <c r="S7" s="82" t="n">
        <f aca="false">'Assumption Setting'!$H$36*'Assumption Setting'!$C$55</f>
        <v>1.68</v>
      </c>
      <c r="T7" s="82" t="n">
        <f aca="false">'Assumption Setting'!$H$36*'Assumption Setting'!$D$55</f>
        <v>1.98</v>
      </c>
      <c r="U7" s="82" t="n">
        <f aca="false">'Assumption Setting'!$H$36*'Assumption Setting'!$E$55</f>
        <v>2.34</v>
      </c>
      <c r="V7" s="82" t="n">
        <f aca="false">'Assumption Setting'!$I$36*'Assumption Setting'!$C$55</f>
        <v>2.24</v>
      </c>
      <c r="W7" s="82" t="n">
        <f aca="false">'Assumption Setting'!$I$36*'Assumption Setting'!$D$55</f>
        <v>2.64</v>
      </c>
      <c r="X7" s="82" t="n">
        <f aca="false">'Assumption Setting'!$I$36*'Assumption Setting'!$E$55</f>
        <v>3.12</v>
      </c>
      <c r="Y7" s="82" t="n">
        <f aca="false">'Assumption Setting'!$J$36*'Assumption Setting'!$C$55</f>
        <v>2.52</v>
      </c>
      <c r="Z7" s="82" t="n">
        <f aca="false">'Assumption Setting'!$J$36*'Assumption Setting'!$D$55</f>
        <v>2.97</v>
      </c>
      <c r="AA7" s="82" t="n">
        <f aca="false">'Assumption Setting'!$J$36*'Assumption Setting'!$E$55</f>
        <v>3.51</v>
      </c>
      <c r="AB7" s="81" t="n">
        <f aca="false">SUM(AC7:AN7)</f>
        <v>56</v>
      </c>
      <c r="AC7" s="82" t="n">
        <f aca="false">'Assumption Setting'!$K$36*'Assumption Setting'!$C$55</f>
        <v>3.08</v>
      </c>
      <c r="AD7" s="82" t="n">
        <f aca="false">'Assumption Setting'!$K$36*'Assumption Setting'!$D$55</f>
        <v>3.63</v>
      </c>
      <c r="AE7" s="82" t="n">
        <f aca="false">'Assumption Setting'!$K$36*'Assumption Setting'!$E$55</f>
        <v>4.29</v>
      </c>
      <c r="AF7" s="82" t="n">
        <f aca="false">'Assumption Setting'!$L$36*'Assumption Setting'!$C$55</f>
        <v>3.64</v>
      </c>
      <c r="AG7" s="82" t="n">
        <f aca="false">'Assumption Setting'!$L$36*'Assumption Setting'!$D$55</f>
        <v>4.29</v>
      </c>
      <c r="AH7" s="82" t="n">
        <f aca="false">'Assumption Setting'!$L$36*'Assumption Setting'!$E$55</f>
        <v>5.07</v>
      </c>
      <c r="AI7" s="82" t="n">
        <f aca="false">'Assumption Setting'!$M$36*'Assumption Setting'!$C$55</f>
        <v>4.2</v>
      </c>
      <c r="AJ7" s="82" t="n">
        <f aca="false">'Assumption Setting'!$M$36*'Assumption Setting'!$D$55</f>
        <v>4.95</v>
      </c>
      <c r="AK7" s="82" t="n">
        <f aca="false">'Assumption Setting'!$M$36*'Assumption Setting'!$E$55</f>
        <v>5.85</v>
      </c>
      <c r="AL7" s="82" t="n">
        <f aca="false">'Assumption Setting'!$N$36*'Assumption Setting'!$C$55</f>
        <v>4.76</v>
      </c>
      <c r="AM7" s="82" t="n">
        <f aca="false">'Assumption Setting'!$N$36*'Assumption Setting'!$D$55</f>
        <v>5.61</v>
      </c>
      <c r="AN7" s="82" t="n">
        <f aca="false">'Assumption Setting'!$N$36*'Assumption Setting'!$E$55</f>
        <v>6.63</v>
      </c>
      <c r="AO7" s="81" t="n">
        <f aca="false">SUM(AP7:BA7)</f>
        <v>88</v>
      </c>
      <c r="AP7" s="82" t="n">
        <f aca="false">'Assumption Setting'!$O$36*'Assumption Setting'!$C$55</f>
        <v>5.32</v>
      </c>
      <c r="AQ7" s="82" t="n">
        <f aca="false">'Assumption Setting'!$O$36*'Assumption Setting'!$D$55</f>
        <v>6.27</v>
      </c>
      <c r="AR7" s="82" t="n">
        <f aca="false">'Assumption Setting'!$O$36*'Assumption Setting'!$E$55</f>
        <v>7.41</v>
      </c>
      <c r="AS7" s="82" t="n">
        <f aca="false">'Assumption Setting'!$P$36*'Assumption Setting'!$C$55</f>
        <v>5.88</v>
      </c>
      <c r="AT7" s="82" t="n">
        <f aca="false">'Assumption Setting'!$P$36*'Assumption Setting'!$D$55</f>
        <v>6.93</v>
      </c>
      <c r="AU7" s="82" t="n">
        <f aca="false">'Assumption Setting'!$P$36*'Assumption Setting'!$E$55</f>
        <v>8.19</v>
      </c>
      <c r="AV7" s="82" t="n">
        <f aca="false">'Assumption Setting'!$Q$36*'Assumption Setting'!$C$55</f>
        <v>6.44</v>
      </c>
      <c r="AW7" s="82" t="n">
        <f aca="false">'Assumption Setting'!$Q$36*'Assumption Setting'!$D$55</f>
        <v>7.59</v>
      </c>
      <c r="AX7" s="82" t="n">
        <f aca="false">'Assumption Setting'!$Q$36*'Assumption Setting'!$E$55</f>
        <v>8.97</v>
      </c>
      <c r="AY7" s="82" t="n">
        <f aca="false">'Assumption Setting'!$R$36*'Assumption Setting'!$C$55</f>
        <v>7</v>
      </c>
      <c r="AZ7" s="82" t="n">
        <f aca="false">'Assumption Setting'!$R$36*'Assumption Setting'!$D$55</f>
        <v>8.25</v>
      </c>
      <c r="BA7" s="82" t="n">
        <f aca="false">'Assumption Setting'!$R$36*'Assumption Setting'!$E$55</f>
        <v>9.75</v>
      </c>
      <c r="BB7" s="81" t="n">
        <f aca="false">SUM(BC7:BN7)</f>
        <v>120</v>
      </c>
      <c r="BC7" s="82" t="n">
        <f aca="false">'Assumption Setting'!$S$36*'Assumption Setting'!$C$55</f>
        <v>7.56</v>
      </c>
      <c r="BD7" s="82" t="n">
        <f aca="false">'Assumption Setting'!$S$36*'Assumption Setting'!$D$55</f>
        <v>8.91</v>
      </c>
      <c r="BE7" s="82" t="n">
        <f aca="false">'Assumption Setting'!$S$36*'Assumption Setting'!$E$55</f>
        <v>10.53</v>
      </c>
      <c r="BF7" s="82" t="n">
        <f aca="false">'Assumption Setting'!$T$36*'Assumption Setting'!$C$55</f>
        <v>8.12</v>
      </c>
      <c r="BG7" s="82" t="n">
        <f aca="false">'Assumption Setting'!$T$36*'Assumption Setting'!$D$55</f>
        <v>9.57</v>
      </c>
      <c r="BH7" s="82" t="n">
        <f aca="false">'Assumption Setting'!$T$36*'Assumption Setting'!$E$55</f>
        <v>11.31</v>
      </c>
      <c r="BI7" s="82" t="n">
        <f aca="false">'Assumption Setting'!$U$36*'Assumption Setting'!$C$55</f>
        <v>8.68</v>
      </c>
      <c r="BJ7" s="82" t="n">
        <f aca="false">'Assumption Setting'!$U$36*'Assumption Setting'!$D$55</f>
        <v>10.23</v>
      </c>
      <c r="BK7" s="82" t="n">
        <f aca="false">'Assumption Setting'!$U$36*'Assumption Setting'!$E$55</f>
        <v>12.09</v>
      </c>
      <c r="BL7" s="82" t="n">
        <f aca="false">'Assumption Setting'!$V$36*'Assumption Setting'!$C$55</f>
        <v>9.24</v>
      </c>
      <c r="BM7" s="82" t="n">
        <f aca="false">'Assumption Setting'!$V$36*'Assumption Setting'!$D$55</f>
        <v>10.89</v>
      </c>
      <c r="BN7" s="82" t="n">
        <f aca="false">'Assumption Setting'!$V$36*'Assumption Setting'!$E$55</f>
        <v>12.87</v>
      </c>
    </row>
    <row r="8" customFormat="false" ht="15" hidden="false" customHeight="false" outlineLevel="0" collapsed="false">
      <c r="A8" s="12" t="s">
        <v>243</v>
      </c>
      <c r="B8" s="81" t="n">
        <f aca="false">SUM(C8:N8)</f>
        <v>0</v>
      </c>
      <c r="C8" s="82" t="n">
        <f aca="false">'Assumption Setting'!$C$37*'Assumption Setting'!$C$55</f>
        <v>0</v>
      </c>
      <c r="D8" s="82" t="n">
        <f aca="false">'Assumption Setting'!$C$37*'Assumption Setting'!$D$55</f>
        <v>0</v>
      </c>
      <c r="E8" s="82" t="n">
        <f aca="false">'Assumption Setting'!$C$37*'Assumption Setting'!$E$55</f>
        <v>0</v>
      </c>
      <c r="F8" s="82" t="n">
        <f aca="false">'Assumption Setting'!$D$37*'Assumption Setting'!$C$55</f>
        <v>0</v>
      </c>
      <c r="G8" s="82" t="n">
        <f aca="false">'Assumption Setting'!$D$37*'Assumption Setting'!$D$55</f>
        <v>0</v>
      </c>
      <c r="H8" s="82" t="n">
        <f aca="false">'Assumption Setting'!$D$37*'Assumption Setting'!$E$55</f>
        <v>0</v>
      </c>
      <c r="I8" s="82" t="n">
        <f aca="false">'Assumption Setting'!$E$37*'Assumption Setting'!$C$55</f>
        <v>0</v>
      </c>
      <c r="J8" s="82" t="n">
        <f aca="false">'Assumption Setting'!$E$37*'Assumption Setting'!$D$55</f>
        <v>0</v>
      </c>
      <c r="K8" s="82" t="n">
        <f aca="false">'Assumption Setting'!$E$37*'Assumption Setting'!$E$55</f>
        <v>0</v>
      </c>
      <c r="L8" s="82" t="n">
        <f aca="false">'Assumption Setting'!$F$37*'Assumption Setting'!$C$55</f>
        <v>0</v>
      </c>
      <c r="M8" s="82" t="n">
        <f aca="false">'Assumption Setting'!$F$37*'Assumption Setting'!$D$55</f>
        <v>0</v>
      </c>
      <c r="N8" s="82" t="n">
        <f aca="false">'Assumption Setting'!$F$37*'Assumption Setting'!$E$55</f>
        <v>0</v>
      </c>
      <c r="O8" s="81" t="n">
        <f aca="false">SUM(P8:AA8)</f>
        <v>4</v>
      </c>
      <c r="P8" s="82" t="n">
        <f aca="false">'Assumption Setting'!$G$37*'Assumption Setting'!$C$55</f>
        <v>0</v>
      </c>
      <c r="Q8" s="82" t="n">
        <f aca="false">'Assumption Setting'!$G$37*'Assumption Setting'!$D$55</f>
        <v>0</v>
      </c>
      <c r="R8" s="82" t="n">
        <f aca="false">'Assumption Setting'!$G$37*'Assumption Setting'!$E$55</f>
        <v>0</v>
      </c>
      <c r="S8" s="82" t="n">
        <f aca="false">'Assumption Setting'!$H$37*'Assumption Setting'!$C$55</f>
        <v>0.28</v>
      </c>
      <c r="T8" s="82" t="n">
        <f aca="false">'Assumption Setting'!$H$37*'Assumption Setting'!$D$55</f>
        <v>0.33</v>
      </c>
      <c r="U8" s="82" t="n">
        <f aca="false">'Assumption Setting'!$H$37*'Assumption Setting'!$E$55</f>
        <v>0.39</v>
      </c>
      <c r="V8" s="82" t="n">
        <f aca="false">'Assumption Setting'!$I$37*'Assumption Setting'!$C$55</f>
        <v>0.28</v>
      </c>
      <c r="W8" s="82" t="n">
        <f aca="false">'Assumption Setting'!$I$37*'Assumption Setting'!$D$55</f>
        <v>0.33</v>
      </c>
      <c r="X8" s="82" t="n">
        <f aca="false">'Assumption Setting'!$I$37*'Assumption Setting'!$E$55</f>
        <v>0.39</v>
      </c>
      <c r="Y8" s="82" t="n">
        <f aca="false">'Assumption Setting'!$J$37*'Assumption Setting'!$C$55</f>
        <v>0.56</v>
      </c>
      <c r="Z8" s="82" t="n">
        <f aca="false">'Assumption Setting'!$J$37*'Assumption Setting'!$D$55</f>
        <v>0.66</v>
      </c>
      <c r="AA8" s="82" t="n">
        <f aca="false">'Assumption Setting'!$J$37*'Assumption Setting'!$E$55</f>
        <v>0.78</v>
      </c>
      <c r="AB8" s="81" t="n">
        <f aca="false">SUM(AC8:AN8)</f>
        <v>22</v>
      </c>
      <c r="AC8" s="82" t="n">
        <f aca="false">'Assumption Setting'!$K$37*'Assumption Setting'!$C$55</f>
        <v>1.12</v>
      </c>
      <c r="AD8" s="82" t="n">
        <f aca="false">'Assumption Setting'!$K$37*'Assumption Setting'!$D$55</f>
        <v>1.32</v>
      </c>
      <c r="AE8" s="82" t="n">
        <f aca="false">'Assumption Setting'!$K$37*'Assumption Setting'!$E$55</f>
        <v>1.56</v>
      </c>
      <c r="AF8" s="82" t="n">
        <f aca="false">'Assumption Setting'!$L$37*'Assumption Setting'!$C$55</f>
        <v>1.4</v>
      </c>
      <c r="AG8" s="82" t="n">
        <f aca="false">'Assumption Setting'!$L$37*'Assumption Setting'!$D$55</f>
        <v>1.65</v>
      </c>
      <c r="AH8" s="82" t="n">
        <f aca="false">'Assumption Setting'!$L$37*'Assumption Setting'!$E$55</f>
        <v>1.95</v>
      </c>
      <c r="AI8" s="82" t="n">
        <f aca="false">'Assumption Setting'!$M$37*'Assumption Setting'!$C$55</f>
        <v>1.68</v>
      </c>
      <c r="AJ8" s="82" t="n">
        <f aca="false">'Assumption Setting'!$M$37*'Assumption Setting'!$D$55</f>
        <v>1.98</v>
      </c>
      <c r="AK8" s="82" t="n">
        <f aca="false">'Assumption Setting'!$M$37*'Assumption Setting'!$E$55</f>
        <v>2.34</v>
      </c>
      <c r="AL8" s="82" t="n">
        <f aca="false">'Assumption Setting'!$N$37*'Assumption Setting'!$C$55</f>
        <v>1.96</v>
      </c>
      <c r="AM8" s="82" t="n">
        <f aca="false">'Assumption Setting'!$N$37*'Assumption Setting'!$D$55</f>
        <v>2.31</v>
      </c>
      <c r="AN8" s="82" t="n">
        <f aca="false">'Assumption Setting'!$N$37*'Assumption Setting'!$E$55</f>
        <v>2.73</v>
      </c>
      <c r="AO8" s="81" t="n">
        <f aca="false">SUM(AP8:BA8)</f>
        <v>38</v>
      </c>
      <c r="AP8" s="82" t="n">
        <f aca="false">'Assumption Setting'!$O$37*'Assumption Setting'!$C$55</f>
        <v>2.24</v>
      </c>
      <c r="AQ8" s="82" t="n">
        <f aca="false">'Assumption Setting'!$O$37*'Assumption Setting'!$D$55</f>
        <v>2.64</v>
      </c>
      <c r="AR8" s="82" t="n">
        <f aca="false">'Assumption Setting'!$O$37*'Assumption Setting'!$E$55</f>
        <v>3.12</v>
      </c>
      <c r="AS8" s="82" t="n">
        <f aca="false">'Assumption Setting'!$P$37*'Assumption Setting'!$C$55</f>
        <v>2.52</v>
      </c>
      <c r="AT8" s="82" t="n">
        <f aca="false">'Assumption Setting'!$P$37*'Assumption Setting'!$D$55</f>
        <v>2.97</v>
      </c>
      <c r="AU8" s="82" t="n">
        <f aca="false">'Assumption Setting'!$P$37*'Assumption Setting'!$E$55</f>
        <v>3.51</v>
      </c>
      <c r="AV8" s="82" t="n">
        <f aca="false">'Assumption Setting'!$Q$37*'Assumption Setting'!$C$55</f>
        <v>2.8</v>
      </c>
      <c r="AW8" s="82" t="n">
        <f aca="false">'Assumption Setting'!$Q$37*'Assumption Setting'!$D$55</f>
        <v>3.3</v>
      </c>
      <c r="AX8" s="82" t="n">
        <f aca="false">'Assumption Setting'!$Q$37*'Assumption Setting'!$E$55</f>
        <v>3.9</v>
      </c>
      <c r="AY8" s="82" t="n">
        <f aca="false">'Assumption Setting'!$R$37*'Assumption Setting'!$C$55</f>
        <v>3.08</v>
      </c>
      <c r="AZ8" s="82" t="n">
        <f aca="false">'Assumption Setting'!$R$37*'Assumption Setting'!$D$55</f>
        <v>3.63</v>
      </c>
      <c r="BA8" s="82" t="n">
        <f aca="false">'Assumption Setting'!$R$37*'Assumption Setting'!$E$55</f>
        <v>4.29</v>
      </c>
      <c r="BB8" s="81" t="n">
        <f aca="false">SUM(BC8:BN8)</f>
        <v>54</v>
      </c>
      <c r="BC8" s="82" t="n">
        <f aca="false">'Assumption Setting'!$S$37*'Assumption Setting'!$C$55</f>
        <v>3.36</v>
      </c>
      <c r="BD8" s="82" t="n">
        <f aca="false">'Assumption Setting'!$S$37*'Assumption Setting'!$D$55</f>
        <v>3.96</v>
      </c>
      <c r="BE8" s="82" t="n">
        <f aca="false">'Assumption Setting'!$S$37*'Assumption Setting'!$E$55</f>
        <v>4.68</v>
      </c>
      <c r="BF8" s="82" t="n">
        <f aca="false">'Assumption Setting'!$T$37*'Assumption Setting'!$C$55</f>
        <v>3.64</v>
      </c>
      <c r="BG8" s="82" t="n">
        <f aca="false">'Assumption Setting'!$T$37*'Assumption Setting'!$D$55</f>
        <v>4.29</v>
      </c>
      <c r="BH8" s="82" t="n">
        <f aca="false">'Assumption Setting'!$T$37*'Assumption Setting'!$E$55</f>
        <v>5.07</v>
      </c>
      <c r="BI8" s="82" t="n">
        <f aca="false">'Assumption Setting'!$U$37*'Assumption Setting'!$C$55</f>
        <v>3.92</v>
      </c>
      <c r="BJ8" s="82" t="n">
        <f aca="false">'Assumption Setting'!$U$37*'Assumption Setting'!$D$55</f>
        <v>4.62</v>
      </c>
      <c r="BK8" s="82" t="n">
        <f aca="false">'Assumption Setting'!$U$37*'Assumption Setting'!$E$55</f>
        <v>5.46</v>
      </c>
      <c r="BL8" s="82" t="n">
        <f aca="false">'Assumption Setting'!$V$37*'Assumption Setting'!$C$55</f>
        <v>4.2</v>
      </c>
      <c r="BM8" s="82" t="n">
        <f aca="false">'Assumption Setting'!$V$37*'Assumption Setting'!$D$55</f>
        <v>4.95</v>
      </c>
      <c r="BN8" s="82" t="n">
        <f aca="false">'Assumption Setting'!$V$37*'Assumption Setting'!$E$55</f>
        <v>5.85</v>
      </c>
    </row>
    <row r="9" customFormat="false" ht="15" hidden="false" customHeight="false" outlineLevel="0" collapsed="false">
      <c r="A9" s="12" t="s">
        <v>246</v>
      </c>
      <c r="B9" s="81" t="n">
        <f aca="false">SUM(C9:N9)</f>
        <v>4</v>
      </c>
      <c r="C9" s="82" t="n">
        <f aca="false">'Assumption Setting'!$C$38*'Assumption Setting'!$C$55</f>
        <v>0.56</v>
      </c>
      <c r="D9" s="82" t="n">
        <f aca="false">'Assumption Setting'!$C$38*'Assumption Setting'!$D$55</f>
        <v>0.66</v>
      </c>
      <c r="E9" s="82" t="n">
        <f aca="false">'Assumption Setting'!$C$38*'Assumption Setting'!$E$55</f>
        <v>0.78</v>
      </c>
      <c r="F9" s="82" t="n">
        <f aca="false">'Assumption Setting'!$D$38*'Assumption Setting'!$C$55</f>
        <v>0.28</v>
      </c>
      <c r="G9" s="82" t="n">
        <f aca="false">'Assumption Setting'!$D$38*'Assumption Setting'!$D$55</f>
        <v>0.33</v>
      </c>
      <c r="H9" s="82" t="n">
        <f aca="false">'Assumption Setting'!$D$38*'Assumption Setting'!$E$55</f>
        <v>0.39</v>
      </c>
      <c r="I9" s="82" t="n">
        <f aca="false">'Assumption Setting'!$E$38*'Assumption Setting'!$C$55</f>
        <v>0.28</v>
      </c>
      <c r="J9" s="82" t="n">
        <f aca="false">'Assumption Setting'!$E$38*'Assumption Setting'!$D$55</f>
        <v>0.33</v>
      </c>
      <c r="K9" s="82" t="n">
        <f aca="false">'Assumption Setting'!$E$38*'Assumption Setting'!$E$55</f>
        <v>0.39</v>
      </c>
      <c r="L9" s="82" t="n">
        <f aca="false">'Assumption Setting'!$F$38*'Assumption Setting'!$C$55</f>
        <v>0</v>
      </c>
      <c r="M9" s="82" t="n">
        <f aca="false">'Assumption Setting'!$F$38*'Assumption Setting'!$D$55</f>
        <v>0</v>
      </c>
      <c r="N9" s="82" t="n">
        <f aca="false">'Assumption Setting'!$F$38*'Assumption Setting'!$E$55</f>
        <v>0</v>
      </c>
      <c r="O9" s="81" t="n">
        <f aca="false">SUM(P9:AA9)</f>
        <v>4</v>
      </c>
      <c r="P9" s="82" t="n">
        <f aca="false">'Assumption Setting'!$G$38*'Assumption Setting'!$C$55</f>
        <v>0.28</v>
      </c>
      <c r="Q9" s="82" t="n">
        <f aca="false">'Assumption Setting'!$G$38*'Assumption Setting'!$D$55</f>
        <v>0.33</v>
      </c>
      <c r="R9" s="82" t="n">
        <f aca="false">'Assumption Setting'!$G$38*'Assumption Setting'!$E$55</f>
        <v>0.39</v>
      </c>
      <c r="S9" s="82" t="n">
        <f aca="false">'Assumption Setting'!$H$38*'Assumption Setting'!$C$55</f>
        <v>0.28</v>
      </c>
      <c r="T9" s="82" t="n">
        <f aca="false">'Assumption Setting'!$H$38*'Assumption Setting'!$D$55</f>
        <v>0.33</v>
      </c>
      <c r="U9" s="82" t="n">
        <f aca="false">'Assumption Setting'!$H$38*'Assumption Setting'!$E$55</f>
        <v>0.39</v>
      </c>
      <c r="V9" s="82" t="n">
        <f aca="false">'Assumption Setting'!$I$38*'Assumption Setting'!$C$55</f>
        <v>0.28</v>
      </c>
      <c r="W9" s="82" t="n">
        <f aca="false">'Assumption Setting'!$I$38*'Assumption Setting'!$D$55</f>
        <v>0.33</v>
      </c>
      <c r="X9" s="82" t="n">
        <f aca="false">'Assumption Setting'!$I$38*'Assumption Setting'!$E$55</f>
        <v>0.39</v>
      </c>
      <c r="Y9" s="82" t="n">
        <f aca="false">'Assumption Setting'!$J$38*'Assumption Setting'!$C$55</f>
        <v>0.28</v>
      </c>
      <c r="Z9" s="82" t="n">
        <f aca="false">'Assumption Setting'!$J$38*'Assumption Setting'!$D$55</f>
        <v>0.33</v>
      </c>
      <c r="AA9" s="82" t="n">
        <f aca="false">'Assumption Setting'!$J$38*'Assumption Setting'!$E$55</f>
        <v>0.39</v>
      </c>
      <c r="AB9" s="81" t="n">
        <f aca="false">SUM(AC9:AN9)</f>
        <v>4</v>
      </c>
      <c r="AC9" s="82" t="n">
        <f aca="false">'Assumption Setting'!$K$38*'Assumption Setting'!$C$55</f>
        <v>0.28</v>
      </c>
      <c r="AD9" s="82" t="n">
        <f aca="false">'Assumption Setting'!$K$38*'Assumption Setting'!$D$55</f>
        <v>0.33</v>
      </c>
      <c r="AE9" s="82" t="n">
        <f aca="false">'Assumption Setting'!$K$38*'Assumption Setting'!$E$55</f>
        <v>0.39</v>
      </c>
      <c r="AF9" s="82" t="n">
        <f aca="false">'Assumption Setting'!$L$38*'Assumption Setting'!$C$55</f>
        <v>0.28</v>
      </c>
      <c r="AG9" s="82" t="n">
        <f aca="false">'Assumption Setting'!$L$38*'Assumption Setting'!$D$55</f>
        <v>0.33</v>
      </c>
      <c r="AH9" s="82" t="n">
        <f aca="false">'Assumption Setting'!$L$38*'Assumption Setting'!$E$55</f>
        <v>0.39</v>
      </c>
      <c r="AI9" s="82" t="n">
        <f aca="false">'Assumption Setting'!$M$38*'Assumption Setting'!$C$55</f>
        <v>0.28</v>
      </c>
      <c r="AJ9" s="82" t="n">
        <f aca="false">'Assumption Setting'!$M$38*'Assumption Setting'!$D$55</f>
        <v>0.33</v>
      </c>
      <c r="AK9" s="82" t="n">
        <f aca="false">'Assumption Setting'!$M$38*'Assumption Setting'!$E$55</f>
        <v>0.39</v>
      </c>
      <c r="AL9" s="82" t="n">
        <f aca="false">'Assumption Setting'!$N$38*'Assumption Setting'!$C$55</f>
        <v>0.28</v>
      </c>
      <c r="AM9" s="82" t="n">
        <f aca="false">'Assumption Setting'!$N$38*'Assumption Setting'!$D$55</f>
        <v>0.33</v>
      </c>
      <c r="AN9" s="82" t="n">
        <f aca="false">'Assumption Setting'!$N$38*'Assumption Setting'!$E$55</f>
        <v>0.39</v>
      </c>
      <c r="AO9" s="81" t="n">
        <f aca="false">SUM(AP9:BA9)</f>
        <v>4</v>
      </c>
      <c r="AP9" s="82" t="n">
        <f aca="false">'Assumption Setting'!$O$38*'Assumption Setting'!$C$55</f>
        <v>0.28</v>
      </c>
      <c r="AQ9" s="82" t="n">
        <f aca="false">'Assumption Setting'!$O$38*'Assumption Setting'!$D$55</f>
        <v>0.33</v>
      </c>
      <c r="AR9" s="82" t="n">
        <f aca="false">'Assumption Setting'!$O$38*'Assumption Setting'!$E$55</f>
        <v>0.39</v>
      </c>
      <c r="AS9" s="82" t="n">
        <f aca="false">'Assumption Setting'!$P$38*'Assumption Setting'!$C$55</f>
        <v>0.28</v>
      </c>
      <c r="AT9" s="82" t="n">
        <f aca="false">'Assumption Setting'!$P$38*'Assumption Setting'!$D$55</f>
        <v>0.33</v>
      </c>
      <c r="AU9" s="82" t="n">
        <f aca="false">'Assumption Setting'!$P$38*'Assumption Setting'!$E$55</f>
        <v>0.39</v>
      </c>
      <c r="AV9" s="82" t="n">
        <f aca="false">'Assumption Setting'!$Q$38*'Assumption Setting'!$C$55</f>
        <v>0.28</v>
      </c>
      <c r="AW9" s="82" t="n">
        <f aca="false">'Assumption Setting'!$Q$38*'Assumption Setting'!$D$55</f>
        <v>0.33</v>
      </c>
      <c r="AX9" s="82" t="n">
        <f aca="false">'Assumption Setting'!$Q$38*'Assumption Setting'!$E$55</f>
        <v>0.39</v>
      </c>
      <c r="AY9" s="82" t="n">
        <f aca="false">'Assumption Setting'!$R$38*'Assumption Setting'!$C$55</f>
        <v>0.28</v>
      </c>
      <c r="AZ9" s="82" t="n">
        <f aca="false">'Assumption Setting'!$R$38*'Assumption Setting'!$D$55</f>
        <v>0.33</v>
      </c>
      <c r="BA9" s="82" t="n">
        <f aca="false">'Assumption Setting'!$R$38*'Assumption Setting'!$E$55</f>
        <v>0.39</v>
      </c>
      <c r="BB9" s="81" t="n">
        <f aca="false">SUM(BC9:BN9)</f>
        <v>4</v>
      </c>
      <c r="BC9" s="82" t="n">
        <f aca="false">'Assumption Setting'!$S$38*'Assumption Setting'!$C$55</f>
        <v>0.28</v>
      </c>
      <c r="BD9" s="82" t="n">
        <f aca="false">'Assumption Setting'!$S$38*'Assumption Setting'!$D$55</f>
        <v>0.33</v>
      </c>
      <c r="BE9" s="82" t="n">
        <f aca="false">'Assumption Setting'!$S$38*'Assumption Setting'!$E$55</f>
        <v>0.39</v>
      </c>
      <c r="BF9" s="82" t="n">
        <f aca="false">'Assumption Setting'!$T$38*'Assumption Setting'!$C$55</f>
        <v>0.28</v>
      </c>
      <c r="BG9" s="82" t="n">
        <f aca="false">'Assumption Setting'!$T$38*'Assumption Setting'!$D$55</f>
        <v>0.33</v>
      </c>
      <c r="BH9" s="82" t="n">
        <f aca="false">'Assumption Setting'!$T$38*'Assumption Setting'!$E$55</f>
        <v>0.39</v>
      </c>
      <c r="BI9" s="82" t="n">
        <f aca="false">'Assumption Setting'!$U$38*'Assumption Setting'!$C$55</f>
        <v>0.28</v>
      </c>
      <c r="BJ9" s="82" t="n">
        <f aca="false">'Assumption Setting'!$U$38*'Assumption Setting'!$D$55</f>
        <v>0.33</v>
      </c>
      <c r="BK9" s="82" t="n">
        <f aca="false">'Assumption Setting'!$U$38*'Assumption Setting'!$E$55</f>
        <v>0.39</v>
      </c>
      <c r="BL9" s="82" t="n">
        <f aca="false">'Assumption Setting'!$V$38*'Assumption Setting'!$C$55</f>
        <v>0.28</v>
      </c>
      <c r="BM9" s="82" t="n">
        <f aca="false">'Assumption Setting'!$V$38*'Assumption Setting'!$D$55</f>
        <v>0.33</v>
      </c>
      <c r="BN9" s="82" t="n">
        <f aca="false">'Assumption Setting'!$V$38*'Assumption Setting'!$E$55</f>
        <v>0.39</v>
      </c>
    </row>
    <row r="10" customFormat="false" ht="15" hidden="false" customHeight="false" outlineLevel="0" collapsed="false">
      <c r="A10" s="12" t="s">
        <v>714</v>
      </c>
      <c r="B10" s="81" t="n">
        <f aca="false">SUM(C10:N10)</f>
        <v>0</v>
      </c>
      <c r="C10" s="82" t="n">
        <f aca="false">'Assumption Setting'!$C$39*'Assumption Setting'!$C$55</f>
        <v>0</v>
      </c>
      <c r="D10" s="82" t="n">
        <f aca="false">'Assumption Setting'!$C$39*'Assumption Setting'!$D$55</f>
        <v>0</v>
      </c>
      <c r="E10" s="82" t="n">
        <f aca="false">'Assumption Setting'!$C$39*'Assumption Setting'!$E$55</f>
        <v>0</v>
      </c>
      <c r="F10" s="82" t="n">
        <f aca="false">'Assumption Setting'!$D$39*'Assumption Setting'!$C$55</f>
        <v>0</v>
      </c>
      <c r="G10" s="82" t="n">
        <f aca="false">'Assumption Setting'!$D$39*'Assumption Setting'!$D$55</f>
        <v>0</v>
      </c>
      <c r="H10" s="82" t="n">
        <f aca="false">'Assumption Setting'!$D$39*'Assumption Setting'!$E$55</f>
        <v>0</v>
      </c>
      <c r="I10" s="82" t="n">
        <f aca="false">'Assumption Setting'!$E$39*'Assumption Setting'!$C$55</f>
        <v>0</v>
      </c>
      <c r="J10" s="82" t="n">
        <f aca="false">'Assumption Setting'!$E$39*'Assumption Setting'!$D$55</f>
        <v>0</v>
      </c>
      <c r="K10" s="82" t="n">
        <f aca="false">'Assumption Setting'!$E$39*'Assumption Setting'!$E$55</f>
        <v>0</v>
      </c>
      <c r="L10" s="82" t="n">
        <f aca="false">'Assumption Setting'!$F$39*'Assumption Setting'!$C$55</f>
        <v>0</v>
      </c>
      <c r="M10" s="82" t="n">
        <f aca="false">'Assumption Setting'!$F$39*'Assumption Setting'!$D$55</f>
        <v>0</v>
      </c>
      <c r="N10" s="82" t="n">
        <f aca="false">'Assumption Setting'!$F$39*'Assumption Setting'!$E$55</f>
        <v>0</v>
      </c>
      <c r="O10" s="81" t="n">
        <f aca="false">SUM(P10:AA10)</f>
        <v>4</v>
      </c>
      <c r="P10" s="82" t="n">
        <f aca="false">'Assumption Setting'!$G$39*'Assumption Setting'!$C$55</f>
        <v>0</v>
      </c>
      <c r="Q10" s="82" t="n">
        <f aca="false">'Assumption Setting'!$G$39*'Assumption Setting'!$D$55</f>
        <v>0</v>
      </c>
      <c r="R10" s="82" t="n">
        <f aca="false">'Assumption Setting'!$G$39*'Assumption Setting'!$E$55</f>
        <v>0</v>
      </c>
      <c r="S10" s="82" t="n">
        <f aca="false">'Assumption Setting'!$H$39*'Assumption Setting'!$C$55</f>
        <v>0.28</v>
      </c>
      <c r="T10" s="82" t="n">
        <f aca="false">'Assumption Setting'!$H$39*'Assumption Setting'!$D$55</f>
        <v>0.33</v>
      </c>
      <c r="U10" s="82" t="n">
        <f aca="false">'Assumption Setting'!$H$39*'Assumption Setting'!$E$55</f>
        <v>0.39</v>
      </c>
      <c r="V10" s="82" t="n">
        <f aca="false">'Assumption Setting'!$I$39*'Assumption Setting'!$C$55</f>
        <v>0.28</v>
      </c>
      <c r="W10" s="82" t="n">
        <f aca="false">'Assumption Setting'!$I$39*'Assumption Setting'!$D$55</f>
        <v>0.33</v>
      </c>
      <c r="X10" s="82" t="n">
        <f aca="false">'Assumption Setting'!$I$39*'Assumption Setting'!$E$55</f>
        <v>0.39</v>
      </c>
      <c r="Y10" s="82" t="n">
        <f aca="false">'Assumption Setting'!$J$39*'Assumption Setting'!$C$55</f>
        <v>0.56</v>
      </c>
      <c r="Z10" s="82" t="n">
        <f aca="false">'Assumption Setting'!$J$39*'Assumption Setting'!$D$55</f>
        <v>0.66</v>
      </c>
      <c r="AA10" s="82" t="n">
        <f aca="false">'Assumption Setting'!$J$39*'Assumption Setting'!$E$55</f>
        <v>0.78</v>
      </c>
      <c r="AB10" s="81" t="n">
        <f aca="false">SUM(AC10:AN10)</f>
        <v>14</v>
      </c>
      <c r="AC10" s="82" t="n">
        <f aca="false">'Assumption Setting'!$K$39*'Assumption Setting'!$C$55</f>
        <v>0.84</v>
      </c>
      <c r="AD10" s="82" t="n">
        <f aca="false">'Assumption Setting'!$K$39*'Assumption Setting'!$D$55</f>
        <v>0.99</v>
      </c>
      <c r="AE10" s="82" t="n">
        <f aca="false">'Assumption Setting'!$K$39*'Assumption Setting'!$E$55</f>
        <v>1.17</v>
      </c>
      <c r="AF10" s="82" t="n">
        <f aca="false">'Assumption Setting'!$L$39*'Assumption Setting'!$C$55</f>
        <v>0.84</v>
      </c>
      <c r="AG10" s="82" t="n">
        <f aca="false">'Assumption Setting'!$L$39*'Assumption Setting'!$D$55</f>
        <v>0.99</v>
      </c>
      <c r="AH10" s="82" t="n">
        <f aca="false">'Assumption Setting'!$L$39*'Assumption Setting'!$E$55</f>
        <v>1.17</v>
      </c>
      <c r="AI10" s="82" t="n">
        <f aca="false">'Assumption Setting'!$M$39*'Assumption Setting'!$C$55</f>
        <v>1.12</v>
      </c>
      <c r="AJ10" s="82" t="n">
        <f aca="false">'Assumption Setting'!$M$39*'Assumption Setting'!$D$55</f>
        <v>1.32</v>
      </c>
      <c r="AK10" s="82" t="n">
        <f aca="false">'Assumption Setting'!$M$39*'Assumption Setting'!$E$55</f>
        <v>1.56</v>
      </c>
      <c r="AL10" s="82" t="n">
        <f aca="false">'Assumption Setting'!$N$39*'Assumption Setting'!$C$55</f>
        <v>1.12</v>
      </c>
      <c r="AM10" s="82" t="n">
        <f aca="false">'Assumption Setting'!$N$39*'Assumption Setting'!$D$55</f>
        <v>1.32</v>
      </c>
      <c r="AN10" s="82" t="n">
        <f aca="false">'Assumption Setting'!$N$39*'Assumption Setting'!$E$55</f>
        <v>1.56</v>
      </c>
      <c r="AO10" s="81" t="n">
        <f aca="false">SUM(AP10:BA10)</f>
        <v>22</v>
      </c>
      <c r="AP10" s="82" t="n">
        <f aca="false">'Assumption Setting'!$O$39*'Assumption Setting'!$C$55</f>
        <v>1.4</v>
      </c>
      <c r="AQ10" s="82" t="n">
        <f aca="false">'Assumption Setting'!$O$39*'Assumption Setting'!$D$55</f>
        <v>1.65</v>
      </c>
      <c r="AR10" s="82" t="n">
        <f aca="false">'Assumption Setting'!$O$39*'Assumption Setting'!$E$55</f>
        <v>1.95</v>
      </c>
      <c r="AS10" s="82" t="n">
        <f aca="false">'Assumption Setting'!$P$39*'Assumption Setting'!$C$55</f>
        <v>1.4</v>
      </c>
      <c r="AT10" s="82" t="n">
        <f aca="false">'Assumption Setting'!$P$39*'Assumption Setting'!$D$55</f>
        <v>1.65</v>
      </c>
      <c r="AU10" s="82" t="n">
        <f aca="false">'Assumption Setting'!$P$39*'Assumption Setting'!$E$55</f>
        <v>1.95</v>
      </c>
      <c r="AV10" s="82" t="n">
        <f aca="false">'Assumption Setting'!$Q$39*'Assumption Setting'!$C$55</f>
        <v>1.68</v>
      </c>
      <c r="AW10" s="82" t="n">
        <f aca="false">'Assumption Setting'!$Q$39*'Assumption Setting'!$D$55</f>
        <v>1.98</v>
      </c>
      <c r="AX10" s="82" t="n">
        <f aca="false">'Assumption Setting'!$Q$39*'Assumption Setting'!$E$55</f>
        <v>2.34</v>
      </c>
      <c r="AY10" s="82" t="n">
        <f aca="false">'Assumption Setting'!$R$39*'Assumption Setting'!$C$55</f>
        <v>1.68</v>
      </c>
      <c r="AZ10" s="82" t="n">
        <f aca="false">'Assumption Setting'!$R$39*'Assumption Setting'!$D$55</f>
        <v>1.98</v>
      </c>
      <c r="BA10" s="82" t="n">
        <f aca="false">'Assumption Setting'!$R$39*'Assumption Setting'!$E$55</f>
        <v>2.34</v>
      </c>
      <c r="BB10" s="81" t="n">
        <f aca="false">SUM(BC10:BN10)</f>
        <v>30</v>
      </c>
      <c r="BC10" s="82" t="n">
        <f aca="false">'Assumption Setting'!$S$39*'Assumption Setting'!$C$55</f>
        <v>1.96</v>
      </c>
      <c r="BD10" s="82" t="n">
        <f aca="false">'Assumption Setting'!$S$39*'Assumption Setting'!$D$55</f>
        <v>2.31</v>
      </c>
      <c r="BE10" s="82" t="n">
        <f aca="false">'Assumption Setting'!$S$39*'Assumption Setting'!$E$55</f>
        <v>2.73</v>
      </c>
      <c r="BF10" s="82" t="n">
        <f aca="false">'Assumption Setting'!$T$39*'Assumption Setting'!$C$55</f>
        <v>1.96</v>
      </c>
      <c r="BG10" s="82" t="n">
        <f aca="false">'Assumption Setting'!$T$39*'Assumption Setting'!$D$55</f>
        <v>2.31</v>
      </c>
      <c r="BH10" s="82" t="n">
        <f aca="false">'Assumption Setting'!$T$39*'Assumption Setting'!$E$55</f>
        <v>2.73</v>
      </c>
      <c r="BI10" s="82" t="n">
        <f aca="false">'Assumption Setting'!$U$39*'Assumption Setting'!$C$55</f>
        <v>2.24</v>
      </c>
      <c r="BJ10" s="82" t="n">
        <f aca="false">'Assumption Setting'!$U$39*'Assumption Setting'!$D$55</f>
        <v>2.64</v>
      </c>
      <c r="BK10" s="82" t="n">
        <f aca="false">'Assumption Setting'!$U$39*'Assumption Setting'!$E$55</f>
        <v>3.12</v>
      </c>
      <c r="BL10" s="82" t="n">
        <f aca="false">'Assumption Setting'!$V$39*'Assumption Setting'!$C$55</f>
        <v>2.24</v>
      </c>
      <c r="BM10" s="82" t="n">
        <f aca="false">'Assumption Setting'!$V$39*'Assumption Setting'!$D$55</f>
        <v>2.64</v>
      </c>
      <c r="BN10" s="82" t="n">
        <f aca="false">'Assumption Setting'!$V$39*'Assumption Setting'!$E$55</f>
        <v>3.12</v>
      </c>
    </row>
    <row r="11" customFormat="false" ht="15" hidden="false" customHeight="false" outlineLevel="0" collapsed="false">
      <c r="A11" s="12" t="s">
        <v>253</v>
      </c>
      <c r="B11" s="81" t="n">
        <f aca="false">SUM(C11:N11)</f>
        <v>0</v>
      </c>
      <c r="C11" s="82" t="n">
        <f aca="false">'Assumption Setting'!$C$40*'Assumption Setting'!$C$55</f>
        <v>0</v>
      </c>
      <c r="D11" s="82" t="n">
        <f aca="false">'Assumption Setting'!$C$40*'Assumption Setting'!$D$55</f>
        <v>0</v>
      </c>
      <c r="E11" s="82" t="n">
        <f aca="false">'Assumption Setting'!$C$40*'Assumption Setting'!$E$55</f>
        <v>0</v>
      </c>
      <c r="F11" s="82" t="n">
        <f aca="false">'Assumption Setting'!$D$40*'Assumption Setting'!$C$55</f>
        <v>0</v>
      </c>
      <c r="G11" s="82" t="n">
        <f aca="false">'Assumption Setting'!$D$40*'Assumption Setting'!$D$55</f>
        <v>0</v>
      </c>
      <c r="H11" s="82" t="n">
        <f aca="false">'Assumption Setting'!$D$40*'Assumption Setting'!$E$55</f>
        <v>0</v>
      </c>
      <c r="I11" s="82" t="n">
        <f aca="false">'Assumption Setting'!$E$40*'Assumption Setting'!$C$55</f>
        <v>0</v>
      </c>
      <c r="J11" s="82" t="n">
        <f aca="false">'Assumption Setting'!$E$40*'Assumption Setting'!$D$55</f>
        <v>0</v>
      </c>
      <c r="K11" s="82" t="n">
        <f aca="false">'Assumption Setting'!$E$40*'Assumption Setting'!$E$55</f>
        <v>0</v>
      </c>
      <c r="L11" s="82" t="n">
        <f aca="false">'Assumption Setting'!$F$40*'Assumption Setting'!$C$55</f>
        <v>0</v>
      </c>
      <c r="M11" s="82" t="n">
        <f aca="false">'Assumption Setting'!$F$40*'Assumption Setting'!$D$55</f>
        <v>0</v>
      </c>
      <c r="N11" s="82" t="n">
        <f aca="false">'Assumption Setting'!$F$40*'Assumption Setting'!$E$55</f>
        <v>0</v>
      </c>
      <c r="O11" s="81" t="n">
        <f aca="false">SUM(P11:AA11)</f>
        <v>9</v>
      </c>
      <c r="P11" s="82" t="n">
        <f aca="false">'Assumption Setting'!$G$40*'Assumption Setting'!$C$55</f>
        <v>0</v>
      </c>
      <c r="Q11" s="82" t="n">
        <f aca="false">'Assumption Setting'!$G$40*'Assumption Setting'!$D$55</f>
        <v>0</v>
      </c>
      <c r="R11" s="82" t="n">
        <f aca="false">'Assumption Setting'!$G$40*'Assumption Setting'!$E$55</f>
        <v>0</v>
      </c>
      <c r="S11" s="82" t="n">
        <f aca="false">'Assumption Setting'!$H$40*'Assumption Setting'!$C$55</f>
        <v>0.56</v>
      </c>
      <c r="T11" s="82" t="n">
        <f aca="false">'Assumption Setting'!$H$40*'Assumption Setting'!$D$55</f>
        <v>0.66</v>
      </c>
      <c r="U11" s="82" t="n">
        <f aca="false">'Assumption Setting'!$H$40*'Assumption Setting'!$E$55</f>
        <v>0.78</v>
      </c>
      <c r="V11" s="82" t="n">
        <f aca="false">'Assumption Setting'!$I$40*'Assumption Setting'!$C$55</f>
        <v>0.84</v>
      </c>
      <c r="W11" s="82" t="n">
        <f aca="false">'Assumption Setting'!$I$40*'Assumption Setting'!$D$55</f>
        <v>0.99</v>
      </c>
      <c r="X11" s="82" t="n">
        <f aca="false">'Assumption Setting'!$I$40*'Assumption Setting'!$E$55</f>
        <v>1.17</v>
      </c>
      <c r="Y11" s="82" t="n">
        <f aca="false">'Assumption Setting'!$J$40*'Assumption Setting'!$C$55</f>
        <v>1.12</v>
      </c>
      <c r="Z11" s="82" t="n">
        <f aca="false">'Assumption Setting'!$J$40*'Assumption Setting'!$D$55</f>
        <v>1.32</v>
      </c>
      <c r="AA11" s="82" t="n">
        <f aca="false">'Assumption Setting'!$J$40*'Assumption Setting'!$E$55</f>
        <v>1.56</v>
      </c>
      <c r="AB11" s="81" t="n">
        <f aca="false">SUM(AC11:AN11)</f>
        <v>36</v>
      </c>
      <c r="AC11" s="82" t="n">
        <f aca="false">'Assumption Setting'!$K$40*'Assumption Setting'!$C$55</f>
        <v>1.68</v>
      </c>
      <c r="AD11" s="82" t="n">
        <f aca="false">'Assumption Setting'!$K$40*'Assumption Setting'!$D$55</f>
        <v>1.98</v>
      </c>
      <c r="AE11" s="82" t="n">
        <f aca="false">'Assumption Setting'!$K$40*'Assumption Setting'!$E$55</f>
        <v>2.34</v>
      </c>
      <c r="AF11" s="82" t="n">
        <f aca="false">'Assumption Setting'!$L$40*'Assumption Setting'!$C$55</f>
        <v>2.24</v>
      </c>
      <c r="AG11" s="82" t="n">
        <f aca="false">'Assumption Setting'!$L$40*'Assumption Setting'!$D$55</f>
        <v>2.64</v>
      </c>
      <c r="AH11" s="82" t="n">
        <f aca="false">'Assumption Setting'!$L$40*'Assumption Setting'!$E$55</f>
        <v>3.12</v>
      </c>
      <c r="AI11" s="82" t="n">
        <f aca="false">'Assumption Setting'!$M$40*'Assumption Setting'!$C$55</f>
        <v>2.8</v>
      </c>
      <c r="AJ11" s="82" t="n">
        <f aca="false">'Assumption Setting'!$M$40*'Assumption Setting'!$D$55</f>
        <v>3.3</v>
      </c>
      <c r="AK11" s="82" t="n">
        <f aca="false">'Assumption Setting'!$M$40*'Assumption Setting'!$E$55</f>
        <v>3.9</v>
      </c>
      <c r="AL11" s="82" t="n">
        <f aca="false">'Assumption Setting'!$N$40*'Assumption Setting'!$C$55</f>
        <v>3.36</v>
      </c>
      <c r="AM11" s="82" t="n">
        <f aca="false">'Assumption Setting'!$N$40*'Assumption Setting'!$D$55</f>
        <v>3.96</v>
      </c>
      <c r="AN11" s="82" t="n">
        <f aca="false">'Assumption Setting'!$N$40*'Assumption Setting'!$E$55</f>
        <v>4.68</v>
      </c>
      <c r="AO11" s="81" t="n">
        <f aca="false">SUM(AP11:BA11)</f>
        <v>68</v>
      </c>
      <c r="AP11" s="82" t="n">
        <f aca="false">'Assumption Setting'!$O$40*'Assumption Setting'!$C$55</f>
        <v>3.92</v>
      </c>
      <c r="AQ11" s="82" t="n">
        <f aca="false">'Assumption Setting'!$O$40*'Assumption Setting'!$D$55</f>
        <v>4.62</v>
      </c>
      <c r="AR11" s="82" t="n">
        <f aca="false">'Assumption Setting'!$O$40*'Assumption Setting'!$E$55</f>
        <v>5.46</v>
      </c>
      <c r="AS11" s="82" t="n">
        <f aca="false">'Assumption Setting'!$P$40*'Assumption Setting'!$C$55</f>
        <v>4.48</v>
      </c>
      <c r="AT11" s="82" t="n">
        <f aca="false">'Assumption Setting'!$P$40*'Assumption Setting'!$D$55</f>
        <v>5.28</v>
      </c>
      <c r="AU11" s="82" t="n">
        <f aca="false">'Assumption Setting'!$P$40*'Assumption Setting'!$E$55</f>
        <v>6.24</v>
      </c>
      <c r="AV11" s="82" t="n">
        <f aca="false">'Assumption Setting'!$Q$40*'Assumption Setting'!$C$55</f>
        <v>5.04</v>
      </c>
      <c r="AW11" s="82" t="n">
        <f aca="false">'Assumption Setting'!$Q$40*'Assumption Setting'!$D$55</f>
        <v>5.94</v>
      </c>
      <c r="AX11" s="82" t="n">
        <f aca="false">'Assumption Setting'!$Q$40*'Assumption Setting'!$E$55</f>
        <v>7.02</v>
      </c>
      <c r="AY11" s="82" t="n">
        <f aca="false">'Assumption Setting'!$R$40*'Assumption Setting'!$C$55</f>
        <v>5.6</v>
      </c>
      <c r="AZ11" s="82" t="n">
        <f aca="false">'Assumption Setting'!$R$40*'Assumption Setting'!$D$55</f>
        <v>6.6</v>
      </c>
      <c r="BA11" s="82" t="n">
        <f aca="false">'Assumption Setting'!$R$40*'Assumption Setting'!$E$55</f>
        <v>7.8</v>
      </c>
      <c r="BB11" s="81" t="n">
        <f aca="false">SUM(BC11:BN11)</f>
        <v>100</v>
      </c>
      <c r="BC11" s="82" t="n">
        <f aca="false">'Assumption Setting'!$S$40*'Assumption Setting'!$C$55</f>
        <v>6.16</v>
      </c>
      <c r="BD11" s="82" t="n">
        <f aca="false">'Assumption Setting'!$S$40*'Assumption Setting'!$D$55</f>
        <v>7.26</v>
      </c>
      <c r="BE11" s="82" t="n">
        <f aca="false">'Assumption Setting'!$S$40*'Assumption Setting'!$E$55</f>
        <v>8.58</v>
      </c>
      <c r="BF11" s="82" t="n">
        <f aca="false">'Assumption Setting'!$T$40*'Assumption Setting'!$C$55</f>
        <v>6.72</v>
      </c>
      <c r="BG11" s="82" t="n">
        <f aca="false">'Assumption Setting'!$T$40*'Assumption Setting'!$D$55</f>
        <v>7.92</v>
      </c>
      <c r="BH11" s="82" t="n">
        <f aca="false">'Assumption Setting'!$T$40*'Assumption Setting'!$E$55</f>
        <v>9.36</v>
      </c>
      <c r="BI11" s="82" t="n">
        <f aca="false">'Assumption Setting'!$U$40*'Assumption Setting'!$C$55</f>
        <v>7.28</v>
      </c>
      <c r="BJ11" s="82" t="n">
        <f aca="false">'Assumption Setting'!$U$40*'Assumption Setting'!$D$55</f>
        <v>8.58</v>
      </c>
      <c r="BK11" s="82" t="n">
        <f aca="false">'Assumption Setting'!$U$40*'Assumption Setting'!$E$55</f>
        <v>10.14</v>
      </c>
      <c r="BL11" s="82" t="n">
        <f aca="false">'Assumption Setting'!$V$40*'Assumption Setting'!$C$55</f>
        <v>7.84</v>
      </c>
      <c r="BM11" s="82" t="n">
        <f aca="false">'Assumption Setting'!$V$40*'Assumption Setting'!$D$55</f>
        <v>9.24</v>
      </c>
      <c r="BN11" s="82" t="n">
        <f aca="false">'Assumption Setting'!$V$40*'Assumption Setting'!$E$55</f>
        <v>10.92</v>
      </c>
    </row>
    <row r="12" customFormat="false" ht="15" hidden="false" customHeight="false" outlineLevel="0" collapsed="false">
      <c r="A12" s="12" t="s">
        <v>715</v>
      </c>
      <c r="B12" s="81" t="n">
        <f aca="false">SUM(C12:N12)</f>
        <v>0</v>
      </c>
      <c r="C12" s="82" t="n">
        <f aca="false">'Assumption Setting'!$C$41*'Assumption Setting'!$C$55</f>
        <v>0</v>
      </c>
      <c r="D12" s="82" t="n">
        <f aca="false">'Assumption Setting'!$C$41*'Assumption Setting'!$D$55</f>
        <v>0</v>
      </c>
      <c r="E12" s="82" t="n">
        <f aca="false">'Assumption Setting'!$C$41*'Assumption Setting'!$E$55</f>
        <v>0</v>
      </c>
      <c r="F12" s="82" t="n">
        <f aca="false">'Assumption Setting'!$D$41*'Assumption Setting'!$C$55</f>
        <v>0</v>
      </c>
      <c r="G12" s="82" t="n">
        <f aca="false">'Assumption Setting'!$D$41*'Assumption Setting'!$D$55</f>
        <v>0</v>
      </c>
      <c r="H12" s="82" t="n">
        <f aca="false">'Assumption Setting'!$D$41*'Assumption Setting'!$E$55</f>
        <v>0</v>
      </c>
      <c r="I12" s="82" t="n">
        <f aca="false">'Assumption Setting'!$E$41*'Assumption Setting'!$C$55</f>
        <v>0</v>
      </c>
      <c r="J12" s="82" t="n">
        <f aca="false">'Assumption Setting'!$E$41*'Assumption Setting'!$D$55</f>
        <v>0</v>
      </c>
      <c r="K12" s="82" t="n">
        <f aca="false">'Assumption Setting'!$E$41*'Assumption Setting'!$E$55</f>
        <v>0</v>
      </c>
      <c r="L12" s="82" t="n">
        <f aca="false">'Assumption Setting'!$F$41*'Assumption Setting'!$C$55</f>
        <v>0</v>
      </c>
      <c r="M12" s="82" t="n">
        <f aca="false">'Assumption Setting'!$F$41*'Assumption Setting'!$D$55</f>
        <v>0</v>
      </c>
      <c r="N12" s="82" t="n">
        <f aca="false">'Assumption Setting'!$F$41*'Assumption Setting'!$E$55</f>
        <v>0</v>
      </c>
      <c r="O12" s="81" t="n">
        <f aca="false">SUM(P12:AA12)</f>
        <v>2</v>
      </c>
      <c r="P12" s="82" t="n">
        <f aca="false">'Assumption Setting'!$G$41*'Assumption Setting'!$C$55</f>
        <v>0</v>
      </c>
      <c r="Q12" s="82" t="n">
        <f aca="false">'Assumption Setting'!$G$41*'Assumption Setting'!$D$55</f>
        <v>0</v>
      </c>
      <c r="R12" s="82" t="n">
        <f aca="false">'Assumption Setting'!$G$41*'Assumption Setting'!$E$55</f>
        <v>0</v>
      </c>
      <c r="S12" s="82" t="n">
        <f aca="false">'Assumption Setting'!$H$41*'Assumption Setting'!$C$55</f>
        <v>0</v>
      </c>
      <c r="T12" s="82" t="n">
        <f aca="false">'Assumption Setting'!$H$41*'Assumption Setting'!$D$55</f>
        <v>0</v>
      </c>
      <c r="U12" s="82" t="n">
        <f aca="false">'Assumption Setting'!$H$41*'Assumption Setting'!$E$55</f>
        <v>0</v>
      </c>
      <c r="V12" s="82" t="n">
        <f aca="false">'Assumption Setting'!$I$41*'Assumption Setting'!$C$55</f>
        <v>0.28</v>
      </c>
      <c r="W12" s="82" t="n">
        <f aca="false">'Assumption Setting'!$I$41*'Assumption Setting'!$D$55</f>
        <v>0.33</v>
      </c>
      <c r="X12" s="82" t="n">
        <f aca="false">'Assumption Setting'!$I$41*'Assumption Setting'!$E$55</f>
        <v>0.39</v>
      </c>
      <c r="Y12" s="82" t="n">
        <f aca="false">'Assumption Setting'!$J$41*'Assumption Setting'!$C$55</f>
        <v>0.28</v>
      </c>
      <c r="Z12" s="82" t="n">
        <f aca="false">'Assumption Setting'!$J$41*'Assumption Setting'!$D$55</f>
        <v>0.33</v>
      </c>
      <c r="AA12" s="82" t="n">
        <f aca="false">'Assumption Setting'!$J$41*'Assumption Setting'!$E$55</f>
        <v>0.39</v>
      </c>
      <c r="AB12" s="81" t="n">
        <f aca="false">SUM(AC12:AN12)</f>
        <v>10</v>
      </c>
      <c r="AC12" s="82" t="n">
        <f aca="false">'Assumption Setting'!$K$41*'Assumption Setting'!$C$55</f>
        <v>0.56</v>
      </c>
      <c r="AD12" s="82" t="n">
        <f aca="false">'Assumption Setting'!$K$41*'Assumption Setting'!$D$55</f>
        <v>0.66</v>
      </c>
      <c r="AE12" s="82" t="n">
        <f aca="false">'Assumption Setting'!$K$41*'Assumption Setting'!$E$55</f>
        <v>0.78</v>
      </c>
      <c r="AF12" s="82" t="n">
        <f aca="false">'Assumption Setting'!$L$41*'Assumption Setting'!$C$55</f>
        <v>0.56</v>
      </c>
      <c r="AG12" s="82" t="n">
        <f aca="false">'Assumption Setting'!$L$41*'Assumption Setting'!$D$55</f>
        <v>0.66</v>
      </c>
      <c r="AH12" s="82" t="n">
        <f aca="false">'Assumption Setting'!$L$41*'Assumption Setting'!$E$55</f>
        <v>0.78</v>
      </c>
      <c r="AI12" s="82" t="n">
        <f aca="false">'Assumption Setting'!$M$41*'Assumption Setting'!$C$55</f>
        <v>0.84</v>
      </c>
      <c r="AJ12" s="82" t="n">
        <f aca="false">'Assumption Setting'!$M$41*'Assumption Setting'!$D$55</f>
        <v>0.99</v>
      </c>
      <c r="AK12" s="82" t="n">
        <f aca="false">'Assumption Setting'!$M$41*'Assumption Setting'!$E$55</f>
        <v>1.17</v>
      </c>
      <c r="AL12" s="82" t="n">
        <f aca="false">'Assumption Setting'!$N$41*'Assumption Setting'!$C$55</f>
        <v>0.84</v>
      </c>
      <c r="AM12" s="82" t="n">
        <f aca="false">'Assumption Setting'!$N$41*'Assumption Setting'!$D$55</f>
        <v>0.99</v>
      </c>
      <c r="AN12" s="82" t="n">
        <f aca="false">'Assumption Setting'!$N$41*'Assumption Setting'!$E$55</f>
        <v>1.17</v>
      </c>
      <c r="AO12" s="81" t="n">
        <f aca="false">SUM(AP12:BA12)</f>
        <v>18</v>
      </c>
      <c r="AP12" s="82" t="n">
        <f aca="false">'Assumption Setting'!$O$41*'Assumption Setting'!$C$55</f>
        <v>1.12</v>
      </c>
      <c r="AQ12" s="82" t="n">
        <f aca="false">'Assumption Setting'!$O$41*'Assumption Setting'!$D$55</f>
        <v>1.32</v>
      </c>
      <c r="AR12" s="82" t="n">
        <f aca="false">'Assumption Setting'!$O$41*'Assumption Setting'!$E$55</f>
        <v>1.56</v>
      </c>
      <c r="AS12" s="82" t="n">
        <f aca="false">'Assumption Setting'!$P$41*'Assumption Setting'!$C$55</f>
        <v>1.12</v>
      </c>
      <c r="AT12" s="82" t="n">
        <f aca="false">'Assumption Setting'!$P$41*'Assumption Setting'!$D$55</f>
        <v>1.32</v>
      </c>
      <c r="AU12" s="82" t="n">
        <f aca="false">'Assumption Setting'!$P$41*'Assumption Setting'!$E$55</f>
        <v>1.56</v>
      </c>
      <c r="AV12" s="82" t="n">
        <f aca="false">'Assumption Setting'!$Q$41*'Assumption Setting'!$C$55</f>
        <v>1.4</v>
      </c>
      <c r="AW12" s="82" t="n">
        <f aca="false">'Assumption Setting'!$Q$41*'Assumption Setting'!$D$55</f>
        <v>1.65</v>
      </c>
      <c r="AX12" s="82" t="n">
        <f aca="false">'Assumption Setting'!$Q$41*'Assumption Setting'!$E$55</f>
        <v>1.95</v>
      </c>
      <c r="AY12" s="82" t="n">
        <f aca="false">'Assumption Setting'!$R$41*'Assumption Setting'!$C$55</f>
        <v>1.4</v>
      </c>
      <c r="AZ12" s="82" t="n">
        <f aca="false">'Assumption Setting'!$R$41*'Assumption Setting'!$D$55</f>
        <v>1.65</v>
      </c>
      <c r="BA12" s="82" t="n">
        <f aca="false">'Assumption Setting'!$R$41*'Assumption Setting'!$E$55</f>
        <v>1.95</v>
      </c>
      <c r="BB12" s="81" t="n">
        <f aca="false">SUM(BC12:BN12)</f>
        <v>26</v>
      </c>
      <c r="BC12" s="82" t="n">
        <f aca="false">'Assumption Setting'!$S$41*'Assumption Setting'!$C$55</f>
        <v>1.68</v>
      </c>
      <c r="BD12" s="82" t="n">
        <f aca="false">'Assumption Setting'!$S$41*'Assumption Setting'!$D$55</f>
        <v>1.98</v>
      </c>
      <c r="BE12" s="82" t="n">
        <f aca="false">'Assumption Setting'!$S$41*'Assumption Setting'!$E$55</f>
        <v>2.34</v>
      </c>
      <c r="BF12" s="82" t="n">
        <f aca="false">'Assumption Setting'!$T$41*'Assumption Setting'!$C$55</f>
        <v>1.68</v>
      </c>
      <c r="BG12" s="82" t="n">
        <f aca="false">'Assumption Setting'!$T$41*'Assumption Setting'!$D$55</f>
        <v>1.98</v>
      </c>
      <c r="BH12" s="82" t="n">
        <f aca="false">'Assumption Setting'!$T$41*'Assumption Setting'!$E$55</f>
        <v>2.34</v>
      </c>
      <c r="BI12" s="82" t="n">
        <f aca="false">'Assumption Setting'!$U$41*'Assumption Setting'!$C$55</f>
        <v>1.96</v>
      </c>
      <c r="BJ12" s="82" t="n">
        <f aca="false">'Assumption Setting'!$U$41*'Assumption Setting'!$D$55</f>
        <v>2.31</v>
      </c>
      <c r="BK12" s="82" t="n">
        <f aca="false">'Assumption Setting'!$U$41*'Assumption Setting'!$E$55</f>
        <v>2.73</v>
      </c>
      <c r="BL12" s="82" t="n">
        <f aca="false">'Assumption Setting'!$V$41*'Assumption Setting'!$C$55</f>
        <v>1.96</v>
      </c>
      <c r="BM12" s="82" t="n">
        <f aca="false">'Assumption Setting'!$V$41*'Assumption Setting'!$D$55</f>
        <v>2.31</v>
      </c>
      <c r="BN12" s="82" t="n">
        <f aca="false">'Assumption Setting'!$V$41*'Assumption Setting'!$E$55</f>
        <v>2.73</v>
      </c>
    </row>
    <row r="13" customFormat="false" ht="15" hidden="false" customHeight="false" outlineLevel="0" collapsed="false">
      <c r="A13" s="12" t="s">
        <v>259</v>
      </c>
      <c r="B13" s="81" t="n">
        <f aca="false">SUM(C13:N13)</f>
        <v>0</v>
      </c>
      <c r="C13" s="82" t="n">
        <f aca="false">'Assumption Setting'!$C$42*'Assumption Setting'!$C$55</f>
        <v>0</v>
      </c>
      <c r="D13" s="82" t="n">
        <f aca="false">'Assumption Setting'!$C$42*'Assumption Setting'!$D$55</f>
        <v>0</v>
      </c>
      <c r="E13" s="82" t="n">
        <f aca="false">'Assumption Setting'!$C$42*'Assumption Setting'!$E$55</f>
        <v>0</v>
      </c>
      <c r="F13" s="82" t="n">
        <f aca="false">'Assumption Setting'!$D$42*'Assumption Setting'!$C$55</f>
        <v>0</v>
      </c>
      <c r="G13" s="82" t="n">
        <f aca="false">'Assumption Setting'!$D$42*'Assumption Setting'!$D$55</f>
        <v>0</v>
      </c>
      <c r="H13" s="82" t="n">
        <f aca="false">'Assumption Setting'!$D$42*'Assumption Setting'!$E$55</f>
        <v>0</v>
      </c>
      <c r="I13" s="82" t="n">
        <f aca="false">'Assumption Setting'!$E$42*'Assumption Setting'!$C$55</f>
        <v>0</v>
      </c>
      <c r="J13" s="82" t="n">
        <f aca="false">'Assumption Setting'!$E$42*'Assumption Setting'!$D$55</f>
        <v>0</v>
      </c>
      <c r="K13" s="82" t="n">
        <f aca="false">'Assumption Setting'!$E$42*'Assumption Setting'!$E$55</f>
        <v>0</v>
      </c>
      <c r="L13" s="82" t="n">
        <f aca="false">'Assumption Setting'!$F$42*'Assumption Setting'!$C$55</f>
        <v>0</v>
      </c>
      <c r="M13" s="82" t="n">
        <f aca="false">'Assumption Setting'!$F$42*'Assumption Setting'!$D$55</f>
        <v>0</v>
      </c>
      <c r="N13" s="82" t="n">
        <f aca="false">'Assumption Setting'!$F$42*'Assumption Setting'!$E$55</f>
        <v>0</v>
      </c>
      <c r="O13" s="81" t="n">
        <f aca="false">SUM(P13:AA13)</f>
        <v>3</v>
      </c>
      <c r="P13" s="82" t="n">
        <f aca="false">'Assumption Setting'!$G$42*'Assumption Setting'!$C$55</f>
        <v>0</v>
      </c>
      <c r="Q13" s="82" t="n">
        <f aca="false">'Assumption Setting'!$G$42*'Assumption Setting'!$D$55</f>
        <v>0</v>
      </c>
      <c r="R13" s="82" t="n">
        <f aca="false">'Assumption Setting'!$G$42*'Assumption Setting'!$E$55</f>
        <v>0</v>
      </c>
      <c r="S13" s="82" t="n">
        <f aca="false">'Assumption Setting'!$H$42*'Assumption Setting'!$C$55</f>
        <v>0</v>
      </c>
      <c r="T13" s="82" t="n">
        <f aca="false">'Assumption Setting'!$H$42*'Assumption Setting'!$D$55</f>
        <v>0</v>
      </c>
      <c r="U13" s="82" t="n">
        <f aca="false">'Assumption Setting'!$H$42*'Assumption Setting'!$E$55</f>
        <v>0</v>
      </c>
      <c r="V13" s="82" t="n">
        <f aca="false">'Assumption Setting'!$I$42*'Assumption Setting'!$C$55</f>
        <v>0.28</v>
      </c>
      <c r="W13" s="82" t="n">
        <f aca="false">'Assumption Setting'!$I$42*'Assumption Setting'!$D$55</f>
        <v>0.33</v>
      </c>
      <c r="X13" s="82" t="n">
        <f aca="false">'Assumption Setting'!$I$42*'Assumption Setting'!$E$55</f>
        <v>0.39</v>
      </c>
      <c r="Y13" s="82" t="n">
        <f aca="false">'Assumption Setting'!$J$42*'Assumption Setting'!$C$55</f>
        <v>0.56</v>
      </c>
      <c r="Z13" s="82" t="n">
        <f aca="false">'Assumption Setting'!$J$42*'Assumption Setting'!$D$55</f>
        <v>0.66</v>
      </c>
      <c r="AA13" s="82" t="n">
        <f aca="false">'Assumption Setting'!$J$42*'Assumption Setting'!$E$55</f>
        <v>0.78</v>
      </c>
      <c r="AB13" s="81" t="n">
        <f aca="false">SUM(AC13:AN13)</f>
        <v>18</v>
      </c>
      <c r="AC13" s="82" t="n">
        <f aca="false">'Assumption Setting'!$K$42*'Assumption Setting'!$C$55</f>
        <v>0.84</v>
      </c>
      <c r="AD13" s="82" t="n">
        <f aca="false">'Assumption Setting'!$K$42*'Assumption Setting'!$D$55</f>
        <v>0.99</v>
      </c>
      <c r="AE13" s="82" t="n">
        <f aca="false">'Assumption Setting'!$K$42*'Assumption Setting'!$E$55</f>
        <v>1.17</v>
      </c>
      <c r="AF13" s="82" t="n">
        <f aca="false">'Assumption Setting'!$L$42*'Assumption Setting'!$C$55</f>
        <v>1.12</v>
      </c>
      <c r="AG13" s="82" t="n">
        <f aca="false">'Assumption Setting'!$L$42*'Assumption Setting'!$D$55</f>
        <v>1.32</v>
      </c>
      <c r="AH13" s="82" t="n">
        <f aca="false">'Assumption Setting'!$L$42*'Assumption Setting'!$E$55</f>
        <v>1.56</v>
      </c>
      <c r="AI13" s="82" t="n">
        <f aca="false">'Assumption Setting'!$M$42*'Assumption Setting'!$C$55</f>
        <v>1.4</v>
      </c>
      <c r="AJ13" s="82" t="n">
        <f aca="false">'Assumption Setting'!$M$42*'Assumption Setting'!$D$55</f>
        <v>1.65</v>
      </c>
      <c r="AK13" s="82" t="n">
        <f aca="false">'Assumption Setting'!$M$42*'Assumption Setting'!$E$55</f>
        <v>1.95</v>
      </c>
      <c r="AL13" s="82" t="n">
        <f aca="false">'Assumption Setting'!$N$42*'Assumption Setting'!$C$55</f>
        <v>1.68</v>
      </c>
      <c r="AM13" s="82" t="n">
        <f aca="false">'Assumption Setting'!$N$42*'Assumption Setting'!$D$55</f>
        <v>1.98</v>
      </c>
      <c r="AN13" s="82" t="n">
        <f aca="false">'Assumption Setting'!$N$42*'Assumption Setting'!$E$55</f>
        <v>2.34</v>
      </c>
      <c r="AO13" s="81" t="n">
        <f aca="false">SUM(AP13:BA13)</f>
        <v>34</v>
      </c>
      <c r="AP13" s="82" t="n">
        <f aca="false">'Assumption Setting'!$O$42*'Assumption Setting'!$C$55</f>
        <v>1.96</v>
      </c>
      <c r="AQ13" s="82" t="n">
        <f aca="false">'Assumption Setting'!$O$42*'Assumption Setting'!$D$55</f>
        <v>2.31</v>
      </c>
      <c r="AR13" s="82" t="n">
        <f aca="false">'Assumption Setting'!$O$42*'Assumption Setting'!$E$55</f>
        <v>2.73</v>
      </c>
      <c r="AS13" s="82" t="n">
        <f aca="false">'Assumption Setting'!$P$42*'Assumption Setting'!$C$55</f>
        <v>2.24</v>
      </c>
      <c r="AT13" s="82" t="n">
        <f aca="false">'Assumption Setting'!$P$42*'Assumption Setting'!$D$55</f>
        <v>2.64</v>
      </c>
      <c r="AU13" s="82" t="n">
        <f aca="false">'Assumption Setting'!$P$42*'Assumption Setting'!$E$55</f>
        <v>3.12</v>
      </c>
      <c r="AV13" s="82" t="n">
        <f aca="false">'Assumption Setting'!$Q$42*'Assumption Setting'!$C$55</f>
        <v>2.52</v>
      </c>
      <c r="AW13" s="82" t="n">
        <f aca="false">'Assumption Setting'!$Q$42*'Assumption Setting'!$D$55</f>
        <v>2.97</v>
      </c>
      <c r="AX13" s="82" t="n">
        <f aca="false">'Assumption Setting'!$Q$42*'Assumption Setting'!$E$55</f>
        <v>3.51</v>
      </c>
      <c r="AY13" s="82" t="n">
        <f aca="false">'Assumption Setting'!$R$42*'Assumption Setting'!$C$55</f>
        <v>2.8</v>
      </c>
      <c r="AZ13" s="82" t="n">
        <f aca="false">'Assumption Setting'!$R$42*'Assumption Setting'!$D$55</f>
        <v>3.3</v>
      </c>
      <c r="BA13" s="82" t="n">
        <f aca="false">'Assumption Setting'!$R$42*'Assumption Setting'!$E$55</f>
        <v>3.9</v>
      </c>
      <c r="BB13" s="81" t="n">
        <f aca="false">SUM(BC13:BN13)</f>
        <v>50</v>
      </c>
      <c r="BC13" s="82" t="n">
        <f aca="false">'Assumption Setting'!$S$42*'Assumption Setting'!$C$55</f>
        <v>3.08</v>
      </c>
      <c r="BD13" s="82" t="n">
        <f aca="false">'Assumption Setting'!$S$42*'Assumption Setting'!$D$55</f>
        <v>3.63</v>
      </c>
      <c r="BE13" s="82" t="n">
        <f aca="false">'Assumption Setting'!$S$42*'Assumption Setting'!$E$55</f>
        <v>4.29</v>
      </c>
      <c r="BF13" s="82" t="n">
        <f aca="false">'Assumption Setting'!$T$42*'Assumption Setting'!$C$55</f>
        <v>3.36</v>
      </c>
      <c r="BG13" s="82" t="n">
        <f aca="false">'Assumption Setting'!$T$42*'Assumption Setting'!$D$55</f>
        <v>3.96</v>
      </c>
      <c r="BH13" s="82" t="n">
        <f aca="false">'Assumption Setting'!$T$42*'Assumption Setting'!$E$55</f>
        <v>4.68</v>
      </c>
      <c r="BI13" s="82" t="n">
        <f aca="false">'Assumption Setting'!$U$42*'Assumption Setting'!$C$55</f>
        <v>3.64</v>
      </c>
      <c r="BJ13" s="82" t="n">
        <f aca="false">'Assumption Setting'!$U$42*'Assumption Setting'!$D$55</f>
        <v>4.29</v>
      </c>
      <c r="BK13" s="82" t="n">
        <f aca="false">'Assumption Setting'!$U$42*'Assumption Setting'!$E$55</f>
        <v>5.07</v>
      </c>
      <c r="BL13" s="82" t="n">
        <f aca="false">'Assumption Setting'!$V$42*'Assumption Setting'!$C$55</f>
        <v>3.92</v>
      </c>
      <c r="BM13" s="82" t="n">
        <f aca="false">'Assumption Setting'!$V$42*'Assumption Setting'!$D$55</f>
        <v>4.62</v>
      </c>
      <c r="BN13" s="82" t="n">
        <f aca="false">'Assumption Setting'!$V$42*'Assumption Setting'!$E$55</f>
        <v>5.46</v>
      </c>
    </row>
    <row r="14" customFormat="false" ht="15" hidden="false" customHeight="false" outlineLevel="0" collapsed="false">
      <c r="A14" s="12" t="s">
        <v>262</v>
      </c>
      <c r="B14" s="79" t="n">
        <f aca="false">SUM(C14:N14)</f>
        <v>0</v>
      </c>
      <c r="C14" s="80" t="n">
        <f aca="false">'Assumption Setting'!$C$43*'Assumption Setting'!$C$55</f>
        <v>0</v>
      </c>
      <c r="D14" s="80" t="n">
        <f aca="false">'Assumption Setting'!$C$43*'Assumption Setting'!$D$55</f>
        <v>0</v>
      </c>
      <c r="E14" s="80" t="n">
        <f aca="false">'Assumption Setting'!$C$43*'Assumption Setting'!$E$55</f>
        <v>0</v>
      </c>
      <c r="F14" s="80" t="n">
        <f aca="false">'Assumption Setting'!$D$43*'Assumption Setting'!$C$55</f>
        <v>0</v>
      </c>
      <c r="G14" s="80" t="n">
        <f aca="false">'Assumption Setting'!$D$43*'Assumption Setting'!$D$55</f>
        <v>0</v>
      </c>
      <c r="H14" s="80" t="n">
        <f aca="false">'Assumption Setting'!$D$43*'Assumption Setting'!$E$55</f>
        <v>0</v>
      </c>
      <c r="I14" s="80" t="n">
        <f aca="false">'Assumption Setting'!$E$43*'Assumption Setting'!$C$55</f>
        <v>0</v>
      </c>
      <c r="J14" s="80" t="n">
        <f aca="false">'Assumption Setting'!$E$43*'Assumption Setting'!$D$55</f>
        <v>0</v>
      </c>
      <c r="K14" s="80" t="n">
        <f aca="false">'Assumption Setting'!$E$43*'Assumption Setting'!$E$55</f>
        <v>0</v>
      </c>
      <c r="L14" s="80" t="n">
        <f aca="false">'Assumption Setting'!$F$43*'Assumption Setting'!$C$55</f>
        <v>0</v>
      </c>
      <c r="M14" s="80" t="n">
        <f aca="false">'Assumption Setting'!$F$43*'Assumption Setting'!$D$55</f>
        <v>0</v>
      </c>
      <c r="N14" s="80" t="n">
        <f aca="false">'Assumption Setting'!$F$43*'Assumption Setting'!$E$55</f>
        <v>0</v>
      </c>
      <c r="O14" s="79" t="n">
        <f aca="false">SUM(P14:AA14)</f>
        <v>4000</v>
      </c>
      <c r="P14" s="80" t="n">
        <f aca="false">'Assumption Setting'!$G$43*'Assumption Setting'!$C$55</f>
        <v>0</v>
      </c>
      <c r="Q14" s="80" t="n">
        <f aca="false">'Assumption Setting'!$G$43*'Assumption Setting'!$D$55</f>
        <v>0</v>
      </c>
      <c r="R14" s="80" t="n">
        <f aca="false">'Assumption Setting'!$G$43*'Assumption Setting'!$E$55</f>
        <v>0</v>
      </c>
      <c r="S14" s="80" t="n">
        <f aca="false">'Assumption Setting'!$H$43*'Assumption Setting'!$C$55</f>
        <v>0</v>
      </c>
      <c r="T14" s="80" t="n">
        <f aca="false">'Assumption Setting'!$H$43*'Assumption Setting'!$D$55</f>
        <v>0</v>
      </c>
      <c r="U14" s="80" t="n">
        <f aca="false">'Assumption Setting'!$H$43*'Assumption Setting'!$E$55</f>
        <v>0</v>
      </c>
      <c r="V14" s="80" t="n">
        <f aca="false">'Assumption Setting'!$I$43*'Assumption Setting'!$C$55</f>
        <v>420</v>
      </c>
      <c r="W14" s="80" t="n">
        <f aca="false">'Assumption Setting'!$I$43*'Assumption Setting'!$D$55</f>
        <v>495</v>
      </c>
      <c r="X14" s="80" t="n">
        <f aca="false">'Assumption Setting'!$I$43*'Assumption Setting'!$E$55</f>
        <v>585</v>
      </c>
      <c r="Y14" s="80" t="n">
        <f aca="false">'Assumption Setting'!$J$43*'Assumption Setting'!$C$55</f>
        <v>700</v>
      </c>
      <c r="Z14" s="80" t="n">
        <f aca="false">'Assumption Setting'!$J$43*'Assumption Setting'!$D$55</f>
        <v>825</v>
      </c>
      <c r="AA14" s="80" t="n">
        <f aca="false">'Assumption Setting'!$J$43*'Assumption Setting'!$E$55</f>
        <v>975</v>
      </c>
      <c r="AB14" s="79" t="n">
        <f aca="false">SUM(AC14:AN14)</f>
        <v>28000</v>
      </c>
      <c r="AC14" s="80" t="n">
        <f aca="false">'Assumption Setting'!$K$43*'Assumption Setting'!$C$55</f>
        <v>1120</v>
      </c>
      <c r="AD14" s="80" t="n">
        <f aca="false">'Assumption Setting'!$K$43*'Assumption Setting'!$D$55</f>
        <v>1320</v>
      </c>
      <c r="AE14" s="80" t="n">
        <f aca="false">'Assumption Setting'!$K$43*'Assumption Setting'!$E$55</f>
        <v>1560</v>
      </c>
      <c r="AF14" s="80" t="n">
        <f aca="false">'Assumption Setting'!$L$43*'Assumption Setting'!$C$55</f>
        <v>1680</v>
      </c>
      <c r="AG14" s="80" t="n">
        <f aca="false">'Assumption Setting'!$L$43*'Assumption Setting'!$D$55</f>
        <v>1980</v>
      </c>
      <c r="AH14" s="80" t="n">
        <f aca="false">'Assumption Setting'!$L$43*'Assumption Setting'!$E$55</f>
        <v>2340</v>
      </c>
      <c r="AI14" s="80" t="n">
        <f aca="false">'Assumption Setting'!$M$43*'Assumption Setting'!$C$55</f>
        <v>2240</v>
      </c>
      <c r="AJ14" s="80" t="n">
        <f aca="false">'Assumption Setting'!$M$43*'Assumption Setting'!$D$55</f>
        <v>2640</v>
      </c>
      <c r="AK14" s="80" t="n">
        <f aca="false">'Assumption Setting'!$M$43*'Assumption Setting'!$E$55</f>
        <v>3120</v>
      </c>
      <c r="AL14" s="80" t="n">
        <f aca="false">'Assumption Setting'!$N$43*'Assumption Setting'!$C$55</f>
        <v>2800</v>
      </c>
      <c r="AM14" s="80" t="n">
        <f aca="false">'Assumption Setting'!$N$43*'Assumption Setting'!$D$55</f>
        <v>3300</v>
      </c>
      <c r="AN14" s="80" t="n">
        <f aca="false">'Assumption Setting'!$N$43*'Assumption Setting'!$E$55</f>
        <v>3900</v>
      </c>
      <c r="AO14" s="79" t="n">
        <f aca="false">SUM(AP14:BA14)</f>
        <v>74000</v>
      </c>
      <c r="AP14" s="80" t="n">
        <f aca="false">'Assumption Setting'!$O$43*'Assumption Setting'!$C$55</f>
        <v>3920</v>
      </c>
      <c r="AQ14" s="80" t="n">
        <f aca="false">'Assumption Setting'!$O$43*'Assumption Setting'!$D$55</f>
        <v>4620</v>
      </c>
      <c r="AR14" s="80" t="n">
        <f aca="false">'Assumption Setting'!$O$43*'Assumption Setting'!$E$55</f>
        <v>5460</v>
      </c>
      <c r="AS14" s="80" t="n">
        <f aca="false">'Assumption Setting'!$P$43*'Assumption Setting'!$C$55</f>
        <v>4760</v>
      </c>
      <c r="AT14" s="80" t="n">
        <f aca="false">'Assumption Setting'!$P$43*'Assumption Setting'!$D$55</f>
        <v>5610</v>
      </c>
      <c r="AU14" s="80" t="n">
        <f aca="false">'Assumption Setting'!$P$43*'Assumption Setting'!$E$55</f>
        <v>6630</v>
      </c>
      <c r="AV14" s="80" t="n">
        <f aca="false">'Assumption Setting'!$Q$43*'Assumption Setting'!$C$55</f>
        <v>5600</v>
      </c>
      <c r="AW14" s="80" t="n">
        <f aca="false">'Assumption Setting'!$Q$43*'Assumption Setting'!$D$55</f>
        <v>6600</v>
      </c>
      <c r="AX14" s="80" t="n">
        <f aca="false">'Assumption Setting'!$Q$43*'Assumption Setting'!$E$55</f>
        <v>7800</v>
      </c>
      <c r="AY14" s="80" t="n">
        <f aca="false">'Assumption Setting'!$R$43*'Assumption Setting'!$C$55</f>
        <v>6440</v>
      </c>
      <c r="AZ14" s="80" t="n">
        <f aca="false">'Assumption Setting'!$R$43*'Assumption Setting'!$D$55</f>
        <v>7590</v>
      </c>
      <c r="BA14" s="80" t="n">
        <f aca="false">'Assumption Setting'!$R$43*'Assumption Setting'!$E$55</f>
        <v>8970</v>
      </c>
      <c r="BB14" s="79" t="n">
        <f aca="false">SUM(BC14:BN14)</f>
        <v>122000</v>
      </c>
      <c r="BC14" s="80" t="n">
        <f aca="false">'Assumption Setting'!$S$43*'Assumption Setting'!$C$55</f>
        <v>7280</v>
      </c>
      <c r="BD14" s="80" t="n">
        <f aca="false">'Assumption Setting'!$S$43*'Assumption Setting'!$D$55</f>
        <v>8580</v>
      </c>
      <c r="BE14" s="80" t="n">
        <f aca="false">'Assumption Setting'!$S$43*'Assumption Setting'!$E$55</f>
        <v>10140</v>
      </c>
      <c r="BF14" s="80" t="n">
        <f aca="false">'Assumption Setting'!$T$43*'Assumption Setting'!$C$55</f>
        <v>8120</v>
      </c>
      <c r="BG14" s="80" t="n">
        <f aca="false">'Assumption Setting'!$T$43*'Assumption Setting'!$D$55</f>
        <v>9570</v>
      </c>
      <c r="BH14" s="80" t="n">
        <f aca="false">'Assumption Setting'!$T$43*'Assumption Setting'!$E$55</f>
        <v>11310</v>
      </c>
      <c r="BI14" s="80" t="n">
        <f aca="false">'Assumption Setting'!$U$43*'Assumption Setting'!$C$55</f>
        <v>8960</v>
      </c>
      <c r="BJ14" s="80" t="n">
        <f aca="false">'Assumption Setting'!$U$43*'Assumption Setting'!$D$55</f>
        <v>10560</v>
      </c>
      <c r="BK14" s="80" t="n">
        <f aca="false">'Assumption Setting'!$U$43*'Assumption Setting'!$E$55</f>
        <v>12480</v>
      </c>
      <c r="BL14" s="80" t="n">
        <f aca="false">'Assumption Setting'!$V$43*'Assumption Setting'!$C$55</f>
        <v>9800</v>
      </c>
      <c r="BM14" s="80" t="n">
        <f aca="false">'Assumption Setting'!$V$43*'Assumption Setting'!$D$55</f>
        <v>11550</v>
      </c>
      <c r="BN14" s="80" t="n">
        <f aca="false">'Assumption Setting'!$V$43*'Assumption Setting'!$E$55</f>
        <v>13650</v>
      </c>
    </row>
    <row r="15" customFormat="false" ht="15" hidden="false" customHeight="false" outlineLevel="0" collapsed="false">
      <c r="A15" s="12" t="s">
        <v>266</v>
      </c>
      <c r="B15" s="81" t="n">
        <f aca="false">SUM(C15:N15)</f>
        <v>0</v>
      </c>
      <c r="C15" s="82" t="n">
        <f aca="false">'Assumption Setting'!$C$44*'Assumption Setting'!$C$55</f>
        <v>0</v>
      </c>
      <c r="D15" s="82" t="n">
        <f aca="false">'Assumption Setting'!$C$44*'Assumption Setting'!$D$55</f>
        <v>0</v>
      </c>
      <c r="E15" s="82" t="n">
        <f aca="false">'Assumption Setting'!$C$44*'Assumption Setting'!$E$55</f>
        <v>0</v>
      </c>
      <c r="F15" s="82" t="n">
        <f aca="false">'Assumption Setting'!$D$44*'Assumption Setting'!$C$55</f>
        <v>0</v>
      </c>
      <c r="G15" s="82" t="n">
        <f aca="false">'Assumption Setting'!$D$44*'Assumption Setting'!$D$55</f>
        <v>0</v>
      </c>
      <c r="H15" s="82" t="n">
        <f aca="false">'Assumption Setting'!$D$44*'Assumption Setting'!$E$55</f>
        <v>0</v>
      </c>
      <c r="I15" s="82" t="n">
        <f aca="false">'Assumption Setting'!$E$44*'Assumption Setting'!$C$55</f>
        <v>0</v>
      </c>
      <c r="J15" s="82" t="n">
        <f aca="false">'Assumption Setting'!$E$44*'Assumption Setting'!$D$55</f>
        <v>0</v>
      </c>
      <c r="K15" s="82" t="n">
        <f aca="false">'Assumption Setting'!$E$44*'Assumption Setting'!$E$55</f>
        <v>0</v>
      </c>
      <c r="L15" s="82" t="n">
        <f aca="false">'Assumption Setting'!$F$44*'Assumption Setting'!$C$55</f>
        <v>0</v>
      </c>
      <c r="M15" s="82" t="n">
        <f aca="false">'Assumption Setting'!$F$44*'Assumption Setting'!$D$55</f>
        <v>0</v>
      </c>
      <c r="N15" s="82" t="n">
        <f aca="false">'Assumption Setting'!$F$44*'Assumption Setting'!$E$55</f>
        <v>0</v>
      </c>
      <c r="O15" s="81" t="n">
        <f aca="false">SUM(P15:AA15)</f>
        <v>2</v>
      </c>
      <c r="P15" s="82" t="n">
        <f aca="false">'Assumption Setting'!$G$44*'Assumption Setting'!$C$55</f>
        <v>0</v>
      </c>
      <c r="Q15" s="82" t="n">
        <f aca="false">'Assumption Setting'!$G$44*'Assumption Setting'!$D$55</f>
        <v>0</v>
      </c>
      <c r="R15" s="82" t="n">
        <f aca="false">'Assumption Setting'!$G$44*'Assumption Setting'!$E$55</f>
        <v>0</v>
      </c>
      <c r="S15" s="82" t="n">
        <f aca="false">'Assumption Setting'!$H$44*'Assumption Setting'!$C$55</f>
        <v>0</v>
      </c>
      <c r="T15" s="82" t="n">
        <f aca="false">'Assumption Setting'!$H$44*'Assumption Setting'!$D$55</f>
        <v>0</v>
      </c>
      <c r="U15" s="82" t="n">
        <f aca="false">'Assumption Setting'!$H$44*'Assumption Setting'!$E$55</f>
        <v>0</v>
      </c>
      <c r="V15" s="82" t="n">
        <f aca="false">'Assumption Setting'!$I$44*'Assumption Setting'!$C$55</f>
        <v>0.28</v>
      </c>
      <c r="W15" s="82" t="n">
        <f aca="false">'Assumption Setting'!$I$44*'Assumption Setting'!$D$55</f>
        <v>0.33</v>
      </c>
      <c r="X15" s="82" t="n">
        <f aca="false">'Assumption Setting'!$I$44*'Assumption Setting'!$E$55</f>
        <v>0.39</v>
      </c>
      <c r="Y15" s="82" t="n">
        <f aca="false">'Assumption Setting'!$J$44*'Assumption Setting'!$C$55</f>
        <v>0.28</v>
      </c>
      <c r="Z15" s="82" t="n">
        <f aca="false">'Assumption Setting'!$J$44*'Assumption Setting'!$D$55</f>
        <v>0.33</v>
      </c>
      <c r="AA15" s="82" t="n">
        <f aca="false">'Assumption Setting'!$J$44*'Assumption Setting'!$E$55</f>
        <v>0.39</v>
      </c>
      <c r="AB15" s="81" t="n">
        <f aca="false">SUM(AC15:AN15)</f>
        <v>10</v>
      </c>
      <c r="AC15" s="82" t="n">
        <f aca="false">'Assumption Setting'!$K$44*'Assumption Setting'!$C$55</f>
        <v>0.56</v>
      </c>
      <c r="AD15" s="82" t="n">
        <f aca="false">'Assumption Setting'!$K$44*'Assumption Setting'!$D$55</f>
        <v>0.66</v>
      </c>
      <c r="AE15" s="82" t="n">
        <f aca="false">'Assumption Setting'!$K$44*'Assumption Setting'!$E$55</f>
        <v>0.78</v>
      </c>
      <c r="AF15" s="82" t="n">
        <f aca="false">'Assumption Setting'!$L$44*'Assumption Setting'!$C$55</f>
        <v>0.56</v>
      </c>
      <c r="AG15" s="82" t="n">
        <f aca="false">'Assumption Setting'!$L$44*'Assumption Setting'!$D$55</f>
        <v>0.66</v>
      </c>
      <c r="AH15" s="82" t="n">
        <f aca="false">'Assumption Setting'!$L$44*'Assumption Setting'!$E$55</f>
        <v>0.78</v>
      </c>
      <c r="AI15" s="82" t="n">
        <f aca="false">'Assumption Setting'!$M$44*'Assumption Setting'!$C$55</f>
        <v>0.84</v>
      </c>
      <c r="AJ15" s="82" t="n">
        <f aca="false">'Assumption Setting'!$M$44*'Assumption Setting'!$D$55</f>
        <v>0.99</v>
      </c>
      <c r="AK15" s="82" t="n">
        <f aca="false">'Assumption Setting'!$M$44*'Assumption Setting'!$E$55</f>
        <v>1.17</v>
      </c>
      <c r="AL15" s="82" t="n">
        <f aca="false">'Assumption Setting'!$N$44*'Assumption Setting'!$C$55</f>
        <v>0.84</v>
      </c>
      <c r="AM15" s="82" t="n">
        <f aca="false">'Assumption Setting'!$N$44*'Assumption Setting'!$D$55</f>
        <v>0.99</v>
      </c>
      <c r="AN15" s="82" t="n">
        <f aca="false">'Assumption Setting'!$N$44*'Assumption Setting'!$E$55</f>
        <v>1.17</v>
      </c>
      <c r="AO15" s="81" t="n">
        <f aca="false">SUM(AP15:BA15)</f>
        <v>18</v>
      </c>
      <c r="AP15" s="82" t="n">
        <f aca="false">'Assumption Setting'!$O$44*'Assumption Setting'!$C$55</f>
        <v>1.12</v>
      </c>
      <c r="AQ15" s="82" t="n">
        <f aca="false">'Assumption Setting'!$O$44*'Assumption Setting'!$D$55</f>
        <v>1.32</v>
      </c>
      <c r="AR15" s="82" t="n">
        <f aca="false">'Assumption Setting'!$O$44*'Assumption Setting'!$E$55</f>
        <v>1.56</v>
      </c>
      <c r="AS15" s="82" t="n">
        <f aca="false">'Assumption Setting'!$P$44*'Assumption Setting'!$C$55</f>
        <v>1.12</v>
      </c>
      <c r="AT15" s="82" t="n">
        <f aca="false">'Assumption Setting'!$P$44*'Assumption Setting'!$D$55</f>
        <v>1.32</v>
      </c>
      <c r="AU15" s="82" t="n">
        <f aca="false">'Assumption Setting'!$P$44*'Assumption Setting'!$E$55</f>
        <v>1.56</v>
      </c>
      <c r="AV15" s="82" t="n">
        <f aca="false">'Assumption Setting'!$Q$44*'Assumption Setting'!$C$55</f>
        <v>1.4</v>
      </c>
      <c r="AW15" s="82" t="n">
        <f aca="false">'Assumption Setting'!$Q$44*'Assumption Setting'!$D$55</f>
        <v>1.65</v>
      </c>
      <c r="AX15" s="82" t="n">
        <f aca="false">'Assumption Setting'!$Q$44*'Assumption Setting'!$E$55</f>
        <v>1.95</v>
      </c>
      <c r="AY15" s="82" t="n">
        <f aca="false">'Assumption Setting'!$R$44*'Assumption Setting'!$C$55</f>
        <v>1.4</v>
      </c>
      <c r="AZ15" s="82" t="n">
        <f aca="false">'Assumption Setting'!$R$44*'Assumption Setting'!$D$55</f>
        <v>1.65</v>
      </c>
      <c r="BA15" s="82" t="n">
        <f aca="false">'Assumption Setting'!$R$44*'Assumption Setting'!$E$55</f>
        <v>1.95</v>
      </c>
      <c r="BB15" s="81" t="n">
        <f aca="false">SUM(BC15:BN15)</f>
        <v>26</v>
      </c>
      <c r="BC15" s="82" t="n">
        <f aca="false">'Assumption Setting'!$S$44*'Assumption Setting'!$C$55</f>
        <v>1.68</v>
      </c>
      <c r="BD15" s="82" t="n">
        <f aca="false">'Assumption Setting'!$S$44*'Assumption Setting'!$D$55</f>
        <v>1.98</v>
      </c>
      <c r="BE15" s="82" t="n">
        <f aca="false">'Assumption Setting'!$S$44*'Assumption Setting'!$E$55</f>
        <v>2.34</v>
      </c>
      <c r="BF15" s="82" t="n">
        <f aca="false">'Assumption Setting'!$T$44*'Assumption Setting'!$C$55</f>
        <v>1.68</v>
      </c>
      <c r="BG15" s="82" t="n">
        <f aca="false">'Assumption Setting'!$T$44*'Assumption Setting'!$D$55</f>
        <v>1.98</v>
      </c>
      <c r="BH15" s="82" t="n">
        <f aca="false">'Assumption Setting'!$T$44*'Assumption Setting'!$E$55</f>
        <v>2.34</v>
      </c>
      <c r="BI15" s="82" t="n">
        <f aca="false">'Assumption Setting'!$U$44*'Assumption Setting'!$C$55</f>
        <v>1.96</v>
      </c>
      <c r="BJ15" s="82" t="n">
        <f aca="false">'Assumption Setting'!$U$44*'Assumption Setting'!$D$55</f>
        <v>2.31</v>
      </c>
      <c r="BK15" s="82" t="n">
        <f aca="false">'Assumption Setting'!$U$44*'Assumption Setting'!$E$55</f>
        <v>2.73</v>
      </c>
      <c r="BL15" s="82" t="n">
        <f aca="false">'Assumption Setting'!$V$44*'Assumption Setting'!$C$55</f>
        <v>1.96</v>
      </c>
      <c r="BM15" s="82" t="n">
        <f aca="false">'Assumption Setting'!$V$44*'Assumption Setting'!$D$55</f>
        <v>2.31</v>
      </c>
      <c r="BN15" s="82" t="n">
        <f aca="false">'Assumption Setting'!$V$44*'Assumption Setting'!$E$55</f>
        <v>2.73</v>
      </c>
    </row>
    <row r="16" customFormat="false" ht="15" hidden="false" customHeight="false" outlineLevel="0" collapsed="false">
      <c r="A16" s="12" t="s">
        <v>269</v>
      </c>
      <c r="B16" s="81" t="n">
        <f aca="false">SUM(C16:N16)</f>
        <v>0</v>
      </c>
      <c r="C16" s="82" t="n">
        <f aca="false">'Assumption Setting'!$C$45*'Assumption Setting'!$C$55</f>
        <v>0</v>
      </c>
      <c r="D16" s="82" t="n">
        <f aca="false">'Assumption Setting'!$C$45*'Assumption Setting'!$D$55</f>
        <v>0</v>
      </c>
      <c r="E16" s="82" t="n">
        <f aca="false">'Assumption Setting'!$C$45*'Assumption Setting'!$E$55</f>
        <v>0</v>
      </c>
      <c r="F16" s="82" t="n">
        <f aca="false">'Assumption Setting'!$D$45*'Assumption Setting'!$C$55</f>
        <v>0</v>
      </c>
      <c r="G16" s="82" t="n">
        <f aca="false">'Assumption Setting'!$D$45*'Assumption Setting'!$D$55</f>
        <v>0</v>
      </c>
      <c r="H16" s="82" t="n">
        <f aca="false">'Assumption Setting'!$D$45*'Assumption Setting'!$E$55</f>
        <v>0</v>
      </c>
      <c r="I16" s="82" t="n">
        <f aca="false">'Assumption Setting'!$E$45*'Assumption Setting'!$C$55</f>
        <v>0</v>
      </c>
      <c r="J16" s="82" t="n">
        <f aca="false">'Assumption Setting'!$E$45*'Assumption Setting'!$D$55</f>
        <v>0</v>
      </c>
      <c r="K16" s="82" t="n">
        <f aca="false">'Assumption Setting'!$E$45*'Assumption Setting'!$E$55</f>
        <v>0</v>
      </c>
      <c r="L16" s="82" t="n">
        <f aca="false">'Assumption Setting'!$F$45*'Assumption Setting'!$C$55</f>
        <v>0</v>
      </c>
      <c r="M16" s="82" t="n">
        <f aca="false">'Assumption Setting'!$F$45*'Assumption Setting'!$D$55</f>
        <v>0</v>
      </c>
      <c r="N16" s="82" t="n">
        <f aca="false">'Assumption Setting'!$F$45*'Assumption Setting'!$E$55</f>
        <v>0</v>
      </c>
      <c r="O16" s="81" t="n">
        <f aca="false">SUM(P16:AA16)</f>
        <v>4</v>
      </c>
      <c r="P16" s="82" t="n">
        <f aca="false">'Assumption Setting'!$G$45*'Assumption Setting'!$C$55</f>
        <v>0</v>
      </c>
      <c r="Q16" s="82" t="n">
        <f aca="false">'Assumption Setting'!$G$45*'Assumption Setting'!$D$55</f>
        <v>0</v>
      </c>
      <c r="R16" s="82" t="n">
        <f aca="false">'Assumption Setting'!$G$45*'Assumption Setting'!$E$55</f>
        <v>0</v>
      </c>
      <c r="S16" s="82" t="n">
        <f aca="false">'Assumption Setting'!$H$45*'Assumption Setting'!$C$55</f>
        <v>0.28</v>
      </c>
      <c r="T16" s="82" t="n">
        <f aca="false">'Assumption Setting'!$H$45*'Assumption Setting'!$D$55</f>
        <v>0.33</v>
      </c>
      <c r="U16" s="82" t="n">
        <f aca="false">'Assumption Setting'!$H$45*'Assumption Setting'!$E$55</f>
        <v>0.39</v>
      </c>
      <c r="V16" s="82" t="n">
        <f aca="false">'Assumption Setting'!$I$45*'Assumption Setting'!$C$55</f>
        <v>0.28</v>
      </c>
      <c r="W16" s="82" t="n">
        <f aca="false">'Assumption Setting'!$I$45*'Assumption Setting'!$D$55</f>
        <v>0.33</v>
      </c>
      <c r="X16" s="82" t="n">
        <f aca="false">'Assumption Setting'!$I$45*'Assumption Setting'!$E$55</f>
        <v>0.39</v>
      </c>
      <c r="Y16" s="82" t="n">
        <f aca="false">'Assumption Setting'!$J$45*'Assumption Setting'!$C$55</f>
        <v>0.56</v>
      </c>
      <c r="Z16" s="82" t="n">
        <f aca="false">'Assumption Setting'!$J$45*'Assumption Setting'!$D$55</f>
        <v>0.66</v>
      </c>
      <c r="AA16" s="82" t="n">
        <f aca="false">'Assumption Setting'!$J$45*'Assumption Setting'!$E$55</f>
        <v>0.78</v>
      </c>
      <c r="AB16" s="81" t="n">
        <f aca="false">SUM(AC16:AN16)</f>
        <v>12</v>
      </c>
      <c r="AC16" s="82" t="n">
        <f aca="false">'Assumption Setting'!$K$45*'Assumption Setting'!$C$55</f>
        <v>0.56</v>
      </c>
      <c r="AD16" s="82" t="n">
        <f aca="false">'Assumption Setting'!$K$45*'Assumption Setting'!$D$55</f>
        <v>0.66</v>
      </c>
      <c r="AE16" s="82" t="n">
        <f aca="false">'Assumption Setting'!$K$45*'Assumption Setting'!$E$55</f>
        <v>0.78</v>
      </c>
      <c r="AF16" s="82" t="n">
        <f aca="false">'Assumption Setting'!$L$45*'Assumption Setting'!$C$55</f>
        <v>0.84</v>
      </c>
      <c r="AG16" s="82" t="n">
        <f aca="false">'Assumption Setting'!$L$45*'Assumption Setting'!$D$55</f>
        <v>0.99</v>
      </c>
      <c r="AH16" s="82" t="n">
        <f aca="false">'Assumption Setting'!$L$45*'Assumption Setting'!$E$55</f>
        <v>1.17</v>
      </c>
      <c r="AI16" s="82" t="n">
        <f aca="false">'Assumption Setting'!$M$45*'Assumption Setting'!$C$55</f>
        <v>0.84</v>
      </c>
      <c r="AJ16" s="82" t="n">
        <f aca="false">'Assumption Setting'!$M$45*'Assumption Setting'!$D$55</f>
        <v>0.99</v>
      </c>
      <c r="AK16" s="82" t="n">
        <f aca="false">'Assumption Setting'!$M$45*'Assumption Setting'!$E$55</f>
        <v>1.17</v>
      </c>
      <c r="AL16" s="82" t="n">
        <f aca="false">'Assumption Setting'!$N$45*'Assumption Setting'!$C$55</f>
        <v>1.12</v>
      </c>
      <c r="AM16" s="82" t="n">
        <f aca="false">'Assumption Setting'!$N$45*'Assumption Setting'!$D$55</f>
        <v>1.32</v>
      </c>
      <c r="AN16" s="82" t="n">
        <f aca="false">'Assumption Setting'!$N$45*'Assumption Setting'!$E$55</f>
        <v>1.56</v>
      </c>
      <c r="AO16" s="81" t="n">
        <f aca="false">SUM(AP16:BA16)</f>
        <v>20</v>
      </c>
      <c r="AP16" s="82" t="n">
        <f aca="false">'Assumption Setting'!$O$45*'Assumption Setting'!$C$55</f>
        <v>1.12</v>
      </c>
      <c r="AQ16" s="82" t="n">
        <f aca="false">'Assumption Setting'!$O$45*'Assumption Setting'!$D$55</f>
        <v>1.32</v>
      </c>
      <c r="AR16" s="82" t="n">
        <f aca="false">'Assumption Setting'!$O$45*'Assumption Setting'!$E$55</f>
        <v>1.56</v>
      </c>
      <c r="AS16" s="82" t="n">
        <f aca="false">'Assumption Setting'!$P$45*'Assumption Setting'!$C$55</f>
        <v>1.4</v>
      </c>
      <c r="AT16" s="82" t="n">
        <f aca="false">'Assumption Setting'!$P$45*'Assumption Setting'!$D$55</f>
        <v>1.65</v>
      </c>
      <c r="AU16" s="82" t="n">
        <f aca="false">'Assumption Setting'!$P$45*'Assumption Setting'!$E$55</f>
        <v>1.95</v>
      </c>
      <c r="AV16" s="82" t="n">
        <f aca="false">'Assumption Setting'!$Q$45*'Assumption Setting'!$C$55</f>
        <v>1.4</v>
      </c>
      <c r="AW16" s="82" t="n">
        <f aca="false">'Assumption Setting'!$Q$45*'Assumption Setting'!$D$55</f>
        <v>1.65</v>
      </c>
      <c r="AX16" s="82" t="n">
        <f aca="false">'Assumption Setting'!$Q$45*'Assumption Setting'!$E$55</f>
        <v>1.95</v>
      </c>
      <c r="AY16" s="82" t="n">
        <f aca="false">'Assumption Setting'!$R$45*'Assumption Setting'!$C$55</f>
        <v>1.68</v>
      </c>
      <c r="AZ16" s="82" t="n">
        <f aca="false">'Assumption Setting'!$R$45*'Assumption Setting'!$D$55</f>
        <v>1.98</v>
      </c>
      <c r="BA16" s="82" t="n">
        <f aca="false">'Assumption Setting'!$R$45*'Assumption Setting'!$E$55</f>
        <v>2.34</v>
      </c>
      <c r="BB16" s="81" t="n">
        <f aca="false">SUM(BC16:BN16)</f>
        <v>28</v>
      </c>
      <c r="BC16" s="82" t="n">
        <f aca="false">'Assumption Setting'!$S$45*'Assumption Setting'!$C$55</f>
        <v>1.68</v>
      </c>
      <c r="BD16" s="82" t="n">
        <f aca="false">'Assumption Setting'!$S$45*'Assumption Setting'!$D$55</f>
        <v>1.98</v>
      </c>
      <c r="BE16" s="82" t="n">
        <f aca="false">'Assumption Setting'!$S$45*'Assumption Setting'!$E$55</f>
        <v>2.34</v>
      </c>
      <c r="BF16" s="82" t="n">
        <f aca="false">'Assumption Setting'!$T$45*'Assumption Setting'!$C$55</f>
        <v>1.96</v>
      </c>
      <c r="BG16" s="82" t="n">
        <f aca="false">'Assumption Setting'!$T$45*'Assumption Setting'!$D$55</f>
        <v>2.31</v>
      </c>
      <c r="BH16" s="82" t="n">
        <f aca="false">'Assumption Setting'!$T$45*'Assumption Setting'!$E$55</f>
        <v>2.73</v>
      </c>
      <c r="BI16" s="82" t="n">
        <f aca="false">'Assumption Setting'!$U$45*'Assumption Setting'!$C$55</f>
        <v>1.96</v>
      </c>
      <c r="BJ16" s="82" t="n">
        <f aca="false">'Assumption Setting'!$U$45*'Assumption Setting'!$D$55</f>
        <v>2.31</v>
      </c>
      <c r="BK16" s="82" t="n">
        <f aca="false">'Assumption Setting'!$U$45*'Assumption Setting'!$E$55</f>
        <v>2.73</v>
      </c>
      <c r="BL16" s="82" t="n">
        <f aca="false">'Assumption Setting'!$V$45*'Assumption Setting'!$C$55</f>
        <v>2.24</v>
      </c>
      <c r="BM16" s="82" t="n">
        <f aca="false">'Assumption Setting'!$V$45*'Assumption Setting'!$D$55</f>
        <v>2.64</v>
      </c>
      <c r="BN16" s="82" t="n">
        <f aca="false">'Assumption Setting'!$V$45*'Assumption Setting'!$E$55</f>
        <v>3.12</v>
      </c>
    </row>
    <row r="17" customFormat="false" ht="15" hidden="false" customHeight="false" outlineLevel="0" collapsed="false">
      <c r="A17" s="12" t="s">
        <v>716</v>
      </c>
      <c r="B17" s="81" t="n">
        <f aca="false">SUM(C17:N17)</f>
        <v>1</v>
      </c>
      <c r="C17" s="82" t="n">
        <f aca="false">'Assumption Setting'!$C$46*'Assumption Setting'!$C$55</f>
        <v>0.28</v>
      </c>
      <c r="D17" s="82" t="n">
        <f aca="false">'Assumption Setting'!$C$46*'Assumption Setting'!$D$55</f>
        <v>0.33</v>
      </c>
      <c r="E17" s="82" t="n">
        <f aca="false">'Assumption Setting'!$C$46*'Assumption Setting'!$E$55</f>
        <v>0.39</v>
      </c>
      <c r="F17" s="82" t="n">
        <f aca="false">'Assumption Setting'!$D$46*'Assumption Setting'!$C$55</f>
        <v>0</v>
      </c>
      <c r="G17" s="82" t="n">
        <f aca="false">'Assumption Setting'!$D$46*'Assumption Setting'!$D$55</f>
        <v>0</v>
      </c>
      <c r="H17" s="82" t="n">
        <f aca="false">'Assumption Setting'!$D$46*'Assumption Setting'!$E$55</f>
        <v>0</v>
      </c>
      <c r="I17" s="82" t="n">
        <f aca="false">'Assumption Setting'!$E$46*'Assumption Setting'!$C$55</f>
        <v>0</v>
      </c>
      <c r="J17" s="82" t="n">
        <f aca="false">'Assumption Setting'!$E$46*'Assumption Setting'!$D$55</f>
        <v>0</v>
      </c>
      <c r="K17" s="82" t="n">
        <f aca="false">'Assumption Setting'!$E$46*'Assumption Setting'!$E$55</f>
        <v>0</v>
      </c>
      <c r="L17" s="82" t="n">
        <f aca="false">'Assumption Setting'!$F$46*'Assumption Setting'!$C$55</f>
        <v>0</v>
      </c>
      <c r="M17" s="82" t="n">
        <f aca="false">'Assumption Setting'!$F$46*'Assumption Setting'!$D$55</f>
        <v>0</v>
      </c>
      <c r="N17" s="82" t="n">
        <f aca="false">'Assumption Setting'!$F$46*'Assumption Setting'!$E$55</f>
        <v>0</v>
      </c>
      <c r="O17" s="81" t="n">
        <f aca="false">SUM(P17:AA17)</f>
        <v>0</v>
      </c>
      <c r="P17" s="82" t="n">
        <f aca="false">'Assumption Setting'!$G$46*'Assumption Setting'!$C$55</f>
        <v>0</v>
      </c>
      <c r="Q17" s="82" t="n">
        <f aca="false">'Assumption Setting'!$G$46*'Assumption Setting'!$D$55</f>
        <v>0</v>
      </c>
      <c r="R17" s="82" t="n">
        <f aca="false">'Assumption Setting'!$G$46*'Assumption Setting'!$E$55</f>
        <v>0</v>
      </c>
      <c r="S17" s="82" t="n">
        <f aca="false">'Assumption Setting'!$H$46*'Assumption Setting'!$C$55</f>
        <v>0</v>
      </c>
      <c r="T17" s="82" t="n">
        <f aca="false">'Assumption Setting'!$H$46*'Assumption Setting'!$D$55</f>
        <v>0</v>
      </c>
      <c r="U17" s="82" t="n">
        <f aca="false">'Assumption Setting'!$H$46*'Assumption Setting'!$E$55</f>
        <v>0</v>
      </c>
      <c r="V17" s="82" t="n">
        <f aca="false">'Assumption Setting'!$I$46*'Assumption Setting'!$C$55</f>
        <v>0</v>
      </c>
      <c r="W17" s="82" t="n">
        <f aca="false">'Assumption Setting'!$I$46*'Assumption Setting'!$D$55</f>
        <v>0</v>
      </c>
      <c r="X17" s="82" t="n">
        <f aca="false">'Assumption Setting'!$I$46*'Assumption Setting'!$E$55</f>
        <v>0</v>
      </c>
      <c r="Y17" s="82" t="n">
        <f aca="false">'Assumption Setting'!$J$46*'Assumption Setting'!$C$55</f>
        <v>0</v>
      </c>
      <c r="Z17" s="82" t="n">
        <f aca="false">'Assumption Setting'!$J$46*'Assumption Setting'!$D$55</f>
        <v>0</v>
      </c>
      <c r="AA17" s="82" t="n">
        <f aca="false">'Assumption Setting'!$J$46*'Assumption Setting'!$E$55</f>
        <v>0</v>
      </c>
      <c r="AB17" s="81" t="n">
        <f aca="false">SUM(AC17:AN17)</f>
        <v>0</v>
      </c>
      <c r="AC17" s="82" t="n">
        <f aca="false">'Assumption Setting'!$K$46*'Assumption Setting'!$C$55</f>
        <v>0</v>
      </c>
      <c r="AD17" s="82" t="n">
        <f aca="false">'Assumption Setting'!$K$46*'Assumption Setting'!$D$55</f>
        <v>0</v>
      </c>
      <c r="AE17" s="82" t="n">
        <f aca="false">'Assumption Setting'!$K$46*'Assumption Setting'!$E$55</f>
        <v>0</v>
      </c>
      <c r="AF17" s="82" t="n">
        <f aca="false">'Assumption Setting'!$L$46*'Assumption Setting'!$C$55</f>
        <v>0</v>
      </c>
      <c r="AG17" s="82" t="n">
        <f aca="false">'Assumption Setting'!$L$46*'Assumption Setting'!$D$55</f>
        <v>0</v>
      </c>
      <c r="AH17" s="82" t="n">
        <f aca="false">'Assumption Setting'!$L$46*'Assumption Setting'!$E$55</f>
        <v>0</v>
      </c>
      <c r="AI17" s="82" t="n">
        <f aca="false">'Assumption Setting'!$M$46*'Assumption Setting'!$C$55</f>
        <v>0</v>
      </c>
      <c r="AJ17" s="82" t="n">
        <f aca="false">'Assumption Setting'!$M$46*'Assumption Setting'!$D$55</f>
        <v>0</v>
      </c>
      <c r="AK17" s="82" t="n">
        <f aca="false">'Assumption Setting'!$M$46*'Assumption Setting'!$E$55</f>
        <v>0</v>
      </c>
      <c r="AL17" s="82" t="n">
        <f aca="false">'Assumption Setting'!$N$46*'Assumption Setting'!$C$55</f>
        <v>0</v>
      </c>
      <c r="AM17" s="82" t="n">
        <f aca="false">'Assumption Setting'!$N$46*'Assumption Setting'!$D$55</f>
        <v>0</v>
      </c>
      <c r="AN17" s="82" t="n">
        <f aca="false">'Assumption Setting'!$N$46*'Assumption Setting'!$E$55</f>
        <v>0</v>
      </c>
      <c r="AO17" s="81" t="n">
        <f aca="false">SUM(AP17:BA17)</f>
        <v>0</v>
      </c>
      <c r="AP17" s="82" t="n">
        <f aca="false">'Assumption Setting'!$O$46*'Assumption Setting'!$C$55</f>
        <v>0</v>
      </c>
      <c r="AQ17" s="82" t="n">
        <f aca="false">'Assumption Setting'!$O$46*'Assumption Setting'!$D$55</f>
        <v>0</v>
      </c>
      <c r="AR17" s="82" t="n">
        <f aca="false">'Assumption Setting'!$O$46*'Assumption Setting'!$E$55</f>
        <v>0</v>
      </c>
      <c r="AS17" s="82" t="n">
        <f aca="false">'Assumption Setting'!$P$46*'Assumption Setting'!$C$55</f>
        <v>0</v>
      </c>
      <c r="AT17" s="82" t="n">
        <f aca="false">'Assumption Setting'!$P$46*'Assumption Setting'!$D$55</f>
        <v>0</v>
      </c>
      <c r="AU17" s="82" t="n">
        <f aca="false">'Assumption Setting'!$P$46*'Assumption Setting'!$E$55</f>
        <v>0</v>
      </c>
      <c r="AV17" s="82" t="n">
        <f aca="false">'Assumption Setting'!$Q$46*'Assumption Setting'!$C$55</f>
        <v>0</v>
      </c>
      <c r="AW17" s="82" t="n">
        <f aca="false">'Assumption Setting'!$Q$46*'Assumption Setting'!$D$55</f>
        <v>0</v>
      </c>
      <c r="AX17" s="82" t="n">
        <f aca="false">'Assumption Setting'!$Q$46*'Assumption Setting'!$E$55</f>
        <v>0</v>
      </c>
      <c r="AY17" s="82" t="n">
        <f aca="false">'Assumption Setting'!$R$46*'Assumption Setting'!$C$55</f>
        <v>0</v>
      </c>
      <c r="AZ17" s="82" t="n">
        <f aca="false">'Assumption Setting'!$R$46*'Assumption Setting'!$D$55</f>
        <v>0</v>
      </c>
      <c r="BA17" s="82" t="n">
        <f aca="false">'Assumption Setting'!$R$46*'Assumption Setting'!$E$55</f>
        <v>0</v>
      </c>
      <c r="BB17" s="81" t="n">
        <f aca="false">SUM(BC17:BN17)</f>
        <v>0</v>
      </c>
      <c r="BC17" s="82" t="n">
        <f aca="false">'Assumption Setting'!$S$46*'Assumption Setting'!$C$55</f>
        <v>0</v>
      </c>
      <c r="BD17" s="82" t="n">
        <f aca="false">'Assumption Setting'!$S$46*'Assumption Setting'!$D$55</f>
        <v>0</v>
      </c>
      <c r="BE17" s="82" t="n">
        <f aca="false">'Assumption Setting'!$S$46*'Assumption Setting'!$E$55</f>
        <v>0</v>
      </c>
      <c r="BF17" s="82" t="n">
        <f aca="false">'Assumption Setting'!$T$46*'Assumption Setting'!$C$55</f>
        <v>0</v>
      </c>
      <c r="BG17" s="82" t="n">
        <f aca="false">'Assumption Setting'!$T$46*'Assumption Setting'!$D$55</f>
        <v>0</v>
      </c>
      <c r="BH17" s="82" t="n">
        <f aca="false">'Assumption Setting'!$T$46*'Assumption Setting'!$E$55</f>
        <v>0</v>
      </c>
      <c r="BI17" s="82" t="n">
        <f aca="false">'Assumption Setting'!$U$46*'Assumption Setting'!$C$55</f>
        <v>0</v>
      </c>
      <c r="BJ17" s="82" t="n">
        <f aca="false">'Assumption Setting'!$U$46*'Assumption Setting'!$D$55</f>
        <v>0</v>
      </c>
      <c r="BK17" s="82" t="n">
        <f aca="false">'Assumption Setting'!$U$46*'Assumption Setting'!$E$55</f>
        <v>0</v>
      </c>
      <c r="BL17" s="82" t="n">
        <f aca="false">'Assumption Setting'!$V$46*'Assumption Setting'!$C$55</f>
        <v>0</v>
      </c>
      <c r="BM17" s="82" t="n">
        <f aca="false">'Assumption Setting'!$V$46*'Assumption Setting'!$D$55</f>
        <v>0</v>
      </c>
      <c r="BN17" s="82" t="n">
        <f aca="false">'Assumption Setting'!$V$46*'Assumption Setting'!$E$55</f>
        <v>0</v>
      </c>
    </row>
    <row r="18" customFormat="false" ht="15" hidden="false" customHeight="false" outlineLevel="0" collapsed="false">
      <c r="A18" s="12" t="s">
        <v>277</v>
      </c>
      <c r="B18" s="81" t="n">
        <f aca="false">SUM(C18:N18)</f>
        <v>1</v>
      </c>
      <c r="C18" s="82" t="n">
        <f aca="false">'Assumption Setting'!$C$47*'Assumption Setting'!$C$55</f>
        <v>0</v>
      </c>
      <c r="D18" s="82" t="n">
        <f aca="false">'Assumption Setting'!$C$47*'Assumption Setting'!$D$55</f>
        <v>0</v>
      </c>
      <c r="E18" s="82" t="n">
        <f aca="false">'Assumption Setting'!$C$47*'Assumption Setting'!$E$55</f>
        <v>0</v>
      </c>
      <c r="F18" s="82" t="n">
        <f aca="false">'Assumption Setting'!$D$47*'Assumption Setting'!$C$55</f>
        <v>0</v>
      </c>
      <c r="G18" s="82" t="n">
        <f aca="false">'Assumption Setting'!$D$47*'Assumption Setting'!$D$55</f>
        <v>0</v>
      </c>
      <c r="H18" s="82" t="n">
        <f aca="false">'Assumption Setting'!$D$47*'Assumption Setting'!$E$55</f>
        <v>0</v>
      </c>
      <c r="I18" s="82" t="n">
        <f aca="false">'Assumption Setting'!$E$47*'Assumption Setting'!$C$55</f>
        <v>0</v>
      </c>
      <c r="J18" s="82" t="n">
        <f aca="false">'Assumption Setting'!$E$47*'Assumption Setting'!$D$55</f>
        <v>0</v>
      </c>
      <c r="K18" s="82" t="n">
        <f aca="false">'Assumption Setting'!$E$47*'Assumption Setting'!$E$55</f>
        <v>0</v>
      </c>
      <c r="L18" s="82" t="n">
        <f aca="false">'Assumption Setting'!$F$47*'Assumption Setting'!$C$55</f>
        <v>0.28</v>
      </c>
      <c r="M18" s="82" t="n">
        <f aca="false">'Assumption Setting'!$F$47*'Assumption Setting'!$D$55</f>
        <v>0.33</v>
      </c>
      <c r="N18" s="82" t="n">
        <f aca="false">'Assumption Setting'!$F$47*'Assumption Setting'!$E$55</f>
        <v>0.39</v>
      </c>
      <c r="O18" s="81" t="n">
        <f aca="false">SUM(P18:AA18)</f>
        <v>5</v>
      </c>
      <c r="P18" s="82" t="n">
        <f aca="false">'Assumption Setting'!$G$47*'Assumption Setting'!$C$55</f>
        <v>0.28</v>
      </c>
      <c r="Q18" s="82" t="n">
        <f aca="false">'Assumption Setting'!$G$47*'Assumption Setting'!$D$55</f>
        <v>0.33</v>
      </c>
      <c r="R18" s="82" t="n">
        <f aca="false">'Assumption Setting'!$G$47*'Assumption Setting'!$E$55</f>
        <v>0.39</v>
      </c>
      <c r="S18" s="82" t="n">
        <f aca="false">'Assumption Setting'!$H$47*'Assumption Setting'!$C$55</f>
        <v>0.28</v>
      </c>
      <c r="T18" s="82" t="n">
        <f aca="false">'Assumption Setting'!$H$47*'Assumption Setting'!$D$55</f>
        <v>0.33</v>
      </c>
      <c r="U18" s="82" t="n">
        <f aca="false">'Assumption Setting'!$H$47*'Assumption Setting'!$E$55</f>
        <v>0.39</v>
      </c>
      <c r="V18" s="82" t="n">
        <f aca="false">'Assumption Setting'!$I$47*'Assumption Setting'!$C$55</f>
        <v>0.28</v>
      </c>
      <c r="W18" s="82" t="n">
        <f aca="false">'Assumption Setting'!$I$47*'Assumption Setting'!$D$55</f>
        <v>0.33</v>
      </c>
      <c r="X18" s="82" t="n">
        <f aca="false">'Assumption Setting'!$I$47*'Assumption Setting'!$E$55</f>
        <v>0.39</v>
      </c>
      <c r="Y18" s="82" t="n">
        <f aca="false">'Assumption Setting'!$J$47*'Assumption Setting'!$C$55</f>
        <v>0.56</v>
      </c>
      <c r="Z18" s="82" t="n">
        <f aca="false">'Assumption Setting'!$J$47*'Assumption Setting'!$D$55</f>
        <v>0.66</v>
      </c>
      <c r="AA18" s="82" t="n">
        <f aca="false">'Assumption Setting'!$J$47*'Assumption Setting'!$E$55</f>
        <v>0.78</v>
      </c>
      <c r="AB18" s="81" t="n">
        <f aca="false">SUM(AC18:AN18)</f>
        <v>10</v>
      </c>
      <c r="AC18" s="82" t="n">
        <f aca="false">'Assumption Setting'!$K$47*'Assumption Setting'!$C$55</f>
        <v>0.56</v>
      </c>
      <c r="AD18" s="82" t="n">
        <f aca="false">'Assumption Setting'!$K$47*'Assumption Setting'!$D$55</f>
        <v>0.66</v>
      </c>
      <c r="AE18" s="82" t="n">
        <f aca="false">'Assumption Setting'!$K$47*'Assumption Setting'!$E$55</f>
        <v>0.78</v>
      </c>
      <c r="AF18" s="82" t="n">
        <f aca="false">'Assumption Setting'!$L$47*'Assumption Setting'!$C$55</f>
        <v>0.56</v>
      </c>
      <c r="AG18" s="82" t="n">
        <f aca="false">'Assumption Setting'!$L$47*'Assumption Setting'!$D$55</f>
        <v>0.66</v>
      </c>
      <c r="AH18" s="82" t="n">
        <f aca="false">'Assumption Setting'!$L$47*'Assumption Setting'!$E$55</f>
        <v>0.78</v>
      </c>
      <c r="AI18" s="82" t="n">
        <f aca="false">'Assumption Setting'!$M$47*'Assumption Setting'!$C$55</f>
        <v>0.84</v>
      </c>
      <c r="AJ18" s="82" t="n">
        <f aca="false">'Assumption Setting'!$M$47*'Assumption Setting'!$D$55</f>
        <v>0.99</v>
      </c>
      <c r="AK18" s="82" t="n">
        <f aca="false">'Assumption Setting'!$M$47*'Assumption Setting'!$E$55</f>
        <v>1.17</v>
      </c>
      <c r="AL18" s="82" t="n">
        <f aca="false">'Assumption Setting'!$N$47*'Assumption Setting'!$C$55</f>
        <v>0.84</v>
      </c>
      <c r="AM18" s="82" t="n">
        <f aca="false">'Assumption Setting'!$N$47*'Assumption Setting'!$D$55</f>
        <v>0.99</v>
      </c>
      <c r="AN18" s="82" t="n">
        <f aca="false">'Assumption Setting'!$N$47*'Assumption Setting'!$E$55</f>
        <v>1.17</v>
      </c>
      <c r="AO18" s="81" t="n">
        <f aca="false">SUM(AP18:BA18)</f>
        <v>16</v>
      </c>
      <c r="AP18" s="82" t="n">
        <f aca="false">'Assumption Setting'!$O$47*'Assumption Setting'!$C$55</f>
        <v>0.84</v>
      </c>
      <c r="AQ18" s="82" t="n">
        <f aca="false">'Assumption Setting'!$O$47*'Assumption Setting'!$D$55</f>
        <v>0.99</v>
      </c>
      <c r="AR18" s="82" t="n">
        <f aca="false">'Assumption Setting'!$O$47*'Assumption Setting'!$E$55</f>
        <v>1.17</v>
      </c>
      <c r="AS18" s="82" t="n">
        <f aca="false">'Assumption Setting'!$P$47*'Assumption Setting'!$C$55</f>
        <v>1.12</v>
      </c>
      <c r="AT18" s="82" t="n">
        <f aca="false">'Assumption Setting'!$P$47*'Assumption Setting'!$D$55</f>
        <v>1.32</v>
      </c>
      <c r="AU18" s="82" t="n">
        <f aca="false">'Assumption Setting'!$P$47*'Assumption Setting'!$E$55</f>
        <v>1.56</v>
      </c>
      <c r="AV18" s="82" t="n">
        <f aca="false">'Assumption Setting'!$Q$47*'Assumption Setting'!$C$55</f>
        <v>1.12</v>
      </c>
      <c r="AW18" s="82" t="n">
        <f aca="false">'Assumption Setting'!$Q$47*'Assumption Setting'!$D$55</f>
        <v>1.32</v>
      </c>
      <c r="AX18" s="82" t="n">
        <f aca="false">'Assumption Setting'!$Q$47*'Assumption Setting'!$E$55</f>
        <v>1.56</v>
      </c>
      <c r="AY18" s="82" t="n">
        <f aca="false">'Assumption Setting'!$R$47*'Assumption Setting'!$C$55</f>
        <v>1.4</v>
      </c>
      <c r="AZ18" s="82" t="n">
        <f aca="false">'Assumption Setting'!$R$47*'Assumption Setting'!$D$55</f>
        <v>1.65</v>
      </c>
      <c r="BA18" s="82" t="n">
        <f aca="false">'Assumption Setting'!$R$47*'Assumption Setting'!$E$55</f>
        <v>1.95</v>
      </c>
      <c r="BB18" s="81" t="n">
        <f aca="false">SUM(BC18:BN18)</f>
        <v>22</v>
      </c>
      <c r="BC18" s="82" t="n">
        <f aca="false">'Assumption Setting'!$S$47*'Assumption Setting'!$C$55</f>
        <v>1.4</v>
      </c>
      <c r="BD18" s="82" t="n">
        <f aca="false">'Assumption Setting'!$S$47*'Assumption Setting'!$D$55</f>
        <v>1.65</v>
      </c>
      <c r="BE18" s="82" t="n">
        <f aca="false">'Assumption Setting'!$S$47*'Assumption Setting'!$E$55</f>
        <v>1.95</v>
      </c>
      <c r="BF18" s="82" t="n">
        <f aca="false">'Assumption Setting'!$T$47*'Assumption Setting'!$C$55</f>
        <v>1.4</v>
      </c>
      <c r="BG18" s="82" t="n">
        <f aca="false">'Assumption Setting'!$T$47*'Assumption Setting'!$D$55</f>
        <v>1.65</v>
      </c>
      <c r="BH18" s="82" t="n">
        <f aca="false">'Assumption Setting'!$T$47*'Assumption Setting'!$E$55</f>
        <v>1.95</v>
      </c>
      <c r="BI18" s="82" t="n">
        <f aca="false">'Assumption Setting'!$U$47*'Assumption Setting'!$C$55</f>
        <v>1.68</v>
      </c>
      <c r="BJ18" s="82" t="n">
        <f aca="false">'Assumption Setting'!$U$47*'Assumption Setting'!$D$55</f>
        <v>1.98</v>
      </c>
      <c r="BK18" s="82" t="n">
        <f aca="false">'Assumption Setting'!$U$47*'Assumption Setting'!$E$55</f>
        <v>2.34</v>
      </c>
      <c r="BL18" s="82" t="n">
        <f aca="false">'Assumption Setting'!$V$47*'Assumption Setting'!$C$55</f>
        <v>1.68</v>
      </c>
      <c r="BM18" s="82" t="n">
        <f aca="false">'Assumption Setting'!$V$47*'Assumption Setting'!$D$55</f>
        <v>1.98</v>
      </c>
      <c r="BN18" s="82" t="n">
        <f aca="false">'Assumption Setting'!$V$47*'Assumption Setting'!$E$55</f>
        <v>2.34</v>
      </c>
    </row>
    <row r="19" customFormat="false" ht="15" hidden="false" customHeight="false" outlineLevel="0" collapsed="false">
      <c r="A19" s="12" t="s">
        <v>280</v>
      </c>
      <c r="B19" s="81" t="n">
        <f aca="false">SUM(C19:N19)</f>
        <v>0</v>
      </c>
      <c r="C19" s="82" t="n">
        <f aca="false">'Assumption Setting'!$C$48*'Assumption Setting'!$C$55</f>
        <v>0</v>
      </c>
      <c r="D19" s="82" t="n">
        <f aca="false">'Assumption Setting'!$C$48*'Assumption Setting'!$D$55</f>
        <v>0</v>
      </c>
      <c r="E19" s="82" t="n">
        <f aca="false">'Assumption Setting'!$C$48*'Assumption Setting'!$E$55</f>
        <v>0</v>
      </c>
      <c r="F19" s="82" t="n">
        <f aca="false">'Assumption Setting'!$D$48*'Assumption Setting'!$C$55</f>
        <v>0</v>
      </c>
      <c r="G19" s="82" t="n">
        <f aca="false">'Assumption Setting'!$D$48*'Assumption Setting'!$D$55</f>
        <v>0</v>
      </c>
      <c r="H19" s="82" t="n">
        <f aca="false">'Assumption Setting'!$D$48*'Assumption Setting'!$E$55</f>
        <v>0</v>
      </c>
      <c r="I19" s="82" t="n">
        <f aca="false">'Assumption Setting'!$E$48*'Assumption Setting'!$C$55</f>
        <v>0</v>
      </c>
      <c r="J19" s="82" t="n">
        <f aca="false">'Assumption Setting'!$E$48*'Assumption Setting'!$D$55</f>
        <v>0</v>
      </c>
      <c r="K19" s="82" t="n">
        <f aca="false">'Assumption Setting'!$E$48*'Assumption Setting'!$E$55</f>
        <v>0</v>
      </c>
      <c r="L19" s="82" t="n">
        <f aca="false">'Assumption Setting'!$F$48*'Assumption Setting'!$C$55</f>
        <v>0</v>
      </c>
      <c r="M19" s="82" t="n">
        <f aca="false">'Assumption Setting'!$F$48*'Assumption Setting'!$D$55</f>
        <v>0</v>
      </c>
      <c r="N19" s="82" t="n">
        <f aca="false">'Assumption Setting'!$F$48*'Assumption Setting'!$E$55</f>
        <v>0</v>
      </c>
      <c r="O19" s="81" t="n">
        <f aca="false">SUM(P19:AA19)</f>
        <v>1</v>
      </c>
      <c r="P19" s="82" t="n">
        <f aca="false">'Assumption Setting'!$G$48*'Assumption Setting'!$C$55</f>
        <v>0</v>
      </c>
      <c r="Q19" s="82" t="n">
        <f aca="false">'Assumption Setting'!$G$48*'Assumption Setting'!$D$55</f>
        <v>0</v>
      </c>
      <c r="R19" s="82" t="n">
        <f aca="false">'Assumption Setting'!$G$48*'Assumption Setting'!$E$55</f>
        <v>0</v>
      </c>
      <c r="S19" s="82" t="n">
        <f aca="false">'Assumption Setting'!$H$48*'Assumption Setting'!$C$55</f>
        <v>0</v>
      </c>
      <c r="T19" s="82" t="n">
        <f aca="false">'Assumption Setting'!$H$48*'Assumption Setting'!$D$55</f>
        <v>0</v>
      </c>
      <c r="U19" s="82" t="n">
        <f aca="false">'Assumption Setting'!$H$48*'Assumption Setting'!$E$55</f>
        <v>0</v>
      </c>
      <c r="V19" s="82" t="n">
        <f aca="false">'Assumption Setting'!$I$48*'Assumption Setting'!$C$55</f>
        <v>0</v>
      </c>
      <c r="W19" s="82" t="n">
        <f aca="false">'Assumption Setting'!$I$48*'Assumption Setting'!$D$55</f>
        <v>0</v>
      </c>
      <c r="X19" s="82" t="n">
        <f aca="false">'Assumption Setting'!$I$48*'Assumption Setting'!$E$55</f>
        <v>0</v>
      </c>
      <c r="Y19" s="82" t="n">
        <f aca="false">'Assumption Setting'!$J$48*'Assumption Setting'!$C$55</f>
        <v>0.28</v>
      </c>
      <c r="Z19" s="82" t="n">
        <f aca="false">'Assumption Setting'!$J$48*'Assumption Setting'!$D$55</f>
        <v>0.33</v>
      </c>
      <c r="AA19" s="82" t="n">
        <f aca="false">'Assumption Setting'!$J$48*'Assumption Setting'!$E$55</f>
        <v>0.39</v>
      </c>
      <c r="AB19" s="81" t="n">
        <f aca="false">SUM(AC19:AN19)</f>
        <v>6</v>
      </c>
      <c r="AC19" s="82" t="n">
        <f aca="false">'Assumption Setting'!$K$48*'Assumption Setting'!$C$55</f>
        <v>0.28</v>
      </c>
      <c r="AD19" s="82" t="n">
        <f aca="false">'Assumption Setting'!$K$48*'Assumption Setting'!$D$55</f>
        <v>0.33</v>
      </c>
      <c r="AE19" s="82" t="n">
        <f aca="false">'Assumption Setting'!$K$48*'Assumption Setting'!$E$55</f>
        <v>0.39</v>
      </c>
      <c r="AF19" s="82" t="n">
        <f aca="false">'Assumption Setting'!$L$48*'Assumption Setting'!$C$55</f>
        <v>0.28</v>
      </c>
      <c r="AG19" s="82" t="n">
        <f aca="false">'Assumption Setting'!$L$48*'Assumption Setting'!$D$55</f>
        <v>0.33</v>
      </c>
      <c r="AH19" s="82" t="n">
        <f aca="false">'Assumption Setting'!$L$48*'Assumption Setting'!$E$55</f>
        <v>0.39</v>
      </c>
      <c r="AI19" s="82" t="n">
        <f aca="false">'Assumption Setting'!$M$48*'Assumption Setting'!$C$55</f>
        <v>0.56</v>
      </c>
      <c r="AJ19" s="82" t="n">
        <f aca="false">'Assumption Setting'!$M$48*'Assumption Setting'!$D$55</f>
        <v>0.66</v>
      </c>
      <c r="AK19" s="82" t="n">
        <f aca="false">'Assumption Setting'!$M$48*'Assumption Setting'!$E$55</f>
        <v>0.78</v>
      </c>
      <c r="AL19" s="82" t="n">
        <f aca="false">'Assumption Setting'!$N$48*'Assumption Setting'!$C$55</f>
        <v>0.56</v>
      </c>
      <c r="AM19" s="82" t="n">
        <f aca="false">'Assumption Setting'!$N$48*'Assumption Setting'!$D$55</f>
        <v>0.66</v>
      </c>
      <c r="AN19" s="82" t="n">
        <f aca="false">'Assumption Setting'!$N$48*'Assumption Setting'!$E$55</f>
        <v>0.78</v>
      </c>
      <c r="AO19" s="81" t="n">
        <f aca="false">SUM(AP19:BA19)</f>
        <v>12</v>
      </c>
      <c r="AP19" s="82" t="n">
        <f aca="false">'Assumption Setting'!$O$48*'Assumption Setting'!$C$55</f>
        <v>0.56</v>
      </c>
      <c r="AQ19" s="82" t="n">
        <f aca="false">'Assumption Setting'!$O$48*'Assumption Setting'!$D$55</f>
        <v>0.66</v>
      </c>
      <c r="AR19" s="82" t="n">
        <f aca="false">'Assumption Setting'!$O$48*'Assumption Setting'!$E$55</f>
        <v>0.78</v>
      </c>
      <c r="AS19" s="82" t="n">
        <f aca="false">'Assumption Setting'!$P$48*'Assumption Setting'!$C$55</f>
        <v>0.84</v>
      </c>
      <c r="AT19" s="82" t="n">
        <f aca="false">'Assumption Setting'!$P$48*'Assumption Setting'!$D$55</f>
        <v>0.99</v>
      </c>
      <c r="AU19" s="82" t="n">
        <f aca="false">'Assumption Setting'!$P$48*'Assumption Setting'!$E$55</f>
        <v>1.17</v>
      </c>
      <c r="AV19" s="82" t="n">
        <f aca="false">'Assumption Setting'!$Q$48*'Assumption Setting'!$C$55</f>
        <v>0.84</v>
      </c>
      <c r="AW19" s="82" t="n">
        <f aca="false">'Assumption Setting'!$Q$48*'Assumption Setting'!$D$55</f>
        <v>0.99</v>
      </c>
      <c r="AX19" s="82" t="n">
        <f aca="false">'Assumption Setting'!$Q$48*'Assumption Setting'!$E$55</f>
        <v>1.17</v>
      </c>
      <c r="AY19" s="82" t="n">
        <f aca="false">'Assumption Setting'!$R$48*'Assumption Setting'!$C$55</f>
        <v>1.12</v>
      </c>
      <c r="AZ19" s="82" t="n">
        <f aca="false">'Assumption Setting'!$R$48*'Assumption Setting'!$D$55</f>
        <v>1.32</v>
      </c>
      <c r="BA19" s="82" t="n">
        <f aca="false">'Assumption Setting'!$R$48*'Assumption Setting'!$E$55</f>
        <v>1.56</v>
      </c>
      <c r="BB19" s="81" t="n">
        <f aca="false">SUM(BC19:BN19)</f>
        <v>18</v>
      </c>
      <c r="BC19" s="82" t="n">
        <f aca="false">'Assumption Setting'!$S$48*'Assumption Setting'!$C$55</f>
        <v>1.12</v>
      </c>
      <c r="BD19" s="82" t="n">
        <f aca="false">'Assumption Setting'!$S$48*'Assumption Setting'!$D$55</f>
        <v>1.32</v>
      </c>
      <c r="BE19" s="82" t="n">
        <f aca="false">'Assumption Setting'!$S$48*'Assumption Setting'!$E$55</f>
        <v>1.56</v>
      </c>
      <c r="BF19" s="82" t="n">
        <f aca="false">'Assumption Setting'!$T$48*'Assumption Setting'!$C$55</f>
        <v>1.12</v>
      </c>
      <c r="BG19" s="82" t="n">
        <f aca="false">'Assumption Setting'!$T$48*'Assumption Setting'!$D$55</f>
        <v>1.32</v>
      </c>
      <c r="BH19" s="82" t="n">
        <f aca="false">'Assumption Setting'!$T$48*'Assumption Setting'!$E$55</f>
        <v>1.56</v>
      </c>
      <c r="BI19" s="82" t="n">
        <f aca="false">'Assumption Setting'!$U$48*'Assumption Setting'!$C$55</f>
        <v>1.4</v>
      </c>
      <c r="BJ19" s="82" t="n">
        <f aca="false">'Assumption Setting'!$U$48*'Assumption Setting'!$D$55</f>
        <v>1.65</v>
      </c>
      <c r="BK19" s="82" t="n">
        <f aca="false">'Assumption Setting'!$U$48*'Assumption Setting'!$E$55</f>
        <v>1.95</v>
      </c>
      <c r="BL19" s="82" t="n">
        <f aca="false">'Assumption Setting'!$V$48*'Assumption Setting'!$C$55</f>
        <v>1.4</v>
      </c>
      <c r="BM19" s="82" t="n">
        <f aca="false">'Assumption Setting'!$V$48*'Assumption Setting'!$D$55</f>
        <v>1.65</v>
      </c>
      <c r="BN19" s="82" t="n">
        <f aca="false">'Assumption Setting'!$V$48*'Assumption Setting'!$E$55</f>
        <v>1.95</v>
      </c>
    </row>
    <row r="20" customFormat="false" ht="15" hidden="false" customHeight="false" outlineLevel="0" collapsed="false">
      <c r="A20" s="12" t="s">
        <v>283</v>
      </c>
      <c r="B20" s="81" t="n">
        <f aca="false">SUM(C20:N20)</f>
        <v>1</v>
      </c>
      <c r="C20" s="82" t="n">
        <f aca="false">'Assumption Setting'!$C$49*'Assumption Setting'!$C$55</f>
        <v>0</v>
      </c>
      <c r="D20" s="82" t="n">
        <f aca="false">'Assumption Setting'!$C$49*'Assumption Setting'!$D$55</f>
        <v>0</v>
      </c>
      <c r="E20" s="82" t="n">
        <f aca="false">'Assumption Setting'!$C$49*'Assumption Setting'!$E$55</f>
        <v>0</v>
      </c>
      <c r="F20" s="82" t="n">
        <f aca="false">'Assumption Setting'!$D$49*'Assumption Setting'!$C$55</f>
        <v>0</v>
      </c>
      <c r="G20" s="82" t="n">
        <f aca="false">'Assumption Setting'!$D$49*'Assumption Setting'!$D$55</f>
        <v>0</v>
      </c>
      <c r="H20" s="82" t="n">
        <f aca="false">'Assumption Setting'!$D$49*'Assumption Setting'!$E$55</f>
        <v>0</v>
      </c>
      <c r="I20" s="82" t="n">
        <f aca="false">'Assumption Setting'!$E$49*'Assumption Setting'!$C$55</f>
        <v>0</v>
      </c>
      <c r="J20" s="82" t="n">
        <f aca="false">'Assumption Setting'!$E$49*'Assumption Setting'!$D$55</f>
        <v>0</v>
      </c>
      <c r="K20" s="82" t="n">
        <f aca="false">'Assumption Setting'!$E$49*'Assumption Setting'!$E$55</f>
        <v>0</v>
      </c>
      <c r="L20" s="82" t="n">
        <f aca="false">'Assumption Setting'!$F$49*'Assumption Setting'!$C$55</f>
        <v>0.28</v>
      </c>
      <c r="M20" s="82" t="n">
        <f aca="false">'Assumption Setting'!$F$49*'Assumption Setting'!$D$55</f>
        <v>0.33</v>
      </c>
      <c r="N20" s="82" t="n">
        <f aca="false">'Assumption Setting'!$F$49*'Assumption Setting'!$E$55</f>
        <v>0.39</v>
      </c>
      <c r="O20" s="81" t="n">
        <f aca="false">SUM(P20:AA20)</f>
        <v>2</v>
      </c>
      <c r="P20" s="82" t="n">
        <f aca="false">'Assumption Setting'!$G$49*'Assumption Setting'!$C$55</f>
        <v>0.28</v>
      </c>
      <c r="Q20" s="82" t="n">
        <f aca="false">'Assumption Setting'!$G$49*'Assumption Setting'!$D$55</f>
        <v>0.33</v>
      </c>
      <c r="R20" s="82" t="n">
        <f aca="false">'Assumption Setting'!$G$49*'Assumption Setting'!$E$55</f>
        <v>0.39</v>
      </c>
      <c r="S20" s="82" t="n">
        <f aca="false">'Assumption Setting'!$H$49*'Assumption Setting'!$C$55</f>
        <v>0</v>
      </c>
      <c r="T20" s="82" t="n">
        <f aca="false">'Assumption Setting'!$H$49*'Assumption Setting'!$D$55</f>
        <v>0</v>
      </c>
      <c r="U20" s="82" t="n">
        <f aca="false">'Assumption Setting'!$H$49*'Assumption Setting'!$E$55</f>
        <v>0</v>
      </c>
      <c r="V20" s="82" t="n">
        <f aca="false">'Assumption Setting'!$I$49*'Assumption Setting'!$C$55</f>
        <v>0.28</v>
      </c>
      <c r="W20" s="82" t="n">
        <f aca="false">'Assumption Setting'!$I$49*'Assumption Setting'!$D$55</f>
        <v>0.33</v>
      </c>
      <c r="X20" s="82" t="n">
        <f aca="false">'Assumption Setting'!$I$49*'Assumption Setting'!$E$55</f>
        <v>0.39</v>
      </c>
      <c r="Y20" s="82" t="n">
        <f aca="false">'Assumption Setting'!$J$49*'Assumption Setting'!$C$55</f>
        <v>0</v>
      </c>
      <c r="Z20" s="82" t="n">
        <f aca="false">'Assumption Setting'!$J$49*'Assumption Setting'!$D$55</f>
        <v>0</v>
      </c>
      <c r="AA20" s="82" t="n">
        <f aca="false">'Assumption Setting'!$J$49*'Assumption Setting'!$E$55</f>
        <v>0</v>
      </c>
      <c r="AB20" s="81" t="n">
        <f aca="false">SUM(AC20:AN20)</f>
        <v>3</v>
      </c>
      <c r="AC20" s="82" t="n">
        <f aca="false">'Assumption Setting'!$K$49*'Assumption Setting'!$C$55</f>
        <v>0.28</v>
      </c>
      <c r="AD20" s="82" t="n">
        <f aca="false">'Assumption Setting'!$K$49*'Assumption Setting'!$D$55</f>
        <v>0.33</v>
      </c>
      <c r="AE20" s="82" t="n">
        <f aca="false">'Assumption Setting'!$K$49*'Assumption Setting'!$E$55</f>
        <v>0.39</v>
      </c>
      <c r="AF20" s="82" t="n">
        <f aca="false">'Assumption Setting'!$L$49*'Assumption Setting'!$C$55</f>
        <v>0.28</v>
      </c>
      <c r="AG20" s="82" t="n">
        <f aca="false">'Assumption Setting'!$L$49*'Assumption Setting'!$D$55</f>
        <v>0.33</v>
      </c>
      <c r="AH20" s="82" t="n">
        <f aca="false">'Assumption Setting'!$L$49*'Assumption Setting'!$E$55</f>
        <v>0.39</v>
      </c>
      <c r="AI20" s="82" t="n">
        <f aca="false">'Assumption Setting'!$M$49*'Assumption Setting'!$C$55</f>
        <v>0.28</v>
      </c>
      <c r="AJ20" s="82" t="n">
        <f aca="false">'Assumption Setting'!$M$49*'Assumption Setting'!$D$55</f>
        <v>0.33</v>
      </c>
      <c r="AK20" s="82" t="n">
        <f aca="false">'Assumption Setting'!$M$49*'Assumption Setting'!$E$55</f>
        <v>0.39</v>
      </c>
      <c r="AL20" s="82" t="n">
        <f aca="false">'Assumption Setting'!$N$49*'Assumption Setting'!$C$55</f>
        <v>0</v>
      </c>
      <c r="AM20" s="82" t="n">
        <f aca="false">'Assumption Setting'!$N$49*'Assumption Setting'!$D$55</f>
        <v>0</v>
      </c>
      <c r="AN20" s="82" t="n">
        <f aca="false">'Assumption Setting'!$N$49*'Assumption Setting'!$E$55</f>
        <v>0</v>
      </c>
      <c r="AO20" s="81" t="n">
        <f aca="false">SUM(AP20:BA20)</f>
        <v>3</v>
      </c>
      <c r="AP20" s="82" t="n">
        <f aca="false">'Assumption Setting'!$O$49*'Assumption Setting'!$C$55</f>
        <v>0.28</v>
      </c>
      <c r="AQ20" s="82" t="n">
        <f aca="false">'Assumption Setting'!$O$49*'Assumption Setting'!$D$55</f>
        <v>0.33</v>
      </c>
      <c r="AR20" s="82" t="n">
        <f aca="false">'Assumption Setting'!$O$49*'Assumption Setting'!$E$55</f>
        <v>0.39</v>
      </c>
      <c r="AS20" s="82" t="n">
        <f aca="false">'Assumption Setting'!$P$49*'Assumption Setting'!$C$55</f>
        <v>0.28</v>
      </c>
      <c r="AT20" s="82" t="n">
        <f aca="false">'Assumption Setting'!$P$49*'Assumption Setting'!$D$55</f>
        <v>0.33</v>
      </c>
      <c r="AU20" s="82" t="n">
        <f aca="false">'Assumption Setting'!$P$49*'Assumption Setting'!$E$55</f>
        <v>0.39</v>
      </c>
      <c r="AV20" s="82" t="n">
        <f aca="false">'Assumption Setting'!$Q$49*'Assumption Setting'!$C$55</f>
        <v>0.28</v>
      </c>
      <c r="AW20" s="82" t="n">
        <f aca="false">'Assumption Setting'!$Q$49*'Assumption Setting'!$D$55</f>
        <v>0.33</v>
      </c>
      <c r="AX20" s="82" t="n">
        <f aca="false">'Assumption Setting'!$Q$49*'Assumption Setting'!$E$55</f>
        <v>0.39</v>
      </c>
      <c r="AY20" s="82" t="n">
        <f aca="false">'Assumption Setting'!$R$49*'Assumption Setting'!$C$55</f>
        <v>0</v>
      </c>
      <c r="AZ20" s="82" t="n">
        <f aca="false">'Assumption Setting'!$R$49*'Assumption Setting'!$D$55</f>
        <v>0</v>
      </c>
      <c r="BA20" s="82" t="n">
        <f aca="false">'Assumption Setting'!$R$49*'Assumption Setting'!$E$55</f>
        <v>0</v>
      </c>
      <c r="BB20" s="81" t="n">
        <f aca="false">SUM(BC20:BN20)</f>
        <v>3</v>
      </c>
      <c r="BC20" s="82" t="n">
        <f aca="false">'Assumption Setting'!$S$49*'Assumption Setting'!$C$55</f>
        <v>0.28</v>
      </c>
      <c r="BD20" s="82" t="n">
        <f aca="false">'Assumption Setting'!$S$49*'Assumption Setting'!$D$55</f>
        <v>0.33</v>
      </c>
      <c r="BE20" s="82" t="n">
        <f aca="false">'Assumption Setting'!$S$49*'Assumption Setting'!$E$55</f>
        <v>0.39</v>
      </c>
      <c r="BF20" s="82" t="n">
        <f aca="false">'Assumption Setting'!$T$49*'Assumption Setting'!$C$55</f>
        <v>0.28</v>
      </c>
      <c r="BG20" s="82" t="n">
        <f aca="false">'Assumption Setting'!$T$49*'Assumption Setting'!$D$55</f>
        <v>0.33</v>
      </c>
      <c r="BH20" s="82" t="n">
        <f aca="false">'Assumption Setting'!$T$49*'Assumption Setting'!$E$55</f>
        <v>0.39</v>
      </c>
      <c r="BI20" s="82" t="n">
        <f aca="false">'Assumption Setting'!$U$49*'Assumption Setting'!$C$55</f>
        <v>0.28</v>
      </c>
      <c r="BJ20" s="82" t="n">
        <f aca="false">'Assumption Setting'!$U$49*'Assumption Setting'!$D$55</f>
        <v>0.33</v>
      </c>
      <c r="BK20" s="82" t="n">
        <f aca="false">'Assumption Setting'!$U$49*'Assumption Setting'!$E$55</f>
        <v>0.39</v>
      </c>
      <c r="BL20" s="82" t="n">
        <f aca="false">'Assumption Setting'!$V$49*'Assumption Setting'!$C$55</f>
        <v>0</v>
      </c>
      <c r="BM20" s="82" t="n">
        <f aca="false">'Assumption Setting'!$V$49*'Assumption Setting'!$D$55</f>
        <v>0</v>
      </c>
      <c r="BN20" s="82" t="n">
        <f aca="false">'Assumption Setting'!$V$49*'Assumption Setting'!$E$55</f>
        <v>0</v>
      </c>
    </row>
    <row r="21" customFormat="false" ht="15" hidden="false" customHeight="false" outlineLevel="0" collapsed="false">
      <c r="A21" s="12" t="s">
        <v>287</v>
      </c>
      <c r="B21" s="81" t="n">
        <f aca="false">N21</f>
        <v>2</v>
      </c>
      <c r="C21" s="82" t="n">
        <f aca="false">'Assumption Setting'!$C$50</f>
        <v>0</v>
      </c>
      <c r="D21" s="82" t="n">
        <f aca="false">'Assumption Setting'!$C$50</f>
        <v>0</v>
      </c>
      <c r="E21" s="82" t="n">
        <f aca="false">'Assumption Setting'!$C$50</f>
        <v>0</v>
      </c>
      <c r="F21" s="82" t="n">
        <f aca="false">'Assumption Setting'!$D$50</f>
        <v>1</v>
      </c>
      <c r="G21" s="82" t="n">
        <f aca="false">'Assumption Setting'!$D$50</f>
        <v>1</v>
      </c>
      <c r="H21" s="82" t="n">
        <f aca="false">'Assumption Setting'!$D$50</f>
        <v>1</v>
      </c>
      <c r="I21" s="82" t="n">
        <f aca="false">'Assumption Setting'!$E$50</f>
        <v>1</v>
      </c>
      <c r="J21" s="82" t="n">
        <f aca="false">'Assumption Setting'!$E$50</f>
        <v>1</v>
      </c>
      <c r="K21" s="82" t="n">
        <f aca="false">'Assumption Setting'!$E$50</f>
        <v>1</v>
      </c>
      <c r="L21" s="82" t="n">
        <f aca="false">'Assumption Setting'!$F$50</f>
        <v>2</v>
      </c>
      <c r="M21" s="82" t="n">
        <f aca="false">'Assumption Setting'!$F$50</f>
        <v>2</v>
      </c>
      <c r="N21" s="82" t="n">
        <f aca="false">'Assumption Setting'!$F$50</f>
        <v>2</v>
      </c>
      <c r="O21" s="81" t="n">
        <f aca="false">AA21</f>
        <v>6</v>
      </c>
      <c r="P21" s="82" t="n">
        <f aca="false">'Assumption Setting'!$G$50</f>
        <v>3</v>
      </c>
      <c r="Q21" s="82" t="n">
        <f aca="false">'Assumption Setting'!$G$50</f>
        <v>3</v>
      </c>
      <c r="R21" s="82" t="n">
        <f aca="false">'Assumption Setting'!$G$50</f>
        <v>3</v>
      </c>
      <c r="S21" s="82" t="n">
        <f aca="false">'Assumption Setting'!$H$50</f>
        <v>4</v>
      </c>
      <c r="T21" s="82" t="n">
        <f aca="false">'Assumption Setting'!$H$50</f>
        <v>4</v>
      </c>
      <c r="U21" s="82" t="n">
        <f aca="false">'Assumption Setting'!$H$50</f>
        <v>4</v>
      </c>
      <c r="V21" s="82" t="n">
        <f aca="false">'Assumption Setting'!$I$50</f>
        <v>5</v>
      </c>
      <c r="W21" s="82" t="n">
        <f aca="false">'Assumption Setting'!$I$50</f>
        <v>5</v>
      </c>
      <c r="X21" s="82" t="n">
        <f aca="false">'Assumption Setting'!$I$50</f>
        <v>5</v>
      </c>
      <c r="Y21" s="82" t="n">
        <f aca="false">'Assumption Setting'!$J$50</f>
        <v>6</v>
      </c>
      <c r="Z21" s="82" t="n">
        <f aca="false">'Assumption Setting'!$J$50</f>
        <v>6</v>
      </c>
      <c r="AA21" s="82" t="n">
        <f aca="false">'Assumption Setting'!$J$50</f>
        <v>6</v>
      </c>
      <c r="AB21" s="81" t="n">
        <f aca="false">AN21</f>
        <v>10</v>
      </c>
      <c r="AC21" s="82" t="n">
        <f aca="false">'Assumption Setting'!$K$50</f>
        <v>7</v>
      </c>
      <c r="AD21" s="82" t="n">
        <f aca="false">'Assumption Setting'!$K$50</f>
        <v>7</v>
      </c>
      <c r="AE21" s="82" t="n">
        <f aca="false">'Assumption Setting'!$K$50</f>
        <v>7</v>
      </c>
      <c r="AF21" s="82" t="n">
        <f aca="false">'Assumption Setting'!$L$50</f>
        <v>8</v>
      </c>
      <c r="AG21" s="82" t="n">
        <f aca="false">'Assumption Setting'!$L$50</f>
        <v>8</v>
      </c>
      <c r="AH21" s="82" t="n">
        <f aca="false">'Assumption Setting'!$L$50</f>
        <v>8</v>
      </c>
      <c r="AI21" s="82" t="n">
        <f aca="false">'Assumption Setting'!$M$50</f>
        <v>9</v>
      </c>
      <c r="AJ21" s="82" t="n">
        <f aca="false">'Assumption Setting'!$M$50</f>
        <v>9</v>
      </c>
      <c r="AK21" s="82" t="n">
        <f aca="false">'Assumption Setting'!$M$50</f>
        <v>9</v>
      </c>
      <c r="AL21" s="82" t="n">
        <f aca="false">'Assumption Setting'!$N$50</f>
        <v>10</v>
      </c>
      <c r="AM21" s="82" t="n">
        <f aca="false">'Assumption Setting'!$N$50</f>
        <v>10</v>
      </c>
      <c r="AN21" s="82" t="n">
        <f aca="false">'Assumption Setting'!$N$50</f>
        <v>10</v>
      </c>
      <c r="AO21" s="81" t="n">
        <f aca="false">BA21</f>
        <v>14</v>
      </c>
      <c r="AP21" s="82" t="n">
        <f aca="false">'Assumption Setting'!$O$50</f>
        <v>11</v>
      </c>
      <c r="AQ21" s="82" t="n">
        <f aca="false">'Assumption Setting'!$O$50</f>
        <v>11</v>
      </c>
      <c r="AR21" s="82" t="n">
        <f aca="false">'Assumption Setting'!$O$50</f>
        <v>11</v>
      </c>
      <c r="AS21" s="82" t="n">
        <f aca="false">'Assumption Setting'!$P$50</f>
        <v>12</v>
      </c>
      <c r="AT21" s="82" t="n">
        <f aca="false">'Assumption Setting'!$P$50</f>
        <v>12</v>
      </c>
      <c r="AU21" s="82" t="n">
        <f aca="false">'Assumption Setting'!$P$50</f>
        <v>12</v>
      </c>
      <c r="AV21" s="82" t="n">
        <f aca="false">'Assumption Setting'!$Q$50</f>
        <v>13</v>
      </c>
      <c r="AW21" s="82" t="n">
        <f aca="false">'Assumption Setting'!$Q$50</f>
        <v>13</v>
      </c>
      <c r="AX21" s="82" t="n">
        <f aca="false">'Assumption Setting'!$Q$50</f>
        <v>13</v>
      </c>
      <c r="AY21" s="82" t="n">
        <f aca="false">'Assumption Setting'!$R$50</f>
        <v>14</v>
      </c>
      <c r="AZ21" s="82" t="n">
        <f aca="false">'Assumption Setting'!$R$50</f>
        <v>14</v>
      </c>
      <c r="BA21" s="82" t="n">
        <f aca="false">'Assumption Setting'!$R$50</f>
        <v>14</v>
      </c>
      <c r="BB21" s="81" t="n">
        <f aca="false">BN21</f>
        <v>18</v>
      </c>
      <c r="BC21" s="82" t="n">
        <f aca="false">'Assumption Setting'!$S$50</f>
        <v>15</v>
      </c>
      <c r="BD21" s="82" t="n">
        <f aca="false">'Assumption Setting'!$S$50</f>
        <v>15</v>
      </c>
      <c r="BE21" s="82" t="n">
        <f aca="false">'Assumption Setting'!$S$50</f>
        <v>15</v>
      </c>
      <c r="BF21" s="82" t="n">
        <f aca="false">'Assumption Setting'!$T$50</f>
        <v>16</v>
      </c>
      <c r="BG21" s="82" t="n">
        <f aca="false">'Assumption Setting'!$T$50</f>
        <v>16</v>
      </c>
      <c r="BH21" s="82" t="n">
        <f aca="false">'Assumption Setting'!$T$50</f>
        <v>16</v>
      </c>
      <c r="BI21" s="82" t="n">
        <f aca="false">'Assumption Setting'!$U$50</f>
        <v>17</v>
      </c>
      <c r="BJ21" s="82" t="n">
        <f aca="false">'Assumption Setting'!$U$50</f>
        <v>17</v>
      </c>
      <c r="BK21" s="82" t="n">
        <f aca="false">'Assumption Setting'!$U$50</f>
        <v>17</v>
      </c>
      <c r="BL21" s="82" t="n">
        <f aca="false">'Assumption Setting'!$V$50</f>
        <v>18</v>
      </c>
      <c r="BM21" s="82" t="n">
        <f aca="false">'Assumption Setting'!$V$50</f>
        <v>18</v>
      </c>
      <c r="BN21" s="82" t="n">
        <f aca="false">'Assumption Setting'!$V$50</f>
        <v>18</v>
      </c>
    </row>
    <row r="22" customFormat="false" ht="15" hidden="false" customHeight="false" outlineLevel="0" collapsed="false">
      <c r="A22" s="12" t="s">
        <v>717</v>
      </c>
      <c r="B22" s="79" t="n">
        <f aca="false">SUM(C22:N22)</f>
        <v>240</v>
      </c>
      <c r="C22" s="80" t="n">
        <f aca="false">'Assumption Setting'!$C$50*'Assumption Setting'!$C$51*'Assumption Setting'!$C$55</f>
        <v>0</v>
      </c>
      <c r="D22" s="80" t="n">
        <f aca="false">'Assumption Setting'!$C$50*'Assumption Setting'!$C$51*'Assumption Setting'!$D$55</f>
        <v>0</v>
      </c>
      <c r="E22" s="80" t="n">
        <f aca="false">'Assumption Setting'!$C$50*'Assumption Setting'!$C$51*'Assumption Setting'!$E$55</f>
        <v>0</v>
      </c>
      <c r="F22" s="80" t="n">
        <f aca="false">'Assumption Setting'!$D$50*'Assumption Setting'!$D$51*'Assumption Setting'!$C$55</f>
        <v>16.8</v>
      </c>
      <c r="G22" s="80" t="n">
        <f aca="false">'Assumption Setting'!$D$50*'Assumption Setting'!$D$51*'Assumption Setting'!$D$55</f>
        <v>19.8</v>
      </c>
      <c r="H22" s="80" t="n">
        <f aca="false">'Assumption Setting'!$D$50*'Assumption Setting'!$D$51*'Assumption Setting'!$E$55</f>
        <v>23.4</v>
      </c>
      <c r="I22" s="80" t="n">
        <f aca="false">'Assumption Setting'!$E$50*'Assumption Setting'!$E$51*'Assumption Setting'!$C$55</f>
        <v>16.8</v>
      </c>
      <c r="J22" s="80" t="n">
        <f aca="false">'Assumption Setting'!$E$50*'Assumption Setting'!$E$51*'Assumption Setting'!$D$55</f>
        <v>19.8</v>
      </c>
      <c r="K22" s="80" t="n">
        <f aca="false">'Assumption Setting'!$E$50*'Assumption Setting'!$E$51*'Assumption Setting'!$E$55</f>
        <v>23.4</v>
      </c>
      <c r="L22" s="80" t="n">
        <f aca="false">'Assumption Setting'!$F$50*'Assumption Setting'!$F$51*'Assumption Setting'!$C$55</f>
        <v>33.6</v>
      </c>
      <c r="M22" s="80" t="n">
        <f aca="false">'Assumption Setting'!$F$50*'Assumption Setting'!$F$51*'Assumption Setting'!$D$55</f>
        <v>39.6</v>
      </c>
      <c r="N22" s="80" t="n">
        <f aca="false">'Assumption Setting'!$F$50*'Assumption Setting'!$F$51*'Assumption Setting'!$E$55</f>
        <v>46.8</v>
      </c>
      <c r="O22" s="79" t="n">
        <f aca="false">SUM(P22:AA22)</f>
        <v>1260</v>
      </c>
      <c r="P22" s="80" t="n">
        <f aca="false">'Assumption Setting'!$G$50*'Assumption Setting'!$G$51*'Assumption Setting'!$C$55</f>
        <v>58.8</v>
      </c>
      <c r="Q22" s="80" t="n">
        <f aca="false">'Assumption Setting'!$G$50*'Assumption Setting'!$G$51*'Assumption Setting'!$D$55</f>
        <v>69.3</v>
      </c>
      <c r="R22" s="80" t="n">
        <f aca="false">'Assumption Setting'!$G$50*'Assumption Setting'!$G$51*'Assumption Setting'!$E$55</f>
        <v>81.9</v>
      </c>
      <c r="S22" s="80" t="n">
        <f aca="false">'Assumption Setting'!$H$50*'Assumption Setting'!$H$51*'Assumption Setting'!$C$55</f>
        <v>78.4</v>
      </c>
      <c r="T22" s="80" t="n">
        <f aca="false">'Assumption Setting'!$H$50*'Assumption Setting'!$H$51*'Assumption Setting'!$D$55</f>
        <v>92.4</v>
      </c>
      <c r="U22" s="80" t="n">
        <f aca="false">'Assumption Setting'!$H$50*'Assumption Setting'!$H$51*'Assumption Setting'!$E$55</f>
        <v>109.2</v>
      </c>
      <c r="V22" s="80" t="n">
        <f aca="false">'Assumption Setting'!$I$50*'Assumption Setting'!$I$51*'Assumption Setting'!$C$55</f>
        <v>98</v>
      </c>
      <c r="W22" s="80" t="n">
        <f aca="false">'Assumption Setting'!$I$50*'Assumption Setting'!$I$51*'Assumption Setting'!$D$55</f>
        <v>115.5</v>
      </c>
      <c r="X22" s="80" t="n">
        <f aca="false">'Assumption Setting'!$I$50*'Assumption Setting'!$I$51*'Assumption Setting'!$E$55</f>
        <v>136.5</v>
      </c>
      <c r="Y22" s="80" t="n">
        <f aca="false">'Assumption Setting'!$J$50*'Assumption Setting'!$J$51*'Assumption Setting'!$C$55</f>
        <v>117.6</v>
      </c>
      <c r="Z22" s="80" t="n">
        <f aca="false">'Assumption Setting'!$J$50*'Assumption Setting'!$J$51*'Assumption Setting'!$D$55</f>
        <v>138.6</v>
      </c>
      <c r="AA22" s="80" t="n">
        <f aca="false">'Assumption Setting'!$J$50*'Assumption Setting'!$J$51*'Assumption Setting'!$E$55</f>
        <v>163.8</v>
      </c>
      <c r="AB22" s="79" t="n">
        <f aca="false">SUM(AC22:AN22)</f>
        <v>2720</v>
      </c>
      <c r="AC22" s="80" t="n">
        <f aca="false">'Assumption Setting'!$K$50*'Assumption Setting'!$K$51*'Assumption Setting'!$C$55</f>
        <v>156.8</v>
      </c>
      <c r="AD22" s="80" t="n">
        <f aca="false">'Assumption Setting'!$K$50*'Assumption Setting'!$K$51*'Assumption Setting'!$D$55</f>
        <v>184.8</v>
      </c>
      <c r="AE22" s="80" t="n">
        <f aca="false">'Assumption Setting'!$K$50*'Assumption Setting'!$K$51*'Assumption Setting'!$E$55</f>
        <v>218.4</v>
      </c>
      <c r="AF22" s="80" t="n">
        <f aca="false">'Assumption Setting'!$L$50*'Assumption Setting'!$L$51*'Assumption Setting'!$C$55</f>
        <v>179.2</v>
      </c>
      <c r="AG22" s="80" t="n">
        <f aca="false">'Assumption Setting'!$L$50*'Assumption Setting'!$L$51*'Assumption Setting'!$D$55</f>
        <v>211.2</v>
      </c>
      <c r="AH22" s="80" t="n">
        <f aca="false">'Assumption Setting'!$L$50*'Assumption Setting'!$L$51*'Assumption Setting'!$E$55</f>
        <v>249.6</v>
      </c>
      <c r="AI22" s="80" t="n">
        <f aca="false">'Assumption Setting'!$M$50*'Assumption Setting'!$M$51*'Assumption Setting'!$C$55</f>
        <v>201.6</v>
      </c>
      <c r="AJ22" s="80" t="n">
        <f aca="false">'Assumption Setting'!$M$50*'Assumption Setting'!$M$51*'Assumption Setting'!$D$55</f>
        <v>237.6</v>
      </c>
      <c r="AK22" s="80" t="n">
        <f aca="false">'Assumption Setting'!$M$50*'Assumption Setting'!$M$51*'Assumption Setting'!$E$55</f>
        <v>280.8</v>
      </c>
      <c r="AL22" s="80" t="n">
        <f aca="false">'Assumption Setting'!$N$50*'Assumption Setting'!$N$51*'Assumption Setting'!$C$55</f>
        <v>224</v>
      </c>
      <c r="AM22" s="80" t="n">
        <f aca="false">'Assumption Setting'!$N$50*'Assumption Setting'!$N$51*'Assumption Setting'!$D$55</f>
        <v>264</v>
      </c>
      <c r="AN22" s="80" t="n">
        <f aca="false">'Assumption Setting'!$N$50*'Assumption Setting'!$N$51*'Assumption Setting'!$E$55</f>
        <v>312</v>
      </c>
      <c r="AO22" s="79" t="n">
        <f aca="false">SUM(AP22:BA22)</f>
        <v>4250</v>
      </c>
      <c r="AP22" s="80" t="n">
        <f aca="false">'Assumption Setting'!$O$50*'Assumption Setting'!$O$51*'Assumption Setting'!$C$55</f>
        <v>261.8</v>
      </c>
      <c r="AQ22" s="80" t="n">
        <f aca="false">'Assumption Setting'!$O$50*'Assumption Setting'!$O$51*'Assumption Setting'!$D$55</f>
        <v>308.55</v>
      </c>
      <c r="AR22" s="80" t="n">
        <f aca="false">'Assumption Setting'!$O$50*'Assumption Setting'!$O$51*'Assumption Setting'!$E$55</f>
        <v>364.65</v>
      </c>
      <c r="AS22" s="80" t="n">
        <f aca="false">'Assumption Setting'!$P$50*'Assumption Setting'!$P$51*'Assumption Setting'!$C$55</f>
        <v>285.6</v>
      </c>
      <c r="AT22" s="80" t="n">
        <f aca="false">'Assumption Setting'!$P$50*'Assumption Setting'!$P$51*'Assumption Setting'!$D$55</f>
        <v>336.6</v>
      </c>
      <c r="AU22" s="80" t="n">
        <f aca="false">'Assumption Setting'!$P$50*'Assumption Setting'!$P$51*'Assumption Setting'!$E$55</f>
        <v>397.8</v>
      </c>
      <c r="AV22" s="80" t="n">
        <f aca="false">'Assumption Setting'!$Q$50*'Assumption Setting'!$Q$51*'Assumption Setting'!$C$55</f>
        <v>309.4</v>
      </c>
      <c r="AW22" s="80" t="n">
        <f aca="false">'Assumption Setting'!$Q$50*'Assumption Setting'!$Q$51*'Assumption Setting'!$D$55</f>
        <v>364.65</v>
      </c>
      <c r="AX22" s="80" t="n">
        <f aca="false">'Assumption Setting'!$Q$50*'Assumption Setting'!$Q$51*'Assumption Setting'!$E$55</f>
        <v>430.95</v>
      </c>
      <c r="AY22" s="80" t="n">
        <f aca="false">'Assumption Setting'!$R$50*'Assumption Setting'!$R$51*'Assumption Setting'!$C$55</f>
        <v>333.2</v>
      </c>
      <c r="AZ22" s="80" t="n">
        <f aca="false">'Assumption Setting'!$R$50*'Assumption Setting'!$R$51*'Assumption Setting'!$D$55</f>
        <v>392.7</v>
      </c>
      <c r="BA22" s="80" t="n">
        <f aca="false">'Assumption Setting'!$R$50*'Assumption Setting'!$R$51*'Assumption Setting'!$E$55</f>
        <v>464.1</v>
      </c>
      <c r="BB22" s="79" t="n">
        <f aca="false">SUM(BC22:BN22)</f>
        <v>5940</v>
      </c>
      <c r="BC22" s="80" t="n">
        <f aca="false">'Assumption Setting'!$S$50*'Assumption Setting'!$S$51*'Assumption Setting'!$C$55</f>
        <v>378</v>
      </c>
      <c r="BD22" s="80" t="n">
        <f aca="false">'Assumption Setting'!$S$50*'Assumption Setting'!$S$51*'Assumption Setting'!$D$55</f>
        <v>445.5</v>
      </c>
      <c r="BE22" s="80" t="n">
        <f aca="false">'Assumption Setting'!$S$50*'Assumption Setting'!$S$51*'Assumption Setting'!$E$55</f>
        <v>526.5</v>
      </c>
      <c r="BF22" s="80" t="n">
        <f aca="false">'Assumption Setting'!$T$50*'Assumption Setting'!$T$51*'Assumption Setting'!$C$55</f>
        <v>403.2</v>
      </c>
      <c r="BG22" s="80" t="n">
        <f aca="false">'Assumption Setting'!$T$50*'Assumption Setting'!$T$51*'Assumption Setting'!$D$55</f>
        <v>475.2</v>
      </c>
      <c r="BH22" s="80" t="n">
        <f aca="false">'Assumption Setting'!$T$50*'Assumption Setting'!$T$51*'Assumption Setting'!$E$55</f>
        <v>561.6</v>
      </c>
      <c r="BI22" s="80" t="n">
        <f aca="false">'Assumption Setting'!$U$50*'Assumption Setting'!$U$51*'Assumption Setting'!$C$55</f>
        <v>428.4</v>
      </c>
      <c r="BJ22" s="80" t="n">
        <f aca="false">'Assumption Setting'!$U$50*'Assumption Setting'!$U$51*'Assumption Setting'!$D$55</f>
        <v>504.9</v>
      </c>
      <c r="BK22" s="80" t="n">
        <f aca="false">'Assumption Setting'!$U$50*'Assumption Setting'!$U$51*'Assumption Setting'!$E$55</f>
        <v>596.7</v>
      </c>
      <c r="BL22" s="80" t="n">
        <f aca="false">'Assumption Setting'!$V$50*'Assumption Setting'!$V$51*'Assumption Setting'!$C$55</f>
        <v>453.6</v>
      </c>
      <c r="BM22" s="80" t="n">
        <f aca="false">'Assumption Setting'!$V$50*'Assumption Setting'!$V$51*'Assumption Setting'!$D$55</f>
        <v>534.6</v>
      </c>
      <c r="BN22" s="80" t="n">
        <f aca="false">'Assumption Setting'!$V$50*'Assumption Setting'!$V$51*'Assumption Setting'!$E$55</f>
        <v>631.8</v>
      </c>
    </row>
    <row r="23" customFormat="false" ht="15" hidden="false" customHeight="false" outlineLevel="0" collapsed="false">
      <c r="A23" s="12" t="s">
        <v>294</v>
      </c>
      <c r="B23" s="79" t="n">
        <f aca="false">N23</f>
        <v>15</v>
      </c>
      <c r="C23" s="80" t="n">
        <f aca="false">'Assumption Setting'!$C$52</f>
        <v>6</v>
      </c>
      <c r="D23" s="80" t="n">
        <f aca="false">'Assumption Setting'!$C$52</f>
        <v>6</v>
      </c>
      <c r="E23" s="80" t="n">
        <f aca="false">'Assumption Setting'!$C$52</f>
        <v>6</v>
      </c>
      <c r="F23" s="80" t="n">
        <f aca="false">'Assumption Setting'!$D$52</f>
        <v>9</v>
      </c>
      <c r="G23" s="80" t="n">
        <f aca="false">'Assumption Setting'!$D$52</f>
        <v>9</v>
      </c>
      <c r="H23" s="80" t="n">
        <f aca="false">'Assumption Setting'!$D$52</f>
        <v>9</v>
      </c>
      <c r="I23" s="80" t="n">
        <f aca="false">'Assumption Setting'!$E$52</f>
        <v>12</v>
      </c>
      <c r="J23" s="80" t="n">
        <f aca="false">'Assumption Setting'!$E$52</f>
        <v>12</v>
      </c>
      <c r="K23" s="80" t="n">
        <f aca="false">'Assumption Setting'!$E$52</f>
        <v>12</v>
      </c>
      <c r="L23" s="80" t="n">
        <f aca="false">'Assumption Setting'!$F$52</f>
        <v>15</v>
      </c>
      <c r="M23" s="80" t="n">
        <f aca="false">'Assumption Setting'!$F$52</f>
        <v>15</v>
      </c>
      <c r="N23" s="80" t="n">
        <f aca="false">'Assumption Setting'!$F$52</f>
        <v>15</v>
      </c>
      <c r="O23" s="79" t="n">
        <f aca="false">AA23</f>
        <v>34</v>
      </c>
      <c r="P23" s="80" t="n">
        <f aca="false">'Assumption Setting'!$G$52</f>
        <v>19</v>
      </c>
      <c r="Q23" s="80" t="n">
        <f aca="false">'Assumption Setting'!$G$52</f>
        <v>19</v>
      </c>
      <c r="R23" s="80" t="n">
        <f aca="false">'Assumption Setting'!$G$52</f>
        <v>19</v>
      </c>
      <c r="S23" s="80" t="n">
        <f aca="false">'Assumption Setting'!$H$52</f>
        <v>24</v>
      </c>
      <c r="T23" s="80" t="n">
        <f aca="false">'Assumption Setting'!$H$52</f>
        <v>24</v>
      </c>
      <c r="U23" s="80" t="n">
        <f aca="false">'Assumption Setting'!$H$52</f>
        <v>24</v>
      </c>
      <c r="V23" s="80" t="n">
        <f aca="false">'Assumption Setting'!$I$52</f>
        <v>29</v>
      </c>
      <c r="W23" s="80" t="n">
        <f aca="false">'Assumption Setting'!$I$52</f>
        <v>29</v>
      </c>
      <c r="X23" s="80" t="n">
        <f aca="false">'Assumption Setting'!$I$52</f>
        <v>29</v>
      </c>
      <c r="Y23" s="80" t="n">
        <f aca="false">'Assumption Setting'!$J$52</f>
        <v>34</v>
      </c>
      <c r="Z23" s="80" t="n">
        <f aca="false">'Assumption Setting'!$J$52</f>
        <v>34</v>
      </c>
      <c r="AA23" s="80" t="n">
        <f aca="false">'Assumption Setting'!$J$52</f>
        <v>34</v>
      </c>
      <c r="AB23" s="79" t="n">
        <f aca="false">AN23</f>
        <v>58</v>
      </c>
      <c r="AC23" s="80" t="n">
        <f aca="false">'Assumption Setting'!$K$52</f>
        <v>40</v>
      </c>
      <c r="AD23" s="80" t="n">
        <f aca="false">'Assumption Setting'!$K$52</f>
        <v>40</v>
      </c>
      <c r="AE23" s="80" t="n">
        <f aca="false">'Assumption Setting'!$K$52</f>
        <v>40</v>
      </c>
      <c r="AF23" s="80" t="n">
        <f aca="false">'Assumption Setting'!$L$52</f>
        <v>46</v>
      </c>
      <c r="AG23" s="80" t="n">
        <f aca="false">'Assumption Setting'!$L$52</f>
        <v>46</v>
      </c>
      <c r="AH23" s="80" t="n">
        <f aca="false">'Assumption Setting'!$L$52</f>
        <v>46</v>
      </c>
      <c r="AI23" s="80" t="n">
        <f aca="false">'Assumption Setting'!$M$52</f>
        <v>52</v>
      </c>
      <c r="AJ23" s="80" t="n">
        <f aca="false">'Assumption Setting'!$M$52</f>
        <v>52</v>
      </c>
      <c r="AK23" s="80" t="n">
        <f aca="false">'Assumption Setting'!$M$52</f>
        <v>52</v>
      </c>
      <c r="AL23" s="80" t="n">
        <f aca="false">'Assumption Setting'!$N$52</f>
        <v>58</v>
      </c>
      <c r="AM23" s="80" t="n">
        <f aca="false">'Assumption Setting'!$N$52</f>
        <v>58</v>
      </c>
      <c r="AN23" s="80" t="n">
        <f aca="false">'Assumption Setting'!$N$52</f>
        <v>58</v>
      </c>
      <c r="AO23" s="79" t="n">
        <f aca="false">BA23</f>
        <v>90</v>
      </c>
      <c r="AP23" s="80" t="n">
        <f aca="false">'Assumption Setting'!$O$52</f>
        <v>66</v>
      </c>
      <c r="AQ23" s="80" t="n">
        <f aca="false">'Assumption Setting'!$O$52</f>
        <v>66</v>
      </c>
      <c r="AR23" s="80" t="n">
        <f aca="false">'Assumption Setting'!$O$52</f>
        <v>66</v>
      </c>
      <c r="AS23" s="80" t="n">
        <f aca="false">'Assumption Setting'!$P$52</f>
        <v>74</v>
      </c>
      <c r="AT23" s="80" t="n">
        <f aca="false">'Assumption Setting'!$P$52</f>
        <v>74</v>
      </c>
      <c r="AU23" s="80" t="n">
        <f aca="false">'Assumption Setting'!$P$52</f>
        <v>74</v>
      </c>
      <c r="AV23" s="80" t="n">
        <f aca="false">'Assumption Setting'!$Q$52</f>
        <v>82</v>
      </c>
      <c r="AW23" s="80" t="n">
        <f aca="false">'Assumption Setting'!$Q$52</f>
        <v>82</v>
      </c>
      <c r="AX23" s="80" t="n">
        <f aca="false">'Assumption Setting'!$Q$52</f>
        <v>82</v>
      </c>
      <c r="AY23" s="80" t="n">
        <f aca="false">'Assumption Setting'!$R$52</f>
        <v>90</v>
      </c>
      <c r="AZ23" s="80" t="n">
        <f aca="false">'Assumption Setting'!$R$52</f>
        <v>90</v>
      </c>
      <c r="BA23" s="80" t="n">
        <f aca="false">'Assumption Setting'!$R$52</f>
        <v>90</v>
      </c>
      <c r="BB23" s="79" t="n">
        <f aca="false">BN23</f>
        <v>122</v>
      </c>
      <c r="BC23" s="80" t="n">
        <f aca="false">'Assumption Setting'!$S$52</f>
        <v>98</v>
      </c>
      <c r="BD23" s="80" t="n">
        <f aca="false">'Assumption Setting'!$S$52</f>
        <v>98</v>
      </c>
      <c r="BE23" s="80" t="n">
        <f aca="false">'Assumption Setting'!$S$52</f>
        <v>98</v>
      </c>
      <c r="BF23" s="80" t="n">
        <f aca="false">'Assumption Setting'!$T$52</f>
        <v>106</v>
      </c>
      <c r="BG23" s="80" t="n">
        <f aca="false">'Assumption Setting'!$T$52</f>
        <v>106</v>
      </c>
      <c r="BH23" s="80" t="n">
        <f aca="false">'Assumption Setting'!$T$52</f>
        <v>106</v>
      </c>
      <c r="BI23" s="80" t="n">
        <f aca="false">'Assumption Setting'!$U$52</f>
        <v>114</v>
      </c>
      <c r="BJ23" s="80" t="n">
        <f aca="false">'Assumption Setting'!$U$52</f>
        <v>114</v>
      </c>
      <c r="BK23" s="80" t="n">
        <f aca="false">'Assumption Setting'!$U$52</f>
        <v>114</v>
      </c>
      <c r="BL23" s="80" t="n">
        <f aca="false">'Assumption Setting'!$V$52</f>
        <v>122</v>
      </c>
      <c r="BM23" s="80" t="n">
        <f aca="false">'Assumption Setting'!$V$52</f>
        <v>122</v>
      </c>
      <c r="BN23" s="80" t="n">
        <f aca="false">'Assumption Setting'!$V$52</f>
        <v>122</v>
      </c>
    </row>
    <row r="24" customFormat="false" ht="15" hidden="false" customHeight="false" outlineLevel="0" collapsed="false">
      <c r="A24" s="12" t="s">
        <v>297</v>
      </c>
      <c r="B24" s="79" t="n">
        <f aca="false">N24</f>
        <v>1</v>
      </c>
      <c r="C24" s="80" t="n">
        <f aca="false">'Assumption Setting'!$C$53</f>
        <v>0</v>
      </c>
      <c r="D24" s="80" t="n">
        <f aca="false">'Assumption Setting'!$C$53</f>
        <v>0</v>
      </c>
      <c r="E24" s="80" t="n">
        <f aca="false">'Assumption Setting'!$C$53</f>
        <v>0</v>
      </c>
      <c r="F24" s="80" t="n">
        <f aca="false">'Assumption Setting'!$D$53</f>
        <v>0</v>
      </c>
      <c r="G24" s="80" t="n">
        <f aca="false">'Assumption Setting'!$D$53</f>
        <v>0</v>
      </c>
      <c r="H24" s="80" t="n">
        <f aca="false">'Assumption Setting'!$D$53</f>
        <v>0</v>
      </c>
      <c r="I24" s="80" t="n">
        <f aca="false">'Assumption Setting'!$E$53</f>
        <v>1</v>
      </c>
      <c r="J24" s="80" t="n">
        <f aca="false">'Assumption Setting'!$E$53</f>
        <v>1</v>
      </c>
      <c r="K24" s="80" t="n">
        <f aca="false">'Assumption Setting'!$E$53</f>
        <v>1</v>
      </c>
      <c r="L24" s="80" t="n">
        <f aca="false">'Assumption Setting'!$F$53</f>
        <v>1</v>
      </c>
      <c r="M24" s="80" t="n">
        <f aca="false">'Assumption Setting'!$F$53</f>
        <v>1</v>
      </c>
      <c r="N24" s="80" t="n">
        <f aca="false">'Assumption Setting'!$F$53</f>
        <v>1</v>
      </c>
      <c r="O24" s="79" t="n">
        <f aca="false">AA24</f>
        <v>5</v>
      </c>
      <c r="P24" s="80" t="n">
        <f aca="false">'Assumption Setting'!$G$53</f>
        <v>2</v>
      </c>
      <c r="Q24" s="80" t="n">
        <f aca="false">'Assumption Setting'!$G$53</f>
        <v>2</v>
      </c>
      <c r="R24" s="80" t="n">
        <f aca="false">'Assumption Setting'!$G$53</f>
        <v>2</v>
      </c>
      <c r="S24" s="80" t="n">
        <f aca="false">'Assumption Setting'!$H$53</f>
        <v>3</v>
      </c>
      <c r="T24" s="80" t="n">
        <f aca="false">'Assumption Setting'!$H$53</f>
        <v>3</v>
      </c>
      <c r="U24" s="80" t="n">
        <f aca="false">'Assumption Setting'!$H$53</f>
        <v>3</v>
      </c>
      <c r="V24" s="80" t="n">
        <f aca="false">'Assumption Setting'!$I$53</f>
        <v>4</v>
      </c>
      <c r="W24" s="80" t="n">
        <f aca="false">'Assumption Setting'!$I$53</f>
        <v>4</v>
      </c>
      <c r="X24" s="80" t="n">
        <f aca="false">'Assumption Setting'!$I$53</f>
        <v>4</v>
      </c>
      <c r="Y24" s="80" t="n">
        <f aca="false">'Assumption Setting'!$J$53</f>
        <v>5</v>
      </c>
      <c r="Z24" s="80" t="n">
        <f aca="false">'Assumption Setting'!$J$53</f>
        <v>5</v>
      </c>
      <c r="AA24" s="80" t="n">
        <f aca="false">'Assumption Setting'!$J$53</f>
        <v>5</v>
      </c>
      <c r="AB24" s="79" t="n">
        <f aca="false">AN24</f>
        <v>9</v>
      </c>
      <c r="AC24" s="80" t="n">
        <f aca="false">'Assumption Setting'!$K$53</f>
        <v>6</v>
      </c>
      <c r="AD24" s="80" t="n">
        <f aca="false">'Assumption Setting'!$K$53</f>
        <v>6</v>
      </c>
      <c r="AE24" s="80" t="n">
        <f aca="false">'Assumption Setting'!$K$53</f>
        <v>6</v>
      </c>
      <c r="AF24" s="80" t="n">
        <f aca="false">'Assumption Setting'!$L$53</f>
        <v>7</v>
      </c>
      <c r="AG24" s="80" t="n">
        <f aca="false">'Assumption Setting'!$L$53</f>
        <v>7</v>
      </c>
      <c r="AH24" s="80" t="n">
        <f aca="false">'Assumption Setting'!$L$53</f>
        <v>7</v>
      </c>
      <c r="AI24" s="80" t="n">
        <f aca="false">'Assumption Setting'!$M$53</f>
        <v>8</v>
      </c>
      <c r="AJ24" s="80" t="n">
        <f aca="false">'Assumption Setting'!$M$53</f>
        <v>8</v>
      </c>
      <c r="AK24" s="80" t="n">
        <f aca="false">'Assumption Setting'!$M$53</f>
        <v>8</v>
      </c>
      <c r="AL24" s="80" t="n">
        <f aca="false">'Assumption Setting'!$N$53</f>
        <v>9</v>
      </c>
      <c r="AM24" s="80" t="n">
        <f aca="false">'Assumption Setting'!$N$53</f>
        <v>9</v>
      </c>
      <c r="AN24" s="80" t="n">
        <f aca="false">'Assumption Setting'!$N$53</f>
        <v>9</v>
      </c>
      <c r="AO24" s="79" t="n">
        <f aca="false">BA24</f>
        <v>13</v>
      </c>
      <c r="AP24" s="80" t="n">
        <f aca="false">'Assumption Setting'!$O$53</f>
        <v>10</v>
      </c>
      <c r="AQ24" s="80" t="n">
        <f aca="false">'Assumption Setting'!$O$53</f>
        <v>10</v>
      </c>
      <c r="AR24" s="80" t="n">
        <f aca="false">'Assumption Setting'!$O$53</f>
        <v>10</v>
      </c>
      <c r="AS24" s="80" t="n">
        <f aca="false">'Assumption Setting'!$P$53</f>
        <v>11</v>
      </c>
      <c r="AT24" s="80" t="n">
        <f aca="false">'Assumption Setting'!$P$53</f>
        <v>11</v>
      </c>
      <c r="AU24" s="80" t="n">
        <f aca="false">'Assumption Setting'!$P$53</f>
        <v>11</v>
      </c>
      <c r="AV24" s="80" t="n">
        <f aca="false">'Assumption Setting'!$Q$53</f>
        <v>12</v>
      </c>
      <c r="AW24" s="80" t="n">
        <f aca="false">'Assumption Setting'!$Q$53</f>
        <v>12</v>
      </c>
      <c r="AX24" s="80" t="n">
        <f aca="false">'Assumption Setting'!$Q$53</f>
        <v>12</v>
      </c>
      <c r="AY24" s="80" t="n">
        <f aca="false">'Assumption Setting'!$R$53</f>
        <v>13</v>
      </c>
      <c r="AZ24" s="80" t="n">
        <f aca="false">'Assumption Setting'!$R$53</f>
        <v>13</v>
      </c>
      <c r="BA24" s="80" t="n">
        <f aca="false">'Assumption Setting'!$R$53</f>
        <v>13</v>
      </c>
      <c r="BB24" s="79" t="n">
        <f aca="false">BN24</f>
        <v>17</v>
      </c>
      <c r="BC24" s="80" t="n">
        <f aca="false">'Assumption Setting'!$S$53</f>
        <v>14</v>
      </c>
      <c r="BD24" s="80" t="n">
        <f aca="false">'Assumption Setting'!$S$53</f>
        <v>14</v>
      </c>
      <c r="BE24" s="80" t="n">
        <f aca="false">'Assumption Setting'!$S$53</f>
        <v>14</v>
      </c>
      <c r="BF24" s="80" t="n">
        <f aca="false">'Assumption Setting'!$T$53</f>
        <v>15</v>
      </c>
      <c r="BG24" s="80" t="n">
        <f aca="false">'Assumption Setting'!$T$53</f>
        <v>15</v>
      </c>
      <c r="BH24" s="80" t="n">
        <f aca="false">'Assumption Setting'!$T$53</f>
        <v>15</v>
      </c>
      <c r="BI24" s="80" t="n">
        <f aca="false">'Assumption Setting'!$U$53</f>
        <v>16</v>
      </c>
      <c r="BJ24" s="80" t="n">
        <f aca="false">'Assumption Setting'!$U$53</f>
        <v>16</v>
      </c>
      <c r="BK24" s="80" t="n">
        <f aca="false">'Assumption Setting'!$U$53</f>
        <v>16</v>
      </c>
      <c r="BL24" s="80" t="n">
        <f aca="false">'Assumption Setting'!$V$53</f>
        <v>17</v>
      </c>
      <c r="BM24" s="80" t="n">
        <f aca="false">'Assumption Setting'!$V$53</f>
        <v>17</v>
      </c>
      <c r="BN24" s="80" t="n">
        <f aca="false">'Assumption Setting'!$V$53</f>
        <v>17</v>
      </c>
    </row>
    <row r="25" customFormat="false" ht="15" hidden="false" customHeight="false" outlineLevel="0" collapsed="false">
      <c r="A25" s="18" t="s">
        <v>718</v>
      </c>
      <c r="B25" s="81" t="n">
        <f aca="false">SUM(C25:N25)</f>
        <v>14</v>
      </c>
      <c r="C25" s="84" t="n">
        <f aca="false">C7+C8+C9+C11+C13</f>
        <v>0.84</v>
      </c>
      <c r="D25" s="84" t="n">
        <f aca="false">D7+D8+D9+D11+D13</f>
        <v>0.99</v>
      </c>
      <c r="E25" s="84" t="n">
        <f aca="false">E7+E8+E9+E11+E13</f>
        <v>1.17</v>
      </c>
      <c r="F25" s="84" t="n">
        <f aca="false">F7+F8+F9+F11+F13</f>
        <v>0.84</v>
      </c>
      <c r="G25" s="84" t="n">
        <f aca="false">G7+G8+G9+G11+G13</f>
        <v>0.99</v>
      </c>
      <c r="H25" s="84" t="n">
        <f aca="false">H7+H8+H9+H11+H13</f>
        <v>1.17</v>
      </c>
      <c r="I25" s="84" t="n">
        <f aca="false">I7+I8+I9+I11+I13</f>
        <v>1.12</v>
      </c>
      <c r="J25" s="84" t="n">
        <f aca="false">J7+J8+J9+J11+J13</f>
        <v>1.32</v>
      </c>
      <c r="K25" s="84" t="n">
        <f aca="false">K7+K8+K9+K11+K13</f>
        <v>1.56</v>
      </c>
      <c r="L25" s="84" t="n">
        <f aca="false">L7+L8+L9+L11+L13</f>
        <v>1.12</v>
      </c>
      <c r="M25" s="84" t="n">
        <f aca="false">M7+M8+M9+M11+M13</f>
        <v>1.32</v>
      </c>
      <c r="N25" s="84" t="n">
        <f aca="false">N7+N8+N9+N11+N13</f>
        <v>1.56</v>
      </c>
      <c r="O25" s="81" t="n">
        <f aca="false">SUM(P25:AA25)</f>
        <v>48</v>
      </c>
      <c r="P25" s="84" t="n">
        <f aca="false">P7+P8+P9+P11+P13</f>
        <v>1.68</v>
      </c>
      <c r="Q25" s="84" t="n">
        <f aca="false">Q7+Q8+Q9+Q11+Q13</f>
        <v>1.98</v>
      </c>
      <c r="R25" s="84" t="n">
        <f aca="false">R7+R8+R9+R11+R13</f>
        <v>2.34</v>
      </c>
      <c r="S25" s="84" t="n">
        <f aca="false">S7+S8+S9+S11+S13</f>
        <v>2.8</v>
      </c>
      <c r="T25" s="84" t="n">
        <f aca="false">T7+T8+T9+T11+T13</f>
        <v>3.3</v>
      </c>
      <c r="U25" s="84" t="n">
        <f aca="false">U7+U8+U9+U11+U13</f>
        <v>3.9</v>
      </c>
      <c r="V25" s="84" t="n">
        <f aca="false">V7+V8+V9+V11+V13</f>
        <v>3.92</v>
      </c>
      <c r="W25" s="84" t="n">
        <f aca="false">W7+W8+W9+W11+W13</f>
        <v>4.62</v>
      </c>
      <c r="X25" s="84" t="n">
        <f aca="false">X7+X8+X9+X11+X13</f>
        <v>5.46</v>
      </c>
      <c r="Y25" s="84" t="n">
        <f aca="false">Y7+Y8+Y9+Y11+Y13</f>
        <v>5.04</v>
      </c>
      <c r="Z25" s="84" t="n">
        <f aca="false">Z7+Z8+Z9+Z11+Z13</f>
        <v>5.94</v>
      </c>
      <c r="AA25" s="84" t="n">
        <f aca="false">AA7+AA8+AA9+AA11+AA13</f>
        <v>7.02</v>
      </c>
      <c r="AB25" s="81" t="n">
        <f aca="false">SUM(AC25:AN25)</f>
        <v>136</v>
      </c>
      <c r="AC25" s="84" t="n">
        <f aca="false">AC7+AC8+AC9+AC11+AC13</f>
        <v>7</v>
      </c>
      <c r="AD25" s="84" t="n">
        <f aca="false">AD7+AD8+AD9+AD11+AD13</f>
        <v>8.25</v>
      </c>
      <c r="AE25" s="84" t="n">
        <f aca="false">AE7+AE8+AE9+AE11+AE13</f>
        <v>9.75</v>
      </c>
      <c r="AF25" s="84" t="n">
        <f aca="false">AF7+AF8+AF9+AF11+AF13</f>
        <v>8.68</v>
      </c>
      <c r="AG25" s="84" t="n">
        <f aca="false">AG7+AG8+AG9+AG11+AG13</f>
        <v>10.23</v>
      </c>
      <c r="AH25" s="84" t="n">
        <f aca="false">AH7+AH8+AH9+AH11+AH13</f>
        <v>12.09</v>
      </c>
      <c r="AI25" s="84" t="n">
        <f aca="false">AI7+AI8+AI9+AI11+AI13</f>
        <v>10.36</v>
      </c>
      <c r="AJ25" s="84" t="n">
        <f aca="false">AJ7+AJ8+AJ9+AJ11+AJ13</f>
        <v>12.21</v>
      </c>
      <c r="AK25" s="84" t="n">
        <f aca="false">AK7+AK8+AK9+AK11+AK13</f>
        <v>14.43</v>
      </c>
      <c r="AL25" s="84" t="n">
        <f aca="false">AL7+AL8+AL9+AL11+AL13</f>
        <v>12.04</v>
      </c>
      <c r="AM25" s="84" t="n">
        <f aca="false">AM7+AM8+AM9+AM11+AM13</f>
        <v>14.19</v>
      </c>
      <c r="AN25" s="84" t="n">
        <f aca="false">AN7+AN8+AN9+AN11+AN13</f>
        <v>16.77</v>
      </c>
      <c r="AO25" s="81" t="n">
        <f aca="false">SUM(AP25:BA25)</f>
        <v>232</v>
      </c>
      <c r="AP25" s="84" t="n">
        <f aca="false">AP7+AP8+AP9+AP11+AP13</f>
        <v>13.72</v>
      </c>
      <c r="AQ25" s="84" t="n">
        <f aca="false">AQ7+AQ8+AQ9+AQ11+AQ13</f>
        <v>16.17</v>
      </c>
      <c r="AR25" s="84" t="n">
        <f aca="false">AR7+AR8+AR9+AR11+AR13</f>
        <v>19.11</v>
      </c>
      <c r="AS25" s="84" t="n">
        <f aca="false">AS7+AS8+AS9+AS11+AS13</f>
        <v>15.4</v>
      </c>
      <c r="AT25" s="84" t="n">
        <f aca="false">AT7+AT8+AT9+AT11+AT13</f>
        <v>18.15</v>
      </c>
      <c r="AU25" s="84" t="n">
        <f aca="false">AU7+AU8+AU9+AU11+AU13</f>
        <v>21.45</v>
      </c>
      <c r="AV25" s="84" t="n">
        <f aca="false">AV7+AV8+AV9+AV11+AV13</f>
        <v>17.08</v>
      </c>
      <c r="AW25" s="84" t="n">
        <f aca="false">AW7+AW8+AW9+AW11+AW13</f>
        <v>20.13</v>
      </c>
      <c r="AX25" s="84" t="n">
        <f aca="false">AX7+AX8+AX9+AX11+AX13</f>
        <v>23.79</v>
      </c>
      <c r="AY25" s="84" t="n">
        <f aca="false">AY7+AY8+AY9+AY11+AY13</f>
        <v>18.76</v>
      </c>
      <c r="AZ25" s="84" t="n">
        <f aca="false">AZ7+AZ8+AZ9+AZ11+AZ13</f>
        <v>22.11</v>
      </c>
      <c r="BA25" s="84" t="n">
        <f aca="false">BA7+BA8+BA9+BA11+BA13</f>
        <v>26.13</v>
      </c>
      <c r="BB25" s="81" t="n">
        <f aca="false">SUM(BC25:BN25)</f>
        <v>328</v>
      </c>
      <c r="BC25" s="84" t="n">
        <f aca="false">BC7+BC8+BC9+BC11+BC13</f>
        <v>20.44</v>
      </c>
      <c r="BD25" s="84" t="n">
        <f aca="false">BD7+BD8+BD9+BD11+BD13</f>
        <v>24.09</v>
      </c>
      <c r="BE25" s="84" t="n">
        <f aca="false">BE7+BE8+BE9+BE11+BE13</f>
        <v>28.47</v>
      </c>
      <c r="BF25" s="84" t="n">
        <f aca="false">BF7+BF8+BF9+BF11+BF13</f>
        <v>22.12</v>
      </c>
      <c r="BG25" s="84" t="n">
        <f aca="false">BG7+BG8+BG9+BG11+BG13</f>
        <v>26.07</v>
      </c>
      <c r="BH25" s="84" t="n">
        <f aca="false">BH7+BH8+BH9+BH11+BH13</f>
        <v>30.81</v>
      </c>
      <c r="BI25" s="84" t="n">
        <f aca="false">BI7+BI8+BI9+BI11+BI13</f>
        <v>23.8</v>
      </c>
      <c r="BJ25" s="84" t="n">
        <f aca="false">BJ7+BJ8+BJ9+BJ11+BJ13</f>
        <v>28.05</v>
      </c>
      <c r="BK25" s="84" t="n">
        <f aca="false">BK7+BK8+BK9+BK11+BK13</f>
        <v>33.15</v>
      </c>
      <c r="BL25" s="84" t="n">
        <f aca="false">BL7+BL8+BL9+BL11+BL13</f>
        <v>25.48</v>
      </c>
      <c r="BM25" s="84" t="n">
        <f aca="false">BM7+BM8+BM9+BM11+BM13</f>
        <v>30.03</v>
      </c>
      <c r="BN25" s="84" t="n">
        <f aca="false">BN7+BN8+BN9+BN11+BN13</f>
        <v>35.49</v>
      </c>
    </row>
    <row r="27" customFormat="false" ht="16.5" hidden="false" customHeight="true" outlineLevel="0" collapsed="false">
      <c r="A27" s="15" t="s">
        <v>719</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true" outlineLevel="0" collapsed="false">
      <c r="A28" s="26" t="s">
        <v>505</v>
      </c>
      <c r="B28" s="62" t="s">
        <v>80</v>
      </c>
      <c r="C28" s="63" t="s">
        <v>506</v>
      </c>
      <c r="D28" s="63" t="s">
        <v>507</v>
      </c>
      <c r="E28" s="63" t="s">
        <v>508</v>
      </c>
      <c r="F28" s="63" t="s">
        <v>509</v>
      </c>
      <c r="G28" s="63" t="s">
        <v>510</v>
      </c>
      <c r="H28" s="63" t="s">
        <v>511</v>
      </c>
      <c r="I28" s="63" t="s">
        <v>512</v>
      </c>
      <c r="J28" s="63" t="s">
        <v>513</v>
      </c>
      <c r="K28" s="63" t="s">
        <v>514</v>
      </c>
      <c r="L28" s="63" t="s">
        <v>515</v>
      </c>
      <c r="M28" s="63" t="s">
        <v>516</v>
      </c>
      <c r="N28" s="63" t="s">
        <v>517</v>
      </c>
      <c r="O28" s="62" t="s">
        <v>81</v>
      </c>
      <c r="P28" s="64" t="s">
        <v>518</v>
      </c>
      <c r="Q28" s="64" t="s">
        <v>519</v>
      </c>
      <c r="R28" s="64" t="s">
        <v>520</v>
      </c>
      <c r="S28" s="64" t="s">
        <v>521</v>
      </c>
      <c r="T28" s="64" t="s">
        <v>522</v>
      </c>
      <c r="U28" s="64" t="s">
        <v>523</v>
      </c>
      <c r="V28" s="64" t="s">
        <v>524</v>
      </c>
      <c r="W28" s="64" t="s">
        <v>525</v>
      </c>
      <c r="X28" s="64" t="s">
        <v>526</v>
      </c>
      <c r="Y28" s="64" t="s">
        <v>527</v>
      </c>
      <c r="Z28" s="64" t="s">
        <v>528</v>
      </c>
      <c r="AA28" s="64" t="s">
        <v>529</v>
      </c>
      <c r="AB28" s="62" t="s">
        <v>82</v>
      </c>
      <c r="AC28" s="63" t="s">
        <v>530</v>
      </c>
      <c r="AD28" s="63" t="s">
        <v>531</v>
      </c>
      <c r="AE28" s="63" t="s">
        <v>532</v>
      </c>
      <c r="AF28" s="63" t="s">
        <v>533</v>
      </c>
      <c r="AG28" s="63" t="s">
        <v>534</v>
      </c>
      <c r="AH28" s="63" t="s">
        <v>535</v>
      </c>
      <c r="AI28" s="63" t="s">
        <v>536</v>
      </c>
      <c r="AJ28" s="63" t="s">
        <v>537</v>
      </c>
      <c r="AK28" s="63" t="s">
        <v>538</v>
      </c>
      <c r="AL28" s="63" t="s">
        <v>539</v>
      </c>
      <c r="AM28" s="63" t="s">
        <v>540</v>
      </c>
      <c r="AN28" s="63" t="s">
        <v>541</v>
      </c>
      <c r="AO28" s="62" t="s">
        <v>83</v>
      </c>
      <c r="AP28" s="64" t="s">
        <v>542</v>
      </c>
      <c r="AQ28" s="64" t="s">
        <v>543</v>
      </c>
      <c r="AR28" s="64" t="s">
        <v>544</v>
      </c>
      <c r="AS28" s="64" t="s">
        <v>545</v>
      </c>
      <c r="AT28" s="64" t="s">
        <v>546</v>
      </c>
      <c r="AU28" s="64" t="s">
        <v>547</v>
      </c>
      <c r="AV28" s="64" t="s">
        <v>548</v>
      </c>
      <c r="AW28" s="64" t="s">
        <v>549</v>
      </c>
      <c r="AX28" s="64" t="s">
        <v>550</v>
      </c>
      <c r="AY28" s="64" t="s">
        <v>551</v>
      </c>
      <c r="AZ28" s="64" t="s">
        <v>552</v>
      </c>
      <c r="BA28" s="64" t="s">
        <v>553</v>
      </c>
      <c r="BB28" s="62" t="s">
        <v>84</v>
      </c>
      <c r="BC28" s="63" t="s">
        <v>554</v>
      </c>
      <c r="BD28" s="63" t="s">
        <v>555</v>
      </c>
      <c r="BE28" s="63" t="s">
        <v>556</v>
      </c>
      <c r="BF28" s="63" t="s">
        <v>557</v>
      </c>
      <c r="BG28" s="63" t="s">
        <v>558</v>
      </c>
      <c r="BH28" s="63" t="s">
        <v>559</v>
      </c>
      <c r="BI28" s="63" t="s">
        <v>560</v>
      </c>
      <c r="BJ28" s="63" t="s">
        <v>561</v>
      </c>
      <c r="BK28" s="63" t="s">
        <v>562</v>
      </c>
      <c r="BL28" s="63" t="s">
        <v>563</v>
      </c>
      <c r="BM28" s="63" t="s">
        <v>564</v>
      </c>
      <c r="BN28" s="63" t="s">
        <v>565</v>
      </c>
    </row>
    <row r="29" customFormat="false" ht="15" hidden="false" customHeight="false" outlineLevel="0" collapsed="false">
      <c r="A29" s="12" t="s">
        <v>720</v>
      </c>
      <c r="B29" s="65" t="n">
        <f aca="false">SUM(C29:N29)</f>
        <v>65000</v>
      </c>
      <c r="C29" s="66" t="n">
        <f aca="false">(C7+C8)*'Assumption Setting'!$C$59</f>
        <v>1820</v>
      </c>
      <c r="D29" s="66" t="n">
        <f aca="false">(D7+D8)*'Assumption Setting'!$C$59</f>
        <v>2145</v>
      </c>
      <c r="E29" s="66" t="n">
        <f aca="false">(E7+E8)*'Assumption Setting'!$C$59</f>
        <v>2535</v>
      </c>
      <c r="F29" s="66" t="n">
        <f aca="false">(F7+F8)*'Assumption Setting'!$C$59</f>
        <v>3640</v>
      </c>
      <c r="G29" s="66" t="n">
        <f aca="false">(G7+G8)*'Assumption Setting'!$C$59</f>
        <v>4290</v>
      </c>
      <c r="H29" s="66" t="n">
        <f aca="false">(H7+H8)*'Assumption Setting'!$C$59</f>
        <v>5070</v>
      </c>
      <c r="I29" s="66" t="n">
        <f aca="false">(I7+I8)*'Assumption Setting'!$C$59</f>
        <v>5460</v>
      </c>
      <c r="J29" s="66" t="n">
        <f aca="false">(J7+J8)*'Assumption Setting'!$C$59</f>
        <v>6435</v>
      </c>
      <c r="K29" s="66" t="n">
        <f aca="false">(K7+K8)*'Assumption Setting'!$C$59</f>
        <v>7605</v>
      </c>
      <c r="L29" s="66" t="n">
        <f aca="false">(L7+L8)*'Assumption Setting'!$C$59</f>
        <v>7280</v>
      </c>
      <c r="M29" s="66" t="n">
        <f aca="false">(M7+M8)*'Assumption Setting'!$C$59</f>
        <v>8580</v>
      </c>
      <c r="N29" s="66" t="n">
        <f aca="false">(N7+N8)*'Assumption Setting'!$C$59</f>
        <v>10140</v>
      </c>
      <c r="O29" s="65" t="n">
        <f aca="false">SUM(P29:AA29)</f>
        <v>230400</v>
      </c>
      <c r="P29" s="66" t="n">
        <f aca="false">(P7+P8)*'Assumption Setting'!$D$59</f>
        <v>10080</v>
      </c>
      <c r="Q29" s="66" t="n">
        <f aca="false">(Q7+Q8)*'Assumption Setting'!$D$59</f>
        <v>11880</v>
      </c>
      <c r="R29" s="66" t="n">
        <f aca="false">(R7+R8)*'Assumption Setting'!$D$59</f>
        <v>14040</v>
      </c>
      <c r="S29" s="66" t="n">
        <f aca="false">(S7+S8)*'Assumption Setting'!$D$59</f>
        <v>14112</v>
      </c>
      <c r="T29" s="66" t="n">
        <f aca="false">(T7+T8)*'Assumption Setting'!$D$59</f>
        <v>16632</v>
      </c>
      <c r="U29" s="66" t="n">
        <f aca="false">(U7+U8)*'Assumption Setting'!$D$59</f>
        <v>19656</v>
      </c>
      <c r="V29" s="66" t="n">
        <f aca="false">(V7+V8)*'Assumption Setting'!$D$59</f>
        <v>18144</v>
      </c>
      <c r="W29" s="66" t="n">
        <f aca="false">(W7+W8)*'Assumption Setting'!$D$59</f>
        <v>21384</v>
      </c>
      <c r="X29" s="66" t="n">
        <f aca="false">(X7+X8)*'Assumption Setting'!$D$59</f>
        <v>25272</v>
      </c>
      <c r="Y29" s="66" t="n">
        <f aca="false">(Y7+Y8)*'Assumption Setting'!$D$59</f>
        <v>22176</v>
      </c>
      <c r="Z29" s="66" t="n">
        <f aca="false">(Z7+Z8)*'Assumption Setting'!$D$59</f>
        <v>26136</v>
      </c>
      <c r="AA29" s="66" t="n">
        <f aca="false">(AA7+AA8)*'Assumption Setting'!$D$59</f>
        <v>30888</v>
      </c>
      <c r="AB29" s="65" t="n">
        <f aca="false">SUM(AC29:AN29)</f>
        <v>616200</v>
      </c>
      <c r="AC29" s="66" t="n">
        <f aca="false">(AC7+AC8)*'Assumption Setting'!$E$59</f>
        <v>33180</v>
      </c>
      <c r="AD29" s="66" t="n">
        <f aca="false">(AD7+AD8)*'Assumption Setting'!$E$59</f>
        <v>39105</v>
      </c>
      <c r="AE29" s="66" t="n">
        <f aca="false">(AE7+AE8)*'Assumption Setting'!$E$59</f>
        <v>46215</v>
      </c>
      <c r="AF29" s="66" t="n">
        <f aca="false">(AF7+AF8)*'Assumption Setting'!$E$59</f>
        <v>39816</v>
      </c>
      <c r="AG29" s="66" t="n">
        <f aca="false">(AG7+AG8)*'Assumption Setting'!$E$59</f>
        <v>46926</v>
      </c>
      <c r="AH29" s="66" t="n">
        <f aca="false">(AH7+AH8)*'Assumption Setting'!$E$59</f>
        <v>55458</v>
      </c>
      <c r="AI29" s="66" t="n">
        <f aca="false">(AI7+AI8)*'Assumption Setting'!$E$59</f>
        <v>46452</v>
      </c>
      <c r="AJ29" s="66" t="n">
        <f aca="false">(AJ7+AJ8)*'Assumption Setting'!$E$59</f>
        <v>54747</v>
      </c>
      <c r="AK29" s="66" t="n">
        <f aca="false">(AK7+AK8)*'Assumption Setting'!$E$59</f>
        <v>64701</v>
      </c>
      <c r="AL29" s="66" t="n">
        <f aca="false">(AL7+AL8)*'Assumption Setting'!$E$59</f>
        <v>53088</v>
      </c>
      <c r="AM29" s="66" t="n">
        <f aca="false">(AM7+AM8)*'Assumption Setting'!$E$59</f>
        <v>62568</v>
      </c>
      <c r="AN29" s="66" t="n">
        <f aca="false">(AN7+AN8)*'Assumption Setting'!$E$59</f>
        <v>73944</v>
      </c>
      <c r="AO29" s="65" t="n">
        <f aca="false">SUM(AP29:BA29)</f>
        <v>1058400</v>
      </c>
      <c r="AP29" s="66" t="n">
        <f aca="false">(AP7+AP8)*'Assumption Setting'!$F$59</f>
        <v>63504</v>
      </c>
      <c r="AQ29" s="66" t="n">
        <f aca="false">(AQ7+AQ8)*'Assumption Setting'!$F$59</f>
        <v>74844</v>
      </c>
      <c r="AR29" s="66" t="n">
        <f aca="false">(AR7+AR8)*'Assumption Setting'!$F$59</f>
        <v>88452</v>
      </c>
      <c r="AS29" s="66" t="n">
        <f aca="false">(AS7+AS8)*'Assumption Setting'!$F$59</f>
        <v>70560</v>
      </c>
      <c r="AT29" s="66" t="n">
        <f aca="false">(AT7+AT8)*'Assumption Setting'!$F$59</f>
        <v>83160</v>
      </c>
      <c r="AU29" s="66" t="n">
        <f aca="false">(AU7+AU8)*'Assumption Setting'!$F$59</f>
        <v>98280</v>
      </c>
      <c r="AV29" s="66" t="n">
        <f aca="false">(AV7+AV8)*'Assumption Setting'!$F$59</f>
        <v>77616</v>
      </c>
      <c r="AW29" s="66" t="n">
        <f aca="false">(AW7+AW8)*'Assumption Setting'!$F$59</f>
        <v>91476</v>
      </c>
      <c r="AX29" s="66" t="n">
        <f aca="false">(AX7+AX8)*'Assumption Setting'!$F$59</f>
        <v>108108</v>
      </c>
      <c r="AY29" s="66" t="n">
        <f aca="false">(AY7+AY8)*'Assumption Setting'!$F$59</f>
        <v>84672</v>
      </c>
      <c r="AZ29" s="66" t="n">
        <f aca="false">(AZ7+AZ8)*'Assumption Setting'!$F$59</f>
        <v>99792</v>
      </c>
      <c r="BA29" s="66" t="n">
        <f aca="false">(BA7+BA8)*'Assumption Setting'!$F$59</f>
        <v>117936</v>
      </c>
      <c r="BB29" s="65" t="n">
        <f aca="false">SUM(BC29:BN29)</f>
        <v>1548600</v>
      </c>
      <c r="BC29" s="66" t="n">
        <f aca="false">(BC7+BC8)*'Assumption Setting'!$G$59</f>
        <v>97188</v>
      </c>
      <c r="BD29" s="66" t="n">
        <f aca="false">(BD7+BD8)*'Assumption Setting'!$G$59</f>
        <v>114543</v>
      </c>
      <c r="BE29" s="66" t="n">
        <f aca="false">(BE7+BE8)*'Assumption Setting'!$G$59</f>
        <v>135369</v>
      </c>
      <c r="BF29" s="66" t="n">
        <f aca="false">(BF7+BF8)*'Assumption Setting'!$G$59</f>
        <v>104664</v>
      </c>
      <c r="BG29" s="66" t="n">
        <f aca="false">(BG7+BG8)*'Assumption Setting'!$G$59</f>
        <v>123354</v>
      </c>
      <c r="BH29" s="66" t="n">
        <f aca="false">(BH7+BH8)*'Assumption Setting'!$G$59</f>
        <v>145782</v>
      </c>
      <c r="BI29" s="66" t="n">
        <f aca="false">(BI7+BI8)*'Assumption Setting'!$G$59</f>
        <v>112140</v>
      </c>
      <c r="BJ29" s="66" t="n">
        <f aca="false">(BJ7+BJ8)*'Assumption Setting'!$G$59</f>
        <v>132165</v>
      </c>
      <c r="BK29" s="66" t="n">
        <f aca="false">(BK7+BK8)*'Assumption Setting'!$G$59</f>
        <v>156195</v>
      </c>
      <c r="BL29" s="66" t="n">
        <f aca="false">(BL7+BL8)*'Assumption Setting'!$G$59</f>
        <v>119616</v>
      </c>
      <c r="BM29" s="66" t="n">
        <f aca="false">(BM7+BM8)*'Assumption Setting'!$G$59</f>
        <v>140976</v>
      </c>
      <c r="BN29" s="66" t="n">
        <f aca="false">(BN7+BN8)*'Assumption Setting'!$G$59</f>
        <v>166608</v>
      </c>
    </row>
    <row r="30" customFormat="false" ht="15" hidden="false" customHeight="false" outlineLevel="0" collapsed="false">
      <c r="A30" s="12" t="s">
        <v>714</v>
      </c>
      <c r="B30" s="65" t="n">
        <f aca="false">SUM(C30:N30)</f>
        <v>0</v>
      </c>
      <c r="C30" s="66" t="n">
        <f aca="false">C10*'Assumption Setting'!$C$60</f>
        <v>0</v>
      </c>
      <c r="D30" s="66" t="n">
        <f aca="false">D10*'Assumption Setting'!$C$60</f>
        <v>0</v>
      </c>
      <c r="E30" s="66" t="n">
        <f aca="false">E10*'Assumption Setting'!$C$60</f>
        <v>0</v>
      </c>
      <c r="F30" s="66" t="n">
        <f aca="false">F10*'Assumption Setting'!$C$60</f>
        <v>0</v>
      </c>
      <c r="G30" s="66" t="n">
        <f aca="false">G10*'Assumption Setting'!$C$60</f>
        <v>0</v>
      </c>
      <c r="H30" s="66" t="n">
        <f aca="false">H10*'Assumption Setting'!$C$60</f>
        <v>0</v>
      </c>
      <c r="I30" s="66" t="n">
        <f aca="false">I10*'Assumption Setting'!$C$60</f>
        <v>0</v>
      </c>
      <c r="J30" s="66" t="n">
        <f aca="false">J10*'Assumption Setting'!$C$60</f>
        <v>0</v>
      </c>
      <c r="K30" s="66" t="n">
        <f aca="false">K10*'Assumption Setting'!$C$60</f>
        <v>0</v>
      </c>
      <c r="L30" s="66" t="n">
        <f aca="false">L10*'Assumption Setting'!$C$60</f>
        <v>0</v>
      </c>
      <c r="M30" s="66" t="n">
        <f aca="false">M10*'Assumption Setting'!$C$60</f>
        <v>0</v>
      </c>
      <c r="N30" s="66" t="n">
        <f aca="false">N10*'Assumption Setting'!$C$60</f>
        <v>0</v>
      </c>
      <c r="O30" s="65" t="n">
        <f aca="false">SUM(P30:AA30)</f>
        <v>72000</v>
      </c>
      <c r="P30" s="66" t="n">
        <f aca="false">P10*'Assumption Setting'!$D$60</f>
        <v>0</v>
      </c>
      <c r="Q30" s="66" t="n">
        <f aca="false">Q10*'Assumption Setting'!$D$60</f>
        <v>0</v>
      </c>
      <c r="R30" s="66" t="n">
        <f aca="false">R10*'Assumption Setting'!$D$60</f>
        <v>0</v>
      </c>
      <c r="S30" s="66" t="n">
        <f aca="false">S10*'Assumption Setting'!$D$60</f>
        <v>5040</v>
      </c>
      <c r="T30" s="66" t="n">
        <f aca="false">T10*'Assumption Setting'!$D$60</f>
        <v>5940</v>
      </c>
      <c r="U30" s="66" t="n">
        <f aca="false">U10*'Assumption Setting'!$D$60</f>
        <v>7020</v>
      </c>
      <c r="V30" s="66" t="n">
        <f aca="false">V10*'Assumption Setting'!$D$60</f>
        <v>5040</v>
      </c>
      <c r="W30" s="66" t="n">
        <f aca="false">W10*'Assumption Setting'!$D$60</f>
        <v>5940</v>
      </c>
      <c r="X30" s="66" t="n">
        <f aca="false">X10*'Assumption Setting'!$D$60</f>
        <v>7020</v>
      </c>
      <c r="Y30" s="66" t="n">
        <f aca="false">Y10*'Assumption Setting'!$D$60</f>
        <v>10080</v>
      </c>
      <c r="Z30" s="66" t="n">
        <f aca="false">Z10*'Assumption Setting'!$D$60</f>
        <v>11880</v>
      </c>
      <c r="AA30" s="66" t="n">
        <f aca="false">AA10*'Assumption Setting'!$D$60</f>
        <v>14040</v>
      </c>
      <c r="AB30" s="65" t="n">
        <f aca="false">SUM(AC30:AN30)</f>
        <v>308000</v>
      </c>
      <c r="AC30" s="66" t="n">
        <f aca="false">AC10*'Assumption Setting'!$E$60</f>
        <v>18480</v>
      </c>
      <c r="AD30" s="66" t="n">
        <f aca="false">AD10*'Assumption Setting'!$E$60</f>
        <v>21780</v>
      </c>
      <c r="AE30" s="66" t="n">
        <f aca="false">AE10*'Assumption Setting'!$E$60</f>
        <v>25740</v>
      </c>
      <c r="AF30" s="66" t="n">
        <f aca="false">AF10*'Assumption Setting'!$E$60</f>
        <v>18480</v>
      </c>
      <c r="AG30" s="66" t="n">
        <f aca="false">AG10*'Assumption Setting'!$E$60</f>
        <v>21780</v>
      </c>
      <c r="AH30" s="66" t="n">
        <f aca="false">AH10*'Assumption Setting'!$E$60</f>
        <v>25740</v>
      </c>
      <c r="AI30" s="66" t="n">
        <f aca="false">AI10*'Assumption Setting'!$E$60</f>
        <v>24640</v>
      </c>
      <c r="AJ30" s="66" t="n">
        <f aca="false">AJ10*'Assumption Setting'!$E$60</f>
        <v>29040</v>
      </c>
      <c r="AK30" s="66" t="n">
        <f aca="false">AK10*'Assumption Setting'!$E$60</f>
        <v>34320</v>
      </c>
      <c r="AL30" s="66" t="n">
        <f aca="false">AL10*'Assumption Setting'!$E$60</f>
        <v>24640</v>
      </c>
      <c r="AM30" s="66" t="n">
        <f aca="false">AM10*'Assumption Setting'!$E$60</f>
        <v>29040</v>
      </c>
      <c r="AN30" s="66" t="n">
        <f aca="false">AN10*'Assumption Setting'!$E$60</f>
        <v>34320</v>
      </c>
      <c r="AO30" s="65" t="n">
        <f aca="false">SUM(AP30:BA30)</f>
        <v>550000</v>
      </c>
      <c r="AP30" s="66" t="n">
        <f aca="false">AP10*'Assumption Setting'!$F$60</f>
        <v>35000</v>
      </c>
      <c r="AQ30" s="66" t="n">
        <f aca="false">AQ10*'Assumption Setting'!$F$60</f>
        <v>41250</v>
      </c>
      <c r="AR30" s="66" t="n">
        <f aca="false">AR10*'Assumption Setting'!$F$60</f>
        <v>48750</v>
      </c>
      <c r="AS30" s="66" t="n">
        <f aca="false">AS10*'Assumption Setting'!$F$60</f>
        <v>35000</v>
      </c>
      <c r="AT30" s="66" t="n">
        <f aca="false">AT10*'Assumption Setting'!$F$60</f>
        <v>41250</v>
      </c>
      <c r="AU30" s="66" t="n">
        <f aca="false">AU10*'Assumption Setting'!$F$60</f>
        <v>48750</v>
      </c>
      <c r="AV30" s="66" t="n">
        <f aca="false">AV10*'Assumption Setting'!$F$60</f>
        <v>42000</v>
      </c>
      <c r="AW30" s="66" t="n">
        <f aca="false">AW10*'Assumption Setting'!$F$60</f>
        <v>49500</v>
      </c>
      <c r="AX30" s="66" t="n">
        <f aca="false">AX10*'Assumption Setting'!$F$60</f>
        <v>58500</v>
      </c>
      <c r="AY30" s="66" t="n">
        <f aca="false">AY10*'Assumption Setting'!$F$60</f>
        <v>42000</v>
      </c>
      <c r="AZ30" s="66" t="n">
        <f aca="false">AZ10*'Assumption Setting'!$F$60</f>
        <v>49500</v>
      </c>
      <c r="BA30" s="66" t="n">
        <f aca="false">BA10*'Assumption Setting'!$F$60</f>
        <v>58500</v>
      </c>
      <c r="BB30" s="65" t="n">
        <f aca="false">SUM(BC30:BN30)</f>
        <v>810000</v>
      </c>
      <c r="BC30" s="66" t="n">
        <f aca="false">BC10*'Assumption Setting'!$G$60</f>
        <v>52920</v>
      </c>
      <c r="BD30" s="66" t="n">
        <f aca="false">BD10*'Assumption Setting'!$G$60</f>
        <v>62370</v>
      </c>
      <c r="BE30" s="66" t="n">
        <f aca="false">BE10*'Assumption Setting'!$G$60</f>
        <v>73710</v>
      </c>
      <c r="BF30" s="66" t="n">
        <f aca="false">BF10*'Assumption Setting'!$G$60</f>
        <v>52920</v>
      </c>
      <c r="BG30" s="66" t="n">
        <f aca="false">BG10*'Assumption Setting'!$G$60</f>
        <v>62370</v>
      </c>
      <c r="BH30" s="66" t="n">
        <f aca="false">BH10*'Assumption Setting'!$G$60</f>
        <v>73710</v>
      </c>
      <c r="BI30" s="66" t="n">
        <f aca="false">BI10*'Assumption Setting'!$G$60</f>
        <v>60480</v>
      </c>
      <c r="BJ30" s="66" t="n">
        <f aca="false">BJ10*'Assumption Setting'!$G$60</f>
        <v>71280</v>
      </c>
      <c r="BK30" s="66" t="n">
        <f aca="false">BK10*'Assumption Setting'!$G$60</f>
        <v>84240</v>
      </c>
      <c r="BL30" s="66" t="n">
        <f aca="false">BL10*'Assumption Setting'!$G$60</f>
        <v>60480</v>
      </c>
      <c r="BM30" s="66" t="n">
        <f aca="false">BM10*'Assumption Setting'!$G$60</f>
        <v>71280</v>
      </c>
      <c r="BN30" s="66" t="n">
        <f aca="false">BN10*'Assumption Setting'!$G$60</f>
        <v>84240</v>
      </c>
    </row>
    <row r="31" customFormat="false" ht="15" hidden="false" customHeight="false" outlineLevel="0" collapsed="false">
      <c r="A31" s="12" t="s">
        <v>253</v>
      </c>
      <c r="B31" s="65" t="n">
        <f aca="false">SUM(C31:N31)</f>
        <v>0</v>
      </c>
      <c r="C31" s="66" t="n">
        <f aca="false">C11*'Assumption Setting'!$C$61</f>
        <v>0</v>
      </c>
      <c r="D31" s="66" t="n">
        <f aca="false">D11*'Assumption Setting'!$C$61</f>
        <v>0</v>
      </c>
      <c r="E31" s="66" t="n">
        <f aca="false">E11*'Assumption Setting'!$C$61</f>
        <v>0</v>
      </c>
      <c r="F31" s="66" t="n">
        <f aca="false">F11*'Assumption Setting'!$C$61</f>
        <v>0</v>
      </c>
      <c r="G31" s="66" t="n">
        <f aca="false">G11*'Assumption Setting'!$C$61</f>
        <v>0</v>
      </c>
      <c r="H31" s="66" t="n">
        <f aca="false">H11*'Assumption Setting'!$C$61</f>
        <v>0</v>
      </c>
      <c r="I31" s="66" t="n">
        <f aca="false">I11*'Assumption Setting'!$C$61</f>
        <v>0</v>
      </c>
      <c r="J31" s="66" t="n">
        <f aca="false">J11*'Assumption Setting'!$C$61</f>
        <v>0</v>
      </c>
      <c r="K31" s="66" t="n">
        <f aca="false">K11*'Assumption Setting'!$C$61</f>
        <v>0</v>
      </c>
      <c r="L31" s="66" t="n">
        <f aca="false">L11*'Assumption Setting'!$C$61</f>
        <v>0</v>
      </c>
      <c r="M31" s="66" t="n">
        <f aca="false">M11*'Assumption Setting'!$C$61</f>
        <v>0</v>
      </c>
      <c r="N31" s="66" t="n">
        <f aca="false">N11*'Assumption Setting'!$C$61</f>
        <v>0</v>
      </c>
      <c r="O31" s="65" t="n">
        <f aca="false">SUM(P31:AA31)</f>
        <v>37800</v>
      </c>
      <c r="P31" s="66" t="n">
        <f aca="false">P11*'Assumption Setting'!$D$61</f>
        <v>0</v>
      </c>
      <c r="Q31" s="66" t="n">
        <f aca="false">Q11*'Assumption Setting'!$D$61</f>
        <v>0</v>
      </c>
      <c r="R31" s="66" t="n">
        <f aca="false">R11*'Assumption Setting'!$D$61</f>
        <v>0</v>
      </c>
      <c r="S31" s="66" t="n">
        <f aca="false">S11*'Assumption Setting'!$D$61</f>
        <v>2352</v>
      </c>
      <c r="T31" s="66" t="n">
        <f aca="false">T11*'Assumption Setting'!$D$61</f>
        <v>2772</v>
      </c>
      <c r="U31" s="66" t="n">
        <f aca="false">U11*'Assumption Setting'!$D$61</f>
        <v>3276</v>
      </c>
      <c r="V31" s="66" t="n">
        <f aca="false">V11*'Assumption Setting'!$D$61</f>
        <v>3528</v>
      </c>
      <c r="W31" s="66" t="n">
        <f aca="false">W11*'Assumption Setting'!$D$61</f>
        <v>4158</v>
      </c>
      <c r="X31" s="66" t="n">
        <f aca="false">X11*'Assumption Setting'!$D$61</f>
        <v>4914</v>
      </c>
      <c r="Y31" s="66" t="n">
        <f aca="false">Y11*'Assumption Setting'!$D$61</f>
        <v>4704</v>
      </c>
      <c r="Z31" s="66" t="n">
        <f aca="false">Z11*'Assumption Setting'!$D$61</f>
        <v>5544</v>
      </c>
      <c r="AA31" s="66" t="n">
        <f aca="false">AA11*'Assumption Setting'!$D$61</f>
        <v>6552</v>
      </c>
      <c r="AB31" s="65" t="n">
        <f aca="false">SUM(AC31:AN31)</f>
        <v>165600</v>
      </c>
      <c r="AC31" s="66" t="n">
        <f aca="false">AC11*'Assumption Setting'!$E$61</f>
        <v>7728</v>
      </c>
      <c r="AD31" s="66" t="n">
        <f aca="false">AD11*'Assumption Setting'!$E$61</f>
        <v>9108</v>
      </c>
      <c r="AE31" s="66" t="n">
        <f aca="false">AE11*'Assumption Setting'!$E$61</f>
        <v>10764</v>
      </c>
      <c r="AF31" s="66" t="n">
        <f aca="false">AF11*'Assumption Setting'!$E$61</f>
        <v>10304</v>
      </c>
      <c r="AG31" s="66" t="n">
        <f aca="false">AG11*'Assumption Setting'!$E$61</f>
        <v>12144</v>
      </c>
      <c r="AH31" s="66" t="n">
        <f aca="false">AH11*'Assumption Setting'!$E$61</f>
        <v>14352</v>
      </c>
      <c r="AI31" s="66" t="n">
        <f aca="false">AI11*'Assumption Setting'!$E$61</f>
        <v>12880</v>
      </c>
      <c r="AJ31" s="66" t="n">
        <f aca="false">AJ11*'Assumption Setting'!$E$61</f>
        <v>15180</v>
      </c>
      <c r="AK31" s="66" t="n">
        <f aca="false">AK11*'Assumption Setting'!$E$61</f>
        <v>17940</v>
      </c>
      <c r="AL31" s="66" t="n">
        <f aca="false">AL11*'Assumption Setting'!$E$61</f>
        <v>15456</v>
      </c>
      <c r="AM31" s="66" t="n">
        <f aca="false">AM11*'Assumption Setting'!$E$61</f>
        <v>18216</v>
      </c>
      <c r="AN31" s="66" t="n">
        <f aca="false">AN11*'Assumption Setting'!$E$61</f>
        <v>21528</v>
      </c>
      <c r="AO31" s="65" t="n">
        <f aca="false">SUM(AP31:BA31)</f>
        <v>333200</v>
      </c>
      <c r="AP31" s="66" t="n">
        <f aca="false">AP11*'Assumption Setting'!$F$61</f>
        <v>19208</v>
      </c>
      <c r="AQ31" s="66" t="n">
        <f aca="false">AQ11*'Assumption Setting'!$F$61</f>
        <v>22638</v>
      </c>
      <c r="AR31" s="66" t="n">
        <f aca="false">AR11*'Assumption Setting'!$F$61</f>
        <v>26754</v>
      </c>
      <c r="AS31" s="66" t="n">
        <f aca="false">AS11*'Assumption Setting'!$F$61</f>
        <v>21952</v>
      </c>
      <c r="AT31" s="66" t="n">
        <f aca="false">AT11*'Assumption Setting'!$F$61</f>
        <v>25872</v>
      </c>
      <c r="AU31" s="66" t="n">
        <f aca="false">AU11*'Assumption Setting'!$F$61</f>
        <v>30576</v>
      </c>
      <c r="AV31" s="66" t="n">
        <f aca="false">AV11*'Assumption Setting'!$F$61</f>
        <v>24696</v>
      </c>
      <c r="AW31" s="66" t="n">
        <f aca="false">AW11*'Assumption Setting'!$F$61</f>
        <v>29106</v>
      </c>
      <c r="AX31" s="66" t="n">
        <f aca="false">AX11*'Assumption Setting'!$F$61</f>
        <v>34398</v>
      </c>
      <c r="AY31" s="66" t="n">
        <f aca="false">AY11*'Assumption Setting'!$F$61</f>
        <v>27440</v>
      </c>
      <c r="AZ31" s="66" t="n">
        <f aca="false">AZ11*'Assumption Setting'!$F$61</f>
        <v>32340</v>
      </c>
      <c r="BA31" s="66" t="n">
        <f aca="false">BA11*'Assumption Setting'!$F$61</f>
        <v>38220</v>
      </c>
      <c r="BB31" s="65" t="n">
        <f aca="false">SUM(BC31:BN31)</f>
        <v>520000</v>
      </c>
      <c r="BC31" s="66" t="n">
        <f aca="false">BC11*'Assumption Setting'!$G$61</f>
        <v>32032</v>
      </c>
      <c r="BD31" s="66" t="n">
        <f aca="false">BD11*'Assumption Setting'!$G$61</f>
        <v>37752</v>
      </c>
      <c r="BE31" s="66" t="n">
        <f aca="false">BE11*'Assumption Setting'!$G$61</f>
        <v>44616</v>
      </c>
      <c r="BF31" s="66" t="n">
        <f aca="false">BF11*'Assumption Setting'!$G$61</f>
        <v>34944</v>
      </c>
      <c r="BG31" s="66" t="n">
        <f aca="false">BG11*'Assumption Setting'!$G$61</f>
        <v>41184</v>
      </c>
      <c r="BH31" s="66" t="n">
        <f aca="false">BH11*'Assumption Setting'!$G$61</f>
        <v>48672</v>
      </c>
      <c r="BI31" s="66" t="n">
        <f aca="false">BI11*'Assumption Setting'!$G$61</f>
        <v>37856</v>
      </c>
      <c r="BJ31" s="66" t="n">
        <f aca="false">BJ11*'Assumption Setting'!$G$61</f>
        <v>44616</v>
      </c>
      <c r="BK31" s="66" t="n">
        <f aca="false">BK11*'Assumption Setting'!$G$61</f>
        <v>52728</v>
      </c>
      <c r="BL31" s="66" t="n">
        <f aca="false">BL11*'Assumption Setting'!$G$61</f>
        <v>40768</v>
      </c>
      <c r="BM31" s="66" t="n">
        <f aca="false">BM11*'Assumption Setting'!$G$61</f>
        <v>48048</v>
      </c>
      <c r="BN31" s="66" t="n">
        <f aca="false">BN11*'Assumption Setting'!$G$61</f>
        <v>56784</v>
      </c>
    </row>
    <row r="32" customFormat="false" ht="15" hidden="false" customHeight="false" outlineLevel="0" collapsed="false">
      <c r="A32" s="12" t="s">
        <v>715</v>
      </c>
      <c r="B32" s="65" t="n">
        <f aca="false">SUM(C32:N32)</f>
        <v>0</v>
      </c>
      <c r="C32" s="66" t="n">
        <f aca="false">C12*'Assumption Setting'!$C$62</f>
        <v>0</v>
      </c>
      <c r="D32" s="66" t="n">
        <f aca="false">D12*'Assumption Setting'!$C$62</f>
        <v>0</v>
      </c>
      <c r="E32" s="66" t="n">
        <f aca="false">E12*'Assumption Setting'!$C$62</f>
        <v>0</v>
      </c>
      <c r="F32" s="66" t="n">
        <f aca="false">F12*'Assumption Setting'!$C$62</f>
        <v>0</v>
      </c>
      <c r="G32" s="66" t="n">
        <f aca="false">G12*'Assumption Setting'!$C$62</f>
        <v>0</v>
      </c>
      <c r="H32" s="66" t="n">
        <f aca="false">H12*'Assumption Setting'!$C$62</f>
        <v>0</v>
      </c>
      <c r="I32" s="66" t="n">
        <f aca="false">I12*'Assumption Setting'!$C$62</f>
        <v>0</v>
      </c>
      <c r="J32" s="66" t="n">
        <f aca="false">J12*'Assumption Setting'!$C$62</f>
        <v>0</v>
      </c>
      <c r="K32" s="66" t="n">
        <f aca="false">K12*'Assumption Setting'!$C$62</f>
        <v>0</v>
      </c>
      <c r="L32" s="66" t="n">
        <f aca="false">L12*'Assumption Setting'!$C$62</f>
        <v>0</v>
      </c>
      <c r="M32" s="66" t="n">
        <f aca="false">M12*'Assumption Setting'!$C$62</f>
        <v>0</v>
      </c>
      <c r="N32" s="66" t="n">
        <f aca="false">N12*'Assumption Setting'!$C$62</f>
        <v>0</v>
      </c>
      <c r="O32" s="65" t="n">
        <f aca="false">SUM(P32:AA32)</f>
        <v>18000</v>
      </c>
      <c r="P32" s="66" t="n">
        <f aca="false">P12*'Assumption Setting'!$D$62</f>
        <v>0</v>
      </c>
      <c r="Q32" s="66" t="n">
        <f aca="false">Q12*'Assumption Setting'!$D$62</f>
        <v>0</v>
      </c>
      <c r="R32" s="66" t="n">
        <f aca="false">R12*'Assumption Setting'!$D$62</f>
        <v>0</v>
      </c>
      <c r="S32" s="66" t="n">
        <f aca="false">S12*'Assumption Setting'!$D$62</f>
        <v>0</v>
      </c>
      <c r="T32" s="66" t="n">
        <f aca="false">T12*'Assumption Setting'!$D$62</f>
        <v>0</v>
      </c>
      <c r="U32" s="66" t="n">
        <f aca="false">U12*'Assumption Setting'!$D$62</f>
        <v>0</v>
      </c>
      <c r="V32" s="66" t="n">
        <f aca="false">V12*'Assumption Setting'!$D$62</f>
        <v>2520</v>
      </c>
      <c r="W32" s="66" t="n">
        <f aca="false">W12*'Assumption Setting'!$D$62</f>
        <v>2970</v>
      </c>
      <c r="X32" s="66" t="n">
        <f aca="false">X12*'Assumption Setting'!$D$62</f>
        <v>3510</v>
      </c>
      <c r="Y32" s="66" t="n">
        <f aca="false">Y12*'Assumption Setting'!$D$62</f>
        <v>2520</v>
      </c>
      <c r="Z32" s="66" t="n">
        <f aca="false">Z12*'Assumption Setting'!$D$62</f>
        <v>2970</v>
      </c>
      <c r="AA32" s="66" t="n">
        <f aca="false">AA12*'Assumption Setting'!$D$62</f>
        <v>3510</v>
      </c>
      <c r="AB32" s="65" t="n">
        <f aca="false">SUM(AC32:AN32)</f>
        <v>110000</v>
      </c>
      <c r="AC32" s="66" t="n">
        <f aca="false">AC12*'Assumption Setting'!$E$62</f>
        <v>6160</v>
      </c>
      <c r="AD32" s="66" t="n">
        <f aca="false">AD12*'Assumption Setting'!$E$62</f>
        <v>7260</v>
      </c>
      <c r="AE32" s="66" t="n">
        <f aca="false">AE12*'Assumption Setting'!$E$62</f>
        <v>8580</v>
      </c>
      <c r="AF32" s="66" t="n">
        <f aca="false">AF12*'Assumption Setting'!$E$62</f>
        <v>6160</v>
      </c>
      <c r="AG32" s="66" t="n">
        <f aca="false">AG12*'Assumption Setting'!$E$62</f>
        <v>7260</v>
      </c>
      <c r="AH32" s="66" t="n">
        <f aca="false">AH12*'Assumption Setting'!$E$62</f>
        <v>8580</v>
      </c>
      <c r="AI32" s="66" t="n">
        <f aca="false">AI12*'Assumption Setting'!$E$62</f>
        <v>9240</v>
      </c>
      <c r="AJ32" s="66" t="n">
        <f aca="false">AJ12*'Assumption Setting'!$E$62</f>
        <v>10890</v>
      </c>
      <c r="AK32" s="66" t="n">
        <f aca="false">AK12*'Assumption Setting'!$E$62</f>
        <v>12870</v>
      </c>
      <c r="AL32" s="66" t="n">
        <f aca="false">AL12*'Assumption Setting'!$E$62</f>
        <v>9240</v>
      </c>
      <c r="AM32" s="66" t="n">
        <f aca="false">AM12*'Assumption Setting'!$E$62</f>
        <v>10890</v>
      </c>
      <c r="AN32" s="66" t="n">
        <f aca="false">AN12*'Assumption Setting'!$E$62</f>
        <v>12870</v>
      </c>
      <c r="AO32" s="65" t="n">
        <f aca="false">SUM(AP32:BA32)</f>
        <v>216000</v>
      </c>
      <c r="AP32" s="66" t="n">
        <f aca="false">AP12*'Assumption Setting'!$F$62</f>
        <v>13440</v>
      </c>
      <c r="AQ32" s="66" t="n">
        <f aca="false">AQ12*'Assumption Setting'!$F$62</f>
        <v>15840</v>
      </c>
      <c r="AR32" s="66" t="n">
        <f aca="false">AR12*'Assumption Setting'!$F$62</f>
        <v>18720</v>
      </c>
      <c r="AS32" s="66" t="n">
        <f aca="false">AS12*'Assumption Setting'!$F$62</f>
        <v>13440</v>
      </c>
      <c r="AT32" s="66" t="n">
        <f aca="false">AT12*'Assumption Setting'!$F$62</f>
        <v>15840</v>
      </c>
      <c r="AU32" s="66" t="n">
        <f aca="false">AU12*'Assumption Setting'!$F$62</f>
        <v>18720</v>
      </c>
      <c r="AV32" s="66" t="n">
        <f aca="false">AV12*'Assumption Setting'!$F$62</f>
        <v>16800</v>
      </c>
      <c r="AW32" s="66" t="n">
        <f aca="false">AW12*'Assumption Setting'!$F$62</f>
        <v>19800</v>
      </c>
      <c r="AX32" s="66" t="n">
        <f aca="false">AX12*'Assumption Setting'!$F$62</f>
        <v>23400</v>
      </c>
      <c r="AY32" s="66" t="n">
        <f aca="false">AY12*'Assumption Setting'!$F$62</f>
        <v>16800</v>
      </c>
      <c r="AZ32" s="66" t="n">
        <f aca="false">AZ12*'Assumption Setting'!$F$62</f>
        <v>19800</v>
      </c>
      <c r="BA32" s="66" t="n">
        <f aca="false">BA12*'Assumption Setting'!$F$62</f>
        <v>23400</v>
      </c>
      <c r="BB32" s="65" t="n">
        <f aca="false">SUM(BC32:BN32)</f>
        <v>338000</v>
      </c>
      <c r="BC32" s="66" t="n">
        <f aca="false">BC12*'Assumption Setting'!$G$62</f>
        <v>21840</v>
      </c>
      <c r="BD32" s="66" t="n">
        <f aca="false">BD12*'Assumption Setting'!$G$62</f>
        <v>25740</v>
      </c>
      <c r="BE32" s="66" t="n">
        <f aca="false">BE12*'Assumption Setting'!$G$62</f>
        <v>30420</v>
      </c>
      <c r="BF32" s="66" t="n">
        <f aca="false">BF12*'Assumption Setting'!$G$62</f>
        <v>21840</v>
      </c>
      <c r="BG32" s="66" t="n">
        <f aca="false">BG12*'Assumption Setting'!$G$62</f>
        <v>25740</v>
      </c>
      <c r="BH32" s="66" t="n">
        <f aca="false">BH12*'Assumption Setting'!$G$62</f>
        <v>30420</v>
      </c>
      <c r="BI32" s="66" t="n">
        <f aca="false">BI12*'Assumption Setting'!$G$62</f>
        <v>25480</v>
      </c>
      <c r="BJ32" s="66" t="n">
        <f aca="false">BJ12*'Assumption Setting'!$G$62</f>
        <v>30030</v>
      </c>
      <c r="BK32" s="66" t="n">
        <f aca="false">BK12*'Assumption Setting'!$G$62</f>
        <v>35490</v>
      </c>
      <c r="BL32" s="66" t="n">
        <f aca="false">BL12*'Assumption Setting'!$G$62</f>
        <v>25480</v>
      </c>
      <c r="BM32" s="66" t="n">
        <f aca="false">BM12*'Assumption Setting'!$G$62</f>
        <v>30030</v>
      </c>
      <c r="BN32" s="66" t="n">
        <f aca="false">BN12*'Assumption Setting'!$G$62</f>
        <v>35490</v>
      </c>
    </row>
    <row r="33" customFormat="false" ht="15" hidden="false" customHeight="false" outlineLevel="0" collapsed="false">
      <c r="A33" s="12" t="s">
        <v>259</v>
      </c>
      <c r="B33" s="65" t="n">
        <f aca="false">SUM(C33:N33)</f>
        <v>0</v>
      </c>
      <c r="C33" s="66" t="n">
        <f aca="false">C13*'Assumption Setting'!$C$63</f>
        <v>0</v>
      </c>
      <c r="D33" s="66" t="n">
        <f aca="false">D13*'Assumption Setting'!$C$63</f>
        <v>0</v>
      </c>
      <c r="E33" s="66" t="n">
        <f aca="false">E13*'Assumption Setting'!$C$63</f>
        <v>0</v>
      </c>
      <c r="F33" s="66" t="n">
        <f aca="false">F13*'Assumption Setting'!$C$63</f>
        <v>0</v>
      </c>
      <c r="G33" s="66" t="n">
        <f aca="false">G13*'Assumption Setting'!$C$63</f>
        <v>0</v>
      </c>
      <c r="H33" s="66" t="n">
        <f aca="false">H13*'Assumption Setting'!$C$63</f>
        <v>0</v>
      </c>
      <c r="I33" s="66" t="n">
        <f aca="false">I13*'Assumption Setting'!$C$63</f>
        <v>0</v>
      </c>
      <c r="J33" s="66" t="n">
        <f aca="false">J13*'Assumption Setting'!$C$63</f>
        <v>0</v>
      </c>
      <c r="K33" s="66" t="n">
        <f aca="false">K13*'Assumption Setting'!$C$63</f>
        <v>0</v>
      </c>
      <c r="L33" s="66" t="n">
        <f aca="false">L13*'Assumption Setting'!$C$63</f>
        <v>0</v>
      </c>
      <c r="M33" s="66" t="n">
        <f aca="false">M13*'Assumption Setting'!$C$63</f>
        <v>0</v>
      </c>
      <c r="N33" s="66" t="n">
        <f aca="false">N13*'Assumption Setting'!$C$63</f>
        <v>0</v>
      </c>
      <c r="O33" s="65" t="n">
        <f aca="false">SUM(P33:AA33)</f>
        <v>13800</v>
      </c>
      <c r="P33" s="66" t="n">
        <f aca="false">P13*'Assumption Setting'!$D$63</f>
        <v>0</v>
      </c>
      <c r="Q33" s="66" t="n">
        <f aca="false">Q13*'Assumption Setting'!$D$63</f>
        <v>0</v>
      </c>
      <c r="R33" s="66" t="n">
        <f aca="false">R13*'Assumption Setting'!$D$63</f>
        <v>0</v>
      </c>
      <c r="S33" s="66" t="n">
        <f aca="false">S13*'Assumption Setting'!$D$63</f>
        <v>0</v>
      </c>
      <c r="T33" s="66" t="n">
        <f aca="false">T13*'Assumption Setting'!$D$63</f>
        <v>0</v>
      </c>
      <c r="U33" s="66" t="n">
        <f aca="false">U13*'Assumption Setting'!$D$63</f>
        <v>0</v>
      </c>
      <c r="V33" s="66" t="n">
        <f aca="false">V13*'Assumption Setting'!$D$63</f>
        <v>1288</v>
      </c>
      <c r="W33" s="66" t="n">
        <f aca="false">W13*'Assumption Setting'!$D$63</f>
        <v>1518</v>
      </c>
      <c r="X33" s="66" t="n">
        <f aca="false">X13*'Assumption Setting'!$D$63</f>
        <v>1794</v>
      </c>
      <c r="Y33" s="66" t="n">
        <f aca="false">Y13*'Assumption Setting'!$D$63</f>
        <v>2576</v>
      </c>
      <c r="Z33" s="66" t="n">
        <f aca="false">Z13*'Assumption Setting'!$D$63</f>
        <v>3036</v>
      </c>
      <c r="AA33" s="66" t="n">
        <f aca="false">AA13*'Assumption Setting'!$D$63</f>
        <v>3588</v>
      </c>
      <c r="AB33" s="65" t="n">
        <f aca="false">SUM(AC33:AN33)</f>
        <v>90000</v>
      </c>
      <c r="AC33" s="66" t="n">
        <f aca="false">AC13*'Assumption Setting'!$E$63</f>
        <v>4200</v>
      </c>
      <c r="AD33" s="66" t="n">
        <f aca="false">AD13*'Assumption Setting'!$E$63</f>
        <v>4950</v>
      </c>
      <c r="AE33" s="66" t="n">
        <f aca="false">AE13*'Assumption Setting'!$E$63</f>
        <v>5850</v>
      </c>
      <c r="AF33" s="66" t="n">
        <f aca="false">AF13*'Assumption Setting'!$E$63</f>
        <v>5600</v>
      </c>
      <c r="AG33" s="66" t="n">
        <f aca="false">AG13*'Assumption Setting'!$E$63</f>
        <v>6600</v>
      </c>
      <c r="AH33" s="66" t="n">
        <f aca="false">AH13*'Assumption Setting'!$E$63</f>
        <v>7800</v>
      </c>
      <c r="AI33" s="66" t="n">
        <f aca="false">AI13*'Assumption Setting'!$E$63</f>
        <v>7000</v>
      </c>
      <c r="AJ33" s="66" t="n">
        <f aca="false">AJ13*'Assumption Setting'!$E$63</f>
        <v>8250</v>
      </c>
      <c r="AK33" s="66" t="n">
        <f aca="false">AK13*'Assumption Setting'!$E$63</f>
        <v>9750</v>
      </c>
      <c r="AL33" s="66" t="n">
        <f aca="false">AL13*'Assumption Setting'!$E$63</f>
        <v>8400</v>
      </c>
      <c r="AM33" s="66" t="n">
        <f aca="false">AM13*'Assumption Setting'!$E$63</f>
        <v>9900</v>
      </c>
      <c r="AN33" s="66" t="n">
        <f aca="false">AN13*'Assumption Setting'!$E$63</f>
        <v>11700</v>
      </c>
      <c r="AO33" s="65" t="n">
        <f aca="false">SUM(AP33:BA33)</f>
        <v>180200</v>
      </c>
      <c r="AP33" s="66" t="n">
        <f aca="false">AP13*'Assumption Setting'!$F$63</f>
        <v>10388</v>
      </c>
      <c r="AQ33" s="66" t="n">
        <f aca="false">AQ13*'Assumption Setting'!$F$63</f>
        <v>12243</v>
      </c>
      <c r="AR33" s="66" t="n">
        <f aca="false">AR13*'Assumption Setting'!$F$63</f>
        <v>14469</v>
      </c>
      <c r="AS33" s="66" t="n">
        <f aca="false">AS13*'Assumption Setting'!$F$63</f>
        <v>11872</v>
      </c>
      <c r="AT33" s="66" t="n">
        <f aca="false">AT13*'Assumption Setting'!$F$63</f>
        <v>13992</v>
      </c>
      <c r="AU33" s="66" t="n">
        <f aca="false">AU13*'Assumption Setting'!$F$63</f>
        <v>16536</v>
      </c>
      <c r="AV33" s="66" t="n">
        <f aca="false">AV13*'Assumption Setting'!$F$63</f>
        <v>13356</v>
      </c>
      <c r="AW33" s="66" t="n">
        <f aca="false">AW13*'Assumption Setting'!$F$63</f>
        <v>15741</v>
      </c>
      <c r="AX33" s="66" t="n">
        <f aca="false">AX13*'Assumption Setting'!$F$63</f>
        <v>18603</v>
      </c>
      <c r="AY33" s="66" t="n">
        <f aca="false">AY13*'Assumption Setting'!$F$63</f>
        <v>14840</v>
      </c>
      <c r="AZ33" s="66" t="n">
        <f aca="false">AZ13*'Assumption Setting'!$F$63</f>
        <v>17490</v>
      </c>
      <c r="BA33" s="66" t="n">
        <f aca="false">BA13*'Assumption Setting'!$F$63</f>
        <v>20670</v>
      </c>
      <c r="BB33" s="65" t="n">
        <f aca="false">SUM(BC33:BN33)</f>
        <v>280000</v>
      </c>
      <c r="BC33" s="66" t="n">
        <f aca="false">BC13*'Assumption Setting'!$G$63</f>
        <v>17248</v>
      </c>
      <c r="BD33" s="66" t="n">
        <f aca="false">BD13*'Assumption Setting'!$G$63</f>
        <v>20328</v>
      </c>
      <c r="BE33" s="66" t="n">
        <f aca="false">BE13*'Assumption Setting'!$G$63</f>
        <v>24024</v>
      </c>
      <c r="BF33" s="66" t="n">
        <f aca="false">BF13*'Assumption Setting'!$G$63</f>
        <v>18816</v>
      </c>
      <c r="BG33" s="66" t="n">
        <f aca="false">BG13*'Assumption Setting'!$G$63</f>
        <v>22176</v>
      </c>
      <c r="BH33" s="66" t="n">
        <f aca="false">BH13*'Assumption Setting'!$G$63</f>
        <v>26208</v>
      </c>
      <c r="BI33" s="66" t="n">
        <f aca="false">BI13*'Assumption Setting'!$G$63</f>
        <v>20384</v>
      </c>
      <c r="BJ33" s="66" t="n">
        <f aca="false">BJ13*'Assumption Setting'!$G$63</f>
        <v>24024</v>
      </c>
      <c r="BK33" s="66" t="n">
        <f aca="false">BK13*'Assumption Setting'!$G$63</f>
        <v>28392</v>
      </c>
      <c r="BL33" s="66" t="n">
        <f aca="false">BL13*'Assumption Setting'!$G$63</f>
        <v>21952</v>
      </c>
      <c r="BM33" s="66" t="n">
        <f aca="false">BM13*'Assumption Setting'!$G$63</f>
        <v>25872</v>
      </c>
      <c r="BN33" s="66" t="n">
        <f aca="false">BN13*'Assumption Setting'!$G$63</f>
        <v>30576</v>
      </c>
    </row>
    <row r="34" customFormat="false" ht="15" hidden="false" customHeight="false" outlineLevel="0" collapsed="false">
      <c r="A34" s="12" t="s">
        <v>262</v>
      </c>
      <c r="B34" s="65" t="n">
        <f aca="false">SUM(C34:N34)</f>
        <v>0</v>
      </c>
      <c r="C34" s="66" t="n">
        <f aca="false">C14*'Assumption Setting'!$C$64</f>
        <v>0</v>
      </c>
      <c r="D34" s="66" t="n">
        <f aca="false">D14*'Assumption Setting'!$C$64</f>
        <v>0</v>
      </c>
      <c r="E34" s="66" t="n">
        <f aca="false">E14*'Assumption Setting'!$C$64</f>
        <v>0</v>
      </c>
      <c r="F34" s="66" t="n">
        <f aca="false">F14*'Assumption Setting'!$C$64</f>
        <v>0</v>
      </c>
      <c r="G34" s="66" t="n">
        <f aca="false">G14*'Assumption Setting'!$C$64</f>
        <v>0</v>
      </c>
      <c r="H34" s="66" t="n">
        <f aca="false">H14*'Assumption Setting'!$C$64</f>
        <v>0</v>
      </c>
      <c r="I34" s="66" t="n">
        <f aca="false">I14*'Assumption Setting'!$C$64</f>
        <v>0</v>
      </c>
      <c r="J34" s="66" t="n">
        <f aca="false">J14*'Assumption Setting'!$C$64</f>
        <v>0</v>
      </c>
      <c r="K34" s="66" t="n">
        <f aca="false">K14*'Assumption Setting'!$C$64</f>
        <v>0</v>
      </c>
      <c r="L34" s="66" t="n">
        <f aca="false">L14*'Assumption Setting'!$C$64</f>
        <v>0</v>
      </c>
      <c r="M34" s="66" t="n">
        <f aca="false">M14*'Assumption Setting'!$C$64</f>
        <v>0</v>
      </c>
      <c r="N34" s="66" t="n">
        <f aca="false">N14*'Assumption Setting'!$C$64</f>
        <v>0</v>
      </c>
      <c r="O34" s="65" t="n">
        <f aca="false">SUM(P34:AA34)</f>
        <v>96000</v>
      </c>
      <c r="P34" s="66" t="n">
        <f aca="false">P14*'Assumption Setting'!$D$64</f>
        <v>0</v>
      </c>
      <c r="Q34" s="66" t="n">
        <f aca="false">Q14*'Assumption Setting'!$D$64</f>
        <v>0</v>
      </c>
      <c r="R34" s="66" t="n">
        <f aca="false">R14*'Assumption Setting'!$D$64</f>
        <v>0</v>
      </c>
      <c r="S34" s="66" t="n">
        <f aca="false">S14*'Assumption Setting'!$D$64</f>
        <v>0</v>
      </c>
      <c r="T34" s="66" t="n">
        <f aca="false">T14*'Assumption Setting'!$D$64</f>
        <v>0</v>
      </c>
      <c r="U34" s="66" t="n">
        <f aca="false">U14*'Assumption Setting'!$D$64</f>
        <v>0</v>
      </c>
      <c r="V34" s="66" t="n">
        <f aca="false">V14*'Assumption Setting'!$D$64</f>
        <v>10080</v>
      </c>
      <c r="W34" s="66" t="n">
        <f aca="false">W14*'Assumption Setting'!$D$64</f>
        <v>11880</v>
      </c>
      <c r="X34" s="66" t="n">
        <f aca="false">X14*'Assumption Setting'!$D$64</f>
        <v>14040</v>
      </c>
      <c r="Y34" s="66" t="n">
        <f aca="false">Y14*'Assumption Setting'!$D$64</f>
        <v>16800</v>
      </c>
      <c r="Z34" s="66" t="n">
        <f aca="false">Z14*'Assumption Setting'!$D$64</f>
        <v>19800</v>
      </c>
      <c r="AA34" s="66" t="n">
        <f aca="false">AA14*'Assumption Setting'!$D$64</f>
        <v>23400</v>
      </c>
      <c r="AB34" s="65" t="n">
        <f aca="false">SUM(AC34:AN34)</f>
        <v>560000</v>
      </c>
      <c r="AC34" s="66" t="n">
        <f aca="false">AC14*'Assumption Setting'!$E$64</f>
        <v>22400</v>
      </c>
      <c r="AD34" s="66" t="n">
        <f aca="false">AD14*'Assumption Setting'!$E$64</f>
        <v>26400</v>
      </c>
      <c r="AE34" s="66" t="n">
        <f aca="false">AE14*'Assumption Setting'!$E$64</f>
        <v>31200</v>
      </c>
      <c r="AF34" s="66" t="n">
        <f aca="false">AF14*'Assumption Setting'!$E$64</f>
        <v>33600</v>
      </c>
      <c r="AG34" s="66" t="n">
        <f aca="false">AG14*'Assumption Setting'!$E$64</f>
        <v>39600</v>
      </c>
      <c r="AH34" s="66" t="n">
        <f aca="false">AH14*'Assumption Setting'!$E$64</f>
        <v>46800</v>
      </c>
      <c r="AI34" s="66" t="n">
        <f aca="false">AI14*'Assumption Setting'!$E$64</f>
        <v>44800</v>
      </c>
      <c r="AJ34" s="66" t="n">
        <f aca="false">AJ14*'Assumption Setting'!$E$64</f>
        <v>52800</v>
      </c>
      <c r="AK34" s="66" t="n">
        <f aca="false">AK14*'Assumption Setting'!$E$64</f>
        <v>62400</v>
      </c>
      <c r="AL34" s="66" t="n">
        <f aca="false">AL14*'Assumption Setting'!$E$64</f>
        <v>56000</v>
      </c>
      <c r="AM34" s="66" t="n">
        <f aca="false">AM14*'Assumption Setting'!$E$64</f>
        <v>66000</v>
      </c>
      <c r="AN34" s="66" t="n">
        <f aca="false">AN14*'Assumption Setting'!$E$64</f>
        <v>78000</v>
      </c>
      <c r="AO34" s="65" t="n">
        <f aca="false">SUM(AP34:BA34)</f>
        <v>1332000</v>
      </c>
      <c r="AP34" s="66" t="n">
        <f aca="false">AP14*'Assumption Setting'!$F$64</f>
        <v>70560</v>
      </c>
      <c r="AQ34" s="66" t="n">
        <f aca="false">AQ14*'Assumption Setting'!$F$64</f>
        <v>83160</v>
      </c>
      <c r="AR34" s="66" t="n">
        <f aca="false">AR14*'Assumption Setting'!$F$64</f>
        <v>98280</v>
      </c>
      <c r="AS34" s="66" t="n">
        <f aca="false">AS14*'Assumption Setting'!$F$64</f>
        <v>85680</v>
      </c>
      <c r="AT34" s="66" t="n">
        <f aca="false">AT14*'Assumption Setting'!$F$64</f>
        <v>100980</v>
      </c>
      <c r="AU34" s="66" t="n">
        <f aca="false">AU14*'Assumption Setting'!$F$64</f>
        <v>119340</v>
      </c>
      <c r="AV34" s="66" t="n">
        <f aca="false">AV14*'Assumption Setting'!$F$64</f>
        <v>100800</v>
      </c>
      <c r="AW34" s="66" t="n">
        <f aca="false">AW14*'Assumption Setting'!$F$64</f>
        <v>118800</v>
      </c>
      <c r="AX34" s="66" t="n">
        <f aca="false">AX14*'Assumption Setting'!$F$64</f>
        <v>140400</v>
      </c>
      <c r="AY34" s="66" t="n">
        <f aca="false">AY14*'Assumption Setting'!$F$64</f>
        <v>115920</v>
      </c>
      <c r="AZ34" s="66" t="n">
        <f aca="false">AZ14*'Assumption Setting'!$F$64</f>
        <v>136620</v>
      </c>
      <c r="BA34" s="66" t="n">
        <f aca="false">BA14*'Assumption Setting'!$F$64</f>
        <v>161460</v>
      </c>
      <c r="BB34" s="65" t="n">
        <f aca="false">SUM(BC34:BN34)</f>
        <v>2074000</v>
      </c>
      <c r="BC34" s="66" t="n">
        <f aca="false">BC14*'Assumption Setting'!$G$64</f>
        <v>123760</v>
      </c>
      <c r="BD34" s="66" t="n">
        <f aca="false">BD14*'Assumption Setting'!$G$64</f>
        <v>145860</v>
      </c>
      <c r="BE34" s="66" t="n">
        <f aca="false">BE14*'Assumption Setting'!$G$64</f>
        <v>172380</v>
      </c>
      <c r="BF34" s="66" t="n">
        <f aca="false">BF14*'Assumption Setting'!$G$64</f>
        <v>138040</v>
      </c>
      <c r="BG34" s="66" t="n">
        <f aca="false">BG14*'Assumption Setting'!$G$64</f>
        <v>162690</v>
      </c>
      <c r="BH34" s="66" t="n">
        <f aca="false">BH14*'Assumption Setting'!$G$64</f>
        <v>192270</v>
      </c>
      <c r="BI34" s="66" t="n">
        <f aca="false">BI14*'Assumption Setting'!$G$64</f>
        <v>152320</v>
      </c>
      <c r="BJ34" s="66" t="n">
        <f aca="false">BJ14*'Assumption Setting'!$G$64</f>
        <v>179520</v>
      </c>
      <c r="BK34" s="66" t="n">
        <f aca="false">BK14*'Assumption Setting'!$G$64</f>
        <v>212160</v>
      </c>
      <c r="BL34" s="66" t="n">
        <f aca="false">BL14*'Assumption Setting'!$G$64</f>
        <v>166600</v>
      </c>
      <c r="BM34" s="66" t="n">
        <f aca="false">BM14*'Assumption Setting'!$G$64</f>
        <v>196350</v>
      </c>
      <c r="BN34" s="66" t="n">
        <f aca="false">BN14*'Assumption Setting'!$G$64</f>
        <v>232050</v>
      </c>
    </row>
    <row r="35" customFormat="false" ht="15" hidden="false" customHeight="false" outlineLevel="0" collapsed="false">
      <c r="A35" s="12" t="s">
        <v>266</v>
      </c>
      <c r="B35" s="65" t="n">
        <f aca="false">SUM(C35:N35)</f>
        <v>0</v>
      </c>
      <c r="C35" s="66" t="n">
        <f aca="false">C15*'Assumption Setting'!$C$65</f>
        <v>0</v>
      </c>
      <c r="D35" s="66" t="n">
        <f aca="false">D15*'Assumption Setting'!$C$65</f>
        <v>0</v>
      </c>
      <c r="E35" s="66" t="n">
        <f aca="false">E15*'Assumption Setting'!$C$65</f>
        <v>0</v>
      </c>
      <c r="F35" s="66" t="n">
        <f aca="false">F15*'Assumption Setting'!$C$65</f>
        <v>0</v>
      </c>
      <c r="G35" s="66" t="n">
        <f aca="false">G15*'Assumption Setting'!$C$65</f>
        <v>0</v>
      </c>
      <c r="H35" s="66" t="n">
        <f aca="false">H15*'Assumption Setting'!$C$65</f>
        <v>0</v>
      </c>
      <c r="I35" s="66" t="n">
        <f aca="false">I15*'Assumption Setting'!$C$65</f>
        <v>0</v>
      </c>
      <c r="J35" s="66" t="n">
        <f aca="false">J15*'Assumption Setting'!$C$65</f>
        <v>0</v>
      </c>
      <c r="K35" s="66" t="n">
        <f aca="false">K15*'Assumption Setting'!$C$65</f>
        <v>0</v>
      </c>
      <c r="L35" s="66" t="n">
        <f aca="false">L15*'Assumption Setting'!$C$65</f>
        <v>0</v>
      </c>
      <c r="M35" s="66" t="n">
        <f aca="false">M15*'Assumption Setting'!$C$65</f>
        <v>0</v>
      </c>
      <c r="N35" s="66" t="n">
        <f aca="false">N15*'Assumption Setting'!$C$65</f>
        <v>0</v>
      </c>
      <c r="O35" s="65" t="n">
        <f aca="false">SUM(P35:AA35)</f>
        <v>22000</v>
      </c>
      <c r="P35" s="66" t="n">
        <f aca="false">P15*'Assumption Setting'!$D$65</f>
        <v>0</v>
      </c>
      <c r="Q35" s="66" t="n">
        <f aca="false">Q15*'Assumption Setting'!$D$65</f>
        <v>0</v>
      </c>
      <c r="R35" s="66" t="n">
        <f aca="false">R15*'Assumption Setting'!$D$65</f>
        <v>0</v>
      </c>
      <c r="S35" s="66" t="n">
        <f aca="false">S15*'Assumption Setting'!$D$65</f>
        <v>0</v>
      </c>
      <c r="T35" s="66" t="n">
        <f aca="false">T15*'Assumption Setting'!$D$65</f>
        <v>0</v>
      </c>
      <c r="U35" s="66" t="n">
        <f aca="false">U15*'Assumption Setting'!$D$65</f>
        <v>0</v>
      </c>
      <c r="V35" s="66" t="n">
        <f aca="false">V15*'Assumption Setting'!$D$65</f>
        <v>3080</v>
      </c>
      <c r="W35" s="66" t="n">
        <f aca="false">W15*'Assumption Setting'!$D$65</f>
        <v>3630</v>
      </c>
      <c r="X35" s="66" t="n">
        <f aca="false">X15*'Assumption Setting'!$D$65</f>
        <v>4290</v>
      </c>
      <c r="Y35" s="66" t="n">
        <f aca="false">Y15*'Assumption Setting'!$D$65</f>
        <v>3080</v>
      </c>
      <c r="Z35" s="66" t="n">
        <f aca="false">Z15*'Assumption Setting'!$D$65</f>
        <v>3630</v>
      </c>
      <c r="AA35" s="66" t="n">
        <f aca="false">AA15*'Assumption Setting'!$D$65</f>
        <v>4290</v>
      </c>
      <c r="AB35" s="65" t="n">
        <f aca="false">SUM(AC35:AN35)</f>
        <v>125000</v>
      </c>
      <c r="AC35" s="66" t="n">
        <f aca="false">AC15*'Assumption Setting'!$E$65</f>
        <v>7000</v>
      </c>
      <c r="AD35" s="66" t="n">
        <f aca="false">AD15*'Assumption Setting'!$E$65</f>
        <v>8250</v>
      </c>
      <c r="AE35" s="66" t="n">
        <f aca="false">AE15*'Assumption Setting'!$E$65</f>
        <v>9750</v>
      </c>
      <c r="AF35" s="66" t="n">
        <f aca="false">AF15*'Assumption Setting'!$E$65</f>
        <v>7000</v>
      </c>
      <c r="AG35" s="66" t="n">
        <f aca="false">AG15*'Assumption Setting'!$E$65</f>
        <v>8250</v>
      </c>
      <c r="AH35" s="66" t="n">
        <f aca="false">AH15*'Assumption Setting'!$E$65</f>
        <v>9750</v>
      </c>
      <c r="AI35" s="66" t="n">
        <f aca="false">AI15*'Assumption Setting'!$E$65</f>
        <v>10500</v>
      </c>
      <c r="AJ35" s="66" t="n">
        <f aca="false">AJ15*'Assumption Setting'!$E$65</f>
        <v>12375</v>
      </c>
      <c r="AK35" s="66" t="n">
        <f aca="false">AK15*'Assumption Setting'!$E$65</f>
        <v>14625</v>
      </c>
      <c r="AL35" s="66" t="n">
        <f aca="false">AL15*'Assumption Setting'!$E$65</f>
        <v>10500</v>
      </c>
      <c r="AM35" s="66" t="n">
        <f aca="false">AM15*'Assumption Setting'!$E$65</f>
        <v>12375</v>
      </c>
      <c r="AN35" s="66" t="n">
        <f aca="false">AN15*'Assumption Setting'!$E$65</f>
        <v>14625</v>
      </c>
      <c r="AO35" s="65" t="n">
        <f aca="false">SUM(AP35:BA35)</f>
        <v>234000</v>
      </c>
      <c r="AP35" s="66" t="n">
        <f aca="false">AP15*'Assumption Setting'!$F$65</f>
        <v>14560</v>
      </c>
      <c r="AQ35" s="66" t="n">
        <f aca="false">AQ15*'Assumption Setting'!$F$65</f>
        <v>17160</v>
      </c>
      <c r="AR35" s="66" t="n">
        <f aca="false">AR15*'Assumption Setting'!$F$65</f>
        <v>20280</v>
      </c>
      <c r="AS35" s="66" t="n">
        <f aca="false">AS15*'Assumption Setting'!$F$65</f>
        <v>14560</v>
      </c>
      <c r="AT35" s="66" t="n">
        <f aca="false">AT15*'Assumption Setting'!$F$65</f>
        <v>17160</v>
      </c>
      <c r="AU35" s="66" t="n">
        <f aca="false">AU15*'Assumption Setting'!$F$65</f>
        <v>20280</v>
      </c>
      <c r="AV35" s="66" t="n">
        <f aca="false">AV15*'Assumption Setting'!$F$65</f>
        <v>18200</v>
      </c>
      <c r="AW35" s="66" t="n">
        <f aca="false">AW15*'Assumption Setting'!$F$65</f>
        <v>21450</v>
      </c>
      <c r="AX35" s="66" t="n">
        <f aca="false">AX15*'Assumption Setting'!$F$65</f>
        <v>25350</v>
      </c>
      <c r="AY35" s="66" t="n">
        <f aca="false">AY15*'Assumption Setting'!$F$65</f>
        <v>18200</v>
      </c>
      <c r="AZ35" s="66" t="n">
        <f aca="false">AZ15*'Assumption Setting'!$F$65</f>
        <v>21450</v>
      </c>
      <c r="BA35" s="66" t="n">
        <f aca="false">BA15*'Assumption Setting'!$F$65</f>
        <v>25350</v>
      </c>
      <c r="BB35" s="65" t="n">
        <f aca="false">SUM(BC35:BN35)</f>
        <v>351000</v>
      </c>
      <c r="BC35" s="66" t="n">
        <f aca="false">BC15*'Assumption Setting'!$G$65</f>
        <v>22680</v>
      </c>
      <c r="BD35" s="66" t="n">
        <f aca="false">BD15*'Assumption Setting'!$G$65</f>
        <v>26730</v>
      </c>
      <c r="BE35" s="66" t="n">
        <f aca="false">BE15*'Assumption Setting'!$G$65</f>
        <v>31590</v>
      </c>
      <c r="BF35" s="66" t="n">
        <f aca="false">BF15*'Assumption Setting'!$G$65</f>
        <v>22680</v>
      </c>
      <c r="BG35" s="66" t="n">
        <f aca="false">BG15*'Assumption Setting'!$G$65</f>
        <v>26730</v>
      </c>
      <c r="BH35" s="66" t="n">
        <f aca="false">BH15*'Assumption Setting'!$G$65</f>
        <v>31590</v>
      </c>
      <c r="BI35" s="66" t="n">
        <f aca="false">BI15*'Assumption Setting'!$G$65</f>
        <v>26460</v>
      </c>
      <c r="BJ35" s="66" t="n">
        <f aca="false">BJ15*'Assumption Setting'!$G$65</f>
        <v>31185</v>
      </c>
      <c r="BK35" s="66" t="n">
        <f aca="false">BK15*'Assumption Setting'!$G$65</f>
        <v>36855</v>
      </c>
      <c r="BL35" s="66" t="n">
        <f aca="false">BL15*'Assumption Setting'!$G$65</f>
        <v>26460</v>
      </c>
      <c r="BM35" s="66" t="n">
        <f aca="false">BM15*'Assumption Setting'!$G$65</f>
        <v>31185</v>
      </c>
      <c r="BN35" s="66" t="n">
        <f aca="false">BN15*'Assumption Setting'!$G$65</f>
        <v>36855</v>
      </c>
    </row>
    <row r="36" customFormat="false" ht="15" hidden="false" customHeight="false" outlineLevel="0" collapsed="false">
      <c r="A36" s="12" t="s">
        <v>269</v>
      </c>
      <c r="B36" s="65" t="n">
        <f aca="false">SUM(C36:N36)</f>
        <v>0</v>
      </c>
      <c r="C36" s="66" t="n">
        <f aca="false">C16*'Assumption Setting'!$C$66</f>
        <v>0</v>
      </c>
      <c r="D36" s="66" t="n">
        <f aca="false">D16*'Assumption Setting'!$C$66</f>
        <v>0</v>
      </c>
      <c r="E36" s="66" t="n">
        <f aca="false">E16*'Assumption Setting'!$C$66</f>
        <v>0</v>
      </c>
      <c r="F36" s="66" t="n">
        <f aca="false">F16*'Assumption Setting'!$C$66</f>
        <v>0</v>
      </c>
      <c r="G36" s="66" t="n">
        <f aca="false">G16*'Assumption Setting'!$C$66</f>
        <v>0</v>
      </c>
      <c r="H36" s="66" t="n">
        <f aca="false">H16*'Assumption Setting'!$C$66</f>
        <v>0</v>
      </c>
      <c r="I36" s="66" t="n">
        <f aca="false">I16*'Assumption Setting'!$C$66</f>
        <v>0</v>
      </c>
      <c r="J36" s="66" t="n">
        <f aca="false">J16*'Assumption Setting'!$C$66</f>
        <v>0</v>
      </c>
      <c r="K36" s="66" t="n">
        <f aca="false">K16*'Assumption Setting'!$C$66</f>
        <v>0</v>
      </c>
      <c r="L36" s="66" t="n">
        <f aca="false">L16*'Assumption Setting'!$C$66</f>
        <v>0</v>
      </c>
      <c r="M36" s="66" t="n">
        <f aca="false">M16*'Assumption Setting'!$C$66</f>
        <v>0</v>
      </c>
      <c r="N36" s="66" t="n">
        <f aca="false">N16*'Assumption Setting'!$C$66</f>
        <v>0</v>
      </c>
      <c r="O36" s="65" t="n">
        <f aca="false">SUM(P36:AA36)</f>
        <v>120000</v>
      </c>
      <c r="P36" s="66" t="n">
        <f aca="false">P16*'Assumption Setting'!$D$66</f>
        <v>0</v>
      </c>
      <c r="Q36" s="66" t="n">
        <f aca="false">Q16*'Assumption Setting'!$D$66</f>
        <v>0</v>
      </c>
      <c r="R36" s="66" t="n">
        <f aca="false">R16*'Assumption Setting'!$D$66</f>
        <v>0</v>
      </c>
      <c r="S36" s="66" t="n">
        <f aca="false">S16*'Assumption Setting'!$D$66</f>
        <v>8400</v>
      </c>
      <c r="T36" s="66" t="n">
        <f aca="false">T16*'Assumption Setting'!$D$66</f>
        <v>9900</v>
      </c>
      <c r="U36" s="66" t="n">
        <f aca="false">U16*'Assumption Setting'!$D$66</f>
        <v>11700</v>
      </c>
      <c r="V36" s="66" t="n">
        <f aca="false">V16*'Assumption Setting'!$D$66</f>
        <v>8400</v>
      </c>
      <c r="W36" s="66" t="n">
        <f aca="false">W16*'Assumption Setting'!$D$66</f>
        <v>9900</v>
      </c>
      <c r="X36" s="66" t="n">
        <f aca="false">X16*'Assumption Setting'!$D$66</f>
        <v>11700</v>
      </c>
      <c r="Y36" s="66" t="n">
        <f aca="false">Y16*'Assumption Setting'!$D$66</f>
        <v>16800</v>
      </c>
      <c r="Z36" s="66" t="n">
        <f aca="false">Z16*'Assumption Setting'!$D$66</f>
        <v>19800</v>
      </c>
      <c r="AA36" s="66" t="n">
        <f aca="false">AA16*'Assumption Setting'!$D$66</f>
        <v>23400</v>
      </c>
      <c r="AB36" s="65" t="n">
        <f aca="false">SUM(AC36:AN36)</f>
        <v>420000</v>
      </c>
      <c r="AC36" s="66" t="n">
        <f aca="false">AC16*'Assumption Setting'!$E$66</f>
        <v>19600</v>
      </c>
      <c r="AD36" s="66" t="n">
        <f aca="false">AD16*'Assumption Setting'!$E$66</f>
        <v>23100</v>
      </c>
      <c r="AE36" s="66" t="n">
        <f aca="false">AE16*'Assumption Setting'!$E$66</f>
        <v>27300</v>
      </c>
      <c r="AF36" s="66" t="n">
        <f aca="false">AF16*'Assumption Setting'!$E$66</f>
        <v>29400</v>
      </c>
      <c r="AG36" s="66" t="n">
        <f aca="false">AG16*'Assumption Setting'!$E$66</f>
        <v>34650</v>
      </c>
      <c r="AH36" s="66" t="n">
        <f aca="false">AH16*'Assumption Setting'!$E$66</f>
        <v>40950</v>
      </c>
      <c r="AI36" s="66" t="n">
        <f aca="false">AI16*'Assumption Setting'!$E$66</f>
        <v>29400</v>
      </c>
      <c r="AJ36" s="66" t="n">
        <f aca="false">AJ16*'Assumption Setting'!$E$66</f>
        <v>34650</v>
      </c>
      <c r="AK36" s="66" t="n">
        <f aca="false">AK16*'Assumption Setting'!$E$66</f>
        <v>40950</v>
      </c>
      <c r="AL36" s="66" t="n">
        <f aca="false">AL16*'Assumption Setting'!$E$66</f>
        <v>39200</v>
      </c>
      <c r="AM36" s="66" t="n">
        <f aca="false">AM16*'Assumption Setting'!$E$66</f>
        <v>46200</v>
      </c>
      <c r="AN36" s="66" t="n">
        <f aca="false">AN16*'Assumption Setting'!$E$66</f>
        <v>54600</v>
      </c>
      <c r="AO36" s="65" t="n">
        <f aca="false">SUM(AP36:BA36)</f>
        <v>760000</v>
      </c>
      <c r="AP36" s="66" t="n">
        <f aca="false">AP16*'Assumption Setting'!$F$66</f>
        <v>42560</v>
      </c>
      <c r="AQ36" s="66" t="n">
        <f aca="false">AQ16*'Assumption Setting'!$F$66</f>
        <v>50160</v>
      </c>
      <c r="AR36" s="66" t="n">
        <f aca="false">AR16*'Assumption Setting'!$F$66</f>
        <v>59280</v>
      </c>
      <c r="AS36" s="66" t="n">
        <f aca="false">AS16*'Assumption Setting'!$F$66</f>
        <v>53200</v>
      </c>
      <c r="AT36" s="66" t="n">
        <f aca="false">AT16*'Assumption Setting'!$F$66</f>
        <v>62700</v>
      </c>
      <c r="AU36" s="66" t="n">
        <f aca="false">AU16*'Assumption Setting'!$F$66</f>
        <v>74100</v>
      </c>
      <c r="AV36" s="66" t="n">
        <f aca="false">AV16*'Assumption Setting'!$F$66</f>
        <v>53200</v>
      </c>
      <c r="AW36" s="66" t="n">
        <f aca="false">AW16*'Assumption Setting'!$F$66</f>
        <v>62700</v>
      </c>
      <c r="AX36" s="66" t="n">
        <f aca="false">AX16*'Assumption Setting'!$F$66</f>
        <v>74100</v>
      </c>
      <c r="AY36" s="66" t="n">
        <f aca="false">AY16*'Assumption Setting'!$F$66</f>
        <v>63840</v>
      </c>
      <c r="AZ36" s="66" t="n">
        <f aca="false">AZ16*'Assumption Setting'!$F$66</f>
        <v>75240</v>
      </c>
      <c r="BA36" s="66" t="n">
        <f aca="false">BA16*'Assumption Setting'!$F$66</f>
        <v>88920</v>
      </c>
      <c r="BB36" s="65" t="n">
        <f aca="false">SUM(BC36:BN36)</f>
        <v>1120000</v>
      </c>
      <c r="BC36" s="66" t="n">
        <f aca="false">BC16*'Assumption Setting'!$G$66</f>
        <v>67200</v>
      </c>
      <c r="BD36" s="66" t="n">
        <f aca="false">BD16*'Assumption Setting'!$G$66</f>
        <v>79200</v>
      </c>
      <c r="BE36" s="66" t="n">
        <f aca="false">BE16*'Assumption Setting'!$G$66</f>
        <v>93600</v>
      </c>
      <c r="BF36" s="66" t="n">
        <f aca="false">BF16*'Assumption Setting'!$G$66</f>
        <v>78400</v>
      </c>
      <c r="BG36" s="66" t="n">
        <f aca="false">BG16*'Assumption Setting'!$G$66</f>
        <v>92400</v>
      </c>
      <c r="BH36" s="66" t="n">
        <f aca="false">BH16*'Assumption Setting'!$G$66</f>
        <v>109200</v>
      </c>
      <c r="BI36" s="66" t="n">
        <f aca="false">BI16*'Assumption Setting'!$G$66</f>
        <v>78400</v>
      </c>
      <c r="BJ36" s="66" t="n">
        <f aca="false">BJ16*'Assumption Setting'!$G$66</f>
        <v>92400</v>
      </c>
      <c r="BK36" s="66" t="n">
        <f aca="false">BK16*'Assumption Setting'!$G$66</f>
        <v>109200</v>
      </c>
      <c r="BL36" s="66" t="n">
        <f aca="false">BL16*'Assumption Setting'!$G$66</f>
        <v>89600</v>
      </c>
      <c r="BM36" s="66" t="n">
        <f aca="false">BM16*'Assumption Setting'!$G$66</f>
        <v>105600</v>
      </c>
      <c r="BN36" s="66" t="n">
        <f aca="false">BN16*'Assumption Setting'!$G$66</f>
        <v>124800</v>
      </c>
    </row>
    <row r="37" customFormat="false" ht="15" hidden="false" customHeight="false" outlineLevel="0" collapsed="false">
      <c r="A37" s="12" t="s">
        <v>721</v>
      </c>
      <c r="B37" s="65" t="n">
        <f aca="false">SUM(C37:N37)</f>
        <v>22000</v>
      </c>
      <c r="C37" s="66" t="n">
        <f aca="false">C18*'Assumption Setting'!$C$67</f>
        <v>0</v>
      </c>
      <c r="D37" s="66" t="n">
        <f aca="false">D18*'Assumption Setting'!$C$67</f>
        <v>0</v>
      </c>
      <c r="E37" s="66" t="n">
        <f aca="false">E18*'Assumption Setting'!$C$67</f>
        <v>0</v>
      </c>
      <c r="F37" s="66" t="n">
        <f aca="false">F18*'Assumption Setting'!$C$67</f>
        <v>0</v>
      </c>
      <c r="G37" s="66" t="n">
        <f aca="false">G18*'Assumption Setting'!$C$67</f>
        <v>0</v>
      </c>
      <c r="H37" s="66" t="n">
        <f aca="false">H18*'Assumption Setting'!$C$67</f>
        <v>0</v>
      </c>
      <c r="I37" s="66" t="n">
        <f aca="false">I18*'Assumption Setting'!$C$67</f>
        <v>0</v>
      </c>
      <c r="J37" s="66" t="n">
        <f aca="false">J18*'Assumption Setting'!$C$67</f>
        <v>0</v>
      </c>
      <c r="K37" s="66" t="n">
        <f aca="false">K18*'Assumption Setting'!$C$67</f>
        <v>0</v>
      </c>
      <c r="L37" s="66" t="n">
        <f aca="false">L18*'Assumption Setting'!$C$67</f>
        <v>6160</v>
      </c>
      <c r="M37" s="66" t="n">
        <f aca="false">M18*'Assumption Setting'!$C$67</f>
        <v>7260</v>
      </c>
      <c r="N37" s="66" t="n">
        <f aca="false">N18*'Assumption Setting'!$C$67</f>
        <v>8580</v>
      </c>
      <c r="O37" s="65" t="n">
        <f aca="false">SUM(P37:AA37)</f>
        <v>130000</v>
      </c>
      <c r="P37" s="66" t="n">
        <f aca="false">P18*'Assumption Setting'!$D$67</f>
        <v>7280</v>
      </c>
      <c r="Q37" s="66" t="n">
        <f aca="false">Q18*'Assumption Setting'!$D$67</f>
        <v>8580</v>
      </c>
      <c r="R37" s="66" t="n">
        <f aca="false">R18*'Assumption Setting'!$D$67</f>
        <v>10140</v>
      </c>
      <c r="S37" s="66" t="n">
        <f aca="false">S18*'Assumption Setting'!$D$67</f>
        <v>7280</v>
      </c>
      <c r="T37" s="66" t="n">
        <f aca="false">T18*'Assumption Setting'!$D$67</f>
        <v>8580</v>
      </c>
      <c r="U37" s="66" t="n">
        <f aca="false">U18*'Assumption Setting'!$D$67</f>
        <v>10140</v>
      </c>
      <c r="V37" s="66" t="n">
        <f aca="false">V18*'Assumption Setting'!$D$67</f>
        <v>7280</v>
      </c>
      <c r="W37" s="66" t="n">
        <f aca="false">W18*'Assumption Setting'!$D$67</f>
        <v>8580</v>
      </c>
      <c r="X37" s="66" t="n">
        <f aca="false">X18*'Assumption Setting'!$D$67</f>
        <v>10140</v>
      </c>
      <c r="Y37" s="66" t="n">
        <f aca="false">Y18*'Assumption Setting'!$D$67</f>
        <v>14560</v>
      </c>
      <c r="Z37" s="66" t="n">
        <f aca="false">Z18*'Assumption Setting'!$D$67</f>
        <v>17160</v>
      </c>
      <c r="AA37" s="66" t="n">
        <f aca="false">AA18*'Assumption Setting'!$D$67</f>
        <v>20280</v>
      </c>
      <c r="AB37" s="65" t="n">
        <f aca="false">SUM(AC37:AN37)</f>
        <v>300000</v>
      </c>
      <c r="AC37" s="66" t="n">
        <f aca="false">AC18*'Assumption Setting'!$E$67</f>
        <v>16800</v>
      </c>
      <c r="AD37" s="66" t="n">
        <f aca="false">AD18*'Assumption Setting'!$E$67</f>
        <v>19800</v>
      </c>
      <c r="AE37" s="66" t="n">
        <f aca="false">AE18*'Assumption Setting'!$E$67</f>
        <v>23400</v>
      </c>
      <c r="AF37" s="66" t="n">
        <f aca="false">AF18*'Assumption Setting'!$E$67</f>
        <v>16800</v>
      </c>
      <c r="AG37" s="66" t="n">
        <f aca="false">AG18*'Assumption Setting'!$E$67</f>
        <v>19800</v>
      </c>
      <c r="AH37" s="66" t="n">
        <f aca="false">AH18*'Assumption Setting'!$E$67</f>
        <v>23400</v>
      </c>
      <c r="AI37" s="66" t="n">
        <f aca="false">AI18*'Assumption Setting'!$E$67</f>
        <v>25200</v>
      </c>
      <c r="AJ37" s="66" t="n">
        <f aca="false">AJ18*'Assumption Setting'!$E$67</f>
        <v>29700</v>
      </c>
      <c r="AK37" s="66" t="n">
        <f aca="false">AK18*'Assumption Setting'!$E$67</f>
        <v>35100</v>
      </c>
      <c r="AL37" s="66" t="n">
        <f aca="false">AL18*'Assumption Setting'!$E$67</f>
        <v>25200</v>
      </c>
      <c r="AM37" s="66" t="n">
        <f aca="false">AM18*'Assumption Setting'!$E$67</f>
        <v>29700</v>
      </c>
      <c r="AN37" s="66" t="n">
        <f aca="false">AN18*'Assumption Setting'!$E$67</f>
        <v>35100</v>
      </c>
      <c r="AO37" s="65" t="n">
        <f aca="false">SUM(AP37:BA37)</f>
        <v>544000</v>
      </c>
      <c r="AP37" s="66" t="n">
        <f aca="false">AP18*'Assumption Setting'!$F$67</f>
        <v>28560</v>
      </c>
      <c r="AQ37" s="66" t="n">
        <f aca="false">AQ18*'Assumption Setting'!$F$67</f>
        <v>33660</v>
      </c>
      <c r="AR37" s="66" t="n">
        <f aca="false">AR18*'Assumption Setting'!$F$67</f>
        <v>39780</v>
      </c>
      <c r="AS37" s="66" t="n">
        <f aca="false">AS18*'Assumption Setting'!$F$67</f>
        <v>38080</v>
      </c>
      <c r="AT37" s="66" t="n">
        <f aca="false">AT18*'Assumption Setting'!$F$67</f>
        <v>44880</v>
      </c>
      <c r="AU37" s="66" t="n">
        <f aca="false">AU18*'Assumption Setting'!$F$67</f>
        <v>53040</v>
      </c>
      <c r="AV37" s="66" t="n">
        <f aca="false">AV18*'Assumption Setting'!$F$67</f>
        <v>38080</v>
      </c>
      <c r="AW37" s="66" t="n">
        <f aca="false">AW18*'Assumption Setting'!$F$67</f>
        <v>44880</v>
      </c>
      <c r="AX37" s="66" t="n">
        <f aca="false">AX18*'Assumption Setting'!$F$67</f>
        <v>53040</v>
      </c>
      <c r="AY37" s="66" t="n">
        <f aca="false">AY18*'Assumption Setting'!$F$67</f>
        <v>47600</v>
      </c>
      <c r="AZ37" s="66" t="n">
        <f aca="false">AZ18*'Assumption Setting'!$F$67</f>
        <v>56100</v>
      </c>
      <c r="BA37" s="66" t="n">
        <f aca="false">BA18*'Assumption Setting'!$F$67</f>
        <v>66300</v>
      </c>
      <c r="BB37" s="65" t="n">
        <f aca="false">SUM(BC37:BN37)</f>
        <v>814000</v>
      </c>
      <c r="BC37" s="66" t="n">
        <f aca="false">BC18*'Assumption Setting'!$G$67</f>
        <v>51800</v>
      </c>
      <c r="BD37" s="66" t="n">
        <f aca="false">BD18*'Assumption Setting'!$G$67</f>
        <v>61050</v>
      </c>
      <c r="BE37" s="66" t="n">
        <f aca="false">BE18*'Assumption Setting'!$G$67</f>
        <v>72150</v>
      </c>
      <c r="BF37" s="66" t="n">
        <f aca="false">BF18*'Assumption Setting'!$G$67</f>
        <v>51800</v>
      </c>
      <c r="BG37" s="66" t="n">
        <f aca="false">BG18*'Assumption Setting'!$G$67</f>
        <v>61050</v>
      </c>
      <c r="BH37" s="66" t="n">
        <f aca="false">BH18*'Assumption Setting'!$G$67</f>
        <v>72150</v>
      </c>
      <c r="BI37" s="66" t="n">
        <f aca="false">BI18*'Assumption Setting'!$G$67</f>
        <v>62160</v>
      </c>
      <c r="BJ37" s="66" t="n">
        <f aca="false">BJ18*'Assumption Setting'!$G$67</f>
        <v>73260</v>
      </c>
      <c r="BK37" s="66" t="n">
        <f aca="false">BK18*'Assumption Setting'!$G$67</f>
        <v>86580</v>
      </c>
      <c r="BL37" s="66" t="n">
        <f aca="false">BL18*'Assumption Setting'!$G$67</f>
        <v>62160</v>
      </c>
      <c r="BM37" s="66" t="n">
        <f aca="false">BM18*'Assumption Setting'!$G$67</f>
        <v>73260</v>
      </c>
      <c r="BN37" s="66" t="n">
        <f aca="false">BN18*'Assumption Setting'!$G$67</f>
        <v>86580</v>
      </c>
    </row>
    <row r="38" customFormat="false" ht="15" hidden="false" customHeight="false" outlineLevel="0" collapsed="false">
      <c r="A38" s="12" t="s">
        <v>280</v>
      </c>
      <c r="B38" s="65" t="n">
        <f aca="false">SUM(C38:N38)</f>
        <v>0</v>
      </c>
      <c r="C38" s="66" t="n">
        <f aca="false">C19*'Assumption Setting'!$C$68</f>
        <v>0</v>
      </c>
      <c r="D38" s="66" t="n">
        <f aca="false">D19*'Assumption Setting'!$C$68</f>
        <v>0</v>
      </c>
      <c r="E38" s="66" t="n">
        <f aca="false">E19*'Assumption Setting'!$C$68</f>
        <v>0</v>
      </c>
      <c r="F38" s="66" t="n">
        <f aca="false">F19*'Assumption Setting'!$C$68</f>
        <v>0</v>
      </c>
      <c r="G38" s="66" t="n">
        <f aca="false">G19*'Assumption Setting'!$C$68</f>
        <v>0</v>
      </c>
      <c r="H38" s="66" t="n">
        <f aca="false">H19*'Assumption Setting'!$C$68</f>
        <v>0</v>
      </c>
      <c r="I38" s="66" t="n">
        <f aca="false">I19*'Assumption Setting'!$C$68</f>
        <v>0</v>
      </c>
      <c r="J38" s="66" t="n">
        <f aca="false">J19*'Assumption Setting'!$C$68</f>
        <v>0</v>
      </c>
      <c r="K38" s="66" t="n">
        <f aca="false">K19*'Assumption Setting'!$C$68</f>
        <v>0</v>
      </c>
      <c r="L38" s="66" t="n">
        <f aca="false">L19*'Assumption Setting'!$C$68</f>
        <v>0</v>
      </c>
      <c r="M38" s="66" t="n">
        <f aca="false">M19*'Assumption Setting'!$C$68</f>
        <v>0</v>
      </c>
      <c r="N38" s="66" t="n">
        <f aca="false">N19*'Assumption Setting'!$C$68</f>
        <v>0</v>
      </c>
      <c r="O38" s="65" t="n">
        <f aca="false">SUM(P38:AA38)</f>
        <v>38000</v>
      </c>
      <c r="P38" s="66" t="n">
        <f aca="false">P19*'Assumption Setting'!$D$68</f>
        <v>0</v>
      </c>
      <c r="Q38" s="66" t="n">
        <f aca="false">Q19*'Assumption Setting'!$D$68</f>
        <v>0</v>
      </c>
      <c r="R38" s="66" t="n">
        <f aca="false">R19*'Assumption Setting'!$D$68</f>
        <v>0</v>
      </c>
      <c r="S38" s="66" t="n">
        <f aca="false">S19*'Assumption Setting'!$D$68</f>
        <v>0</v>
      </c>
      <c r="T38" s="66" t="n">
        <f aca="false">T19*'Assumption Setting'!$D$68</f>
        <v>0</v>
      </c>
      <c r="U38" s="66" t="n">
        <f aca="false">U19*'Assumption Setting'!$D$68</f>
        <v>0</v>
      </c>
      <c r="V38" s="66" t="n">
        <f aca="false">V19*'Assumption Setting'!$D$68</f>
        <v>0</v>
      </c>
      <c r="W38" s="66" t="n">
        <f aca="false">W19*'Assumption Setting'!$D$68</f>
        <v>0</v>
      </c>
      <c r="X38" s="66" t="n">
        <f aca="false">X19*'Assumption Setting'!$D$68</f>
        <v>0</v>
      </c>
      <c r="Y38" s="66" t="n">
        <f aca="false">Y19*'Assumption Setting'!$D$68</f>
        <v>10640</v>
      </c>
      <c r="Z38" s="66" t="n">
        <f aca="false">Z19*'Assumption Setting'!$D$68</f>
        <v>12540</v>
      </c>
      <c r="AA38" s="66" t="n">
        <f aca="false">AA19*'Assumption Setting'!$D$68</f>
        <v>14820</v>
      </c>
      <c r="AB38" s="65" t="n">
        <f aca="false">SUM(AC38:AN38)</f>
        <v>270000</v>
      </c>
      <c r="AC38" s="66" t="n">
        <f aca="false">AC19*'Assumption Setting'!$E$68</f>
        <v>12600</v>
      </c>
      <c r="AD38" s="66" t="n">
        <f aca="false">AD19*'Assumption Setting'!$E$68</f>
        <v>14850</v>
      </c>
      <c r="AE38" s="66" t="n">
        <f aca="false">AE19*'Assumption Setting'!$E$68</f>
        <v>17550</v>
      </c>
      <c r="AF38" s="66" t="n">
        <f aca="false">AF19*'Assumption Setting'!$E$68</f>
        <v>12600</v>
      </c>
      <c r="AG38" s="66" t="n">
        <f aca="false">AG19*'Assumption Setting'!$E$68</f>
        <v>14850</v>
      </c>
      <c r="AH38" s="66" t="n">
        <f aca="false">AH19*'Assumption Setting'!$E$68</f>
        <v>17550</v>
      </c>
      <c r="AI38" s="66" t="n">
        <f aca="false">AI19*'Assumption Setting'!$E$68</f>
        <v>25200</v>
      </c>
      <c r="AJ38" s="66" t="n">
        <f aca="false">AJ19*'Assumption Setting'!$E$68</f>
        <v>29700</v>
      </c>
      <c r="AK38" s="66" t="n">
        <f aca="false">AK19*'Assumption Setting'!$E$68</f>
        <v>35100</v>
      </c>
      <c r="AL38" s="66" t="n">
        <f aca="false">AL19*'Assumption Setting'!$E$68</f>
        <v>25200</v>
      </c>
      <c r="AM38" s="66" t="n">
        <f aca="false">AM19*'Assumption Setting'!$E$68</f>
        <v>29700</v>
      </c>
      <c r="AN38" s="66" t="n">
        <f aca="false">AN19*'Assumption Setting'!$E$68</f>
        <v>35100</v>
      </c>
      <c r="AO38" s="65" t="n">
        <f aca="false">SUM(AP38:BA38)</f>
        <v>624000</v>
      </c>
      <c r="AP38" s="66" t="n">
        <f aca="false">AP19*'Assumption Setting'!$F$68</f>
        <v>29120</v>
      </c>
      <c r="AQ38" s="66" t="n">
        <f aca="false">AQ19*'Assumption Setting'!$F$68</f>
        <v>34320</v>
      </c>
      <c r="AR38" s="66" t="n">
        <f aca="false">AR19*'Assumption Setting'!$F$68</f>
        <v>40560</v>
      </c>
      <c r="AS38" s="66" t="n">
        <f aca="false">AS19*'Assumption Setting'!$F$68</f>
        <v>43680</v>
      </c>
      <c r="AT38" s="66" t="n">
        <f aca="false">AT19*'Assumption Setting'!$F$68</f>
        <v>51480</v>
      </c>
      <c r="AU38" s="66" t="n">
        <f aca="false">AU19*'Assumption Setting'!$F$68</f>
        <v>60840</v>
      </c>
      <c r="AV38" s="66" t="n">
        <f aca="false">AV19*'Assumption Setting'!$F$68</f>
        <v>43680</v>
      </c>
      <c r="AW38" s="66" t="n">
        <f aca="false">AW19*'Assumption Setting'!$F$68</f>
        <v>51480</v>
      </c>
      <c r="AX38" s="66" t="n">
        <f aca="false">AX19*'Assumption Setting'!$F$68</f>
        <v>60840</v>
      </c>
      <c r="AY38" s="66" t="n">
        <f aca="false">AY19*'Assumption Setting'!$F$68</f>
        <v>58240</v>
      </c>
      <c r="AZ38" s="66" t="n">
        <f aca="false">AZ19*'Assumption Setting'!$F$68</f>
        <v>68640</v>
      </c>
      <c r="BA38" s="66" t="n">
        <f aca="false">BA19*'Assumption Setting'!$F$68</f>
        <v>81120</v>
      </c>
      <c r="BB38" s="65" t="n">
        <f aca="false">SUM(BC38:BN38)</f>
        <v>1044000</v>
      </c>
      <c r="BC38" s="66" t="n">
        <f aca="false">BC19*'Assumption Setting'!$G$68</f>
        <v>64960</v>
      </c>
      <c r="BD38" s="66" t="n">
        <f aca="false">BD19*'Assumption Setting'!$G$68</f>
        <v>76560</v>
      </c>
      <c r="BE38" s="66" t="n">
        <f aca="false">BE19*'Assumption Setting'!$G$68</f>
        <v>90480</v>
      </c>
      <c r="BF38" s="66" t="n">
        <f aca="false">BF19*'Assumption Setting'!$G$68</f>
        <v>64960</v>
      </c>
      <c r="BG38" s="66" t="n">
        <f aca="false">BG19*'Assumption Setting'!$G$68</f>
        <v>76560</v>
      </c>
      <c r="BH38" s="66" t="n">
        <f aca="false">BH19*'Assumption Setting'!$G$68</f>
        <v>90480</v>
      </c>
      <c r="BI38" s="66" t="n">
        <f aca="false">BI19*'Assumption Setting'!$G$68</f>
        <v>81200</v>
      </c>
      <c r="BJ38" s="66" t="n">
        <f aca="false">BJ19*'Assumption Setting'!$G$68</f>
        <v>95700</v>
      </c>
      <c r="BK38" s="66" t="n">
        <f aca="false">BK19*'Assumption Setting'!$G$68</f>
        <v>113100</v>
      </c>
      <c r="BL38" s="66" t="n">
        <f aca="false">BL19*'Assumption Setting'!$G$68</f>
        <v>81200</v>
      </c>
      <c r="BM38" s="66" t="n">
        <f aca="false">BM19*'Assumption Setting'!$G$68</f>
        <v>95700</v>
      </c>
      <c r="BN38" s="66" t="n">
        <f aca="false">BN19*'Assumption Setting'!$G$68</f>
        <v>113100</v>
      </c>
    </row>
    <row r="39" customFormat="false" ht="15" hidden="false" customHeight="false" outlineLevel="0" collapsed="false">
      <c r="A39" s="12" t="s">
        <v>717</v>
      </c>
      <c r="B39" s="65" t="n">
        <f aca="false">SUM(C39:N39)</f>
        <v>8640</v>
      </c>
      <c r="C39" s="66" t="n">
        <f aca="false">C22*'Assumption Setting'!$C$69</f>
        <v>0</v>
      </c>
      <c r="D39" s="66" t="n">
        <f aca="false">D22*'Assumption Setting'!$C$69</f>
        <v>0</v>
      </c>
      <c r="E39" s="66" t="n">
        <f aca="false">E22*'Assumption Setting'!$C$69</f>
        <v>0</v>
      </c>
      <c r="F39" s="66" t="n">
        <f aca="false">F22*'Assumption Setting'!$C$69</f>
        <v>604.8</v>
      </c>
      <c r="G39" s="66" t="n">
        <f aca="false">G22*'Assumption Setting'!$C$69</f>
        <v>712.8</v>
      </c>
      <c r="H39" s="66" t="n">
        <f aca="false">H22*'Assumption Setting'!$C$69</f>
        <v>842.4</v>
      </c>
      <c r="I39" s="66" t="n">
        <f aca="false">I22*'Assumption Setting'!$C$69</f>
        <v>604.8</v>
      </c>
      <c r="J39" s="66" t="n">
        <f aca="false">J22*'Assumption Setting'!$C$69</f>
        <v>712.8</v>
      </c>
      <c r="K39" s="66" t="n">
        <f aca="false">K22*'Assumption Setting'!$C$69</f>
        <v>842.4</v>
      </c>
      <c r="L39" s="66" t="n">
        <f aca="false">L22*'Assumption Setting'!$C$69</f>
        <v>1209.6</v>
      </c>
      <c r="M39" s="66" t="n">
        <f aca="false">M22*'Assumption Setting'!$C$69</f>
        <v>1425.6</v>
      </c>
      <c r="N39" s="66" t="n">
        <f aca="false">N22*'Assumption Setting'!$C$69</f>
        <v>1684.8</v>
      </c>
      <c r="O39" s="65" t="n">
        <f aca="false">SUM(P39:AA39)</f>
        <v>50400</v>
      </c>
      <c r="P39" s="66" t="n">
        <f aca="false">P22*'Assumption Setting'!$D$69</f>
        <v>2352</v>
      </c>
      <c r="Q39" s="66" t="n">
        <f aca="false">Q22*'Assumption Setting'!$D$69</f>
        <v>2772</v>
      </c>
      <c r="R39" s="66" t="n">
        <f aca="false">R22*'Assumption Setting'!$D$69</f>
        <v>3276</v>
      </c>
      <c r="S39" s="66" t="n">
        <f aca="false">S22*'Assumption Setting'!$D$69</f>
        <v>3136</v>
      </c>
      <c r="T39" s="66" t="n">
        <f aca="false">T22*'Assumption Setting'!$D$69</f>
        <v>3696</v>
      </c>
      <c r="U39" s="66" t="n">
        <f aca="false">U22*'Assumption Setting'!$D$69</f>
        <v>4368</v>
      </c>
      <c r="V39" s="66" t="n">
        <f aca="false">V22*'Assumption Setting'!$D$69</f>
        <v>3920</v>
      </c>
      <c r="W39" s="66" t="n">
        <f aca="false">W22*'Assumption Setting'!$D$69</f>
        <v>4620</v>
      </c>
      <c r="X39" s="66" t="n">
        <f aca="false">X22*'Assumption Setting'!$D$69</f>
        <v>5460</v>
      </c>
      <c r="Y39" s="66" t="n">
        <f aca="false">Y22*'Assumption Setting'!$D$69</f>
        <v>4704</v>
      </c>
      <c r="Z39" s="66" t="n">
        <f aca="false">Z22*'Assumption Setting'!$D$69</f>
        <v>5544</v>
      </c>
      <c r="AA39" s="66" t="n">
        <f aca="false">AA22*'Assumption Setting'!$D$69</f>
        <v>6552</v>
      </c>
      <c r="AB39" s="65" t="n">
        <f aca="false">SUM(AC39:AN39)</f>
        <v>114240</v>
      </c>
      <c r="AC39" s="66" t="n">
        <f aca="false">AC22*'Assumption Setting'!$E$69</f>
        <v>6585.6</v>
      </c>
      <c r="AD39" s="66" t="n">
        <f aca="false">AD22*'Assumption Setting'!$E$69</f>
        <v>7761.6</v>
      </c>
      <c r="AE39" s="66" t="n">
        <f aca="false">AE22*'Assumption Setting'!$E$69</f>
        <v>9172.8</v>
      </c>
      <c r="AF39" s="66" t="n">
        <f aca="false">AF22*'Assumption Setting'!$E$69</f>
        <v>7526.4</v>
      </c>
      <c r="AG39" s="66" t="n">
        <f aca="false">AG22*'Assumption Setting'!$E$69</f>
        <v>8870.4</v>
      </c>
      <c r="AH39" s="66" t="n">
        <f aca="false">AH22*'Assumption Setting'!$E$69</f>
        <v>10483.2</v>
      </c>
      <c r="AI39" s="66" t="n">
        <f aca="false">AI22*'Assumption Setting'!$E$69</f>
        <v>8467.2</v>
      </c>
      <c r="AJ39" s="66" t="n">
        <f aca="false">AJ22*'Assumption Setting'!$E$69</f>
        <v>9979.2</v>
      </c>
      <c r="AK39" s="66" t="n">
        <f aca="false">AK22*'Assumption Setting'!$E$69</f>
        <v>11793.6</v>
      </c>
      <c r="AL39" s="66" t="n">
        <f aca="false">AL22*'Assumption Setting'!$E$69</f>
        <v>9408</v>
      </c>
      <c r="AM39" s="66" t="n">
        <f aca="false">AM22*'Assumption Setting'!$E$69</f>
        <v>11088</v>
      </c>
      <c r="AN39" s="66" t="n">
        <f aca="false">AN22*'Assumption Setting'!$E$69</f>
        <v>13104</v>
      </c>
      <c r="AO39" s="65" t="n">
        <f aca="false">SUM(AP39:BA39)</f>
        <v>187000</v>
      </c>
      <c r="AP39" s="66" t="n">
        <f aca="false">AP22*'Assumption Setting'!$F$69</f>
        <v>11519.2</v>
      </c>
      <c r="AQ39" s="66" t="n">
        <f aca="false">AQ22*'Assumption Setting'!$F$69</f>
        <v>13576.2</v>
      </c>
      <c r="AR39" s="66" t="n">
        <f aca="false">AR22*'Assumption Setting'!$F$69</f>
        <v>16044.6</v>
      </c>
      <c r="AS39" s="66" t="n">
        <f aca="false">AS22*'Assumption Setting'!$F$69</f>
        <v>12566.4</v>
      </c>
      <c r="AT39" s="66" t="n">
        <f aca="false">AT22*'Assumption Setting'!$F$69</f>
        <v>14810.4</v>
      </c>
      <c r="AU39" s="66" t="n">
        <f aca="false">AU22*'Assumption Setting'!$F$69</f>
        <v>17503.2</v>
      </c>
      <c r="AV39" s="66" t="n">
        <f aca="false">AV22*'Assumption Setting'!$F$69</f>
        <v>13613.6</v>
      </c>
      <c r="AW39" s="66" t="n">
        <f aca="false">AW22*'Assumption Setting'!$F$69</f>
        <v>16044.6</v>
      </c>
      <c r="AX39" s="66" t="n">
        <f aca="false">AX22*'Assumption Setting'!$F$69</f>
        <v>18961.8</v>
      </c>
      <c r="AY39" s="66" t="n">
        <f aca="false">AY22*'Assumption Setting'!$F$69</f>
        <v>14660.8</v>
      </c>
      <c r="AZ39" s="66" t="n">
        <f aca="false">AZ22*'Assumption Setting'!$F$69</f>
        <v>17278.8</v>
      </c>
      <c r="BA39" s="66" t="n">
        <f aca="false">BA22*'Assumption Setting'!$F$69</f>
        <v>20420.4</v>
      </c>
      <c r="BB39" s="65" t="n">
        <f aca="false">SUM(BC39:BN39)</f>
        <v>273240</v>
      </c>
      <c r="BC39" s="66" t="n">
        <f aca="false">BC22*'Assumption Setting'!$G$69</f>
        <v>17388</v>
      </c>
      <c r="BD39" s="66" t="n">
        <f aca="false">BD22*'Assumption Setting'!$G$69</f>
        <v>20493</v>
      </c>
      <c r="BE39" s="66" t="n">
        <f aca="false">BE22*'Assumption Setting'!$G$69</f>
        <v>24219</v>
      </c>
      <c r="BF39" s="66" t="n">
        <f aca="false">BF22*'Assumption Setting'!$G$69</f>
        <v>18547.2</v>
      </c>
      <c r="BG39" s="66" t="n">
        <f aca="false">BG22*'Assumption Setting'!$G$69</f>
        <v>21859.2</v>
      </c>
      <c r="BH39" s="66" t="n">
        <f aca="false">BH22*'Assumption Setting'!$G$69</f>
        <v>25833.6</v>
      </c>
      <c r="BI39" s="66" t="n">
        <f aca="false">BI22*'Assumption Setting'!$G$69</f>
        <v>19706.4</v>
      </c>
      <c r="BJ39" s="66" t="n">
        <f aca="false">BJ22*'Assumption Setting'!$G$69</f>
        <v>23225.4</v>
      </c>
      <c r="BK39" s="66" t="n">
        <f aca="false">BK22*'Assumption Setting'!$G$69</f>
        <v>27448.2</v>
      </c>
      <c r="BL39" s="66" t="n">
        <f aca="false">BL22*'Assumption Setting'!$G$69</f>
        <v>20865.6</v>
      </c>
      <c r="BM39" s="66" t="n">
        <f aca="false">BM22*'Assumption Setting'!$G$69</f>
        <v>24591.6</v>
      </c>
      <c r="BN39" s="66" t="n">
        <f aca="false">BN22*'Assumption Setting'!$G$69</f>
        <v>29062.8</v>
      </c>
    </row>
    <row r="40" customFormat="false" ht="15" hidden="false" customHeight="false" outlineLevel="0" collapsed="false">
      <c r="A40" s="12" t="s">
        <v>722</v>
      </c>
      <c r="B40" s="65" t="n">
        <f aca="false">SUM(C40:N40)</f>
        <v>9000</v>
      </c>
      <c r="C40" s="66" t="n">
        <f aca="false">C20*'Assumption Setting'!$C$70</f>
        <v>0</v>
      </c>
      <c r="D40" s="66" t="n">
        <f aca="false">D20*'Assumption Setting'!$C$70</f>
        <v>0</v>
      </c>
      <c r="E40" s="66" t="n">
        <f aca="false">E20*'Assumption Setting'!$C$70</f>
        <v>0</v>
      </c>
      <c r="F40" s="66" t="n">
        <f aca="false">F20*'Assumption Setting'!$C$70</f>
        <v>0</v>
      </c>
      <c r="G40" s="66" t="n">
        <f aca="false">G20*'Assumption Setting'!$C$70</f>
        <v>0</v>
      </c>
      <c r="H40" s="66" t="n">
        <f aca="false">H20*'Assumption Setting'!$C$70</f>
        <v>0</v>
      </c>
      <c r="I40" s="66" t="n">
        <f aca="false">I20*'Assumption Setting'!$C$70</f>
        <v>0</v>
      </c>
      <c r="J40" s="66" t="n">
        <f aca="false">J20*'Assumption Setting'!$C$70</f>
        <v>0</v>
      </c>
      <c r="K40" s="66" t="n">
        <f aca="false">K20*'Assumption Setting'!$C$70</f>
        <v>0</v>
      </c>
      <c r="L40" s="66" t="n">
        <f aca="false">L20*'Assumption Setting'!$C$70</f>
        <v>2520</v>
      </c>
      <c r="M40" s="66" t="n">
        <f aca="false">M20*'Assumption Setting'!$C$70</f>
        <v>2970</v>
      </c>
      <c r="N40" s="66" t="n">
        <f aca="false">N20*'Assumption Setting'!$C$70</f>
        <v>3510</v>
      </c>
      <c r="O40" s="65" t="n">
        <f aca="false">SUM(P40:AA40)</f>
        <v>28000</v>
      </c>
      <c r="P40" s="66" t="n">
        <f aca="false">P20*'Assumption Setting'!$D$70</f>
        <v>3920</v>
      </c>
      <c r="Q40" s="66" t="n">
        <f aca="false">Q20*'Assumption Setting'!$D$70</f>
        <v>4620</v>
      </c>
      <c r="R40" s="66" t="n">
        <f aca="false">R20*'Assumption Setting'!$D$70</f>
        <v>5460</v>
      </c>
      <c r="S40" s="66" t="n">
        <f aca="false">S20*'Assumption Setting'!$D$70</f>
        <v>0</v>
      </c>
      <c r="T40" s="66" t="n">
        <f aca="false">T20*'Assumption Setting'!$D$70</f>
        <v>0</v>
      </c>
      <c r="U40" s="66" t="n">
        <f aca="false">U20*'Assumption Setting'!$D$70</f>
        <v>0</v>
      </c>
      <c r="V40" s="66" t="n">
        <f aca="false">V20*'Assumption Setting'!$D$70</f>
        <v>3920</v>
      </c>
      <c r="W40" s="66" t="n">
        <f aca="false">W20*'Assumption Setting'!$D$70</f>
        <v>4620</v>
      </c>
      <c r="X40" s="66" t="n">
        <f aca="false">X20*'Assumption Setting'!$D$70</f>
        <v>5460</v>
      </c>
      <c r="Y40" s="66" t="n">
        <f aca="false">Y20*'Assumption Setting'!$D$70</f>
        <v>0</v>
      </c>
      <c r="Z40" s="66" t="n">
        <f aca="false">Z20*'Assumption Setting'!$D$70</f>
        <v>0</v>
      </c>
      <c r="AA40" s="66" t="n">
        <f aca="false">AA20*'Assumption Setting'!$D$70</f>
        <v>0</v>
      </c>
      <c r="AB40" s="65" t="n">
        <f aca="false">SUM(AC40:AN40)</f>
        <v>60000</v>
      </c>
      <c r="AC40" s="66" t="n">
        <f aca="false">AC20*'Assumption Setting'!$E$70</f>
        <v>5600</v>
      </c>
      <c r="AD40" s="66" t="n">
        <f aca="false">AD20*'Assumption Setting'!$E$70</f>
        <v>6600</v>
      </c>
      <c r="AE40" s="66" t="n">
        <f aca="false">AE20*'Assumption Setting'!$E$70</f>
        <v>7800</v>
      </c>
      <c r="AF40" s="66" t="n">
        <f aca="false">AF20*'Assumption Setting'!$E$70</f>
        <v>5600</v>
      </c>
      <c r="AG40" s="66" t="n">
        <f aca="false">AG20*'Assumption Setting'!$E$70</f>
        <v>6600</v>
      </c>
      <c r="AH40" s="66" t="n">
        <f aca="false">AH20*'Assumption Setting'!$E$70</f>
        <v>7800</v>
      </c>
      <c r="AI40" s="66" t="n">
        <f aca="false">AI20*'Assumption Setting'!$E$70</f>
        <v>5600</v>
      </c>
      <c r="AJ40" s="66" t="n">
        <f aca="false">AJ20*'Assumption Setting'!$E$70</f>
        <v>6600</v>
      </c>
      <c r="AK40" s="66" t="n">
        <f aca="false">AK20*'Assumption Setting'!$E$70</f>
        <v>7800</v>
      </c>
      <c r="AL40" s="66" t="n">
        <f aca="false">AL20*'Assumption Setting'!$E$70</f>
        <v>0</v>
      </c>
      <c r="AM40" s="66" t="n">
        <f aca="false">AM20*'Assumption Setting'!$E$70</f>
        <v>0</v>
      </c>
      <c r="AN40" s="66" t="n">
        <f aca="false">AN20*'Assumption Setting'!$E$70</f>
        <v>0</v>
      </c>
      <c r="AO40" s="65" t="n">
        <f aca="false">SUM(AP40:BA40)</f>
        <v>78000</v>
      </c>
      <c r="AP40" s="66" t="n">
        <f aca="false">AP20*'Assumption Setting'!$F$70</f>
        <v>7280</v>
      </c>
      <c r="AQ40" s="66" t="n">
        <f aca="false">AQ20*'Assumption Setting'!$F$70</f>
        <v>8580</v>
      </c>
      <c r="AR40" s="66" t="n">
        <f aca="false">AR20*'Assumption Setting'!$F$70</f>
        <v>10140</v>
      </c>
      <c r="AS40" s="66" t="n">
        <f aca="false">AS20*'Assumption Setting'!$F$70</f>
        <v>7280</v>
      </c>
      <c r="AT40" s="66" t="n">
        <f aca="false">AT20*'Assumption Setting'!$F$70</f>
        <v>8580</v>
      </c>
      <c r="AU40" s="66" t="n">
        <f aca="false">AU20*'Assumption Setting'!$F$70</f>
        <v>10140</v>
      </c>
      <c r="AV40" s="66" t="n">
        <f aca="false">AV20*'Assumption Setting'!$F$70</f>
        <v>7280</v>
      </c>
      <c r="AW40" s="66" t="n">
        <f aca="false">AW20*'Assumption Setting'!$F$70</f>
        <v>8580</v>
      </c>
      <c r="AX40" s="66" t="n">
        <f aca="false">AX20*'Assumption Setting'!$F$70</f>
        <v>10140</v>
      </c>
      <c r="AY40" s="66" t="n">
        <f aca="false">AY20*'Assumption Setting'!$F$70</f>
        <v>0</v>
      </c>
      <c r="AZ40" s="66" t="n">
        <f aca="false">AZ20*'Assumption Setting'!$F$70</f>
        <v>0</v>
      </c>
      <c r="BA40" s="66" t="n">
        <f aca="false">BA20*'Assumption Setting'!$F$70</f>
        <v>0</v>
      </c>
      <c r="BB40" s="65" t="n">
        <f aca="false">SUM(BC40:BN40)</f>
        <v>90000</v>
      </c>
      <c r="BC40" s="66" t="n">
        <f aca="false">BC20*'Assumption Setting'!$G$70</f>
        <v>8400</v>
      </c>
      <c r="BD40" s="66" t="n">
        <f aca="false">BD20*'Assumption Setting'!$G$70</f>
        <v>9900</v>
      </c>
      <c r="BE40" s="66" t="n">
        <f aca="false">BE20*'Assumption Setting'!$G$70</f>
        <v>11700</v>
      </c>
      <c r="BF40" s="66" t="n">
        <f aca="false">BF20*'Assumption Setting'!$G$70</f>
        <v>8400</v>
      </c>
      <c r="BG40" s="66" t="n">
        <f aca="false">BG20*'Assumption Setting'!$G$70</f>
        <v>9900</v>
      </c>
      <c r="BH40" s="66" t="n">
        <f aca="false">BH20*'Assumption Setting'!$G$70</f>
        <v>11700</v>
      </c>
      <c r="BI40" s="66" t="n">
        <f aca="false">BI20*'Assumption Setting'!$G$70</f>
        <v>8400</v>
      </c>
      <c r="BJ40" s="66" t="n">
        <f aca="false">BJ20*'Assumption Setting'!$G$70</f>
        <v>9900</v>
      </c>
      <c r="BK40" s="66" t="n">
        <f aca="false">BK20*'Assumption Setting'!$G$70</f>
        <v>11700</v>
      </c>
      <c r="BL40" s="66" t="n">
        <f aca="false">BL20*'Assumption Setting'!$G$70</f>
        <v>0</v>
      </c>
      <c r="BM40" s="66" t="n">
        <f aca="false">BM20*'Assumption Setting'!$G$70</f>
        <v>0</v>
      </c>
      <c r="BN40" s="66" t="n">
        <f aca="false">BN20*'Assumption Setting'!$G$70</f>
        <v>0</v>
      </c>
    </row>
    <row r="41" customFormat="false" ht="15" hidden="false" customHeight="false" outlineLevel="0" collapsed="false">
      <c r="A41" s="70" t="s">
        <v>723</v>
      </c>
      <c r="B41" s="65" t="n">
        <f aca="false">SUM(C41:N41)</f>
        <v>104640</v>
      </c>
      <c r="C41" s="71" t="n">
        <f aca="false">SUM(C29:C40)</f>
        <v>1820</v>
      </c>
      <c r="D41" s="71" t="n">
        <f aca="false">SUM(D29:D40)</f>
        <v>2145</v>
      </c>
      <c r="E41" s="71" t="n">
        <f aca="false">SUM(E29:E40)</f>
        <v>2535</v>
      </c>
      <c r="F41" s="71" t="n">
        <f aca="false">SUM(F29:F40)</f>
        <v>4244.8</v>
      </c>
      <c r="G41" s="71" t="n">
        <f aca="false">SUM(G29:G40)</f>
        <v>5002.8</v>
      </c>
      <c r="H41" s="71" t="n">
        <f aca="false">SUM(H29:H40)</f>
        <v>5912.4</v>
      </c>
      <c r="I41" s="71" t="n">
        <f aca="false">SUM(I29:I40)</f>
        <v>6064.8</v>
      </c>
      <c r="J41" s="71" t="n">
        <f aca="false">SUM(J29:J40)</f>
        <v>7147.8</v>
      </c>
      <c r="K41" s="71" t="n">
        <f aca="false">SUM(K29:K40)</f>
        <v>8447.4</v>
      </c>
      <c r="L41" s="71" t="n">
        <f aca="false">SUM(L29:L40)</f>
        <v>17169.6</v>
      </c>
      <c r="M41" s="71" t="n">
        <f aca="false">SUM(M29:M40)</f>
        <v>20235.6</v>
      </c>
      <c r="N41" s="71" t="n">
        <f aca="false">SUM(N29:N40)</f>
        <v>23914.8</v>
      </c>
      <c r="O41" s="65" t="n">
        <f aca="false">SUM(P41:AA41)</f>
        <v>856400</v>
      </c>
      <c r="P41" s="71" t="n">
        <f aca="false">SUM(P29:P40)</f>
        <v>23632</v>
      </c>
      <c r="Q41" s="71" t="n">
        <f aca="false">SUM(Q29:Q40)</f>
        <v>27852</v>
      </c>
      <c r="R41" s="71" t="n">
        <f aca="false">SUM(R29:R40)</f>
        <v>32916</v>
      </c>
      <c r="S41" s="71" t="n">
        <f aca="false">SUM(S29:S40)</f>
        <v>40320</v>
      </c>
      <c r="T41" s="71" t="n">
        <f aca="false">SUM(T29:T40)</f>
        <v>47520</v>
      </c>
      <c r="U41" s="71" t="n">
        <f aca="false">SUM(U29:U40)</f>
        <v>56160</v>
      </c>
      <c r="V41" s="71" t="n">
        <f aca="false">SUM(V29:V40)</f>
        <v>67200</v>
      </c>
      <c r="W41" s="71" t="n">
        <f aca="false">SUM(W29:W40)</f>
        <v>79200</v>
      </c>
      <c r="X41" s="71" t="n">
        <f aca="false">SUM(X29:X40)</f>
        <v>93600</v>
      </c>
      <c r="Y41" s="71" t="n">
        <f aca="false">SUM(Y29:Y40)</f>
        <v>108640</v>
      </c>
      <c r="Z41" s="71" t="n">
        <f aca="false">SUM(Z29:Z40)</f>
        <v>128040</v>
      </c>
      <c r="AA41" s="71" t="n">
        <f aca="false">SUM(AA29:AA40)</f>
        <v>151320</v>
      </c>
      <c r="AB41" s="65" t="n">
        <f aca="false">SUM(AC41:AN41)</f>
        <v>3139040</v>
      </c>
      <c r="AC41" s="71" t="n">
        <f aca="false">SUM(AC29:AC40)</f>
        <v>160333.6</v>
      </c>
      <c r="AD41" s="71" t="n">
        <f aca="false">SUM(AD29:AD40)</f>
        <v>188964.6</v>
      </c>
      <c r="AE41" s="71" t="n">
        <f aca="false">SUM(AE29:AE40)</f>
        <v>223321.8</v>
      </c>
      <c r="AF41" s="71" t="n">
        <f aca="false">SUM(AF29:AF40)</f>
        <v>192886.4</v>
      </c>
      <c r="AG41" s="71" t="n">
        <f aca="false">SUM(AG29:AG40)</f>
        <v>227330.4</v>
      </c>
      <c r="AH41" s="71" t="n">
        <f aca="false">SUM(AH29:AH40)</f>
        <v>268663.2</v>
      </c>
      <c r="AI41" s="71" t="n">
        <f aca="false">SUM(AI29:AI40)</f>
        <v>249379.2</v>
      </c>
      <c r="AJ41" s="71" t="n">
        <f aca="false">SUM(AJ29:AJ40)</f>
        <v>293911.2</v>
      </c>
      <c r="AK41" s="71" t="n">
        <f aca="false">SUM(AK29:AK40)</f>
        <v>347349.6</v>
      </c>
      <c r="AL41" s="71" t="n">
        <f aca="false">SUM(AL29:AL40)</f>
        <v>276332</v>
      </c>
      <c r="AM41" s="71" t="n">
        <f aca="false">SUM(AM29:AM40)</f>
        <v>325677</v>
      </c>
      <c r="AN41" s="71" t="n">
        <f aca="false">SUM(AN29:AN40)</f>
        <v>384891</v>
      </c>
      <c r="AO41" s="65" t="n">
        <f aca="false">SUM(AP41:BA41)</f>
        <v>6096800</v>
      </c>
      <c r="AP41" s="71" t="n">
        <f aca="false">SUM(AP29:AP40)</f>
        <v>345699.2</v>
      </c>
      <c r="AQ41" s="71" t="n">
        <f aca="false">SUM(AQ29:AQ40)</f>
        <v>407431.2</v>
      </c>
      <c r="AR41" s="71" t="n">
        <f aca="false">SUM(AR29:AR40)</f>
        <v>481509.6</v>
      </c>
      <c r="AS41" s="71" t="n">
        <f aca="false">SUM(AS29:AS40)</f>
        <v>407870.4</v>
      </c>
      <c r="AT41" s="71" t="n">
        <f aca="false">SUM(AT29:AT40)</f>
        <v>480704.4</v>
      </c>
      <c r="AU41" s="71" t="n">
        <f aca="false">SUM(AU29:AU40)</f>
        <v>568105.2</v>
      </c>
      <c r="AV41" s="71" t="n">
        <f aca="false">SUM(AV29:AV40)</f>
        <v>449321.6</v>
      </c>
      <c r="AW41" s="71" t="n">
        <f aca="false">SUM(AW29:AW40)</f>
        <v>529557.6</v>
      </c>
      <c r="AX41" s="71" t="n">
        <f aca="false">SUM(AX29:AX40)</f>
        <v>625840.8</v>
      </c>
      <c r="AY41" s="71" t="n">
        <f aca="false">SUM(AY29:AY40)</f>
        <v>504212.8</v>
      </c>
      <c r="AZ41" s="71" t="n">
        <f aca="false">SUM(AZ29:AZ40)</f>
        <v>594250.8</v>
      </c>
      <c r="BA41" s="71" t="n">
        <f aca="false">SUM(BA29:BA40)</f>
        <v>702296.4</v>
      </c>
      <c r="BB41" s="65" t="n">
        <f aca="false">SUM(BC41:BN41)</f>
        <v>9262840</v>
      </c>
      <c r="BC41" s="71" t="n">
        <f aca="false">SUM(BC29:BC40)</f>
        <v>577416</v>
      </c>
      <c r="BD41" s="71" t="n">
        <f aca="false">SUM(BD29:BD40)</f>
        <v>680526</v>
      </c>
      <c r="BE41" s="71" t="n">
        <f aca="false">SUM(BE29:BE40)</f>
        <v>804258</v>
      </c>
      <c r="BF41" s="71" t="n">
        <f aca="false">SUM(BF29:BF40)</f>
        <v>616011.2</v>
      </c>
      <c r="BG41" s="71" t="n">
        <f aca="false">SUM(BG29:BG40)</f>
        <v>726013.2</v>
      </c>
      <c r="BH41" s="71" t="n">
        <f aca="false">SUM(BH29:BH40)</f>
        <v>858015.6</v>
      </c>
      <c r="BI41" s="71" t="n">
        <f aca="false">SUM(BI29:BI40)</f>
        <v>684986.4</v>
      </c>
      <c r="BJ41" s="71" t="n">
        <f aca="false">SUM(BJ29:BJ40)</f>
        <v>807305.4</v>
      </c>
      <c r="BK41" s="71" t="n">
        <f aca="false">SUM(BK29:BK40)</f>
        <v>954088.2</v>
      </c>
      <c r="BL41" s="71" t="n">
        <f aca="false">SUM(BL29:BL40)</f>
        <v>715181.6</v>
      </c>
      <c r="BM41" s="71" t="n">
        <f aca="false">SUM(BM29:BM40)</f>
        <v>842892.6</v>
      </c>
      <c r="BN41" s="71" t="n">
        <f aca="false">SUM(BN29:BN40)</f>
        <v>996145.8</v>
      </c>
    </row>
    <row r="43" customFormat="false" ht="16.5" hidden="false" customHeight="true" outlineLevel="0" collapsed="false">
      <c r="A43" s="15" t="s">
        <v>724</v>
      </c>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row>
    <row r="44" customFormat="false" ht="15" hidden="false" customHeight="true" outlineLevel="0" collapsed="false">
      <c r="A44" s="26" t="s">
        <v>505</v>
      </c>
      <c r="B44" s="62" t="s">
        <v>80</v>
      </c>
      <c r="C44" s="63" t="s">
        <v>506</v>
      </c>
      <c r="D44" s="63" t="s">
        <v>507</v>
      </c>
      <c r="E44" s="63" t="s">
        <v>508</v>
      </c>
      <c r="F44" s="63" t="s">
        <v>509</v>
      </c>
      <c r="G44" s="63" t="s">
        <v>510</v>
      </c>
      <c r="H44" s="63" t="s">
        <v>511</v>
      </c>
      <c r="I44" s="63" t="s">
        <v>512</v>
      </c>
      <c r="J44" s="63" t="s">
        <v>513</v>
      </c>
      <c r="K44" s="63" t="s">
        <v>514</v>
      </c>
      <c r="L44" s="63" t="s">
        <v>515</v>
      </c>
      <c r="M44" s="63" t="s">
        <v>516</v>
      </c>
      <c r="N44" s="63" t="s">
        <v>517</v>
      </c>
      <c r="O44" s="62" t="s">
        <v>81</v>
      </c>
      <c r="P44" s="64" t="s">
        <v>518</v>
      </c>
      <c r="Q44" s="64" t="s">
        <v>519</v>
      </c>
      <c r="R44" s="64" t="s">
        <v>520</v>
      </c>
      <c r="S44" s="64" t="s">
        <v>521</v>
      </c>
      <c r="T44" s="64" t="s">
        <v>522</v>
      </c>
      <c r="U44" s="64" t="s">
        <v>523</v>
      </c>
      <c r="V44" s="64" t="s">
        <v>524</v>
      </c>
      <c r="W44" s="64" t="s">
        <v>525</v>
      </c>
      <c r="X44" s="64" t="s">
        <v>526</v>
      </c>
      <c r="Y44" s="64" t="s">
        <v>527</v>
      </c>
      <c r="Z44" s="64" t="s">
        <v>528</v>
      </c>
      <c r="AA44" s="64" t="s">
        <v>529</v>
      </c>
      <c r="AB44" s="62" t="s">
        <v>82</v>
      </c>
      <c r="AC44" s="63" t="s">
        <v>530</v>
      </c>
      <c r="AD44" s="63" t="s">
        <v>531</v>
      </c>
      <c r="AE44" s="63" t="s">
        <v>532</v>
      </c>
      <c r="AF44" s="63" t="s">
        <v>533</v>
      </c>
      <c r="AG44" s="63" t="s">
        <v>534</v>
      </c>
      <c r="AH44" s="63" t="s">
        <v>535</v>
      </c>
      <c r="AI44" s="63" t="s">
        <v>536</v>
      </c>
      <c r="AJ44" s="63" t="s">
        <v>537</v>
      </c>
      <c r="AK44" s="63" t="s">
        <v>538</v>
      </c>
      <c r="AL44" s="63" t="s">
        <v>539</v>
      </c>
      <c r="AM44" s="63" t="s">
        <v>540</v>
      </c>
      <c r="AN44" s="63" t="s">
        <v>541</v>
      </c>
      <c r="AO44" s="62" t="s">
        <v>83</v>
      </c>
      <c r="AP44" s="64" t="s">
        <v>542</v>
      </c>
      <c r="AQ44" s="64" t="s">
        <v>543</v>
      </c>
      <c r="AR44" s="64" t="s">
        <v>544</v>
      </c>
      <c r="AS44" s="64" t="s">
        <v>545</v>
      </c>
      <c r="AT44" s="64" t="s">
        <v>546</v>
      </c>
      <c r="AU44" s="64" t="s">
        <v>547</v>
      </c>
      <c r="AV44" s="64" t="s">
        <v>548</v>
      </c>
      <c r="AW44" s="64" t="s">
        <v>549</v>
      </c>
      <c r="AX44" s="64" t="s">
        <v>550</v>
      </c>
      <c r="AY44" s="64" t="s">
        <v>551</v>
      </c>
      <c r="AZ44" s="64" t="s">
        <v>552</v>
      </c>
      <c r="BA44" s="64" t="s">
        <v>553</v>
      </c>
      <c r="BB44" s="62" t="s">
        <v>84</v>
      </c>
      <c r="BC44" s="63" t="s">
        <v>554</v>
      </c>
      <c r="BD44" s="63" t="s">
        <v>555</v>
      </c>
      <c r="BE44" s="63" t="s">
        <v>556</v>
      </c>
      <c r="BF44" s="63" t="s">
        <v>557</v>
      </c>
      <c r="BG44" s="63" t="s">
        <v>558</v>
      </c>
      <c r="BH44" s="63" t="s">
        <v>559</v>
      </c>
      <c r="BI44" s="63" t="s">
        <v>560</v>
      </c>
      <c r="BJ44" s="63" t="s">
        <v>561</v>
      </c>
      <c r="BK44" s="63" t="s">
        <v>562</v>
      </c>
      <c r="BL44" s="63" t="s">
        <v>563</v>
      </c>
      <c r="BM44" s="63" t="s">
        <v>564</v>
      </c>
      <c r="BN44" s="63" t="s">
        <v>565</v>
      </c>
    </row>
    <row r="45" customFormat="false" ht="15" hidden="false" customHeight="false" outlineLevel="0" collapsed="false">
      <c r="A45" s="12" t="s">
        <v>725</v>
      </c>
      <c r="B45" s="79" t="n">
        <f aca="false">SUM(C45:N45)</f>
        <v>176.161118181818</v>
      </c>
      <c r="C45" s="94" t="n">
        <f aca="false">Acquisitions!C$74</f>
        <v>17.7500931818182</v>
      </c>
      <c r="D45" s="94" t="n">
        <f aca="false">Acquisitions!D$74</f>
        <v>20.0750931818182</v>
      </c>
      <c r="E45" s="94" t="n">
        <f aca="false">Acquisitions!E$74</f>
        <v>22.8650931818182</v>
      </c>
      <c r="F45" s="94" t="n">
        <f aca="false">Acquisitions!F$74</f>
        <v>6.99809318181818</v>
      </c>
      <c r="G45" s="94" t="n">
        <f aca="false">Acquisitions!G$74</f>
        <v>7.40309318181818</v>
      </c>
      <c r="H45" s="94" t="n">
        <f aca="false">Acquisitions!H$74</f>
        <v>7.88909318181818</v>
      </c>
      <c r="I45" s="94" t="n">
        <f aca="false">Acquisitions!I$74</f>
        <v>7.41809318181818</v>
      </c>
      <c r="J45" s="94" t="n">
        <f aca="false">Acquisitions!J$74</f>
        <v>7.89809318181818</v>
      </c>
      <c r="K45" s="94" t="n">
        <f aca="false">Acquisitions!K$74</f>
        <v>8.47409318181818</v>
      </c>
      <c r="L45" s="94" t="n">
        <f aca="false">Acquisitions!L$74</f>
        <v>20.1860931818182</v>
      </c>
      <c r="M45" s="94" t="n">
        <f aca="false">Acquisitions!M$74</f>
        <v>22.9460931818182</v>
      </c>
      <c r="N45" s="94" t="n">
        <f aca="false">Acquisitions!N$74</f>
        <v>26.2580931818182</v>
      </c>
      <c r="O45" s="79" t="n">
        <f aca="false">SUM(P45:AA45)</f>
        <v>1135.74498181818</v>
      </c>
      <c r="P45" s="94" t="n">
        <f aca="false">Acquisitions!P$74</f>
        <v>53.3547484848485</v>
      </c>
      <c r="Q45" s="94" t="n">
        <f aca="false">Acquisitions!Q$74</f>
        <v>57.0647484848485</v>
      </c>
      <c r="R45" s="94" t="n">
        <f aca="false">Acquisitions!R$74</f>
        <v>61.5167484848485</v>
      </c>
      <c r="S45" s="94" t="n">
        <f aca="false">Acquisitions!S$74</f>
        <v>59.6267484848485</v>
      </c>
      <c r="T45" s="94" t="n">
        <f aca="false">Acquisitions!T$74</f>
        <v>64.4567484848485</v>
      </c>
      <c r="U45" s="94" t="n">
        <f aca="false">Acquisitions!U$74</f>
        <v>70.2527484848485</v>
      </c>
      <c r="V45" s="94" t="n">
        <f aca="false">Acquisitions!V$74</f>
        <v>92.5547484848485</v>
      </c>
      <c r="W45" s="94" t="n">
        <f aca="false">Acquisitions!W$74</f>
        <v>103.264748484849</v>
      </c>
      <c r="X45" s="94" t="n">
        <f aca="false">Acquisitions!X$74</f>
        <v>116.116748484848</v>
      </c>
      <c r="Y45" s="94" t="n">
        <f aca="false">Acquisitions!Y$74</f>
        <v>133.322748484849</v>
      </c>
      <c r="Z45" s="94" t="n">
        <f aca="false">Acquisitions!Z$74</f>
        <v>151.312748484849</v>
      </c>
      <c r="AA45" s="94" t="n">
        <f aca="false">Acquisitions!AA$74</f>
        <v>172.900748484849</v>
      </c>
      <c r="AB45" s="79" t="n">
        <f aca="false">SUM(AC45:AN45)</f>
        <v>4625.81012363636</v>
      </c>
      <c r="AC45" s="94" t="n">
        <f aca="false">Acquisitions!AC$74</f>
        <v>252.078843636364</v>
      </c>
      <c r="AD45" s="94" t="n">
        <f aca="false">Acquisitions!AD$74</f>
        <v>279.958843636364</v>
      </c>
      <c r="AE45" s="94" t="n">
        <f aca="false">Acquisitions!AE$74</f>
        <v>313.414843636364</v>
      </c>
      <c r="AF45" s="94" t="n">
        <f aca="false">Acquisitions!AF$74</f>
        <v>305.502843636364</v>
      </c>
      <c r="AG45" s="94" t="n">
        <f aca="false">Acquisitions!AG$74</f>
        <v>342.922843636364</v>
      </c>
      <c r="AH45" s="94" t="n">
        <f aca="false">Acquisitions!AH$74</f>
        <v>387.826843636364</v>
      </c>
      <c r="AI45" s="94" t="n">
        <f aca="false">Acquisitions!AI$74</f>
        <v>372.814843636364</v>
      </c>
      <c r="AJ45" s="94" t="n">
        <f aca="false">Acquisitions!AJ$74</f>
        <v>422.254843636364</v>
      </c>
      <c r="AK45" s="94" t="n">
        <f aca="false">Acquisitions!AK$74</f>
        <v>481.582843636364</v>
      </c>
      <c r="AL45" s="94" t="n">
        <f aca="false">Acquisitions!AL$74</f>
        <v>426.238843636364</v>
      </c>
      <c r="AM45" s="94" t="n">
        <f aca="false">Acquisitions!AM$74</f>
        <v>485.218843636364</v>
      </c>
      <c r="AN45" s="94" t="n">
        <f aca="false">Acquisitions!AN$74</f>
        <v>555.994843636364</v>
      </c>
      <c r="AO45" s="79" t="n">
        <f aca="false">SUM(AP45:BA45)</f>
        <v>10894.2491854545</v>
      </c>
      <c r="AP45" s="94" t="n">
        <f aca="false">Acquisitions!AP$74</f>
        <v>649.069565454546</v>
      </c>
      <c r="AQ45" s="94" t="n">
        <f aca="false">Acquisitions!AQ$74</f>
        <v>732.867565454546</v>
      </c>
      <c r="AR45" s="94" t="n">
        <f aca="false">Acquisitions!AR$74</f>
        <v>833.425165454545</v>
      </c>
      <c r="AS45" s="94" t="n">
        <f aca="false">Acquisitions!AS$74</f>
        <v>751.325565454546</v>
      </c>
      <c r="AT45" s="94" t="n">
        <f aca="false">Acquisitions!AT$74</f>
        <v>853.383565454546</v>
      </c>
      <c r="AU45" s="94" t="n">
        <f aca="false">Acquisitions!AU$74</f>
        <v>975.853165454546</v>
      </c>
      <c r="AV45" s="94" t="n">
        <f aca="false">Acquisitions!AV$74</f>
        <v>831.405565454546</v>
      </c>
      <c r="AW45" s="94" t="n">
        <f aca="false">Acquisitions!AW$74</f>
        <v>947.763565454545</v>
      </c>
      <c r="AX45" s="94" t="n">
        <f aca="false">Acquisitions!AX$74</f>
        <v>1087.39316545455</v>
      </c>
      <c r="AY45" s="94" t="n">
        <f aca="false">Acquisitions!AY$74</f>
        <v>933.661565454546</v>
      </c>
      <c r="AZ45" s="94" t="n">
        <f aca="false">Acquisitions!AZ$74</f>
        <v>1068.27956545455</v>
      </c>
      <c r="BA45" s="94" t="n">
        <f aca="false">Acquisitions!BA$74</f>
        <v>1229.82116545455</v>
      </c>
      <c r="BB45" s="79" t="n">
        <f aca="false">SUM(BC45:BN45)</f>
        <v>18428.3871666667</v>
      </c>
      <c r="BC45" s="94" t="n">
        <f aca="false">Acquisitions!BC$74</f>
        <v>1192.75843055556</v>
      </c>
      <c r="BD45" s="94" t="n">
        <f aca="false">Acquisitions!BD$74</f>
        <v>1353.87843055556</v>
      </c>
      <c r="BE45" s="94" t="n">
        <f aca="false">Acquisitions!BE$74</f>
        <v>1547.22243055556</v>
      </c>
      <c r="BF45" s="94" t="n">
        <f aca="false">Acquisitions!BF$74</f>
        <v>1283.06543055556</v>
      </c>
      <c r="BG45" s="94" t="n">
        <f aca="false">Acquisitions!BG$74</f>
        <v>1460.31168055556</v>
      </c>
      <c r="BH45" s="94" t="n">
        <f aca="false">Acquisitions!BH$74</f>
        <v>1673.00718055556</v>
      </c>
      <c r="BI45" s="94" t="n">
        <f aca="false">Acquisitions!BI$74</f>
        <v>1389.86443055556</v>
      </c>
      <c r="BJ45" s="94" t="n">
        <f aca="false">Acquisitions!BJ$74</f>
        <v>1586.18193055556</v>
      </c>
      <c r="BK45" s="94" t="n">
        <f aca="false">Acquisitions!BK$74</f>
        <v>1821.76293055556</v>
      </c>
      <c r="BL45" s="94" t="n">
        <f aca="false">Acquisitions!BL$74</f>
        <v>1480.17143055556</v>
      </c>
      <c r="BM45" s="94" t="n">
        <f aca="false">Acquisitions!BM$74</f>
        <v>1692.61518055556</v>
      </c>
      <c r="BN45" s="94" t="n">
        <f aca="false">Acquisitions!BN$74</f>
        <v>1947.54768055556</v>
      </c>
    </row>
    <row r="46" customFormat="false" ht="15" hidden="false" customHeight="false" outlineLevel="0" collapsed="false">
      <c r="A46" s="12" t="s">
        <v>726</v>
      </c>
      <c r="B46" s="79" t="n">
        <f aca="false">N46</f>
        <v>138.989340445837</v>
      </c>
      <c r="C46" s="94" t="n">
        <f aca="false">Acquisitions!C$75</f>
        <v>19.7500931818182</v>
      </c>
      <c r="D46" s="94" t="n">
        <f aca="false">Acquisitions!D$75</f>
        <v>38.8376817045455</v>
      </c>
      <c r="E46" s="94" t="n">
        <f aca="false">Acquisitions!E$75</f>
        <v>59.7608908011364</v>
      </c>
      <c r="F46" s="94" t="n">
        <f aca="false">Acquisitions!F$75</f>
        <v>63.7709394428977</v>
      </c>
      <c r="G46" s="94" t="n">
        <f aca="false">Acquisitions!G$75</f>
        <v>67.985485652571</v>
      </c>
      <c r="H46" s="94" t="n">
        <f aca="false">Acquisitions!H$75</f>
        <v>72.4753045517607</v>
      </c>
      <c r="I46" s="94" t="n">
        <f aca="false">Acquisitions!I$75</f>
        <v>76.2696325059908</v>
      </c>
      <c r="J46" s="94" t="n">
        <f aca="false">Acquisitions!J$75</f>
        <v>80.3542440625094</v>
      </c>
      <c r="K46" s="94" t="n">
        <f aca="false">Acquisitions!K$75</f>
        <v>84.8106250412021</v>
      </c>
      <c r="L46" s="94" t="n">
        <f aca="false">Acquisitions!L$75</f>
        <v>100.75618697096</v>
      </c>
      <c r="M46" s="94" t="n">
        <f aca="false">Acquisitions!M$75</f>
        <v>118.66447080423</v>
      </c>
      <c r="N46" s="94" t="n">
        <f aca="false">Acquisitions!N$75</f>
        <v>138.989340445837</v>
      </c>
      <c r="O46" s="79" t="n">
        <f aca="false">AA46</f>
        <v>1006.85664605295</v>
      </c>
      <c r="P46" s="94" t="n">
        <f aca="false">Acquisitions!P$75</f>
        <v>185.394621908394</v>
      </c>
      <c r="Q46" s="94" t="n">
        <f aca="false">Acquisitions!Q$75</f>
        <v>233.189639297823</v>
      </c>
      <c r="R46" s="94" t="n">
        <f aca="false">Acquisitions!R$75</f>
        <v>283.04690581778</v>
      </c>
      <c r="S46" s="94" t="n">
        <f aca="false">Acquisitions!S$75</f>
        <v>328.521309011739</v>
      </c>
      <c r="T46" s="94" t="n">
        <f aca="false">Acquisitions!T$75</f>
        <v>376.551992046001</v>
      </c>
      <c r="U46" s="94" t="n">
        <f aca="false">Acquisitions!U$75</f>
        <v>427.977140928549</v>
      </c>
      <c r="V46" s="94" t="n">
        <f aca="false">Acquisitions!V$75</f>
        <v>499.13303236697</v>
      </c>
      <c r="W46" s="94" t="n">
        <f aca="false">Acquisitions!W$75</f>
        <v>577.44112923347</v>
      </c>
      <c r="X46" s="94" t="n">
        <f aca="false">Acquisitions!X$75</f>
        <v>664.685821256645</v>
      </c>
      <c r="Y46" s="94" t="n">
        <f aca="false">Acquisitions!Y$75</f>
        <v>764.774278678661</v>
      </c>
      <c r="Z46" s="94" t="n">
        <f aca="false">Acquisitions!Z$75</f>
        <v>877.848313229577</v>
      </c>
      <c r="AA46" s="94" t="n">
        <f aca="false">Acquisitions!AA$75</f>
        <v>1006.85664605295</v>
      </c>
      <c r="AB46" s="79" t="n">
        <f aca="false">AN46</f>
        <v>4226.77646429424</v>
      </c>
      <c r="AC46" s="94" t="n">
        <f aca="false">Acquisitions!AC$75</f>
        <v>1208.59265738666</v>
      </c>
      <c r="AD46" s="94" t="n">
        <f aca="false">Acquisitions!AD$75</f>
        <v>1428.12186815369</v>
      </c>
      <c r="AE46" s="94" t="n">
        <f aca="false">Acquisitions!AE$75</f>
        <v>1670.13061838237</v>
      </c>
      <c r="AF46" s="94" t="n">
        <f aca="false">Acquisitions!AF$75</f>
        <v>1892.12693109962</v>
      </c>
      <c r="AG46" s="94" t="n">
        <f aca="false">Acquisitions!AG$75</f>
        <v>2140.443428181</v>
      </c>
      <c r="AH46" s="94" t="n">
        <f aca="false">Acquisitions!AH$75</f>
        <v>2421.24810040831</v>
      </c>
      <c r="AI46" s="94" t="n">
        <f aca="false">Acquisitions!AI$75</f>
        <v>2673.00053902426</v>
      </c>
      <c r="AJ46" s="94" t="n">
        <f aca="false">Acquisitions!AJ$75</f>
        <v>2961.60535570941</v>
      </c>
      <c r="AK46" s="94" t="n">
        <f aca="false">Acquisitions!AK$75</f>
        <v>3295.1079315603</v>
      </c>
      <c r="AL46" s="94" t="n">
        <f aca="false">Acquisitions!AL$75</f>
        <v>3556.59137861865</v>
      </c>
      <c r="AM46" s="94" t="n">
        <f aca="false">Acquisitions!AM$75</f>
        <v>3863.98065332408</v>
      </c>
      <c r="AN46" s="94" t="n">
        <f aca="false">Acquisitions!AN$75</f>
        <v>4226.77646429424</v>
      </c>
      <c r="AO46" s="79" t="n">
        <f aca="false">BA46</f>
        <v>10863.8739379104</v>
      </c>
      <c r="AP46" s="94" t="n">
        <f aca="false">Acquisitions!AP$75</f>
        <v>4664.50720653408</v>
      </c>
      <c r="AQ46" s="94" t="n">
        <f aca="false">Acquisitions!AQ$75</f>
        <v>5164.14941166192</v>
      </c>
      <c r="AR46" s="94" t="n">
        <f aca="false">Acquisitions!AR$75</f>
        <v>5739.36710653337</v>
      </c>
      <c r="AS46" s="94" t="n">
        <f aca="false">Acquisitions!AS$75</f>
        <v>6203.72431666124</v>
      </c>
      <c r="AT46" s="94" t="n">
        <f aca="false">Acquisitions!AT$75</f>
        <v>6746.92166628273</v>
      </c>
      <c r="AU46" s="94" t="n">
        <f aca="false">Acquisitions!AU$75</f>
        <v>7385.42874842314</v>
      </c>
      <c r="AV46" s="94" t="n">
        <f aca="false">Acquisitions!AV$75</f>
        <v>7847.56287645652</v>
      </c>
      <c r="AW46" s="94" t="n">
        <f aca="false">Acquisitions!AW$75</f>
        <v>8402.94829808824</v>
      </c>
      <c r="AX46" s="94" t="n">
        <f aca="false">Acquisitions!AX$75</f>
        <v>9070.19404863838</v>
      </c>
      <c r="AY46" s="94" t="n">
        <f aca="false">Acquisitions!AY$75</f>
        <v>9550.34591166101</v>
      </c>
      <c r="AZ46" s="94" t="n">
        <f aca="false">Acquisitions!AZ$75</f>
        <v>10141.1081815325</v>
      </c>
      <c r="BA46" s="94" t="n">
        <f aca="false">Acquisitions!BA$75</f>
        <v>10863.8739379104</v>
      </c>
      <c r="BB46" s="79" t="n">
        <f aca="false">BN46</f>
        <v>20256.1404820315</v>
      </c>
      <c r="BC46" s="94" t="n">
        <f aca="false">Acquisitions!BC$75</f>
        <v>11513.4386715705</v>
      </c>
      <c r="BD46" s="94" t="n">
        <f aca="false">Acquisitions!BD$75</f>
        <v>12291.6451685475</v>
      </c>
      <c r="BE46" s="94" t="n">
        <f aca="false">Acquisitions!BE$75</f>
        <v>13224.2853406757</v>
      </c>
      <c r="BF46" s="94" t="n">
        <f aca="false">Acquisitions!BF$75</f>
        <v>13846.1365041974</v>
      </c>
      <c r="BG46" s="94" t="n">
        <f aca="false">Acquisitions!BG$75</f>
        <v>14614.1413595431</v>
      </c>
      <c r="BH46" s="94" t="n">
        <f aca="false">Acquisitions!BH$75</f>
        <v>15556.4414721215</v>
      </c>
      <c r="BI46" s="94" t="n">
        <f aca="false">Acquisitions!BI$75</f>
        <v>16168.483829071</v>
      </c>
      <c r="BJ46" s="94" t="n">
        <f aca="false">Acquisitions!BJ$75</f>
        <v>16946.241568173</v>
      </c>
      <c r="BK46" s="94" t="n">
        <f aca="false">Acquisitions!BK$75</f>
        <v>17920.6924203199</v>
      </c>
      <c r="BL46" s="94" t="n">
        <f aca="false">Acquisitions!BL$75</f>
        <v>18504.8292298595</v>
      </c>
      <c r="BM46" s="94" t="n">
        <f aca="false">Acquisitions!BM$75</f>
        <v>19272.2029489221</v>
      </c>
      <c r="BN46" s="94" t="n">
        <f aca="false">Acquisitions!BN$75</f>
        <v>20256.1404820315</v>
      </c>
    </row>
    <row r="47" customFormat="false" ht="15" hidden="false" customHeight="false" outlineLevel="0" collapsed="false">
      <c r="A47" s="12" t="s">
        <v>727</v>
      </c>
      <c r="B47" s="65" t="n">
        <f aca="false">IFERROR(AVERAGE(C47:N47),0)</f>
        <v>71</v>
      </c>
      <c r="C47" s="66" t="n">
        <f aca="false">'Assumption Setting'!$C$71*(1-'Assumption Setting'!$C$73)+'Assumption Setting'!$C$72*'Assumption Setting'!$C$73</f>
        <v>71</v>
      </c>
      <c r="D47" s="66" t="n">
        <f aca="false">'Assumption Setting'!$C$71*(1-'Assumption Setting'!$C$73)+'Assumption Setting'!$C$72*'Assumption Setting'!$C$73</f>
        <v>71</v>
      </c>
      <c r="E47" s="66" t="n">
        <f aca="false">'Assumption Setting'!$C$71*(1-'Assumption Setting'!$C$73)+'Assumption Setting'!$C$72*'Assumption Setting'!$C$73</f>
        <v>71</v>
      </c>
      <c r="F47" s="66" t="n">
        <f aca="false">'Assumption Setting'!$C$71*(1-'Assumption Setting'!$C$73)+'Assumption Setting'!$C$72*'Assumption Setting'!$C$73</f>
        <v>71</v>
      </c>
      <c r="G47" s="66" t="n">
        <f aca="false">'Assumption Setting'!$C$71*(1-'Assumption Setting'!$C$73)+'Assumption Setting'!$C$72*'Assumption Setting'!$C$73</f>
        <v>71</v>
      </c>
      <c r="H47" s="66" t="n">
        <f aca="false">'Assumption Setting'!$C$71*(1-'Assumption Setting'!$C$73)+'Assumption Setting'!$C$72*'Assumption Setting'!$C$73</f>
        <v>71</v>
      </c>
      <c r="I47" s="66" t="n">
        <f aca="false">'Assumption Setting'!$C$71*(1-'Assumption Setting'!$C$73)+'Assumption Setting'!$C$72*'Assumption Setting'!$C$73</f>
        <v>71</v>
      </c>
      <c r="J47" s="66" t="n">
        <f aca="false">'Assumption Setting'!$C$71*(1-'Assumption Setting'!$C$73)+'Assumption Setting'!$C$72*'Assumption Setting'!$C$73</f>
        <v>71</v>
      </c>
      <c r="K47" s="66" t="n">
        <f aca="false">'Assumption Setting'!$C$71*(1-'Assumption Setting'!$C$73)+'Assumption Setting'!$C$72*'Assumption Setting'!$C$73</f>
        <v>71</v>
      </c>
      <c r="L47" s="66" t="n">
        <f aca="false">'Assumption Setting'!$C$71*(1-'Assumption Setting'!$C$73)+'Assumption Setting'!$C$72*'Assumption Setting'!$C$73</f>
        <v>71</v>
      </c>
      <c r="M47" s="66" t="n">
        <f aca="false">'Assumption Setting'!$C$71*(1-'Assumption Setting'!$C$73)+'Assumption Setting'!$C$72*'Assumption Setting'!$C$73</f>
        <v>71</v>
      </c>
      <c r="N47" s="66" t="n">
        <f aca="false">'Assumption Setting'!$C$71*(1-'Assumption Setting'!$C$73)+'Assumption Setting'!$C$72*'Assumption Setting'!$C$73</f>
        <v>71</v>
      </c>
      <c r="O47" s="65" t="n">
        <f aca="false">IFERROR(AVERAGE(P47:AA47),0)</f>
        <v>71</v>
      </c>
      <c r="P47" s="66" t="n">
        <f aca="false">'Assumption Setting'!$C$71*(1-'Assumption Setting'!$C$73)+'Assumption Setting'!$C$72*'Assumption Setting'!$C$73</f>
        <v>71</v>
      </c>
      <c r="Q47" s="66" t="n">
        <f aca="false">'Assumption Setting'!$C$71*(1-'Assumption Setting'!$C$73)+'Assumption Setting'!$C$72*'Assumption Setting'!$C$73</f>
        <v>71</v>
      </c>
      <c r="R47" s="66" t="n">
        <f aca="false">'Assumption Setting'!$C$71*(1-'Assumption Setting'!$C$73)+'Assumption Setting'!$C$72*'Assumption Setting'!$C$73</f>
        <v>71</v>
      </c>
      <c r="S47" s="66" t="n">
        <f aca="false">'Assumption Setting'!$C$71*(1-'Assumption Setting'!$C$73)+'Assumption Setting'!$C$72*'Assumption Setting'!$C$73</f>
        <v>71</v>
      </c>
      <c r="T47" s="66" t="n">
        <f aca="false">'Assumption Setting'!$C$71*(1-'Assumption Setting'!$C$73)+'Assumption Setting'!$C$72*'Assumption Setting'!$C$73</f>
        <v>71</v>
      </c>
      <c r="U47" s="66" t="n">
        <f aca="false">'Assumption Setting'!$C$71*(1-'Assumption Setting'!$C$73)+'Assumption Setting'!$C$72*'Assumption Setting'!$C$73</f>
        <v>71</v>
      </c>
      <c r="V47" s="66" t="n">
        <f aca="false">'Assumption Setting'!$C$71*(1-'Assumption Setting'!$C$73)+'Assumption Setting'!$C$72*'Assumption Setting'!$C$73</f>
        <v>71</v>
      </c>
      <c r="W47" s="66" t="n">
        <f aca="false">'Assumption Setting'!$C$71*(1-'Assumption Setting'!$C$73)+'Assumption Setting'!$C$72*'Assumption Setting'!$C$73</f>
        <v>71</v>
      </c>
      <c r="X47" s="66" t="n">
        <f aca="false">'Assumption Setting'!$C$71*(1-'Assumption Setting'!$C$73)+'Assumption Setting'!$C$72*'Assumption Setting'!$C$73</f>
        <v>71</v>
      </c>
      <c r="Y47" s="66" t="n">
        <f aca="false">'Assumption Setting'!$C$71*(1-'Assumption Setting'!$C$73)+'Assumption Setting'!$C$72*'Assumption Setting'!$C$73</f>
        <v>71</v>
      </c>
      <c r="Z47" s="66" t="n">
        <f aca="false">'Assumption Setting'!$C$71*(1-'Assumption Setting'!$C$73)+'Assumption Setting'!$C$72*'Assumption Setting'!$C$73</f>
        <v>71</v>
      </c>
      <c r="AA47" s="66" t="n">
        <f aca="false">'Assumption Setting'!$C$71*(1-'Assumption Setting'!$C$73)+'Assumption Setting'!$C$72*'Assumption Setting'!$C$73</f>
        <v>71</v>
      </c>
      <c r="AB47" s="65" t="n">
        <f aca="false">IFERROR(AVERAGE(AC47:AN47),0)</f>
        <v>71</v>
      </c>
      <c r="AC47" s="66" t="n">
        <f aca="false">'Assumption Setting'!$C$71*(1-'Assumption Setting'!$C$73)+'Assumption Setting'!$C$72*'Assumption Setting'!$C$73</f>
        <v>71</v>
      </c>
      <c r="AD47" s="66" t="n">
        <f aca="false">'Assumption Setting'!$C$71*(1-'Assumption Setting'!$C$73)+'Assumption Setting'!$C$72*'Assumption Setting'!$C$73</f>
        <v>71</v>
      </c>
      <c r="AE47" s="66" t="n">
        <f aca="false">'Assumption Setting'!$C$71*(1-'Assumption Setting'!$C$73)+'Assumption Setting'!$C$72*'Assumption Setting'!$C$73</f>
        <v>71</v>
      </c>
      <c r="AF47" s="66" t="n">
        <f aca="false">'Assumption Setting'!$C$71*(1-'Assumption Setting'!$C$73)+'Assumption Setting'!$C$72*'Assumption Setting'!$C$73</f>
        <v>71</v>
      </c>
      <c r="AG47" s="66" t="n">
        <f aca="false">'Assumption Setting'!$C$71*(1-'Assumption Setting'!$C$73)+'Assumption Setting'!$C$72*'Assumption Setting'!$C$73</f>
        <v>71</v>
      </c>
      <c r="AH47" s="66" t="n">
        <f aca="false">'Assumption Setting'!$C$71*(1-'Assumption Setting'!$C$73)+'Assumption Setting'!$C$72*'Assumption Setting'!$C$73</f>
        <v>71</v>
      </c>
      <c r="AI47" s="66" t="n">
        <f aca="false">'Assumption Setting'!$C$71*(1-'Assumption Setting'!$C$73)+'Assumption Setting'!$C$72*'Assumption Setting'!$C$73</f>
        <v>71</v>
      </c>
      <c r="AJ47" s="66" t="n">
        <f aca="false">'Assumption Setting'!$C$71*(1-'Assumption Setting'!$C$73)+'Assumption Setting'!$C$72*'Assumption Setting'!$C$73</f>
        <v>71</v>
      </c>
      <c r="AK47" s="66" t="n">
        <f aca="false">'Assumption Setting'!$C$71*(1-'Assumption Setting'!$C$73)+'Assumption Setting'!$C$72*'Assumption Setting'!$C$73</f>
        <v>71</v>
      </c>
      <c r="AL47" s="66" t="n">
        <f aca="false">'Assumption Setting'!$C$71*(1-'Assumption Setting'!$C$73)+'Assumption Setting'!$C$72*'Assumption Setting'!$C$73</f>
        <v>71</v>
      </c>
      <c r="AM47" s="66" t="n">
        <f aca="false">'Assumption Setting'!$C$71*(1-'Assumption Setting'!$C$73)+'Assumption Setting'!$C$72*'Assumption Setting'!$C$73</f>
        <v>71</v>
      </c>
      <c r="AN47" s="66" t="n">
        <f aca="false">'Assumption Setting'!$C$71*(1-'Assumption Setting'!$C$73)+'Assumption Setting'!$C$72*'Assumption Setting'!$C$73</f>
        <v>71</v>
      </c>
      <c r="AO47" s="65" t="n">
        <f aca="false">IFERROR(AVERAGE(AP47:BA47),0)</f>
        <v>71</v>
      </c>
      <c r="AP47" s="66" t="n">
        <f aca="false">'Assumption Setting'!$C$71*(1-'Assumption Setting'!$C$73)+'Assumption Setting'!$C$72*'Assumption Setting'!$C$73</f>
        <v>71</v>
      </c>
      <c r="AQ47" s="66" t="n">
        <f aca="false">'Assumption Setting'!$C$71*(1-'Assumption Setting'!$C$73)+'Assumption Setting'!$C$72*'Assumption Setting'!$C$73</f>
        <v>71</v>
      </c>
      <c r="AR47" s="66" t="n">
        <f aca="false">'Assumption Setting'!$C$71*(1-'Assumption Setting'!$C$73)+'Assumption Setting'!$C$72*'Assumption Setting'!$C$73</f>
        <v>71</v>
      </c>
      <c r="AS47" s="66" t="n">
        <f aca="false">'Assumption Setting'!$C$71*(1-'Assumption Setting'!$C$73)+'Assumption Setting'!$C$72*'Assumption Setting'!$C$73</f>
        <v>71</v>
      </c>
      <c r="AT47" s="66" t="n">
        <f aca="false">'Assumption Setting'!$C$71*(1-'Assumption Setting'!$C$73)+'Assumption Setting'!$C$72*'Assumption Setting'!$C$73</f>
        <v>71</v>
      </c>
      <c r="AU47" s="66" t="n">
        <f aca="false">'Assumption Setting'!$C$71*(1-'Assumption Setting'!$C$73)+'Assumption Setting'!$C$72*'Assumption Setting'!$C$73</f>
        <v>71</v>
      </c>
      <c r="AV47" s="66" t="n">
        <f aca="false">'Assumption Setting'!$C$71*(1-'Assumption Setting'!$C$73)+'Assumption Setting'!$C$72*'Assumption Setting'!$C$73</f>
        <v>71</v>
      </c>
      <c r="AW47" s="66" t="n">
        <f aca="false">'Assumption Setting'!$C$71*(1-'Assumption Setting'!$C$73)+'Assumption Setting'!$C$72*'Assumption Setting'!$C$73</f>
        <v>71</v>
      </c>
      <c r="AX47" s="66" t="n">
        <f aca="false">'Assumption Setting'!$C$71*(1-'Assumption Setting'!$C$73)+'Assumption Setting'!$C$72*'Assumption Setting'!$C$73</f>
        <v>71</v>
      </c>
      <c r="AY47" s="66" t="n">
        <f aca="false">'Assumption Setting'!$C$71*(1-'Assumption Setting'!$C$73)+'Assumption Setting'!$C$72*'Assumption Setting'!$C$73</f>
        <v>71</v>
      </c>
      <c r="AZ47" s="66" t="n">
        <f aca="false">'Assumption Setting'!$C$71*(1-'Assumption Setting'!$C$73)+'Assumption Setting'!$C$72*'Assumption Setting'!$C$73</f>
        <v>71</v>
      </c>
      <c r="BA47" s="66" t="n">
        <f aca="false">'Assumption Setting'!$C$71*(1-'Assumption Setting'!$C$73)+'Assumption Setting'!$C$72*'Assumption Setting'!$C$73</f>
        <v>71</v>
      </c>
      <c r="BB47" s="65" t="n">
        <f aca="false">IFERROR(AVERAGE(BC47:BN47),0)</f>
        <v>71</v>
      </c>
      <c r="BC47" s="66" t="n">
        <f aca="false">'Assumption Setting'!$C$71*(1-'Assumption Setting'!$C$73)+'Assumption Setting'!$C$72*'Assumption Setting'!$C$73</f>
        <v>71</v>
      </c>
      <c r="BD47" s="66" t="n">
        <f aca="false">'Assumption Setting'!$C$71*(1-'Assumption Setting'!$C$73)+'Assumption Setting'!$C$72*'Assumption Setting'!$C$73</f>
        <v>71</v>
      </c>
      <c r="BE47" s="66" t="n">
        <f aca="false">'Assumption Setting'!$C$71*(1-'Assumption Setting'!$C$73)+'Assumption Setting'!$C$72*'Assumption Setting'!$C$73</f>
        <v>71</v>
      </c>
      <c r="BF47" s="66" t="n">
        <f aca="false">'Assumption Setting'!$C$71*(1-'Assumption Setting'!$C$73)+'Assumption Setting'!$C$72*'Assumption Setting'!$C$73</f>
        <v>71</v>
      </c>
      <c r="BG47" s="66" t="n">
        <f aca="false">'Assumption Setting'!$C$71*(1-'Assumption Setting'!$C$73)+'Assumption Setting'!$C$72*'Assumption Setting'!$C$73</f>
        <v>71</v>
      </c>
      <c r="BH47" s="66" t="n">
        <f aca="false">'Assumption Setting'!$C$71*(1-'Assumption Setting'!$C$73)+'Assumption Setting'!$C$72*'Assumption Setting'!$C$73</f>
        <v>71</v>
      </c>
      <c r="BI47" s="66" t="n">
        <f aca="false">'Assumption Setting'!$C$71*(1-'Assumption Setting'!$C$73)+'Assumption Setting'!$C$72*'Assumption Setting'!$C$73</f>
        <v>71</v>
      </c>
      <c r="BJ47" s="66" t="n">
        <f aca="false">'Assumption Setting'!$C$71*(1-'Assumption Setting'!$C$73)+'Assumption Setting'!$C$72*'Assumption Setting'!$C$73</f>
        <v>71</v>
      </c>
      <c r="BK47" s="66" t="n">
        <f aca="false">'Assumption Setting'!$C$71*(1-'Assumption Setting'!$C$73)+'Assumption Setting'!$C$72*'Assumption Setting'!$C$73</f>
        <v>71</v>
      </c>
      <c r="BL47" s="66" t="n">
        <f aca="false">'Assumption Setting'!$C$71*(1-'Assumption Setting'!$C$73)+'Assumption Setting'!$C$72*'Assumption Setting'!$C$73</f>
        <v>71</v>
      </c>
      <c r="BM47" s="66" t="n">
        <f aca="false">'Assumption Setting'!$C$71*(1-'Assumption Setting'!$C$73)+'Assumption Setting'!$C$72*'Assumption Setting'!$C$73</f>
        <v>71</v>
      </c>
      <c r="BN47" s="66" t="n">
        <f aca="false">'Assumption Setting'!$C$71*(1-'Assumption Setting'!$C$73)+'Assumption Setting'!$C$72*'Assumption Setting'!$C$73</f>
        <v>71</v>
      </c>
    </row>
    <row r="48" customFormat="false" ht="15" hidden="false" customHeight="false" outlineLevel="0" collapsed="false">
      <c r="A48" s="12" t="s">
        <v>728</v>
      </c>
      <c r="B48" s="65" t="n">
        <f aca="false">SUM(C48:N48)</f>
        <v>12507.4393909091</v>
      </c>
      <c r="C48" s="66" t="n">
        <f aca="false">C45*C47</f>
        <v>1260.25661590909</v>
      </c>
      <c r="D48" s="66" t="n">
        <f aca="false">D45*D47</f>
        <v>1425.33161590909</v>
      </c>
      <c r="E48" s="66" t="n">
        <f aca="false">E45*E47</f>
        <v>1623.42161590909</v>
      </c>
      <c r="F48" s="66" t="n">
        <f aca="false">F45*F47</f>
        <v>496.864615909091</v>
      </c>
      <c r="G48" s="66" t="n">
        <f aca="false">G45*G47</f>
        <v>525.619615909091</v>
      </c>
      <c r="H48" s="66" t="n">
        <f aca="false">H45*H47</f>
        <v>560.125615909091</v>
      </c>
      <c r="I48" s="66" t="n">
        <f aca="false">I45*I47</f>
        <v>526.684615909091</v>
      </c>
      <c r="J48" s="66" t="n">
        <f aca="false">J45*J47</f>
        <v>560.764615909091</v>
      </c>
      <c r="K48" s="66" t="n">
        <f aca="false">K45*K47</f>
        <v>601.660615909091</v>
      </c>
      <c r="L48" s="66" t="n">
        <f aca="false">L45*L47</f>
        <v>1433.21261590909</v>
      </c>
      <c r="M48" s="66" t="n">
        <f aca="false">M45*M47</f>
        <v>1629.17261590909</v>
      </c>
      <c r="N48" s="66" t="n">
        <f aca="false">N45*N47</f>
        <v>1864.32461590909</v>
      </c>
      <c r="O48" s="65" t="n">
        <f aca="false">SUM(P48:AA48)</f>
        <v>80637.8937090909</v>
      </c>
      <c r="P48" s="66" t="n">
        <f aca="false">P45*P47</f>
        <v>3788.18714242424</v>
      </c>
      <c r="Q48" s="66" t="n">
        <f aca="false">Q45*Q47</f>
        <v>4051.59714242424</v>
      </c>
      <c r="R48" s="66" t="n">
        <f aca="false">R45*R47</f>
        <v>4367.68914242424</v>
      </c>
      <c r="S48" s="66" t="n">
        <f aca="false">S45*S47</f>
        <v>4233.49914242424</v>
      </c>
      <c r="T48" s="66" t="n">
        <f aca="false">T45*T47</f>
        <v>4576.42914242424</v>
      </c>
      <c r="U48" s="66" t="n">
        <f aca="false">U45*U47</f>
        <v>4987.94514242424</v>
      </c>
      <c r="V48" s="66" t="n">
        <f aca="false">V45*V47</f>
        <v>6571.38714242424</v>
      </c>
      <c r="W48" s="66" t="n">
        <f aca="false">W45*W47</f>
        <v>7331.79714242424</v>
      </c>
      <c r="X48" s="66" t="n">
        <f aca="false">X45*X47</f>
        <v>8244.28914242424</v>
      </c>
      <c r="Y48" s="66" t="n">
        <f aca="false">Y45*Y47</f>
        <v>9465.91514242425</v>
      </c>
      <c r="Z48" s="66" t="n">
        <f aca="false">Z45*Z47</f>
        <v>10743.2051424242</v>
      </c>
      <c r="AA48" s="66" t="n">
        <f aca="false">AA45*AA47</f>
        <v>12275.9531424242</v>
      </c>
      <c r="AB48" s="65" t="n">
        <f aca="false">SUM(AC48:AN48)</f>
        <v>328432.518778182</v>
      </c>
      <c r="AC48" s="66" t="n">
        <f aca="false">AC45*AC47</f>
        <v>17897.5978981818</v>
      </c>
      <c r="AD48" s="66" t="n">
        <f aca="false">AD45*AD47</f>
        <v>19877.0778981818</v>
      </c>
      <c r="AE48" s="66" t="n">
        <f aca="false">AE45*AE47</f>
        <v>22252.4538981818</v>
      </c>
      <c r="AF48" s="66" t="n">
        <f aca="false">AF45*AF47</f>
        <v>21690.7018981818</v>
      </c>
      <c r="AG48" s="66" t="n">
        <f aca="false">AG45*AG47</f>
        <v>24347.5218981818</v>
      </c>
      <c r="AH48" s="66" t="n">
        <f aca="false">AH45*AH47</f>
        <v>27535.7058981818</v>
      </c>
      <c r="AI48" s="66" t="n">
        <f aca="false">AI45*AI47</f>
        <v>26469.8538981818</v>
      </c>
      <c r="AJ48" s="66" t="n">
        <f aca="false">AJ45*AJ47</f>
        <v>29980.0938981818</v>
      </c>
      <c r="AK48" s="66" t="n">
        <f aca="false">AK45*AK47</f>
        <v>34192.3818981818</v>
      </c>
      <c r="AL48" s="66" t="n">
        <f aca="false">AL45*AL47</f>
        <v>30262.9578981818</v>
      </c>
      <c r="AM48" s="66" t="n">
        <f aca="false">AM45*AM47</f>
        <v>34450.5378981818</v>
      </c>
      <c r="AN48" s="66" t="n">
        <f aca="false">AN45*AN47</f>
        <v>39475.6338981818</v>
      </c>
      <c r="AO48" s="65" t="n">
        <f aca="false">SUM(AP48:BA48)</f>
        <v>773491.692167273</v>
      </c>
      <c r="AP48" s="66" t="n">
        <f aca="false">AP45*AP47</f>
        <v>46083.9391472727</v>
      </c>
      <c r="AQ48" s="66" t="n">
        <f aca="false">AQ45*AQ47</f>
        <v>52033.5971472727</v>
      </c>
      <c r="AR48" s="66" t="n">
        <f aca="false">AR45*AR47</f>
        <v>59173.1867472727</v>
      </c>
      <c r="AS48" s="66" t="n">
        <f aca="false">AS45*AS47</f>
        <v>53344.1151472727</v>
      </c>
      <c r="AT48" s="66" t="n">
        <f aca="false">AT45*AT47</f>
        <v>60590.2331472727</v>
      </c>
      <c r="AU48" s="66" t="n">
        <f aca="false">AU45*AU47</f>
        <v>69285.5747472727</v>
      </c>
      <c r="AV48" s="66" t="n">
        <f aca="false">AV45*AV47</f>
        <v>59029.7951472727</v>
      </c>
      <c r="AW48" s="66" t="n">
        <f aca="false">AW45*AW47</f>
        <v>67291.2131472727</v>
      </c>
      <c r="AX48" s="66" t="n">
        <f aca="false">AX45*AX47</f>
        <v>77204.9147472727</v>
      </c>
      <c r="AY48" s="66" t="n">
        <f aca="false">AY45*AY47</f>
        <v>66289.9711472727</v>
      </c>
      <c r="AZ48" s="66" t="n">
        <f aca="false">AZ45*AZ47</f>
        <v>75847.8491472727</v>
      </c>
      <c r="BA48" s="66" t="n">
        <f aca="false">BA45*BA47</f>
        <v>87317.3027472727</v>
      </c>
      <c r="BB48" s="65" t="n">
        <f aca="false">SUM(BC48:BN48)</f>
        <v>1308415.48883333</v>
      </c>
      <c r="BC48" s="66" t="n">
        <f aca="false">BC45*BC47</f>
        <v>84685.8485694445</v>
      </c>
      <c r="BD48" s="66" t="n">
        <f aca="false">BD45*BD47</f>
        <v>96125.3685694445</v>
      </c>
      <c r="BE48" s="66" t="n">
        <f aca="false">BE45*BE47</f>
        <v>109852.792569444</v>
      </c>
      <c r="BF48" s="66" t="n">
        <f aca="false">BF45*BF47</f>
        <v>91097.6455694444</v>
      </c>
      <c r="BG48" s="66" t="n">
        <f aca="false">BG45*BG47</f>
        <v>103682.129319444</v>
      </c>
      <c r="BH48" s="66" t="n">
        <f aca="false">BH45*BH47</f>
        <v>118783.509819444</v>
      </c>
      <c r="BI48" s="66" t="n">
        <f aca="false">BI45*BI47</f>
        <v>98680.3745694445</v>
      </c>
      <c r="BJ48" s="66" t="n">
        <f aca="false">BJ45*BJ47</f>
        <v>112618.917069444</v>
      </c>
      <c r="BK48" s="66" t="n">
        <f aca="false">BK45*BK47</f>
        <v>129345.168069444</v>
      </c>
      <c r="BL48" s="66" t="n">
        <f aca="false">BL45*BL47</f>
        <v>105092.171569444</v>
      </c>
      <c r="BM48" s="66" t="n">
        <f aca="false">BM45*BM47</f>
        <v>120175.677819444</v>
      </c>
      <c r="BN48" s="66" t="n">
        <f aca="false">BN45*BN47</f>
        <v>138275.885319444</v>
      </c>
    </row>
    <row r="49" customFormat="false" ht="15" hidden="false" customHeight="false" outlineLevel="0" collapsed="false">
      <c r="A49" s="12" t="s">
        <v>729</v>
      </c>
      <c r="B49" s="65" t="n">
        <f aca="false">SUM(C49:N49)</f>
        <v>6452.20350340909</v>
      </c>
      <c r="C49" s="66" t="n">
        <f aca="false">(C48)/12</f>
        <v>105.021384659091</v>
      </c>
      <c r="D49" s="66" t="n">
        <f aca="false">(C48+D48)/12</f>
        <v>223.799019318182</v>
      </c>
      <c r="E49" s="66" t="n">
        <f aca="false">(C48+D48+E48)/12</f>
        <v>359.084153977273</v>
      </c>
      <c r="F49" s="66" t="n">
        <f aca="false">(C48+D48+E48+F48)/12</f>
        <v>400.489538636364</v>
      </c>
      <c r="G49" s="66" t="n">
        <f aca="false">(C48+D48+E48+F48+G48)/12</f>
        <v>444.291173295455</v>
      </c>
      <c r="H49" s="66" t="n">
        <f aca="false">(C48+D48+E48+F48+G48+H48)/12</f>
        <v>490.968307954546</v>
      </c>
      <c r="I49" s="66" t="n">
        <f aca="false">(C48+D48+E48+F48+G48+H48+I48)/12</f>
        <v>534.858692613636</v>
      </c>
      <c r="J49" s="66" t="n">
        <f aca="false">(C48+D48+E48+F48+G48+H48+I48+J48)/12</f>
        <v>581.589077272727</v>
      </c>
      <c r="K49" s="66" t="n">
        <f aca="false">(C48+D48+E48+F48+G48+H48+I48+J48+K48)/12</f>
        <v>631.727461931818</v>
      </c>
      <c r="L49" s="66" t="n">
        <f aca="false">(C48+D48+E48+F48+G48+H48+I48+J48+K48+L48)/12</f>
        <v>751.161846590909</v>
      </c>
      <c r="M49" s="66" t="n">
        <f aca="false">(C48+D48+E48+F48+G48+H48+I48+J48+K48+L48+M48)/12</f>
        <v>886.92623125</v>
      </c>
      <c r="N49" s="66" t="n">
        <f aca="false">(C48+D48+E48+F48+G48+H48+I48+J48+K48+L48+M48+N48)/12</f>
        <v>1042.28661590909</v>
      </c>
      <c r="O49" s="65" t="n">
        <f aca="false">SUM(P49:AA49)</f>
        <v>40601.5543132576</v>
      </c>
      <c r="P49" s="66" t="n">
        <f aca="false">(D48+E48+F48+G48+H48+I48+J48+K48+L48+M48+N48+P48)/12</f>
        <v>1252.94749311869</v>
      </c>
      <c r="Q49" s="66" t="n">
        <f aca="false">(E48+F48+G48+H48+I48+J48+K48+L48+M48+N48+P48+Q48)/12</f>
        <v>1471.80295366162</v>
      </c>
      <c r="R49" s="66" t="n">
        <f aca="false">(F48+G48+H48+I48+J48+K48+L48+M48+N48+P48+Q48+R48)/12</f>
        <v>1700.49191420455</v>
      </c>
      <c r="S49" s="66" t="n">
        <f aca="false">(G48+H48+I48+J48+K48+L48+M48+N48+P48+Q48+R48+S48)/12</f>
        <v>2011.87812474748</v>
      </c>
      <c r="T49" s="66" t="n">
        <f aca="false">(H48+I48+J48+K48+L48+M48+N48+P48+Q48+R48+S48+T48)/12</f>
        <v>2349.4455852904</v>
      </c>
      <c r="U49" s="66" t="n">
        <f aca="false">(I48+J48+K48+L48+M48+N48+P48+Q48+R48+S48+T48+U48)/12</f>
        <v>2718.43054583333</v>
      </c>
      <c r="V49" s="66" t="n">
        <f aca="false">(J48+K48+L48+M48+N48+P48+Q48+R48+S48+T48+U48+V48)/12</f>
        <v>3222.15575637626</v>
      </c>
      <c r="W49" s="66" t="n">
        <f aca="false">(K48+L48+M48+N48+P48+Q48+R48+S48+T48+U48+V48+W48)/12</f>
        <v>3786.40846691919</v>
      </c>
      <c r="X49" s="66" t="n">
        <f aca="false">(L48+M48+N48+P48+Q48+R48+S48+T48+U48+V48+W48+X48)/12</f>
        <v>4423.29417746212</v>
      </c>
      <c r="Y49" s="66" t="n">
        <f aca="false">(M48+N48+P48+Q48+R48+S48+T48+U48+V48+W48+X48+Y48)/12</f>
        <v>5092.68605467172</v>
      </c>
      <c r="Z49" s="66" t="n">
        <f aca="false">(N48+P48+Q48+R48+S48+T48+U48+V48+W48+X48+Y48+Z48)/12</f>
        <v>5852.18876521465</v>
      </c>
      <c r="AA49" s="66" t="n">
        <f aca="false">(P48+Q48+R48+S48+T48+U48+V48+W48+X48+Y48+Z48+AA48)/12</f>
        <v>6719.82447575758</v>
      </c>
      <c r="AB49" s="65" t="n">
        <f aca="false">SUM(AC49:AN49)</f>
        <v>203036.967621515</v>
      </c>
      <c r="AC49" s="66" t="n">
        <f aca="false">(Q48+R48+S48+T48+U48+V48+W48+X48+Y48+Z48+AA48+AC48)/12</f>
        <v>7895.60870540404</v>
      </c>
      <c r="AD49" s="66" t="n">
        <f aca="false">(R48+S48+T48+U48+V48+W48+X48+Y48+Z48+AA48+AC48+AD48)/12</f>
        <v>9214.39876838384</v>
      </c>
      <c r="AE49" s="66" t="n">
        <f aca="false">(S48+T48+U48+V48+W48+X48+Y48+Z48+AA48+AC48+AD48+AE48)/12</f>
        <v>10704.7958313636</v>
      </c>
      <c r="AF49" s="66" t="n">
        <f aca="false">(T48+U48+V48+W48+X48+Y48+Z48+AA48+AC48+AD48+AE48+AF48)/12</f>
        <v>12159.5627276768</v>
      </c>
      <c r="AG49" s="66" t="n">
        <f aca="false">(U48+V48+W48+X48+Y48+Z48+AA48+AC48+AD48+AE48+AF48+AG48)/12</f>
        <v>13807.1537906566</v>
      </c>
      <c r="AH49" s="66" t="n">
        <f aca="false">(V48+W48+X48+Y48+Z48+AA48+AC48+AD48+AE48+AF48+AG48+AH48)/12</f>
        <v>15686.1338536364</v>
      </c>
      <c r="AI49" s="66" t="n">
        <f aca="false">(W48+X48+Y48+Z48+AA48+AC48+AD48+AE48+AF48+AG48+AH48+AI48)/12</f>
        <v>17344.3394166162</v>
      </c>
      <c r="AJ49" s="66" t="n">
        <f aca="false">(X48+Y48+Z48+AA48+AC48+AD48+AE48+AF48+AG48+AH48+AI48+AJ48)/12</f>
        <v>19231.697479596</v>
      </c>
      <c r="AK49" s="66" t="n">
        <f aca="false">(Y48+Z48+AA48+AC48+AD48+AE48+AF48+AG48+AH48+AI48+AJ48+AK48)/12</f>
        <v>21394.0385425758</v>
      </c>
      <c r="AL49" s="66" t="n">
        <f aca="false">(Z48+AA48+AC48+AD48+AE48+AF48+AG48+AH48+AI48+AJ48+AK48+AL48)/12</f>
        <v>23127.1254388889</v>
      </c>
      <c r="AM49" s="66" t="n">
        <f aca="false">(AA48+AC48+AD48+AE48+AF48+AG48+AH48+AI48+AJ48+AK48+AL48+AM48)/12</f>
        <v>25102.7365018687</v>
      </c>
      <c r="AN49" s="66" t="n">
        <f aca="false">(AC48+AD48+AE48+AF48+AG48+AH48+AI48+AJ48+AK48+AL48+AM48+AN48)/12</f>
        <v>27369.3765648485</v>
      </c>
      <c r="AO49" s="65" t="n">
        <f aca="false">SUM(AP49:BA49)</f>
        <v>555175.796497273</v>
      </c>
      <c r="AP49" s="66" t="n">
        <f aca="false">(AD48+AE48+AF48+AG48+AH48+AI48+AJ48+AK48+AL48+AM48+AN48+AP48)/12</f>
        <v>29718.2383356061</v>
      </c>
      <c r="AQ49" s="66" t="n">
        <f aca="false">(AE48+AF48+AG48+AH48+AI48+AJ48+AK48+AL48+AM48+AN48+AP48+AQ48)/12</f>
        <v>32397.9482730303</v>
      </c>
      <c r="AR49" s="66" t="n">
        <f aca="false">(AF48+AG48+AH48+AI48+AJ48+AK48+AL48+AM48+AN48+AP48+AQ48+AR48)/12</f>
        <v>35474.6760104546</v>
      </c>
      <c r="AS49" s="66" t="n">
        <f aca="false">(AG48+AH48+AI48+AJ48+AK48+AL48+AM48+AN48+AP48+AQ48+AR48+AS48)/12</f>
        <v>38112.4604478788</v>
      </c>
      <c r="AT49" s="66" t="n">
        <f aca="false">(AH48+AI48+AJ48+AK48+AL48+AM48+AN48+AP48+AQ48+AR48+AS48+AT48)/12</f>
        <v>41132.686385303</v>
      </c>
      <c r="AU49" s="66" t="n">
        <f aca="false">(AI48+AJ48+AK48+AL48+AM48+AN48+AP48+AQ48+AR48+AS48+AT48+AU48)/12</f>
        <v>44611.8421227273</v>
      </c>
      <c r="AV49" s="66" t="n">
        <f aca="false">(AJ48+AK48+AL48+AM48+AN48+AP48+AQ48+AR48+AS48+AT48+AU48+AV48)/12</f>
        <v>47325.1705601515</v>
      </c>
      <c r="AW49" s="66" t="n">
        <f aca="false">(AK48+AL48+AM48+AN48+AP48+AQ48+AR48+AS48+AT48+AU48+AV48+AW48)/12</f>
        <v>50434.4304975758</v>
      </c>
      <c r="AX49" s="66" t="n">
        <f aca="false">(AL48+AM48+AN48+AP48+AQ48+AR48+AS48+AT48+AU48+AV48+AW48+AX48)/12</f>
        <v>54018.808235</v>
      </c>
      <c r="AY49" s="66" t="n">
        <f aca="false">(AM48+AN48+AP48+AQ48+AR48+AS48+AT48+AU48+AV48+AW48+AX48+AY48)/12</f>
        <v>57021.0593390909</v>
      </c>
      <c r="AZ49" s="66" t="n">
        <f aca="false">(AN48+AP48+AQ48+AR48+AS48+AT48+AU48+AV48+AW48+AX48+AY48+AZ48)/12</f>
        <v>60470.8352765152</v>
      </c>
      <c r="BA49" s="66" t="n">
        <f aca="false">(AP48+AQ48+AR48+AS48+AT48+AU48+AV48+AW48+AX48+AY48+AZ48+BA48)/12</f>
        <v>64457.6410139394</v>
      </c>
      <c r="BB49" s="65" t="n">
        <f aca="false">SUM(BC49:BN49)</f>
        <v>1058087.92518639</v>
      </c>
      <c r="BC49" s="66" t="n">
        <f aca="false">(AQ48+AR48+AS48+AT48+AU48+AV48+AW48+AX48+AY48+AZ48+BA48+BC48)/12</f>
        <v>67674.4667991204</v>
      </c>
      <c r="BD49" s="66" t="n">
        <f aca="false">(AR48+AS48+AT48+AU48+AV48+AW48+AX48+AY48+AZ48+BA48+BC48+BD48)/12</f>
        <v>71348.7810843014</v>
      </c>
      <c r="BE49" s="66" t="n">
        <f aca="false">(AS48+AT48+AU48+AV48+AW48+AX48+AY48+AZ48+BA48+BC48+BD48+BE48)/12</f>
        <v>75572.0815694823</v>
      </c>
      <c r="BF49" s="66" t="n">
        <f aca="false">(AT48+AU48+AV48+AW48+AX48+AY48+AZ48+BA48+BC48+BD48+BE48+BF48)/12</f>
        <v>78718.2091046633</v>
      </c>
      <c r="BG49" s="66" t="n">
        <f aca="false">(AU48+AV48+AW48+AX48+AY48+AZ48+BA48+BC48+BD48+BE48+BF48+BG48)/12</f>
        <v>82309.2004523443</v>
      </c>
      <c r="BH49" s="66" t="n">
        <f aca="false">(AV48+AW48+AX48+AY48+AZ48+BA48+BC48+BD48+BE48+BF48+BG48+BH48)/12</f>
        <v>86434.0283750253</v>
      </c>
      <c r="BI49" s="66" t="n">
        <f aca="false">(AW48+AX48+AY48+AZ48+BA48+BC48+BD48+BE48+BF48+BG48+BH48+BI48)/12</f>
        <v>89738.2433268729</v>
      </c>
      <c r="BJ49" s="66" t="n">
        <f aca="false">(AX48+AY48+AZ48+BA48+BC48+BD48+BE48+BF48+BG48+BH48+BI48+BJ48)/12</f>
        <v>93515.5519870539</v>
      </c>
      <c r="BK49" s="66" t="n">
        <f aca="false">(AY48+AZ48+BA48+BC48+BD48+BE48+BF48+BG48+BH48+BI48+BJ48+BK48)/12</f>
        <v>97860.5730972348</v>
      </c>
      <c r="BL49" s="66" t="n">
        <f aca="false">(AZ48+BA48+BC48+BD48+BE48+BF48+BG48+BH48+BI48+BJ48+BK48+BL48)/12</f>
        <v>101094.089799082</v>
      </c>
      <c r="BM49" s="66" t="n">
        <f aca="false">(BA48+BC48+BD48+BE48+BF48+BG48+BH48+BI48+BJ48+BK48+BL48+BM48)/12</f>
        <v>104788.075521763</v>
      </c>
      <c r="BN49" s="66" t="n">
        <f aca="false">(BC48+BD48+BE48+BF48+BG48+BH48+BI48+BJ48+BK48+BL48+BM48+BN48)/12</f>
        <v>109034.624069444</v>
      </c>
    </row>
    <row r="50" customFormat="false" ht="15" hidden="false" customHeight="false" outlineLevel="0" collapsed="false">
      <c r="A50" s="12" t="s">
        <v>730</v>
      </c>
      <c r="B50" s="65" t="n">
        <f aca="false">N50</f>
        <v>6055.2358875</v>
      </c>
      <c r="C50" s="66" t="n">
        <f aca="false">C48-C49</f>
        <v>1155.23523125</v>
      </c>
      <c r="D50" s="66" t="n">
        <f aca="false">C50+D48-D49</f>
        <v>2356.76782784091</v>
      </c>
      <c r="E50" s="66" t="n">
        <f aca="false">D50+E48-E49</f>
        <v>3621.10528977273</v>
      </c>
      <c r="F50" s="66" t="n">
        <f aca="false">E50+F48-F49</f>
        <v>3717.48036704546</v>
      </c>
      <c r="G50" s="66" t="n">
        <f aca="false">F50+G48-G49</f>
        <v>3798.80880965909</v>
      </c>
      <c r="H50" s="66" t="n">
        <f aca="false">G50+H48-H49</f>
        <v>3867.96611761364</v>
      </c>
      <c r="I50" s="66" t="n">
        <f aca="false">H50+I48-I49</f>
        <v>3859.79204090909</v>
      </c>
      <c r="J50" s="66" t="n">
        <f aca="false">I50+J48-J49</f>
        <v>3838.96757954546</v>
      </c>
      <c r="K50" s="66" t="n">
        <f aca="false">J50+K48-K49</f>
        <v>3808.90073352273</v>
      </c>
      <c r="L50" s="66" t="n">
        <f aca="false">K50+L48-L49</f>
        <v>4490.95150284091</v>
      </c>
      <c r="M50" s="66" t="n">
        <f aca="false">L50+M48-M49</f>
        <v>5233.1978875</v>
      </c>
      <c r="N50" s="66" t="n">
        <f aca="false">M50+N48-N49</f>
        <v>6055.2358875</v>
      </c>
      <c r="O50" s="65" t="n">
        <f aca="false">AA50</f>
        <v>46091.5752833333</v>
      </c>
      <c r="P50" s="66" t="n">
        <f aca="false">N50+P48-P49</f>
        <v>8590.47553680556</v>
      </c>
      <c r="Q50" s="66" t="n">
        <f aca="false">P50+Q48-Q49</f>
        <v>11170.2697255682</v>
      </c>
      <c r="R50" s="66" t="n">
        <f aca="false">Q50+R48-R49</f>
        <v>13837.4669537879</v>
      </c>
      <c r="S50" s="66" t="n">
        <f aca="false">R50+S48-S49</f>
        <v>16059.0879714646</v>
      </c>
      <c r="T50" s="66" t="n">
        <f aca="false">S50+T48-T49</f>
        <v>18286.0715285985</v>
      </c>
      <c r="U50" s="66" t="n">
        <f aca="false">T50+U48-U49</f>
        <v>20555.5861251894</v>
      </c>
      <c r="V50" s="66" t="n">
        <f aca="false">U50+V48-V49</f>
        <v>23904.8175112374</v>
      </c>
      <c r="W50" s="66" t="n">
        <f aca="false">V50+W48-W49</f>
        <v>27450.2061867424</v>
      </c>
      <c r="X50" s="66" t="n">
        <f aca="false">W50+X48-X49</f>
        <v>31271.2011517045</v>
      </c>
      <c r="Y50" s="66" t="n">
        <f aca="false">X50+Y48-Y49</f>
        <v>35644.4302394571</v>
      </c>
      <c r="Z50" s="66" t="n">
        <f aca="false">Y50+Z48-Z49</f>
        <v>40535.4466166667</v>
      </c>
      <c r="AA50" s="66" t="n">
        <f aca="false">Z50+AA48-AA49</f>
        <v>46091.5752833333</v>
      </c>
      <c r="AB50" s="65" t="n">
        <f aca="false">AN50</f>
        <v>171487.12644</v>
      </c>
      <c r="AC50" s="66" t="n">
        <f aca="false">AA50+AC48-AC49</f>
        <v>56093.5644761111</v>
      </c>
      <c r="AD50" s="66" t="n">
        <f aca="false">AC50+AD48-AD49</f>
        <v>66756.2436059091</v>
      </c>
      <c r="AE50" s="66" t="n">
        <f aca="false">AD50+AE48-AE49</f>
        <v>78303.9016727273</v>
      </c>
      <c r="AF50" s="66" t="n">
        <f aca="false">AE50+AF48-AF49</f>
        <v>87835.0408432324</v>
      </c>
      <c r="AG50" s="66" t="n">
        <f aca="false">AF50+AG48-AG49</f>
        <v>98375.4089507576</v>
      </c>
      <c r="AH50" s="66" t="n">
        <f aca="false">AG50+AH48-AH49</f>
        <v>110224.980995303</v>
      </c>
      <c r="AI50" s="66" t="n">
        <f aca="false">AH50+AI48-AI49</f>
        <v>119350.495476869</v>
      </c>
      <c r="AJ50" s="66" t="n">
        <f aca="false">AI50+AJ48-AJ49</f>
        <v>130098.891895455</v>
      </c>
      <c r="AK50" s="66" t="n">
        <f aca="false">AJ50+AK48-AK49</f>
        <v>142897.235251061</v>
      </c>
      <c r="AL50" s="66" t="n">
        <f aca="false">AK50+AL48-AL49</f>
        <v>150033.067710354</v>
      </c>
      <c r="AM50" s="66" t="n">
        <f aca="false">AL50+AM48-AM49</f>
        <v>159380.869106667</v>
      </c>
      <c r="AN50" s="66" t="n">
        <f aca="false">AM50+AN48-AN49</f>
        <v>171487.12644</v>
      </c>
      <c r="AO50" s="65" t="n">
        <f aca="false">BA50</f>
        <v>389803.02211</v>
      </c>
      <c r="AP50" s="66" t="n">
        <f aca="false">AN50+AP48-AP49</f>
        <v>187852.827251667</v>
      </c>
      <c r="AQ50" s="66" t="n">
        <f aca="false">AP50+AQ48-AQ49</f>
        <v>207488.476125909</v>
      </c>
      <c r="AR50" s="66" t="n">
        <f aca="false">AQ50+AR48-AR49</f>
        <v>231186.986862727</v>
      </c>
      <c r="AS50" s="66" t="n">
        <f aca="false">AR50+AS48-AS49</f>
        <v>246418.641562121</v>
      </c>
      <c r="AT50" s="66" t="n">
        <f aca="false">AS50+AT48-AT49</f>
        <v>265876.188324091</v>
      </c>
      <c r="AU50" s="66" t="n">
        <f aca="false">AT50+AU48-AU49</f>
        <v>290549.920948636</v>
      </c>
      <c r="AV50" s="66" t="n">
        <f aca="false">AU50+AV48-AV49</f>
        <v>302254.545535758</v>
      </c>
      <c r="AW50" s="66" t="n">
        <f aca="false">AV50+AW48-AW49</f>
        <v>319111.328185455</v>
      </c>
      <c r="AX50" s="66" t="n">
        <f aca="false">AW50+AX48-AX49</f>
        <v>342297.434697727</v>
      </c>
      <c r="AY50" s="66" t="n">
        <f aca="false">AX50+AY48-AY49</f>
        <v>351566.346505909</v>
      </c>
      <c r="AZ50" s="66" t="n">
        <f aca="false">AY50+AZ48-AZ49</f>
        <v>366943.360376667</v>
      </c>
      <c r="BA50" s="66" t="n">
        <f aca="false">AZ50+BA48-BA49</f>
        <v>389803.02211</v>
      </c>
      <c r="BB50" s="65" t="n">
        <f aca="false">BN50</f>
        <v>640130.585756945</v>
      </c>
      <c r="BC50" s="66" t="n">
        <f aca="false">BA50+BC48-BC49</f>
        <v>406814.403880324</v>
      </c>
      <c r="BD50" s="66" t="n">
        <f aca="false">BC50+BD48-BD49</f>
        <v>431590.991365467</v>
      </c>
      <c r="BE50" s="66" t="n">
        <f aca="false">BD50+BE48-BE49</f>
        <v>465871.702365429</v>
      </c>
      <c r="BF50" s="66" t="n">
        <f aca="false">BE50+BF48-BF49</f>
        <v>478251.138830211</v>
      </c>
      <c r="BG50" s="66" t="n">
        <f aca="false">BF50+BG48-BG49</f>
        <v>499624.067697311</v>
      </c>
      <c r="BH50" s="66" t="n">
        <f aca="false">BG50+BH48-BH49</f>
        <v>531973.54914173</v>
      </c>
      <c r="BI50" s="66" t="n">
        <f aca="false">BH50+BI48-BI49</f>
        <v>540915.680384302</v>
      </c>
      <c r="BJ50" s="66" t="n">
        <f aca="false">BI50+BJ48-BJ49</f>
        <v>560019.045466692</v>
      </c>
      <c r="BK50" s="66" t="n">
        <f aca="false">BJ50+BK48-BK49</f>
        <v>591503.640438902</v>
      </c>
      <c r="BL50" s="66" t="n">
        <f aca="false">BK50+BL48-BL49</f>
        <v>595501.722209264</v>
      </c>
      <c r="BM50" s="66" t="n">
        <f aca="false">BL50+BM48-BM49</f>
        <v>610889.324506945</v>
      </c>
      <c r="BN50" s="66" t="n">
        <f aca="false">BM50+BN48-BN49</f>
        <v>640130.585756945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614</v>
      </c>
    </row>
    <row r="2" customFormat="false" ht="13.5" hidden="false" customHeight="true" outlineLevel="0" collapsed="false">
      <c r="A2" s="6" t="s">
        <v>731</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732</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8" t="s">
        <v>733</v>
      </c>
      <c r="B7" s="65" t="n">
        <f aca="false">SUM(C7:N7)</f>
        <v>73640</v>
      </c>
      <c r="C7" s="78" t="n">
        <f aca="false">'Revenue Streams'!C$29+'Revenue Streams'!C$30+'Revenue Streams'!C$31+'Revenue Streams'!C$32+'Revenue Streams'!C$33+'Revenue Streams'!C$39</f>
        <v>1820</v>
      </c>
      <c r="D7" s="78" t="n">
        <f aca="false">'Revenue Streams'!D$29+'Revenue Streams'!D$30+'Revenue Streams'!D$31+'Revenue Streams'!D$32+'Revenue Streams'!D$33+'Revenue Streams'!D$39</f>
        <v>2145</v>
      </c>
      <c r="E7" s="78" t="n">
        <f aca="false">'Revenue Streams'!E$29+'Revenue Streams'!E$30+'Revenue Streams'!E$31+'Revenue Streams'!E$32+'Revenue Streams'!E$33+'Revenue Streams'!E$39</f>
        <v>2535</v>
      </c>
      <c r="F7" s="78" t="n">
        <f aca="false">'Revenue Streams'!F$29+'Revenue Streams'!F$30+'Revenue Streams'!F$31+'Revenue Streams'!F$32+'Revenue Streams'!F$33+'Revenue Streams'!F$39</f>
        <v>4244.8</v>
      </c>
      <c r="G7" s="78" t="n">
        <f aca="false">'Revenue Streams'!G$29+'Revenue Streams'!G$30+'Revenue Streams'!G$31+'Revenue Streams'!G$32+'Revenue Streams'!G$33+'Revenue Streams'!G$39</f>
        <v>5002.8</v>
      </c>
      <c r="H7" s="78" t="n">
        <f aca="false">'Revenue Streams'!H$29+'Revenue Streams'!H$30+'Revenue Streams'!H$31+'Revenue Streams'!H$32+'Revenue Streams'!H$33+'Revenue Streams'!H$39</f>
        <v>5912.4</v>
      </c>
      <c r="I7" s="78" t="n">
        <f aca="false">'Revenue Streams'!I$29+'Revenue Streams'!I$30+'Revenue Streams'!I$31+'Revenue Streams'!I$32+'Revenue Streams'!I$33+'Revenue Streams'!I$39</f>
        <v>6064.8</v>
      </c>
      <c r="J7" s="78" t="n">
        <f aca="false">'Revenue Streams'!J$29+'Revenue Streams'!J$30+'Revenue Streams'!J$31+'Revenue Streams'!J$32+'Revenue Streams'!J$33+'Revenue Streams'!J$39</f>
        <v>7147.8</v>
      </c>
      <c r="K7" s="78" t="n">
        <f aca="false">'Revenue Streams'!K$29+'Revenue Streams'!K$30+'Revenue Streams'!K$31+'Revenue Streams'!K$32+'Revenue Streams'!K$33+'Revenue Streams'!K$39</f>
        <v>8447.4</v>
      </c>
      <c r="L7" s="78" t="n">
        <f aca="false">'Revenue Streams'!L$29+'Revenue Streams'!L$30+'Revenue Streams'!L$31+'Revenue Streams'!L$32+'Revenue Streams'!L$33+'Revenue Streams'!L$39</f>
        <v>8489.6</v>
      </c>
      <c r="M7" s="78" t="n">
        <f aca="false">'Revenue Streams'!M$29+'Revenue Streams'!M$30+'Revenue Streams'!M$31+'Revenue Streams'!M$32+'Revenue Streams'!M$33+'Revenue Streams'!M$39</f>
        <v>10005.6</v>
      </c>
      <c r="N7" s="78" t="n">
        <f aca="false">'Revenue Streams'!N$29+'Revenue Streams'!N$30+'Revenue Streams'!N$31+'Revenue Streams'!N$32+'Revenue Streams'!N$33+'Revenue Streams'!N$39</f>
        <v>11824.8</v>
      </c>
      <c r="O7" s="65" t="n">
        <f aca="false">SUM(P7:AA7)</f>
        <v>422400</v>
      </c>
      <c r="P7" s="78" t="n">
        <f aca="false">'Revenue Streams'!P$29+'Revenue Streams'!P$30+'Revenue Streams'!P$31+'Revenue Streams'!P$32+'Revenue Streams'!P$33+'Revenue Streams'!P$39</f>
        <v>12432</v>
      </c>
      <c r="Q7" s="78" t="n">
        <f aca="false">'Revenue Streams'!Q$29+'Revenue Streams'!Q$30+'Revenue Streams'!Q$31+'Revenue Streams'!Q$32+'Revenue Streams'!Q$33+'Revenue Streams'!Q$39</f>
        <v>14652</v>
      </c>
      <c r="R7" s="78" t="n">
        <f aca="false">'Revenue Streams'!R$29+'Revenue Streams'!R$30+'Revenue Streams'!R$31+'Revenue Streams'!R$32+'Revenue Streams'!R$33+'Revenue Streams'!R$39</f>
        <v>17316</v>
      </c>
      <c r="S7" s="78" t="n">
        <f aca="false">'Revenue Streams'!S$29+'Revenue Streams'!S$30+'Revenue Streams'!S$31+'Revenue Streams'!S$32+'Revenue Streams'!S$33+'Revenue Streams'!S$39</f>
        <v>24640</v>
      </c>
      <c r="T7" s="78" t="n">
        <f aca="false">'Revenue Streams'!T$29+'Revenue Streams'!T$30+'Revenue Streams'!T$31+'Revenue Streams'!T$32+'Revenue Streams'!T$33+'Revenue Streams'!T$39</f>
        <v>29040</v>
      </c>
      <c r="U7" s="78" t="n">
        <f aca="false">'Revenue Streams'!U$29+'Revenue Streams'!U$30+'Revenue Streams'!U$31+'Revenue Streams'!U$32+'Revenue Streams'!U$33+'Revenue Streams'!U$39</f>
        <v>34320</v>
      </c>
      <c r="V7" s="78" t="n">
        <f aca="false">'Revenue Streams'!V$29+'Revenue Streams'!V$30+'Revenue Streams'!V$31+'Revenue Streams'!V$32+'Revenue Streams'!V$33+'Revenue Streams'!V$39</f>
        <v>34440</v>
      </c>
      <c r="W7" s="78" t="n">
        <f aca="false">'Revenue Streams'!W$29+'Revenue Streams'!W$30+'Revenue Streams'!W$31+'Revenue Streams'!W$32+'Revenue Streams'!W$33+'Revenue Streams'!W$39</f>
        <v>40590</v>
      </c>
      <c r="X7" s="78" t="n">
        <f aca="false">'Revenue Streams'!X$29+'Revenue Streams'!X$30+'Revenue Streams'!X$31+'Revenue Streams'!X$32+'Revenue Streams'!X$33+'Revenue Streams'!X$39</f>
        <v>47970</v>
      </c>
      <c r="Y7" s="78" t="n">
        <f aca="false">'Revenue Streams'!Y$29+'Revenue Streams'!Y$30+'Revenue Streams'!Y$31+'Revenue Streams'!Y$32+'Revenue Streams'!Y$33+'Revenue Streams'!Y$39</f>
        <v>46760</v>
      </c>
      <c r="Z7" s="78" t="n">
        <f aca="false">'Revenue Streams'!Z$29+'Revenue Streams'!Z$30+'Revenue Streams'!Z$31+'Revenue Streams'!Z$32+'Revenue Streams'!Z$33+'Revenue Streams'!Z$39</f>
        <v>55110</v>
      </c>
      <c r="AA7" s="78" t="n">
        <f aca="false">'Revenue Streams'!AA$29+'Revenue Streams'!AA$30+'Revenue Streams'!AA$31+'Revenue Streams'!AA$32+'Revenue Streams'!AA$33+'Revenue Streams'!AA$39</f>
        <v>65130</v>
      </c>
      <c r="AB7" s="65" t="n">
        <f aca="false">SUM(AC7:AN7)</f>
        <v>1404040</v>
      </c>
      <c r="AC7" s="78" t="n">
        <f aca="false">'Revenue Streams'!AC$29+'Revenue Streams'!AC$30+'Revenue Streams'!AC$31+'Revenue Streams'!AC$32+'Revenue Streams'!AC$33+'Revenue Streams'!AC$39</f>
        <v>76333.6</v>
      </c>
      <c r="AD7" s="78" t="n">
        <f aca="false">'Revenue Streams'!AD$29+'Revenue Streams'!AD$30+'Revenue Streams'!AD$31+'Revenue Streams'!AD$32+'Revenue Streams'!AD$33+'Revenue Streams'!AD$39</f>
        <v>89964.6</v>
      </c>
      <c r="AE7" s="78" t="n">
        <f aca="false">'Revenue Streams'!AE$29+'Revenue Streams'!AE$30+'Revenue Streams'!AE$31+'Revenue Streams'!AE$32+'Revenue Streams'!AE$33+'Revenue Streams'!AE$39</f>
        <v>106321.8</v>
      </c>
      <c r="AF7" s="78" t="n">
        <f aca="false">'Revenue Streams'!AF$29+'Revenue Streams'!AF$30+'Revenue Streams'!AF$31+'Revenue Streams'!AF$32+'Revenue Streams'!AF$33+'Revenue Streams'!AF$39</f>
        <v>87886.4</v>
      </c>
      <c r="AG7" s="78" t="n">
        <f aca="false">'Revenue Streams'!AG$29+'Revenue Streams'!AG$30+'Revenue Streams'!AG$31+'Revenue Streams'!AG$32+'Revenue Streams'!AG$33+'Revenue Streams'!AG$39</f>
        <v>103580.4</v>
      </c>
      <c r="AH7" s="78" t="n">
        <f aca="false">'Revenue Streams'!AH$29+'Revenue Streams'!AH$30+'Revenue Streams'!AH$31+'Revenue Streams'!AH$32+'Revenue Streams'!AH$33+'Revenue Streams'!AH$39</f>
        <v>122413.2</v>
      </c>
      <c r="AI7" s="78" t="n">
        <f aca="false">'Revenue Streams'!AI$29+'Revenue Streams'!AI$30+'Revenue Streams'!AI$31+'Revenue Streams'!AI$32+'Revenue Streams'!AI$33+'Revenue Streams'!AI$39</f>
        <v>108679.2</v>
      </c>
      <c r="AJ7" s="78" t="n">
        <f aca="false">'Revenue Streams'!AJ$29+'Revenue Streams'!AJ$30+'Revenue Streams'!AJ$31+'Revenue Streams'!AJ$32+'Revenue Streams'!AJ$33+'Revenue Streams'!AJ$39</f>
        <v>128086.2</v>
      </c>
      <c r="AK7" s="78" t="n">
        <f aca="false">'Revenue Streams'!AK$29+'Revenue Streams'!AK$30+'Revenue Streams'!AK$31+'Revenue Streams'!AK$32+'Revenue Streams'!AK$33+'Revenue Streams'!AK$39</f>
        <v>151374.6</v>
      </c>
      <c r="AL7" s="78" t="n">
        <f aca="false">'Revenue Streams'!AL$29+'Revenue Streams'!AL$30+'Revenue Streams'!AL$31+'Revenue Streams'!AL$32+'Revenue Streams'!AL$33+'Revenue Streams'!AL$39</f>
        <v>120232</v>
      </c>
      <c r="AM7" s="78" t="n">
        <f aca="false">'Revenue Streams'!AM$29+'Revenue Streams'!AM$30+'Revenue Streams'!AM$31+'Revenue Streams'!AM$32+'Revenue Streams'!AM$33+'Revenue Streams'!AM$39</f>
        <v>141702</v>
      </c>
      <c r="AN7" s="78" t="n">
        <f aca="false">'Revenue Streams'!AN$29+'Revenue Streams'!AN$30+'Revenue Streams'!AN$31+'Revenue Streams'!AN$32+'Revenue Streams'!AN$33+'Revenue Streams'!AN$39</f>
        <v>167466</v>
      </c>
      <c r="AO7" s="65" t="n">
        <f aca="false">SUM(AP7:BA7)</f>
        <v>2524800</v>
      </c>
      <c r="AP7" s="78" t="n">
        <f aca="false">'Revenue Streams'!AP$29+'Revenue Streams'!AP$30+'Revenue Streams'!AP$31+'Revenue Streams'!AP$32+'Revenue Streams'!AP$33+'Revenue Streams'!AP$39</f>
        <v>153059.2</v>
      </c>
      <c r="AQ7" s="78" t="n">
        <f aca="false">'Revenue Streams'!AQ$29+'Revenue Streams'!AQ$30+'Revenue Streams'!AQ$31+'Revenue Streams'!AQ$32+'Revenue Streams'!AQ$33+'Revenue Streams'!AQ$39</f>
        <v>180391.2</v>
      </c>
      <c r="AR7" s="78" t="n">
        <f aca="false">'Revenue Streams'!AR$29+'Revenue Streams'!AR$30+'Revenue Streams'!AR$31+'Revenue Streams'!AR$32+'Revenue Streams'!AR$33+'Revenue Streams'!AR$39</f>
        <v>213189.6</v>
      </c>
      <c r="AS7" s="78" t="n">
        <f aca="false">'Revenue Streams'!AS$29+'Revenue Streams'!AS$30+'Revenue Streams'!AS$31+'Revenue Streams'!AS$32+'Revenue Streams'!AS$33+'Revenue Streams'!AS$39</f>
        <v>165390.4</v>
      </c>
      <c r="AT7" s="78" t="n">
        <f aca="false">'Revenue Streams'!AT$29+'Revenue Streams'!AT$30+'Revenue Streams'!AT$31+'Revenue Streams'!AT$32+'Revenue Streams'!AT$33+'Revenue Streams'!AT$39</f>
        <v>194924.4</v>
      </c>
      <c r="AU7" s="78" t="n">
        <f aca="false">'Revenue Streams'!AU$29+'Revenue Streams'!AU$30+'Revenue Streams'!AU$31+'Revenue Streams'!AU$32+'Revenue Streams'!AU$33+'Revenue Streams'!AU$39</f>
        <v>230365.2</v>
      </c>
      <c r="AV7" s="78" t="n">
        <f aca="false">'Revenue Streams'!AV$29+'Revenue Streams'!AV$30+'Revenue Streams'!AV$31+'Revenue Streams'!AV$32+'Revenue Streams'!AV$33+'Revenue Streams'!AV$39</f>
        <v>188081.6</v>
      </c>
      <c r="AW7" s="78" t="n">
        <f aca="false">'Revenue Streams'!AW$29+'Revenue Streams'!AW$30+'Revenue Streams'!AW$31+'Revenue Streams'!AW$32+'Revenue Streams'!AW$33+'Revenue Streams'!AW$39</f>
        <v>221667.6</v>
      </c>
      <c r="AX7" s="78" t="n">
        <f aca="false">'Revenue Streams'!AX$29+'Revenue Streams'!AX$30+'Revenue Streams'!AX$31+'Revenue Streams'!AX$32+'Revenue Streams'!AX$33+'Revenue Streams'!AX$39</f>
        <v>261970.8</v>
      </c>
      <c r="AY7" s="78" t="n">
        <f aca="false">'Revenue Streams'!AY$29+'Revenue Streams'!AY$30+'Revenue Streams'!AY$31+'Revenue Streams'!AY$32+'Revenue Streams'!AY$33+'Revenue Streams'!AY$39</f>
        <v>200412.8</v>
      </c>
      <c r="AZ7" s="78" t="n">
        <f aca="false">'Revenue Streams'!AZ$29+'Revenue Streams'!AZ$30+'Revenue Streams'!AZ$31+'Revenue Streams'!AZ$32+'Revenue Streams'!AZ$33+'Revenue Streams'!AZ$39</f>
        <v>236200.8</v>
      </c>
      <c r="BA7" s="78" t="n">
        <f aca="false">'Revenue Streams'!BA$29+'Revenue Streams'!BA$30+'Revenue Streams'!BA$31+'Revenue Streams'!BA$32+'Revenue Streams'!BA$33+'Revenue Streams'!BA$39</f>
        <v>279146.4</v>
      </c>
      <c r="BB7" s="65" t="n">
        <f aca="false">SUM(BC7:BN7)</f>
        <v>3769840</v>
      </c>
      <c r="BC7" s="78" t="n">
        <f aca="false">'Revenue Streams'!BC$29+'Revenue Streams'!BC$30+'Revenue Streams'!BC$31+'Revenue Streams'!BC$32+'Revenue Streams'!BC$33+'Revenue Streams'!BC$39</f>
        <v>238616</v>
      </c>
      <c r="BD7" s="78" t="n">
        <f aca="false">'Revenue Streams'!BD$29+'Revenue Streams'!BD$30+'Revenue Streams'!BD$31+'Revenue Streams'!BD$32+'Revenue Streams'!BD$33+'Revenue Streams'!BD$39</f>
        <v>281226</v>
      </c>
      <c r="BE7" s="78" t="n">
        <f aca="false">'Revenue Streams'!BE$29+'Revenue Streams'!BE$30+'Revenue Streams'!BE$31+'Revenue Streams'!BE$32+'Revenue Streams'!BE$33+'Revenue Streams'!BE$39</f>
        <v>332358</v>
      </c>
      <c r="BF7" s="78" t="n">
        <f aca="false">'Revenue Streams'!BF$29+'Revenue Streams'!BF$30+'Revenue Streams'!BF$31+'Revenue Streams'!BF$32+'Revenue Streams'!BF$33+'Revenue Streams'!BF$39</f>
        <v>251731.2</v>
      </c>
      <c r="BG7" s="78" t="n">
        <f aca="false">'Revenue Streams'!BG$29+'Revenue Streams'!BG$30+'Revenue Streams'!BG$31+'Revenue Streams'!BG$32+'Revenue Streams'!BG$33+'Revenue Streams'!BG$39</f>
        <v>296683.2</v>
      </c>
      <c r="BH7" s="78" t="n">
        <f aca="false">'Revenue Streams'!BH$29+'Revenue Streams'!BH$30+'Revenue Streams'!BH$31+'Revenue Streams'!BH$32+'Revenue Streams'!BH$33+'Revenue Streams'!BH$39</f>
        <v>350625.6</v>
      </c>
      <c r="BI7" s="78" t="n">
        <f aca="false">'Revenue Streams'!BI$29+'Revenue Streams'!BI$30+'Revenue Streams'!BI$31+'Revenue Streams'!BI$32+'Revenue Streams'!BI$33+'Revenue Streams'!BI$39</f>
        <v>276046.4</v>
      </c>
      <c r="BJ7" s="78" t="n">
        <f aca="false">'Revenue Streams'!BJ$29+'Revenue Streams'!BJ$30+'Revenue Streams'!BJ$31+'Revenue Streams'!BJ$32+'Revenue Streams'!BJ$33+'Revenue Streams'!BJ$39</f>
        <v>325340.4</v>
      </c>
      <c r="BK7" s="78" t="n">
        <f aca="false">'Revenue Streams'!BK$29+'Revenue Streams'!BK$30+'Revenue Streams'!BK$31+'Revenue Streams'!BK$32+'Revenue Streams'!BK$33+'Revenue Streams'!BK$39</f>
        <v>384493.2</v>
      </c>
      <c r="BL7" s="78" t="n">
        <f aca="false">'Revenue Streams'!BL$29+'Revenue Streams'!BL$30+'Revenue Streams'!BL$31+'Revenue Streams'!BL$32+'Revenue Streams'!BL$33+'Revenue Streams'!BL$39</f>
        <v>289161.6</v>
      </c>
      <c r="BM7" s="78" t="n">
        <f aca="false">'Revenue Streams'!BM$29+'Revenue Streams'!BM$30+'Revenue Streams'!BM$31+'Revenue Streams'!BM$32+'Revenue Streams'!BM$33+'Revenue Streams'!BM$39</f>
        <v>340797.6</v>
      </c>
      <c r="BN7" s="78" t="n">
        <f aca="false">'Revenue Streams'!BN$29+'Revenue Streams'!BN$30+'Revenue Streams'!BN$31+'Revenue Streams'!BN$32+'Revenue Streams'!BN$33+'Revenue Streams'!BN$39</f>
        <v>402760.8</v>
      </c>
    </row>
    <row r="8" customFormat="false" ht="15" hidden="false" customHeight="false" outlineLevel="0" collapsed="false">
      <c r="A8" s="12" t="s">
        <v>734</v>
      </c>
      <c r="B8" s="65" t="n">
        <f aca="false">SUM(C8:N8)</f>
        <v>65000</v>
      </c>
      <c r="C8" s="77" t="n">
        <f aca="false">'Revenue Streams'!C$29</f>
        <v>1820</v>
      </c>
      <c r="D8" s="77" t="n">
        <f aca="false">'Revenue Streams'!D$29</f>
        <v>2145</v>
      </c>
      <c r="E8" s="77" t="n">
        <f aca="false">'Revenue Streams'!E$29</f>
        <v>2535</v>
      </c>
      <c r="F8" s="77" t="n">
        <f aca="false">'Revenue Streams'!F$29</f>
        <v>3640</v>
      </c>
      <c r="G8" s="77" t="n">
        <f aca="false">'Revenue Streams'!G$29</f>
        <v>4290</v>
      </c>
      <c r="H8" s="77" t="n">
        <f aca="false">'Revenue Streams'!H$29</f>
        <v>5070</v>
      </c>
      <c r="I8" s="77" t="n">
        <f aca="false">'Revenue Streams'!I$29</f>
        <v>5460</v>
      </c>
      <c r="J8" s="77" t="n">
        <f aca="false">'Revenue Streams'!J$29</f>
        <v>6435</v>
      </c>
      <c r="K8" s="77" t="n">
        <f aca="false">'Revenue Streams'!K$29</f>
        <v>7605</v>
      </c>
      <c r="L8" s="77" t="n">
        <f aca="false">'Revenue Streams'!L$29</f>
        <v>7280</v>
      </c>
      <c r="M8" s="77" t="n">
        <f aca="false">'Revenue Streams'!M$29</f>
        <v>8580</v>
      </c>
      <c r="N8" s="77" t="n">
        <f aca="false">'Revenue Streams'!N$29</f>
        <v>10140</v>
      </c>
      <c r="O8" s="65" t="n">
        <f aca="false">SUM(P8:AA8)</f>
        <v>230400</v>
      </c>
      <c r="P8" s="77" t="n">
        <f aca="false">'Revenue Streams'!P$29</f>
        <v>10080</v>
      </c>
      <c r="Q8" s="77" t="n">
        <f aca="false">'Revenue Streams'!Q$29</f>
        <v>11880</v>
      </c>
      <c r="R8" s="77" t="n">
        <f aca="false">'Revenue Streams'!R$29</f>
        <v>14040</v>
      </c>
      <c r="S8" s="77" t="n">
        <f aca="false">'Revenue Streams'!S$29</f>
        <v>14112</v>
      </c>
      <c r="T8" s="77" t="n">
        <f aca="false">'Revenue Streams'!T$29</f>
        <v>16632</v>
      </c>
      <c r="U8" s="77" t="n">
        <f aca="false">'Revenue Streams'!U$29</f>
        <v>19656</v>
      </c>
      <c r="V8" s="77" t="n">
        <f aca="false">'Revenue Streams'!V$29</f>
        <v>18144</v>
      </c>
      <c r="W8" s="77" t="n">
        <f aca="false">'Revenue Streams'!W$29</f>
        <v>21384</v>
      </c>
      <c r="X8" s="77" t="n">
        <f aca="false">'Revenue Streams'!X$29</f>
        <v>25272</v>
      </c>
      <c r="Y8" s="77" t="n">
        <f aca="false">'Revenue Streams'!Y$29</f>
        <v>22176</v>
      </c>
      <c r="Z8" s="77" t="n">
        <f aca="false">'Revenue Streams'!Z$29</f>
        <v>26136</v>
      </c>
      <c r="AA8" s="77" t="n">
        <f aca="false">'Revenue Streams'!AA$29</f>
        <v>30888</v>
      </c>
      <c r="AB8" s="65" t="n">
        <f aca="false">SUM(AC8:AN8)</f>
        <v>616200</v>
      </c>
      <c r="AC8" s="77" t="n">
        <f aca="false">'Revenue Streams'!AC$29</f>
        <v>33180</v>
      </c>
      <c r="AD8" s="77" t="n">
        <f aca="false">'Revenue Streams'!AD$29</f>
        <v>39105</v>
      </c>
      <c r="AE8" s="77" t="n">
        <f aca="false">'Revenue Streams'!AE$29</f>
        <v>46215</v>
      </c>
      <c r="AF8" s="77" t="n">
        <f aca="false">'Revenue Streams'!AF$29</f>
        <v>39816</v>
      </c>
      <c r="AG8" s="77" t="n">
        <f aca="false">'Revenue Streams'!AG$29</f>
        <v>46926</v>
      </c>
      <c r="AH8" s="77" t="n">
        <f aca="false">'Revenue Streams'!AH$29</f>
        <v>55458</v>
      </c>
      <c r="AI8" s="77" t="n">
        <f aca="false">'Revenue Streams'!AI$29</f>
        <v>46452</v>
      </c>
      <c r="AJ8" s="77" t="n">
        <f aca="false">'Revenue Streams'!AJ$29</f>
        <v>54747</v>
      </c>
      <c r="AK8" s="77" t="n">
        <f aca="false">'Revenue Streams'!AK$29</f>
        <v>64701</v>
      </c>
      <c r="AL8" s="77" t="n">
        <f aca="false">'Revenue Streams'!AL$29</f>
        <v>53088</v>
      </c>
      <c r="AM8" s="77" t="n">
        <f aca="false">'Revenue Streams'!AM$29</f>
        <v>62568</v>
      </c>
      <c r="AN8" s="77" t="n">
        <f aca="false">'Revenue Streams'!AN$29</f>
        <v>73944</v>
      </c>
      <c r="AO8" s="65" t="n">
        <f aca="false">SUM(AP8:BA8)</f>
        <v>1058400</v>
      </c>
      <c r="AP8" s="77" t="n">
        <f aca="false">'Revenue Streams'!AP$29</f>
        <v>63504</v>
      </c>
      <c r="AQ8" s="77" t="n">
        <f aca="false">'Revenue Streams'!AQ$29</f>
        <v>74844</v>
      </c>
      <c r="AR8" s="77" t="n">
        <f aca="false">'Revenue Streams'!AR$29</f>
        <v>88452</v>
      </c>
      <c r="AS8" s="77" t="n">
        <f aca="false">'Revenue Streams'!AS$29</f>
        <v>70560</v>
      </c>
      <c r="AT8" s="77" t="n">
        <f aca="false">'Revenue Streams'!AT$29</f>
        <v>83160</v>
      </c>
      <c r="AU8" s="77" t="n">
        <f aca="false">'Revenue Streams'!AU$29</f>
        <v>98280</v>
      </c>
      <c r="AV8" s="77" t="n">
        <f aca="false">'Revenue Streams'!AV$29</f>
        <v>77616</v>
      </c>
      <c r="AW8" s="77" t="n">
        <f aca="false">'Revenue Streams'!AW$29</f>
        <v>91476</v>
      </c>
      <c r="AX8" s="77" t="n">
        <f aca="false">'Revenue Streams'!AX$29</f>
        <v>108108</v>
      </c>
      <c r="AY8" s="77" t="n">
        <f aca="false">'Revenue Streams'!AY$29</f>
        <v>84672</v>
      </c>
      <c r="AZ8" s="77" t="n">
        <f aca="false">'Revenue Streams'!AZ$29</f>
        <v>99792</v>
      </c>
      <c r="BA8" s="77" t="n">
        <f aca="false">'Revenue Streams'!BA$29</f>
        <v>117936</v>
      </c>
      <c r="BB8" s="65" t="n">
        <f aca="false">SUM(BC8:BN8)</f>
        <v>1548600</v>
      </c>
      <c r="BC8" s="77" t="n">
        <f aca="false">'Revenue Streams'!BC$29</f>
        <v>97188</v>
      </c>
      <c r="BD8" s="77" t="n">
        <f aca="false">'Revenue Streams'!BD$29</f>
        <v>114543</v>
      </c>
      <c r="BE8" s="77" t="n">
        <f aca="false">'Revenue Streams'!BE$29</f>
        <v>135369</v>
      </c>
      <c r="BF8" s="77" t="n">
        <f aca="false">'Revenue Streams'!BF$29</f>
        <v>104664</v>
      </c>
      <c r="BG8" s="77" t="n">
        <f aca="false">'Revenue Streams'!BG$29</f>
        <v>123354</v>
      </c>
      <c r="BH8" s="77" t="n">
        <f aca="false">'Revenue Streams'!BH$29</f>
        <v>145782</v>
      </c>
      <c r="BI8" s="77" t="n">
        <f aca="false">'Revenue Streams'!BI$29</f>
        <v>112140</v>
      </c>
      <c r="BJ8" s="77" t="n">
        <f aca="false">'Revenue Streams'!BJ$29</f>
        <v>132165</v>
      </c>
      <c r="BK8" s="77" t="n">
        <f aca="false">'Revenue Streams'!BK$29</f>
        <v>156195</v>
      </c>
      <c r="BL8" s="77" t="n">
        <f aca="false">'Revenue Streams'!BL$29</f>
        <v>119616</v>
      </c>
      <c r="BM8" s="77" t="n">
        <f aca="false">'Revenue Streams'!BM$29</f>
        <v>140976</v>
      </c>
      <c r="BN8" s="77" t="n">
        <f aca="false">'Revenue Streams'!BN$29</f>
        <v>166608</v>
      </c>
    </row>
    <row r="9" customFormat="false" ht="15" hidden="false" customHeight="false" outlineLevel="0" collapsed="false">
      <c r="A9" s="12" t="s">
        <v>735</v>
      </c>
      <c r="B9" s="65" t="n">
        <f aca="false">SUM(C9:N9)</f>
        <v>0</v>
      </c>
      <c r="C9" s="77" t="n">
        <f aca="false">'Revenue Streams'!C$30</f>
        <v>0</v>
      </c>
      <c r="D9" s="77" t="n">
        <f aca="false">'Revenue Streams'!D$30</f>
        <v>0</v>
      </c>
      <c r="E9" s="77" t="n">
        <f aca="false">'Revenue Streams'!E$30</f>
        <v>0</v>
      </c>
      <c r="F9" s="77" t="n">
        <f aca="false">'Revenue Streams'!F$30</f>
        <v>0</v>
      </c>
      <c r="G9" s="77" t="n">
        <f aca="false">'Revenue Streams'!G$30</f>
        <v>0</v>
      </c>
      <c r="H9" s="77" t="n">
        <f aca="false">'Revenue Streams'!H$30</f>
        <v>0</v>
      </c>
      <c r="I9" s="77" t="n">
        <f aca="false">'Revenue Streams'!I$30</f>
        <v>0</v>
      </c>
      <c r="J9" s="77" t="n">
        <f aca="false">'Revenue Streams'!J$30</f>
        <v>0</v>
      </c>
      <c r="K9" s="77" t="n">
        <f aca="false">'Revenue Streams'!K$30</f>
        <v>0</v>
      </c>
      <c r="L9" s="77" t="n">
        <f aca="false">'Revenue Streams'!L$30</f>
        <v>0</v>
      </c>
      <c r="M9" s="77" t="n">
        <f aca="false">'Revenue Streams'!M$30</f>
        <v>0</v>
      </c>
      <c r="N9" s="77" t="n">
        <f aca="false">'Revenue Streams'!N$30</f>
        <v>0</v>
      </c>
      <c r="O9" s="65" t="n">
        <f aca="false">SUM(P9:AA9)</f>
        <v>72000</v>
      </c>
      <c r="P9" s="77" t="n">
        <f aca="false">'Revenue Streams'!P$30</f>
        <v>0</v>
      </c>
      <c r="Q9" s="77" t="n">
        <f aca="false">'Revenue Streams'!Q$30</f>
        <v>0</v>
      </c>
      <c r="R9" s="77" t="n">
        <f aca="false">'Revenue Streams'!R$30</f>
        <v>0</v>
      </c>
      <c r="S9" s="77" t="n">
        <f aca="false">'Revenue Streams'!S$30</f>
        <v>5040</v>
      </c>
      <c r="T9" s="77" t="n">
        <f aca="false">'Revenue Streams'!T$30</f>
        <v>5940</v>
      </c>
      <c r="U9" s="77" t="n">
        <f aca="false">'Revenue Streams'!U$30</f>
        <v>7020</v>
      </c>
      <c r="V9" s="77" t="n">
        <f aca="false">'Revenue Streams'!V$30</f>
        <v>5040</v>
      </c>
      <c r="W9" s="77" t="n">
        <f aca="false">'Revenue Streams'!W$30</f>
        <v>5940</v>
      </c>
      <c r="X9" s="77" t="n">
        <f aca="false">'Revenue Streams'!X$30</f>
        <v>7020</v>
      </c>
      <c r="Y9" s="77" t="n">
        <f aca="false">'Revenue Streams'!Y$30</f>
        <v>10080</v>
      </c>
      <c r="Z9" s="77" t="n">
        <f aca="false">'Revenue Streams'!Z$30</f>
        <v>11880</v>
      </c>
      <c r="AA9" s="77" t="n">
        <f aca="false">'Revenue Streams'!AA$30</f>
        <v>14040</v>
      </c>
      <c r="AB9" s="65" t="n">
        <f aca="false">SUM(AC9:AN9)</f>
        <v>308000</v>
      </c>
      <c r="AC9" s="77" t="n">
        <f aca="false">'Revenue Streams'!AC$30</f>
        <v>18480</v>
      </c>
      <c r="AD9" s="77" t="n">
        <f aca="false">'Revenue Streams'!AD$30</f>
        <v>21780</v>
      </c>
      <c r="AE9" s="77" t="n">
        <f aca="false">'Revenue Streams'!AE$30</f>
        <v>25740</v>
      </c>
      <c r="AF9" s="77" t="n">
        <f aca="false">'Revenue Streams'!AF$30</f>
        <v>18480</v>
      </c>
      <c r="AG9" s="77" t="n">
        <f aca="false">'Revenue Streams'!AG$30</f>
        <v>21780</v>
      </c>
      <c r="AH9" s="77" t="n">
        <f aca="false">'Revenue Streams'!AH$30</f>
        <v>25740</v>
      </c>
      <c r="AI9" s="77" t="n">
        <f aca="false">'Revenue Streams'!AI$30</f>
        <v>24640</v>
      </c>
      <c r="AJ9" s="77" t="n">
        <f aca="false">'Revenue Streams'!AJ$30</f>
        <v>29040</v>
      </c>
      <c r="AK9" s="77" t="n">
        <f aca="false">'Revenue Streams'!AK$30</f>
        <v>34320</v>
      </c>
      <c r="AL9" s="77" t="n">
        <f aca="false">'Revenue Streams'!AL$30</f>
        <v>24640</v>
      </c>
      <c r="AM9" s="77" t="n">
        <f aca="false">'Revenue Streams'!AM$30</f>
        <v>29040</v>
      </c>
      <c r="AN9" s="77" t="n">
        <f aca="false">'Revenue Streams'!AN$30</f>
        <v>34320</v>
      </c>
      <c r="AO9" s="65" t="n">
        <f aca="false">SUM(AP9:BA9)</f>
        <v>550000</v>
      </c>
      <c r="AP9" s="77" t="n">
        <f aca="false">'Revenue Streams'!AP$30</f>
        <v>35000</v>
      </c>
      <c r="AQ9" s="77" t="n">
        <f aca="false">'Revenue Streams'!AQ$30</f>
        <v>41250</v>
      </c>
      <c r="AR9" s="77" t="n">
        <f aca="false">'Revenue Streams'!AR$30</f>
        <v>48750</v>
      </c>
      <c r="AS9" s="77" t="n">
        <f aca="false">'Revenue Streams'!AS$30</f>
        <v>35000</v>
      </c>
      <c r="AT9" s="77" t="n">
        <f aca="false">'Revenue Streams'!AT$30</f>
        <v>41250</v>
      </c>
      <c r="AU9" s="77" t="n">
        <f aca="false">'Revenue Streams'!AU$30</f>
        <v>48750</v>
      </c>
      <c r="AV9" s="77" t="n">
        <f aca="false">'Revenue Streams'!AV$30</f>
        <v>42000</v>
      </c>
      <c r="AW9" s="77" t="n">
        <f aca="false">'Revenue Streams'!AW$30</f>
        <v>49500</v>
      </c>
      <c r="AX9" s="77" t="n">
        <f aca="false">'Revenue Streams'!AX$30</f>
        <v>58500</v>
      </c>
      <c r="AY9" s="77" t="n">
        <f aca="false">'Revenue Streams'!AY$30</f>
        <v>42000</v>
      </c>
      <c r="AZ9" s="77" t="n">
        <f aca="false">'Revenue Streams'!AZ$30</f>
        <v>49500</v>
      </c>
      <c r="BA9" s="77" t="n">
        <f aca="false">'Revenue Streams'!BA$30</f>
        <v>58500</v>
      </c>
      <c r="BB9" s="65" t="n">
        <f aca="false">SUM(BC9:BN9)</f>
        <v>810000</v>
      </c>
      <c r="BC9" s="77" t="n">
        <f aca="false">'Revenue Streams'!BC$30</f>
        <v>52920</v>
      </c>
      <c r="BD9" s="77" t="n">
        <f aca="false">'Revenue Streams'!BD$30</f>
        <v>62370</v>
      </c>
      <c r="BE9" s="77" t="n">
        <f aca="false">'Revenue Streams'!BE$30</f>
        <v>73710</v>
      </c>
      <c r="BF9" s="77" t="n">
        <f aca="false">'Revenue Streams'!BF$30</f>
        <v>52920</v>
      </c>
      <c r="BG9" s="77" t="n">
        <f aca="false">'Revenue Streams'!BG$30</f>
        <v>62370</v>
      </c>
      <c r="BH9" s="77" t="n">
        <f aca="false">'Revenue Streams'!BH$30</f>
        <v>73710</v>
      </c>
      <c r="BI9" s="77" t="n">
        <f aca="false">'Revenue Streams'!BI$30</f>
        <v>60480</v>
      </c>
      <c r="BJ9" s="77" t="n">
        <f aca="false">'Revenue Streams'!BJ$30</f>
        <v>71280</v>
      </c>
      <c r="BK9" s="77" t="n">
        <f aca="false">'Revenue Streams'!BK$30</f>
        <v>84240</v>
      </c>
      <c r="BL9" s="77" t="n">
        <f aca="false">'Revenue Streams'!BL$30</f>
        <v>60480</v>
      </c>
      <c r="BM9" s="77" t="n">
        <f aca="false">'Revenue Streams'!BM$30</f>
        <v>71280</v>
      </c>
      <c r="BN9" s="77" t="n">
        <f aca="false">'Revenue Streams'!BN$30</f>
        <v>84240</v>
      </c>
    </row>
    <row r="10" customFormat="false" ht="15" hidden="false" customHeight="false" outlineLevel="0" collapsed="false">
      <c r="A10" s="12" t="s">
        <v>736</v>
      </c>
      <c r="B10" s="65" t="n">
        <f aca="false">SUM(C10:N10)</f>
        <v>0</v>
      </c>
      <c r="C10" s="77" t="n">
        <f aca="false">'Revenue Streams'!C$31</f>
        <v>0</v>
      </c>
      <c r="D10" s="77" t="n">
        <f aca="false">'Revenue Streams'!D$31</f>
        <v>0</v>
      </c>
      <c r="E10" s="77" t="n">
        <f aca="false">'Revenue Streams'!E$31</f>
        <v>0</v>
      </c>
      <c r="F10" s="77" t="n">
        <f aca="false">'Revenue Streams'!F$31</f>
        <v>0</v>
      </c>
      <c r="G10" s="77" t="n">
        <f aca="false">'Revenue Streams'!G$31</f>
        <v>0</v>
      </c>
      <c r="H10" s="77" t="n">
        <f aca="false">'Revenue Streams'!H$31</f>
        <v>0</v>
      </c>
      <c r="I10" s="77" t="n">
        <f aca="false">'Revenue Streams'!I$31</f>
        <v>0</v>
      </c>
      <c r="J10" s="77" t="n">
        <f aca="false">'Revenue Streams'!J$31</f>
        <v>0</v>
      </c>
      <c r="K10" s="77" t="n">
        <f aca="false">'Revenue Streams'!K$31</f>
        <v>0</v>
      </c>
      <c r="L10" s="77" t="n">
        <f aca="false">'Revenue Streams'!L$31</f>
        <v>0</v>
      </c>
      <c r="M10" s="77" t="n">
        <f aca="false">'Revenue Streams'!M$31</f>
        <v>0</v>
      </c>
      <c r="N10" s="77" t="n">
        <f aca="false">'Revenue Streams'!N$31</f>
        <v>0</v>
      </c>
      <c r="O10" s="65" t="n">
        <f aca="false">SUM(P10:AA10)</f>
        <v>37800</v>
      </c>
      <c r="P10" s="77" t="n">
        <f aca="false">'Revenue Streams'!P$31</f>
        <v>0</v>
      </c>
      <c r="Q10" s="77" t="n">
        <f aca="false">'Revenue Streams'!Q$31</f>
        <v>0</v>
      </c>
      <c r="R10" s="77" t="n">
        <f aca="false">'Revenue Streams'!R$31</f>
        <v>0</v>
      </c>
      <c r="S10" s="77" t="n">
        <f aca="false">'Revenue Streams'!S$31</f>
        <v>2352</v>
      </c>
      <c r="T10" s="77" t="n">
        <f aca="false">'Revenue Streams'!T$31</f>
        <v>2772</v>
      </c>
      <c r="U10" s="77" t="n">
        <f aca="false">'Revenue Streams'!U$31</f>
        <v>3276</v>
      </c>
      <c r="V10" s="77" t="n">
        <f aca="false">'Revenue Streams'!V$31</f>
        <v>3528</v>
      </c>
      <c r="W10" s="77" t="n">
        <f aca="false">'Revenue Streams'!W$31</f>
        <v>4158</v>
      </c>
      <c r="X10" s="77" t="n">
        <f aca="false">'Revenue Streams'!X$31</f>
        <v>4914</v>
      </c>
      <c r="Y10" s="77" t="n">
        <f aca="false">'Revenue Streams'!Y$31</f>
        <v>4704</v>
      </c>
      <c r="Z10" s="77" t="n">
        <f aca="false">'Revenue Streams'!Z$31</f>
        <v>5544</v>
      </c>
      <c r="AA10" s="77" t="n">
        <f aca="false">'Revenue Streams'!AA$31</f>
        <v>6552</v>
      </c>
      <c r="AB10" s="65" t="n">
        <f aca="false">SUM(AC10:AN10)</f>
        <v>165600</v>
      </c>
      <c r="AC10" s="77" t="n">
        <f aca="false">'Revenue Streams'!AC$31</f>
        <v>7728</v>
      </c>
      <c r="AD10" s="77" t="n">
        <f aca="false">'Revenue Streams'!AD$31</f>
        <v>9108</v>
      </c>
      <c r="AE10" s="77" t="n">
        <f aca="false">'Revenue Streams'!AE$31</f>
        <v>10764</v>
      </c>
      <c r="AF10" s="77" t="n">
        <f aca="false">'Revenue Streams'!AF$31</f>
        <v>10304</v>
      </c>
      <c r="AG10" s="77" t="n">
        <f aca="false">'Revenue Streams'!AG$31</f>
        <v>12144</v>
      </c>
      <c r="AH10" s="77" t="n">
        <f aca="false">'Revenue Streams'!AH$31</f>
        <v>14352</v>
      </c>
      <c r="AI10" s="77" t="n">
        <f aca="false">'Revenue Streams'!AI$31</f>
        <v>12880</v>
      </c>
      <c r="AJ10" s="77" t="n">
        <f aca="false">'Revenue Streams'!AJ$31</f>
        <v>15180</v>
      </c>
      <c r="AK10" s="77" t="n">
        <f aca="false">'Revenue Streams'!AK$31</f>
        <v>17940</v>
      </c>
      <c r="AL10" s="77" t="n">
        <f aca="false">'Revenue Streams'!AL$31</f>
        <v>15456</v>
      </c>
      <c r="AM10" s="77" t="n">
        <f aca="false">'Revenue Streams'!AM$31</f>
        <v>18216</v>
      </c>
      <c r="AN10" s="77" t="n">
        <f aca="false">'Revenue Streams'!AN$31</f>
        <v>21528</v>
      </c>
      <c r="AO10" s="65" t="n">
        <f aca="false">SUM(AP10:BA10)</f>
        <v>333200</v>
      </c>
      <c r="AP10" s="77" t="n">
        <f aca="false">'Revenue Streams'!AP$31</f>
        <v>19208</v>
      </c>
      <c r="AQ10" s="77" t="n">
        <f aca="false">'Revenue Streams'!AQ$31</f>
        <v>22638</v>
      </c>
      <c r="AR10" s="77" t="n">
        <f aca="false">'Revenue Streams'!AR$31</f>
        <v>26754</v>
      </c>
      <c r="AS10" s="77" t="n">
        <f aca="false">'Revenue Streams'!AS$31</f>
        <v>21952</v>
      </c>
      <c r="AT10" s="77" t="n">
        <f aca="false">'Revenue Streams'!AT$31</f>
        <v>25872</v>
      </c>
      <c r="AU10" s="77" t="n">
        <f aca="false">'Revenue Streams'!AU$31</f>
        <v>30576</v>
      </c>
      <c r="AV10" s="77" t="n">
        <f aca="false">'Revenue Streams'!AV$31</f>
        <v>24696</v>
      </c>
      <c r="AW10" s="77" t="n">
        <f aca="false">'Revenue Streams'!AW$31</f>
        <v>29106</v>
      </c>
      <c r="AX10" s="77" t="n">
        <f aca="false">'Revenue Streams'!AX$31</f>
        <v>34398</v>
      </c>
      <c r="AY10" s="77" t="n">
        <f aca="false">'Revenue Streams'!AY$31</f>
        <v>27440</v>
      </c>
      <c r="AZ10" s="77" t="n">
        <f aca="false">'Revenue Streams'!AZ$31</f>
        <v>32340</v>
      </c>
      <c r="BA10" s="77" t="n">
        <f aca="false">'Revenue Streams'!BA$31</f>
        <v>38220</v>
      </c>
      <c r="BB10" s="65" t="n">
        <f aca="false">SUM(BC10:BN10)</f>
        <v>520000</v>
      </c>
      <c r="BC10" s="77" t="n">
        <f aca="false">'Revenue Streams'!BC$31</f>
        <v>32032</v>
      </c>
      <c r="BD10" s="77" t="n">
        <f aca="false">'Revenue Streams'!BD$31</f>
        <v>37752</v>
      </c>
      <c r="BE10" s="77" t="n">
        <f aca="false">'Revenue Streams'!BE$31</f>
        <v>44616</v>
      </c>
      <c r="BF10" s="77" t="n">
        <f aca="false">'Revenue Streams'!BF$31</f>
        <v>34944</v>
      </c>
      <c r="BG10" s="77" t="n">
        <f aca="false">'Revenue Streams'!BG$31</f>
        <v>41184</v>
      </c>
      <c r="BH10" s="77" t="n">
        <f aca="false">'Revenue Streams'!BH$31</f>
        <v>48672</v>
      </c>
      <c r="BI10" s="77" t="n">
        <f aca="false">'Revenue Streams'!BI$31</f>
        <v>37856</v>
      </c>
      <c r="BJ10" s="77" t="n">
        <f aca="false">'Revenue Streams'!BJ$31</f>
        <v>44616</v>
      </c>
      <c r="BK10" s="77" t="n">
        <f aca="false">'Revenue Streams'!BK$31</f>
        <v>52728</v>
      </c>
      <c r="BL10" s="77" t="n">
        <f aca="false">'Revenue Streams'!BL$31</f>
        <v>40768</v>
      </c>
      <c r="BM10" s="77" t="n">
        <f aca="false">'Revenue Streams'!BM$31</f>
        <v>48048</v>
      </c>
      <c r="BN10" s="77" t="n">
        <f aca="false">'Revenue Streams'!BN$31</f>
        <v>56784</v>
      </c>
    </row>
    <row r="11" customFormat="false" ht="15" hidden="false" customHeight="false" outlineLevel="0" collapsed="false">
      <c r="A11" s="12" t="s">
        <v>737</v>
      </c>
      <c r="B11" s="65" t="n">
        <f aca="false">SUM(C11:N11)</f>
        <v>0</v>
      </c>
      <c r="C11" s="77" t="n">
        <f aca="false">'Revenue Streams'!C$32</f>
        <v>0</v>
      </c>
      <c r="D11" s="77" t="n">
        <f aca="false">'Revenue Streams'!D$32</f>
        <v>0</v>
      </c>
      <c r="E11" s="77" t="n">
        <f aca="false">'Revenue Streams'!E$32</f>
        <v>0</v>
      </c>
      <c r="F11" s="77" t="n">
        <f aca="false">'Revenue Streams'!F$32</f>
        <v>0</v>
      </c>
      <c r="G11" s="77" t="n">
        <f aca="false">'Revenue Streams'!G$32</f>
        <v>0</v>
      </c>
      <c r="H11" s="77" t="n">
        <f aca="false">'Revenue Streams'!H$32</f>
        <v>0</v>
      </c>
      <c r="I11" s="77" t="n">
        <f aca="false">'Revenue Streams'!I$32</f>
        <v>0</v>
      </c>
      <c r="J11" s="77" t="n">
        <f aca="false">'Revenue Streams'!J$32</f>
        <v>0</v>
      </c>
      <c r="K11" s="77" t="n">
        <f aca="false">'Revenue Streams'!K$32</f>
        <v>0</v>
      </c>
      <c r="L11" s="77" t="n">
        <f aca="false">'Revenue Streams'!L$32</f>
        <v>0</v>
      </c>
      <c r="M11" s="77" t="n">
        <f aca="false">'Revenue Streams'!M$32</f>
        <v>0</v>
      </c>
      <c r="N11" s="77" t="n">
        <f aca="false">'Revenue Streams'!N$32</f>
        <v>0</v>
      </c>
      <c r="O11" s="65" t="n">
        <f aca="false">SUM(P11:AA11)</f>
        <v>18000</v>
      </c>
      <c r="P11" s="77" t="n">
        <f aca="false">'Revenue Streams'!P$32</f>
        <v>0</v>
      </c>
      <c r="Q11" s="77" t="n">
        <f aca="false">'Revenue Streams'!Q$32</f>
        <v>0</v>
      </c>
      <c r="R11" s="77" t="n">
        <f aca="false">'Revenue Streams'!R$32</f>
        <v>0</v>
      </c>
      <c r="S11" s="77" t="n">
        <f aca="false">'Revenue Streams'!S$32</f>
        <v>0</v>
      </c>
      <c r="T11" s="77" t="n">
        <f aca="false">'Revenue Streams'!T$32</f>
        <v>0</v>
      </c>
      <c r="U11" s="77" t="n">
        <f aca="false">'Revenue Streams'!U$32</f>
        <v>0</v>
      </c>
      <c r="V11" s="77" t="n">
        <f aca="false">'Revenue Streams'!V$32</f>
        <v>2520</v>
      </c>
      <c r="W11" s="77" t="n">
        <f aca="false">'Revenue Streams'!W$32</f>
        <v>2970</v>
      </c>
      <c r="X11" s="77" t="n">
        <f aca="false">'Revenue Streams'!X$32</f>
        <v>3510</v>
      </c>
      <c r="Y11" s="77" t="n">
        <f aca="false">'Revenue Streams'!Y$32</f>
        <v>2520</v>
      </c>
      <c r="Z11" s="77" t="n">
        <f aca="false">'Revenue Streams'!Z$32</f>
        <v>2970</v>
      </c>
      <c r="AA11" s="77" t="n">
        <f aca="false">'Revenue Streams'!AA$32</f>
        <v>3510</v>
      </c>
      <c r="AB11" s="65" t="n">
        <f aca="false">SUM(AC11:AN11)</f>
        <v>110000</v>
      </c>
      <c r="AC11" s="77" t="n">
        <f aca="false">'Revenue Streams'!AC$32</f>
        <v>6160</v>
      </c>
      <c r="AD11" s="77" t="n">
        <f aca="false">'Revenue Streams'!AD$32</f>
        <v>7260</v>
      </c>
      <c r="AE11" s="77" t="n">
        <f aca="false">'Revenue Streams'!AE$32</f>
        <v>8580</v>
      </c>
      <c r="AF11" s="77" t="n">
        <f aca="false">'Revenue Streams'!AF$32</f>
        <v>6160</v>
      </c>
      <c r="AG11" s="77" t="n">
        <f aca="false">'Revenue Streams'!AG$32</f>
        <v>7260</v>
      </c>
      <c r="AH11" s="77" t="n">
        <f aca="false">'Revenue Streams'!AH$32</f>
        <v>8580</v>
      </c>
      <c r="AI11" s="77" t="n">
        <f aca="false">'Revenue Streams'!AI$32</f>
        <v>9240</v>
      </c>
      <c r="AJ11" s="77" t="n">
        <f aca="false">'Revenue Streams'!AJ$32</f>
        <v>10890</v>
      </c>
      <c r="AK11" s="77" t="n">
        <f aca="false">'Revenue Streams'!AK$32</f>
        <v>12870</v>
      </c>
      <c r="AL11" s="77" t="n">
        <f aca="false">'Revenue Streams'!AL$32</f>
        <v>9240</v>
      </c>
      <c r="AM11" s="77" t="n">
        <f aca="false">'Revenue Streams'!AM$32</f>
        <v>10890</v>
      </c>
      <c r="AN11" s="77" t="n">
        <f aca="false">'Revenue Streams'!AN$32</f>
        <v>12870</v>
      </c>
      <c r="AO11" s="65" t="n">
        <f aca="false">SUM(AP11:BA11)</f>
        <v>216000</v>
      </c>
      <c r="AP11" s="77" t="n">
        <f aca="false">'Revenue Streams'!AP$32</f>
        <v>13440</v>
      </c>
      <c r="AQ11" s="77" t="n">
        <f aca="false">'Revenue Streams'!AQ$32</f>
        <v>15840</v>
      </c>
      <c r="AR11" s="77" t="n">
        <f aca="false">'Revenue Streams'!AR$32</f>
        <v>18720</v>
      </c>
      <c r="AS11" s="77" t="n">
        <f aca="false">'Revenue Streams'!AS$32</f>
        <v>13440</v>
      </c>
      <c r="AT11" s="77" t="n">
        <f aca="false">'Revenue Streams'!AT$32</f>
        <v>15840</v>
      </c>
      <c r="AU11" s="77" t="n">
        <f aca="false">'Revenue Streams'!AU$32</f>
        <v>18720</v>
      </c>
      <c r="AV11" s="77" t="n">
        <f aca="false">'Revenue Streams'!AV$32</f>
        <v>16800</v>
      </c>
      <c r="AW11" s="77" t="n">
        <f aca="false">'Revenue Streams'!AW$32</f>
        <v>19800</v>
      </c>
      <c r="AX11" s="77" t="n">
        <f aca="false">'Revenue Streams'!AX$32</f>
        <v>23400</v>
      </c>
      <c r="AY11" s="77" t="n">
        <f aca="false">'Revenue Streams'!AY$32</f>
        <v>16800</v>
      </c>
      <c r="AZ11" s="77" t="n">
        <f aca="false">'Revenue Streams'!AZ$32</f>
        <v>19800</v>
      </c>
      <c r="BA11" s="77" t="n">
        <f aca="false">'Revenue Streams'!BA$32</f>
        <v>23400</v>
      </c>
      <c r="BB11" s="65" t="n">
        <f aca="false">SUM(BC11:BN11)</f>
        <v>338000</v>
      </c>
      <c r="BC11" s="77" t="n">
        <f aca="false">'Revenue Streams'!BC$32</f>
        <v>21840</v>
      </c>
      <c r="BD11" s="77" t="n">
        <f aca="false">'Revenue Streams'!BD$32</f>
        <v>25740</v>
      </c>
      <c r="BE11" s="77" t="n">
        <f aca="false">'Revenue Streams'!BE$32</f>
        <v>30420</v>
      </c>
      <c r="BF11" s="77" t="n">
        <f aca="false">'Revenue Streams'!BF$32</f>
        <v>21840</v>
      </c>
      <c r="BG11" s="77" t="n">
        <f aca="false">'Revenue Streams'!BG$32</f>
        <v>25740</v>
      </c>
      <c r="BH11" s="77" t="n">
        <f aca="false">'Revenue Streams'!BH$32</f>
        <v>30420</v>
      </c>
      <c r="BI11" s="77" t="n">
        <f aca="false">'Revenue Streams'!BI$32</f>
        <v>25480</v>
      </c>
      <c r="BJ11" s="77" t="n">
        <f aca="false">'Revenue Streams'!BJ$32</f>
        <v>30030</v>
      </c>
      <c r="BK11" s="77" t="n">
        <f aca="false">'Revenue Streams'!BK$32</f>
        <v>35490</v>
      </c>
      <c r="BL11" s="77" t="n">
        <f aca="false">'Revenue Streams'!BL$32</f>
        <v>25480</v>
      </c>
      <c r="BM11" s="77" t="n">
        <f aca="false">'Revenue Streams'!BM$32</f>
        <v>30030</v>
      </c>
      <c r="BN11" s="77" t="n">
        <f aca="false">'Revenue Streams'!BN$32</f>
        <v>35490</v>
      </c>
    </row>
    <row r="12" customFormat="false" ht="15" hidden="false" customHeight="false" outlineLevel="0" collapsed="false">
      <c r="A12" s="12" t="s">
        <v>738</v>
      </c>
      <c r="B12" s="65" t="n">
        <f aca="false">SUM(C12:N12)</f>
        <v>0</v>
      </c>
      <c r="C12" s="77" t="n">
        <f aca="false">'Revenue Streams'!C$33</f>
        <v>0</v>
      </c>
      <c r="D12" s="77" t="n">
        <f aca="false">'Revenue Streams'!D$33</f>
        <v>0</v>
      </c>
      <c r="E12" s="77" t="n">
        <f aca="false">'Revenue Streams'!E$33</f>
        <v>0</v>
      </c>
      <c r="F12" s="77" t="n">
        <f aca="false">'Revenue Streams'!F$33</f>
        <v>0</v>
      </c>
      <c r="G12" s="77" t="n">
        <f aca="false">'Revenue Streams'!G$33</f>
        <v>0</v>
      </c>
      <c r="H12" s="77" t="n">
        <f aca="false">'Revenue Streams'!H$33</f>
        <v>0</v>
      </c>
      <c r="I12" s="77" t="n">
        <f aca="false">'Revenue Streams'!I$33</f>
        <v>0</v>
      </c>
      <c r="J12" s="77" t="n">
        <f aca="false">'Revenue Streams'!J$33</f>
        <v>0</v>
      </c>
      <c r="K12" s="77" t="n">
        <f aca="false">'Revenue Streams'!K$33</f>
        <v>0</v>
      </c>
      <c r="L12" s="77" t="n">
        <f aca="false">'Revenue Streams'!L$33</f>
        <v>0</v>
      </c>
      <c r="M12" s="77" t="n">
        <f aca="false">'Revenue Streams'!M$33</f>
        <v>0</v>
      </c>
      <c r="N12" s="77" t="n">
        <f aca="false">'Revenue Streams'!N$33</f>
        <v>0</v>
      </c>
      <c r="O12" s="65" t="n">
        <f aca="false">SUM(P12:AA12)</f>
        <v>13800</v>
      </c>
      <c r="P12" s="77" t="n">
        <f aca="false">'Revenue Streams'!P$33</f>
        <v>0</v>
      </c>
      <c r="Q12" s="77" t="n">
        <f aca="false">'Revenue Streams'!Q$33</f>
        <v>0</v>
      </c>
      <c r="R12" s="77" t="n">
        <f aca="false">'Revenue Streams'!R$33</f>
        <v>0</v>
      </c>
      <c r="S12" s="77" t="n">
        <f aca="false">'Revenue Streams'!S$33</f>
        <v>0</v>
      </c>
      <c r="T12" s="77" t="n">
        <f aca="false">'Revenue Streams'!T$33</f>
        <v>0</v>
      </c>
      <c r="U12" s="77" t="n">
        <f aca="false">'Revenue Streams'!U$33</f>
        <v>0</v>
      </c>
      <c r="V12" s="77" t="n">
        <f aca="false">'Revenue Streams'!V$33</f>
        <v>1288</v>
      </c>
      <c r="W12" s="77" t="n">
        <f aca="false">'Revenue Streams'!W$33</f>
        <v>1518</v>
      </c>
      <c r="X12" s="77" t="n">
        <f aca="false">'Revenue Streams'!X$33</f>
        <v>1794</v>
      </c>
      <c r="Y12" s="77" t="n">
        <f aca="false">'Revenue Streams'!Y$33</f>
        <v>2576</v>
      </c>
      <c r="Z12" s="77" t="n">
        <f aca="false">'Revenue Streams'!Z$33</f>
        <v>3036</v>
      </c>
      <c r="AA12" s="77" t="n">
        <f aca="false">'Revenue Streams'!AA$33</f>
        <v>3588</v>
      </c>
      <c r="AB12" s="65" t="n">
        <f aca="false">SUM(AC12:AN12)</f>
        <v>90000</v>
      </c>
      <c r="AC12" s="77" t="n">
        <f aca="false">'Revenue Streams'!AC$33</f>
        <v>4200</v>
      </c>
      <c r="AD12" s="77" t="n">
        <f aca="false">'Revenue Streams'!AD$33</f>
        <v>4950</v>
      </c>
      <c r="AE12" s="77" t="n">
        <f aca="false">'Revenue Streams'!AE$33</f>
        <v>5850</v>
      </c>
      <c r="AF12" s="77" t="n">
        <f aca="false">'Revenue Streams'!AF$33</f>
        <v>5600</v>
      </c>
      <c r="AG12" s="77" t="n">
        <f aca="false">'Revenue Streams'!AG$33</f>
        <v>6600</v>
      </c>
      <c r="AH12" s="77" t="n">
        <f aca="false">'Revenue Streams'!AH$33</f>
        <v>7800</v>
      </c>
      <c r="AI12" s="77" t="n">
        <f aca="false">'Revenue Streams'!AI$33</f>
        <v>7000</v>
      </c>
      <c r="AJ12" s="77" t="n">
        <f aca="false">'Revenue Streams'!AJ$33</f>
        <v>8250</v>
      </c>
      <c r="AK12" s="77" t="n">
        <f aca="false">'Revenue Streams'!AK$33</f>
        <v>9750</v>
      </c>
      <c r="AL12" s="77" t="n">
        <f aca="false">'Revenue Streams'!AL$33</f>
        <v>8400</v>
      </c>
      <c r="AM12" s="77" t="n">
        <f aca="false">'Revenue Streams'!AM$33</f>
        <v>9900</v>
      </c>
      <c r="AN12" s="77" t="n">
        <f aca="false">'Revenue Streams'!AN$33</f>
        <v>11700</v>
      </c>
      <c r="AO12" s="65" t="n">
        <f aca="false">SUM(AP12:BA12)</f>
        <v>180200</v>
      </c>
      <c r="AP12" s="77" t="n">
        <f aca="false">'Revenue Streams'!AP$33</f>
        <v>10388</v>
      </c>
      <c r="AQ12" s="77" t="n">
        <f aca="false">'Revenue Streams'!AQ$33</f>
        <v>12243</v>
      </c>
      <c r="AR12" s="77" t="n">
        <f aca="false">'Revenue Streams'!AR$33</f>
        <v>14469</v>
      </c>
      <c r="AS12" s="77" t="n">
        <f aca="false">'Revenue Streams'!AS$33</f>
        <v>11872</v>
      </c>
      <c r="AT12" s="77" t="n">
        <f aca="false">'Revenue Streams'!AT$33</f>
        <v>13992</v>
      </c>
      <c r="AU12" s="77" t="n">
        <f aca="false">'Revenue Streams'!AU$33</f>
        <v>16536</v>
      </c>
      <c r="AV12" s="77" t="n">
        <f aca="false">'Revenue Streams'!AV$33</f>
        <v>13356</v>
      </c>
      <c r="AW12" s="77" t="n">
        <f aca="false">'Revenue Streams'!AW$33</f>
        <v>15741</v>
      </c>
      <c r="AX12" s="77" t="n">
        <f aca="false">'Revenue Streams'!AX$33</f>
        <v>18603</v>
      </c>
      <c r="AY12" s="77" t="n">
        <f aca="false">'Revenue Streams'!AY$33</f>
        <v>14840</v>
      </c>
      <c r="AZ12" s="77" t="n">
        <f aca="false">'Revenue Streams'!AZ$33</f>
        <v>17490</v>
      </c>
      <c r="BA12" s="77" t="n">
        <f aca="false">'Revenue Streams'!BA$33</f>
        <v>20670</v>
      </c>
      <c r="BB12" s="65" t="n">
        <f aca="false">SUM(BC12:BN12)</f>
        <v>280000</v>
      </c>
      <c r="BC12" s="77" t="n">
        <f aca="false">'Revenue Streams'!BC$33</f>
        <v>17248</v>
      </c>
      <c r="BD12" s="77" t="n">
        <f aca="false">'Revenue Streams'!BD$33</f>
        <v>20328</v>
      </c>
      <c r="BE12" s="77" t="n">
        <f aca="false">'Revenue Streams'!BE$33</f>
        <v>24024</v>
      </c>
      <c r="BF12" s="77" t="n">
        <f aca="false">'Revenue Streams'!BF$33</f>
        <v>18816</v>
      </c>
      <c r="BG12" s="77" t="n">
        <f aca="false">'Revenue Streams'!BG$33</f>
        <v>22176</v>
      </c>
      <c r="BH12" s="77" t="n">
        <f aca="false">'Revenue Streams'!BH$33</f>
        <v>26208</v>
      </c>
      <c r="BI12" s="77" t="n">
        <f aca="false">'Revenue Streams'!BI$33</f>
        <v>20384</v>
      </c>
      <c r="BJ12" s="77" t="n">
        <f aca="false">'Revenue Streams'!BJ$33</f>
        <v>24024</v>
      </c>
      <c r="BK12" s="77" t="n">
        <f aca="false">'Revenue Streams'!BK$33</f>
        <v>28392</v>
      </c>
      <c r="BL12" s="77" t="n">
        <f aca="false">'Revenue Streams'!BL$33</f>
        <v>21952</v>
      </c>
      <c r="BM12" s="77" t="n">
        <f aca="false">'Revenue Streams'!BM$33</f>
        <v>25872</v>
      </c>
      <c r="BN12" s="77" t="n">
        <f aca="false">'Revenue Streams'!BN$33</f>
        <v>30576</v>
      </c>
    </row>
    <row r="13" customFormat="false" ht="15" hidden="false" customHeight="false" outlineLevel="0" collapsed="false">
      <c r="A13" s="12" t="s">
        <v>739</v>
      </c>
      <c r="B13" s="65" t="n">
        <f aca="false">SUM(C13:N13)</f>
        <v>8640</v>
      </c>
      <c r="C13" s="77" t="n">
        <f aca="false">'Revenue Streams'!C$39</f>
        <v>0</v>
      </c>
      <c r="D13" s="77" t="n">
        <f aca="false">'Revenue Streams'!D$39</f>
        <v>0</v>
      </c>
      <c r="E13" s="77" t="n">
        <f aca="false">'Revenue Streams'!E$39</f>
        <v>0</v>
      </c>
      <c r="F13" s="77" t="n">
        <f aca="false">'Revenue Streams'!F$39</f>
        <v>604.8</v>
      </c>
      <c r="G13" s="77" t="n">
        <f aca="false">'Revenue Streams'!G$39</f>
        <v>712.8</v>
      </c>
      <c r="H13" s="77" t="n">
        <f aca="false">'Revenue Streams'!H$39</f>
        <v>842.4</v>
      </c>
      <c r="I13" s="77" t="n">
        <f aca="false">'Revenue Streams'!I$39</f>
        <v>604.8</v>
      </c>
      <c r="J13" s="77" t="n">
        <f aca="false">'Revenue Streams'!J$39</f>
        <v>712.8</v>
      </c>
      <c r="K13" s="77" t="n">
        <f aca="false">'Revenue Streams'!K$39</f>
        <v>842.4</v>
      </c>
      <c r="L13" s="77" t="n">
        <f aca="false">'Revenue Streams'!L$39</f>
        <v>1209.6</v>
      </c>
      <c r="M13" s="77" t="n">
        <f aca="false">'Revenue Streams'!M$39</f>
        <v>1425.6</v>
      </c>
      <c r="N13" s="77" t="n">
        <f aca="false">'Revenue Streams'!N$39</f>
        <v>1684.8</v>
      </c>
      <c r="O13" s="65" t="n">
        <f aca="false">SUM(P13:AA13)</f>
        <v>50400</v>
      </c>
      <c r="P13" s="77" t="n">
        <f aca="false">'Revenue Streams'!P$39</f>
        <v>2352</v>
      </c>
      <c r="Q13" s="77" t="n">
        <f aca="false">'Revenue Streams'!Q$39</f>
        <v>2772</v>
      </c>
      <c r="R13" s="77" t="n">
        <f aca="false">'Revenue Streams'!R$39</f>
        <v>3276</v>
      </c>
      <c r="S13" s="77" t="n">
        <f aca="false">'Revenue Streams'!S$39</f>
        <v>3136</v>
      </c>
      <c r="T13" s="77" t="n">
        <f aca="false">'Revenue Streams'!T$39</f>
        <v>3696</v>
      </c>
      <c r="U13" s="77" t="n">
        <f aca="false">'Revenue Streams'!U$39</f>
        <v>4368</v>
      </c>
      <c r="V13" s="77" t="n">
        <f aca="false">'Revenue Streams'!V$39</f>
        <v>3920</v>
      </c>
      <c r="W13" s="77" t="n">
        <f aca="false">'Revenue Streams'!W$39</f>
        <v>4620</v>
      </c>
      <c r="X13" s="77" t="n">
        <f aca="false">'Revenue Streams'!X$39</f>
        <v>5460</v>
      </c>
      <c r="Y13" s="77" t="n">
        <f aca="false">'Revenue Streams'!Y$39</f>
        <v>4704</v>
      </c>
      <c r="Z13" s="77" t="n">
        <f aca="false">'Revenue Streams'!Z$39</f>
        <v>5544</v>
      </c>
      <c r="AA13" s="77" t="n">
        <f aca="false">'Revenue Streams'!AA$39</f>
        <v>6552</v>
      </c>
      <c r="AB13" s="65" t="n">
        <f aca="false">SUM(AC13:AN13)</f>
        <v>114240</v>
      </c>
      <c r="AC13" s="77" t="n">
        <f aca="false">'Revenue Streams'!AC$39</f>
        <v>6585.6</v>
      </c>
      <c r="AD13" s="77" t="n">
        <f aca="false">'Revenue Streams'!AD$39</f>
        <v>7761.6</v>
      </c>
      <c r="AE13" s="77" t="n">
        <f aca="false">'Revenue Streams'!AE$39</f>
        <v>9172.8</v>
      </c>
      <c r="AF13" s="77" t="n">
        <f aca="false">'Revenue Streams'!AF$39</f>
        <v>7526.4</v>
      </c>
      <c r="AG13" s="77" t="n">
        <f aca="false">'Revenue Streams'!AG$39</f>
        <v>8870.4</v>
      </c>
      <c r="AH13" s="77" t="n">
        <f aca="false">'Revenue Streams'!AH$39</f>
        <v>10483.2</v>
      </c>
      <c r="AI13" s="77" t="n">
        <f aca="false">'Revenue Streams'!AI$39</f>
        <v>8467.2</v>
      </c>
      <c r="AJ13" s="77" t="n">
        <f aca="false">'Revenue Streams'!AJ$39</f>
        <v>9979.2</v>
      </c>
      <c r="AK13" s="77" t="n">
        <f aca="false">'Revenue Streams'!AK$39</f>
        <v>11793.6</v>
      </c>
      <c r="AL13" s="77" t="n">
        <f aca="false">'Revenue Streams'!AL$39</f>
        <v>9408</v>
      </c>
      <c r="AM13" s="77" t="n">
        <f aca="false">'Revenue Streams'!AM$39</f>
        <v>11088</v>
      </c>
      <c r="AN13" s="77" t="n">
        <f aca="false">'Revenue Streams'!AN$39</f>
        <v>13104</v>
      </c>
      <c r="AO13" s="65" t="n">
        <f aca="false">SUM(AP13:BA13)</f>
        <v>187000</v>
      </c>
      <c r="AP13" s="77" t="n">
        <f aca="false">'Revenue Streams'!AP$39</f>
        <v>11519.2</v>
      </c>
      <c r="AQ13" s="77" t="n">
        <f aca="false">'Revenue Streams'!AQ$39</f>
        <v>13576.2</v>
      </c>
      <c r="AR13" s="77" t="n">
        <f aca="false">'Revenue Streams'!AR$39</f>
        <v>16044.6</v>
      </c>
      <c r="AS13" s="77" t="n">
        <f aca="false">'Revenue Streams'!AS$39</f>
        <v>12566.4</v>
      </c>
      <c r="AT13" s="77" t="n">
        <f aca="false">'Revenue Streams'!AT$39</f>
        <v>14810.4</v>
      </c>
      <c r="AU13" s="77" t="n">
        <f aca="false">'Revenue Streams'!AU$39</f>
        <v>17503.2</v>
      </c>
      <c r="AV13" s="77" t="n">
        <f aca="false">'Revenue Streams'!AV$39</f>
        <v>13613.6</v>
      </c>
      <c r="AW13" s="77" t="n">
        <f aca="false">'Revenue Streams'!AW$39</f>
        <v>16044.6</v>
      </c>
      <c r="AX13" s="77" t="n">
        <f aca="false">'Revenue Streams'!AX$39</f>
        <v>18961.8</v>
      </c>
      <c r="AY13" s="77" t="n">
        <f aca="false">'Revenue Streams'!AY$39</f>
        <v>14660.8</v>
      </c>
      <c r="AZ13" s="77" t="n">
        <f aca="false">'Revenue Streams'!AZ$39</f>
        <v>17278.8</v>
      </c>
      <c r="BA13" s="77" t="n">
        <f aca="false">'Revenue Streams'!BA$39</f>
        <v>20420.4</v>
      </c>
      <c r="BB13" s="65" t="n">
        <f aca="false">SUM(BC13:BN13)</f>
        <v>273240</v>
      </c>
      <c r="BC13" s="77" t="n">
        <f aca="false">'Revenue Streams'!BC$39</f>
        <v>17388</v>
      </c>
      <c r="BD13" s="77" t="n">
        <f aca="false">'Revenue Streams'!BD$39</f>
        <v>20493</v>
      </c>
      <c r="BE13" s="77" t="n">
        <f aca="false">'Revenue Streams'!BE$39</f>
        <v>24219</v>
      </c>
      <c r="BF13" s="77" t="n">
        <f aca="false">'Revenue Streams'!BF$39</f>
        <v>18547.2</v>
      </c>
      <c r="BG13" s="77" t="n">
        <f aca="false">'Revenue Streams'!BG$39</f>
        <v>21859.2</v>
      </c>
      <c r="BH13" s="77" t="n">
        <f aca="false">'Revenue Streams'!BH$39</f>
        <v>25833.6</v>
      </c>
      <c r="BI13" s="77" t="n">
        <f aca="false">'Revenue Streams'!BI$39</f>
        <v>19706.4</v>
      </c>
      <c r="BJ13" s="77" t="n">
        <f aca="false">'Revenue Streams'!BJ$39</f>
        <v>23225.4</v>
      </c>
      <c r="BK13" s="77" t="n">
        <f aca="false">'Revenue Streams'!BK$39</f>
        <v>27448.2</v>
      </c>
      <c r="BL13" s="77" t="n">
        <f aca="false">'Revenue Streams'!BL$39</f>
        <v>20865.6</v>
      </c>
      <c r="BM13" s="77" t="n">
        <f aca="false">'Revenue Streams'!BM$39</f>
        <v>24591.6</v>
      </c>
      <c r="BN13" s="77" t="n">
        <f aca="false">'Revenue Streams'!BN$39</f>
        <v>29062.8</v>
      </c>
    </row>
    <row r="14" customFormat="false" ht="15" hidden="false" customHeight="false" outlineLevel="0" collapsed="false">
      <c r="A14" s="18" t="s">
        <v>740</v>
      </c>
      <c r="B14" s="65" t="n">
        <f aca="false">SUM(C14:N14)</f>
        <v>0</v>
      </c>
      <c r="C14" s="78" t="n">
        <f aca="false">'Revenue Streams'!C$34+'Revenue Streams'!C$35+'Revenue Streams'!C$36</f>
        <v>0</v>
      </c>
      <c r="D14" s="78" t="n">
        <f aca="false">'Revenue Streams'!D$34+'Revenue Streams'!D$35+'Revenue Streams'!D$36</f>
        <v>0</v>
      </c>
      <c r="E14" s="78" t="n">
        <f aca="false">'Revenue Streams'!E$34+'Revenue Streams'!E$35+'Revenue Streams'!E$36</f>
        <v>0</v>
      </c>
      <c r="F14" s="78" t="n">
        <f aca="false">'Revenue Streams'!F$34+'Revenue Streams'!F$35+'Revenue Streams'!F$36</f>
        <v>0</v>
      </c>
      <c r="G14" s="78" t="n">
        <f aca="false">'Revenue Streams'!G$34+'Revenue Streams'!G$35+'Revenue Streams'!G$36</f>
        <v>0</v>
      </c>
      <c r="H14" s="78" t="n">
        <f aca="false">'Revenue Streams'!H$34+'Revenue Streams'!H$35+'Revenue Streams'!H$36</f>
        <v>0</v>
      </c>
      <c r="I14" s="78" t="n">
        <f aca="false">'Revenue Streams'!I$34+'Revenue Streams'!I$35+'Revenue Streams'!I$36</f>
        <v>0</v>
      </c>
      <c r="J14" s="78" t="n">
        <f aca="false">'Revenue Streams'!J$34+'Revenue Streams'!J$35+'Revenue Streams'!J$36</f>
        <v>0</v>
      </c>
      <c r="K14" s="78" t="n">
        <f aca="false">'Revenue Streams'!K$34+'Revenue Streams'!K$35+'Revenue Streams'!K$36</f>
        <v>0</v>
      </c>
      <c r="L14" s="78" t="n">
        <f aca="false">'Revenue Streams'!L$34+'Revenue Streams'!L$35+'Revenue Streams'!L$36</f>
        <v>0</v>
      </c>
      <c r="M14" s="78" t="n">
        <f aca="false">'Revenue Streams'!M$34+'Revenue Streams'!M$35+'Revenue Streams'!M$36</f>
        <v>0</v>
      </c>
      <c r="N14" s="78" t="n">
        <f aca="false">'Revenue Streams'!N$34+'Revenue Streams'!N$35+'Revenue Streams'!N$36</f>
        <v>0</v>
      </c>
      <c r="O14" s="65" t="n">
        <f aca="false">SUM(P14:AA14)</f>
        <v>238000</v>
      </c>
      <c r="P14" s="78" t="n">
        <f aca="false">'Revenue Streams'!P$34+'Revenue Streams'!P$35+'Revenue Streams'!P$36</f>
        <v>0</v>
      </c>
      <c r="Q14" s="78" t="n">
        <f aca="false">'Revenue Streams'!Q$34+'Revenue Streams'!Q$35+'Revenue Streams'!Q$36</f>
        <v>0</v>
      </c>
      <c r="R14" s="78" t="n">
        <f aca="false">'Revenue Streams'!R$34+'Revenue Streams'!R$35+'Revenue Streams'!R$36</f>
        <v>0</v>
      </c>
      <c r="S14" s="78" t="n">
        <f aca="false">'Revenue Streams'!S$34+'Revenue Streams'!S$35+'Revenue Streams'!S$36</f>
        <v>8400</v>
      </c>
      <c r="T14" s="78" t="n">
        <f aca="false">'Revenue Streams'!T$34+'Revenue Streams'!T$35+'Revenue Streams'!T$36</f>
        <v>9900</v>
      </c>
      <c r="U14" s="78" t="n">
        <f aca="false">'Revenue Streams'!U$34+'Revenue Streams'!U$35+'Revenue Streams'!U$36</f>
        <v>11700</v>
      </c>
      <c r="V14" s="78" t="n">
        <f aca="false">'Revenue Streams'!V$34+'Revenue Streams'!V$35+'Revenue Streams'!V$36</f>
        <v>21560</v>
      </c>
      <c r="W14" s="78" t="n">
        <f aca="false">'Revenue Streams'!W$34+'Revenue Streams'!W$35+'Revenue Streams'!W$36</f>
        <v>25410</v>
      </c>
      <c r="X14" s="78" t="n">
        <f aca="false">'Revenue Streams'!X$34+'Revenue Streams'!X$35+'Revenue Streams'!X$36</f>
        <v>30030</v>
      </c>
      <c r="Y14" s="78" t="n">
        <f aca="false">'Revenue Streams'!Y$34+'Revenue Streams'!Y$35+'Revenue Streams'!Y$36</f>
        <v>36680</v>
      </c>
      <c r="Z14" s="78" t="n">
        <f aca="false">'Revenue Streams'!Z$34+'Revenue Streams'!Z$35+'Revenue Streams'!Z$36</f>
        <v>43230</v>
      </c>
      <c r="AA14" s="78" t="n">
        <f aca="false">'Revenue Streams'!AA$34+'Revenue Streams'!AA$35+'Revenue Streams'!AA$36</f>
        <v>51090</v>
      </c>
      <c r="AB14" s="65" t="n">
        <f aca="false">SUM(AC14:AN14)</f>
        <v>1105000</v>
      </c>
      <c r="AC14" s="78" t="n">
        <f aca="false">'Revenue Streams'!AC$34+'Revenue Streams'!AC$35+'Revenue Streams'!AC$36</f>
        <v>49000</v>
      </c>
      <c r="AD14" s="78" t="n">
        <f aca="false">'Revenue Streams'!AD$34+'Revenue Streams'!AD$35+'Revenue Streams'!AD$36</f>
        <v>57750</v>
      </c>
      <c r="AE14" s="78" t="n">
        <f aca="false">'Revenue Streams'!AE$34+'Revenue Streams'!AE$35+'Revenue Streams'!AE$36</f>
        <v>68250</v>
      </c>
      <c r="AF14" s="78" t="n">
        <f aca="false">'Revenue Streams'!AF$34+'Revenue Streams'!AF$35+'Revenue Streams'!AF$36</f>
        <v>70000</v>
      </c>
      <c r="AG14" s="78" t="n">
        <f aca="false">'Revenue Streams'!AG$34+'Revenue Streams'!AG$35+'Revenue Streams'!AG$36</f>
        <v>82500</v>
      </c>
      <c r="AH14" s="78" t="n">
        <f aca="false">'Revenue Streams'!AH$34+'Revenue Streams'!AH$35+'Revenue Streams'!AH$36</f>
        <v>97500</v>
      </c>
      <c r="AI14" s="78" t="n">
        <f aca="false">'Revenue Streams'!AI$34+'Revenue Streams'!AI$35+'Revenue Streams'!AI$36</f>
        <v>84700</v>
      </c>
      <c r="AJ14" s="78" t="n">
        <f aca="false">'Revenue Streams'!AJ$34+'Revenue Streams'!AJ$35+'Revenue Streams'!AJ$36</f>
        <v>99825</v>
      </c>
      <c r="AK14" s="78" t="n">
        <f aca="false">'Revenue Streams'!AK$34+'Revenue Streams'!AK$35+'Revenue Streams'!AK$36</f>
        <v>117975</v>
      </c>
      <c r="AL14" s="78" t="n">
        <f aca="false">'Revenue Streams'!AL$34+'Revenue Streams'!AL$35+'Revenue Streams'!AL$36</f>
        <v>105700</v>
      </c>
      <c r="AM14" s="78" t="n">
        <f aca="false">'Revenue Streams'!AM$34+'Revenue Streams'!AM$35+'Revenue Streams'!AM$36</f>
        <v>124575</v>
      </c>
      <c r="AN14" s="78" t="n">
        <f aca="false">'Revenue Streams'!AN$34+'Revenue Streams'!AN$35+'Revenue Streams'!AN$36</f>
        <v>147225</v>
      </c>
      <c r="AO14" s="65" t="n">
        <f aca="false">SUM(AP14:BA14)</f>
        <v>2326000</v>
      </c>
      <c r="AP14" s="78" t="n">
        <f aca="false">'Revenue Streams'!AP$34+'Revenue Streams'!AP$35+'Revenue Streams'!AP$36</f>
        <v>127680</v>
      </c>
      <c r="AQ14" s="78" t="n">
        <f aca="false">'Revenue Streams'!AQ$34+'Revenue Streams'!AQ$35+'Revenue Streams'!AQ$36</f>
        <v>150480</v>
      </c>
      <c r="AR14" s="78" t="n">
        <f aca="false">'Revenue Streams'!AR$34+'Revenue Streams'!AR$35+'Revenue Streams'!AR$36</f>
        <v>177840</v>
      </c>
      <c r="AS14" s="78" t="n">
        <f aca="false">'Revenue Streams'!AS$34+'Revenue Streams'!AS$35+'Revenue Streams'!AS$36</f>
        <v>153440</v>
      </c>
      <c r="AT14" s="78" t="n">
        <f aca="false">'Revenue Streams'!AT$34+'Revenue Streams'!AT$35+'Revenue Streams'!AT$36</f>
        <v>180840</v>
      </c>
      <c r="AU14" s="78" t="n">
        <f aca="false">'Revenue Streams'!AU$34+'Revenue Streams'!AU$35+'Revenue Streams'!AU$36</f>
        <v>213720</v>
      </c>
      <c r="AV14" s="78" t="n">
        <f aca="false">'Revenue Streams'!AV$34+'Revenue Streams'!AV$35+'Revenue Streams'!AV$36</f>
        <v>172200</v>
      </c>
      <c r="AW14" s="78" t="n">
        <f aca="false">'Revenue Streams'!AW$34+'Revenue Streams'!AW$35+'Revenue Streams'!AW$36</f>
        <v>202950</v>
      </c>
      <c r="AX14" s="78" t="n">
        <f aca="false">'Revenue Streams'!AX$34+'Revenue Streams'!AX$35+'Revenue Streams'!AX$36</f>
        <v>239850</v>
      </c>
      <c r="AY14" s="78" t="n">
        <f aca="false">'Revenue Streams'!AY$34+'Revenue Streams'!AY$35+'Revenue Streams'!AY$36</f>
        <v>197960</v>
      </c>
      <c r="AZ14" s="78" t="n">
        <f aca="false">'Revenue Streams'!AZ$34+'Revenue Streams'!AZ$35+'Revenue Streams'!AZ$36</f>
        <v>233310</v>
      </c>
      <c r="BA14" s="78" t="n">
        <f aca="false">'Revenue Streams'!BA$34+'Revenue Streams'!BA$35+'Revenue Streams'!BA$36</f>
        <v>275730</v>
      </c>
      <c r="BB14" s="65" t="n">
        <f aca="false">SUM(BC14:BN14)</f>
        <v>3545000</v>
      </c>
      <c r="BC14" s="78" t="n">
        <f aca="false">'Revenue Streams'!BC$34+'Revenue Streams'!BC$35+'Revenue Streams'!BC$36</f>
        <v>213640</v>
      </c>
      <c r="BD14" s="78" t="n">
        <f aca="false">'Revenue Streams'!BD$34+'Revenue Streams'!BD$35+'Revenue Streams'!BD$36</f>
        <v>251790</v>
      </c>
      <c r="BE14" s="78" t="n">
        <f aca="false">'Revenue Streams'!BE$34+'Revenue Streams'!BE$35+'Revenue Streams'!BE$36</f>
        <v>297570</v>
      </c>
      <c r="BF14" s="78" t="n">
        <f aca="false">'Revenue Streams'!BF$34+'Revenue Streams'!BF$35+'Revenue Streams'!BF$36</f>
        <v>239120</v>
      </c>
      <c r="BG14" s="78" t="n">
        <f aca="false">'Revenue Streams'!BG$34+'Revenue Streams'!BG$35+'Revenue Streams'!BG$36</f>
        <v>281820</v>
      </c>
      <c r="BH14" s="78" t="n">
        <f aca="false">'Revenue Streams'!BH$34+'Revenue Streams'!BH$35+'Revenue Streams'!BH$36</f>
        <v>333060</v>
      </c>
      <c r="BI14" s="78" t="n">
        <f aca="false">'Revenue Streams'!BI$34+'Revenue Streams'!BI$35+'Revenue Streams'!BI$36</f>
        <v>257180</v>
      </c>
      <c r="BJ14" s="78" t="n">
        <f aca="false">'Revenue Streams'!BJ$34+'Revenue Streams'!BJ$35+'Revenue Streams'!BJ$36</f>
        <v>303105</v>
      </c>
      <c r="BK14" s="78" t="n">
        <f aca="false">'Revenue Streams'!BK$34+'Revenue Streams'!BK$35+'Revenue Streams'!BK$36</f>
        <v>358215</v>
      </c>
      <c r="BL14" s="78" t="n">
        <f aca="false">'Revenue Streams'!BL$34+'Revenue Streams'!BL$35+'Revenue Streams'!BL$36</f>
        <v>282660</v>
      </c>
      <c r="BM14" s="78" t="n">
        <f aca="false">'Revenue Streams'!BM$34+'Revenue Streams'!BM$35+'Revenue Streams'!BM$36</f>
        <v>333135</v>
      </c>
      <c r="BN14" s="78" t="n">
        <f aca="false">'Revenue Streams'!BN$34+'Revenue Streams'!BN$35+'Revenue Streams'!BN$36</f>
        <v>393705</v>
      </c>
    </row>
    <row r="15" customFormat="false" ht="15" hidden="false" customHeight="false" outlineLevel="0" collapsed="false">
      <c r="A15" s="12" t="s">
        <v>741</v>
      </c>
      <c r="B15" s="65" t="n">
        <f aca="false">SUM(C15:N15)</f>
        <v>0</v>
      </c>
      <c r="C15" s="77" t="n">
        <f aca="false">'Revenue Streams'!C$34</f>
        <v>0</v>
      </c>
      <c r="D15" s="77" t="n">
        <f aca="false">'Revenue Streams'!D$34</f>
        <v>0</v>
      </c>
      <c r="E15" s="77" t="n">
        <f aca="false">'Revenue Streams'!E$34</f>
        <v>0</v>
      </c>
      <c r="F15" s="77" t="n">
        <f aca="false">'Revenue Streams'!F$34</f>
        <v>0</v>
      </c>
      <c r="G15" s="77" t="n">
        <f aca="false">'Revenue Streams'!G$34</f>
        <v>0</v>
      </c>
      <c r="H15" s="77" t="n">
        <f aca="false">'Revenue Streams'!H$34</f>
        <v>0</v>
      </c>
      <c r="I15" s="77" t="n">
        <f aca="false">'Revenue Streams'!I$34</f>
        <v>0</v>
      </c>
      <c r="J15" s="77" t="n">
        <f aca="false">'Revenue Streams'!J$34</f>
        <v>0</v>
      </c>
      <c r="K15" s="77" t="n">
        <f aca="false">'Revenue Streams'!K$34</f>
        <v>0</v>
      </c>
      <c r="L15" s="77" t="n">
        <f aca="false">'Revenue Streams'!L$34</f>
        <v>0</v>
      </c>
      <c r="M15" s="77" t="n">
        <f aca="false">'Revenue Streams'!M$34</f>
        <v>0</v>
      </c>
      <c r="N15" s="77" t="n">
        <f aca="false">'Revenue Streams'!N$34</f>
        <v>0</v>
      </c>
      <c r="O15" s="65" t="n">
        <f aca="false">SUM(P15:AA15)</f>
        <v>96000</v>
      </c>
      <c r="P15" s="77" t="n">
        <f aca="false">'Revenue Streams'!P$34</f>
        <v>0</v>
      </c>
      <c r="Q15" s="77" t="n">
        <f aca="false">'Revenue Streams'!Q$34</f>
        <v>0</v>
      </c>
      <c r="R15" s="77" t="n">
        <f aca="false">'Revenue Streams'!R$34</f>
        <v>0</v>
      </c>
      <c r="S15" s="77" t="n">
        <f aca="false">'Revenue Streams'!S$34</f>
        <v>0</v>
      </c>
      <c r="T15" s="77" t="n">
        <f aca="false">'Revenue Streams'!T$34</f>
        <v>0</v>
      </c>
      <c r="U15" s="77" t="n">
        <f aca="false">'Revenue Streams'!U$34</f>
        <v>0</v>
      </c>
      <c r="V15" s="77" t="n">
        <f aca="false">'Revenue Streams'!V$34</f>
        <v>10080</v>
      </c>
      <c r="W15" s="77" t="n">
        <f aca="false">'Revenue Streams'!W$34</f>
        <v>11880</v>
      </c>
      <c r="X15" s="77" t="n">
        <f aca="false">'Revenue Streams'!X$34</f>
        <v>14040</v>
      </c>
      <c r="Y15" s="77" t="n">
        <f aca="false">'Revenue Streams'!Y$34</f>
        <v>16800</v>
      </c>
      <c r="Z15" s="77" t="n">
        <f aca="false">'Revenue Streams'!Z$34</f>
        <v>19800</v>
      </c>
      <c r="AA15" s="77" t="n">
        <f aca="false">'Revenue Streams'!AA$34</f>
        <v>23400</v>
      </c>
      <c r="AB15" s="65" t="n">
        <f aca="false">SUM(AC15:AN15)</f>
        <v>560000</v>
      </c>
      <c r="AC15" s="77" t="n">
        <f aca="false">'Revenue Streams'!AC$34</f>
        <v>22400</v>
      </c>
      <c r="AD15" s="77" t="n">
        <f aca="false">'Revenue Streams'!AD$34</f>
        <v>26400</v>
      </c>
      <c r="AE15" s="77" t="n">
        <f aca="false">'Revenue Streams'!AE$34</f>
        <v>31200</v>
      </c>
      <c r="AF15" s="77" t="n">
        <f aca="false">'Revenue Streams'!AF$34</f>
        <v>33600</v>
      </c>
      <c r="AG15" s="77" t="n">
        <f aca="false">'Revenue Streams'!AG$34</f>
        <v>39600</v>
      </c>
      <c r="AH15" s="77" t="n">
        <f aca="false">'Revenue Streams'!AH$34</f>
        <v>46800</v>
      </c>
      <c r="AI15" s="77" t="n">
        <f aca="false">'Revenue Streams'!AI$34</f>
        <v>44800</v>
      </c>
      <c r="AJ15" s="77" t="n">
        <f aca="false">'Revenue Streams'!AJ$34</f>
        <v>52800</v>
      </c>
      <c r="AK15" s="77" t="n">
        <f aca="false">'Revenue Streams'!AK$34</f>
        <v>62400</v>
      </c>
      <c r="AL15" s="77" t="n">
        <f aca="false">'Revenue Streams'!AL$34</f>
        <v>56000</v>
      </c>
      <c r="AM15" s="77" t="n">
        <f aca="false">'Revenue Streams'!AM$34</f>
        <v>66000</v>
      </c>
      <c r="AN15" s="77" t="n">
        <f aca="false">'Revenue Streams'!AN$34</f>
        <v>78000</v>
      </c>
      <c r="AO15" s="65" t="n">
        <f aca="false">SUM(AP15:BA15)</f>
        <v>1332000</v>
      </c>
      <c r="AP15" s="77" t="n">
        <f aca="false">'Revenue Streams'!AP$34</f>
        <v>70560</v>
      </c>
      <c r="AQ15" s="77" t="n">
        <f aca="false">'Revenue Streams'!AQ$34</f>
        <v>83160</v>
      </c>
      <c r="AR15" s="77" t="n">
        <f aca="false">'Revenue Streams'!AR$34</f>
        <v>98280</v>
      </c>
      <c r="AS15" s="77" t="n">
        <f aca="false">'Revenue Streams'!AS$34</f>
        <v>85680</v>
      </c>
      <c r="AT15" s="77" t="n">
        <f aca="false">'Revenue Streams'!AT$34</f>
        <v>100980</v>
      </c>
      <c r="AU15" s="77" t="n">
        <f aca="false">'Revenue Streams'!AU$34</f>
        <v>119340</v>
      </c>
      <c r="AV15" s="77" t="n">
        <f aca="false">'Revenue Streams'!AV$34</f>
        <v>100800</v>
      </c>
      <c r="AW15" s="77" t="n">
        <f aca="false">'Revenue Streams'!AW$34</f>
        <v>118800</v>
      </c>
      <c r="AX15" s="77" t="n">
        <f aca="false">'Revenue Streams'!AX$34</f>
        <v>140400</v>
      </c>
      <c r="AY15" s="77" t="n">
        <f aca="false">'Revenue Streams'!AY$34</f>
        <v>115920</v>
      </c>
      <c r="AZ15" s="77" t="n">
        <f aca="false">'Revenue Streams'!AZ$34</f>
        <v>136620</v>
      </c>
      <c r="BA15" s="77" t="n">
        <f aca="false">'Revenue Streams'!BA$34</f>
        <v>161460</v>
      </c>
      <c r="BB15" s="65" t="n">
        <f aca="false">SUM(BC15:BN15)</f>
        <v>2074000</v>
      </c>
      <c r="BC15" s="77" t="n">
        <f aca="false">'Revenue Streams'!BC$34</f>
        <v>123760</v>
      </c>
      <c r="BD15" s="77" t="n">
        <f aca="false">'Revenue Streams'!BD$34</f>
        <v>145860</v>
      </c>
      <c r="BE15" s="77" t="n">
        <f aca="false">'Revenue Streams'!BE$34</f>
        <v>172380</v>
      </c>
      <c r="BF15" s="77" t="n">
        <f aca="false">'Revenue Streams'!BF$34</f>
        <v>138040</v>
      </c>
      <c r="BG15" s="77" t="n">
        <f aca="false">'Revenue Streams'!BG$34</f>
        <v>162690</v>
      </c>
      <c r="BH15" s="77" t="n">
        <f aca="false">'Revenue Streams'!BH$34</f>
        <v>192270</v>
      </c>
      <c r="BI15" s="77" t="n">
        <f aca="false">'Revenue Streams'!BI$34</f>
        <v>152320</v>
      </c>
      <c r="BJ15" s="77" t="n">
        <f aca="false">'Revenue Streams'!BJ$34</f>
        <v>179520</v>
      </c>
      <c r="BK15" s="77" t="n">
        <f aca="false">'Revenue Streams'!BK$34</f>
        <v>212160</v>
      </c>
      <c r="BL15" s="77" t="n">
        <f aca="false">'Revenue Streams'!BL$34</f>
        <v>166600</v>
      </c>
      <c r="BM15" s="77" t="n">
        <f aca="false">'Revenue Streams'!BM$34</f>
        <v>196350</v>
      </c>
      <c r="BN15" s="77" t="n">
        <f aca="false">'Revenue Streams'!BN$34</f>
        <v>232050</v>
      </c>
    </row>
    <row r="16" customFormat="false" ht="15" hidden="false" customHeight="false" outlineLevel="0" collapsed="false">
      <c r="A16" s="12" t="s">
        <v>742</v>
      </c>
      <c r="B16" s="65" t="n">
        <f aca="false">SUM(C16:N16)</f>
        <v>0</v>
      </c>
      <c r="C16" s="77" t="n">
        <f aca="false">'Revenue Streams'!C$35</f>
        <v>0</v>
      </c>
      <c r="D16" s="77" t="n">
        <f aca="false">'Revenue Streams'!D$35</f>
        <v>0</v>
      </c>
      <c r="E16" s="77" t="n">
        <f aca="false">'Revenue Streams'!E$35</f>
        <v>0</v>
      </c>
      <c r="F16" s="77" t="n">
        <f aca="false">'Revenue Streams'!F$35</f>
        <v>0</v>
      </c>
      <c r="G16" s="77" t="n">
        <f aca="false">'Revenue Streams'!G$35</f>
        <v>0</v>
      </c>
      <c r="H16" s="77" t="n">
        <f aca="false">'Revenue Streams'!H$35</f>
        <v>0</v>
      </c>
      <c r="I16" s="77" t="n">
        <f aca="false">'Revenue Streams'!I$35</f>
        <v>0</v>
      </c>
      <c r="J16" s="77" t="n">
        <f aca="false">'Revenue Streams'!J$35</f>
        <v>0</v>
      </c>
      <c r="K16" s="77" t="n">
        <f aca="false">'Revenue Streams'!K$35</f>
        <v>0</v>
      </c>
      <c r="L16" s="77" t="n">
        <f aca="false">'Revenue Streams'!L$35</f>
        <v>0</v>
      </c>
      <c r="M16" s="77" t="n">
        <f aca="false">'Revenue Streams'!M$35</f>
        <v>0</v>
      </c>
      <c r="N16" s="77" t="n">
        <f aca="false">'Revenue Streams'!N$35</f>
        <v>0</v>
      </c>
      <c r="O16" s="65" t="n">
        <f aca="false">SUM(P16:AA16)</f>
        <v>22000</v>
      </c>
      <c r="P16" s="77" t="n">
        <f aca="false">'Revenue Streams'!P$35</f>
        <v>0</v>
      </c>
      <c r="Q16" s="77" t="n">
        <f aca="false">'Revenue Streams'!Q$35</f>
        <v>0</v>
      </c>
      <c r="R16" s="77" t="n">
        <f aca="false">'Revenue Streams'!R$35</f>
        <v>0</v>
      </c>
      <c r="S16" s="77" t="n">
        <f aca="false">'Revenue Streams'!S$35</f>
        <v>0</v>
      </c>
      <c r="T16" s="77" t="n">
        <f aca="false">'Revenue Streams'!T$35</f>
        <v>0</v>
      </c>
      <c r="U16" s="77" t="n">
        <f aca="false">'Revenue Streams'!U$35</f>
        <v>0</v>
      </c>
      <c r="V16" s="77" t="n">
        <f aca="false">'Revenue Streams'!V$35</f>
        <v>3080</v>
      </c>
      <c r="W16" s="77" t="n">
        <f aca="false">'Revenue Streams'!W$35</f>
        <v>3630</v>
      </c>
      <c r="X16" s="77" t="n">
        <f aca="false">'Revenue Streams'!X$35</f>
        <v>4290</v>
      </c>
      <c r="Y16" s="77" t="n">
        <f aca="false">'Revenue Streams'!Y$35</f>
        <v>3080</v>
      </c>
      <c r="Z16" s="77" t="n">
        <f aca="false">'Revenue Streams'!Z$35</f>
        <v>3630</v>
      </c>
      <c r="AA16" s="77" t="n">
        <f aca="false">'Revenue Streams'!AA$35</f>
        <v>4290</v>
      </c>
      <c r="AB16" s="65" t="n">
        <f aca="false">SUM(AC16:AN16)</f>
        <v>125000</v>
      </c>
      <c r="AC16" s="77" t="n">
        <f aca="false">'Revenue Streams'!AC$35</f>
        <v>7000</v>
      </c>
      <c r="AD16" s="77" t="n">
        <f aca="false">'Revenue Streams'!AD$35</f>
        <v>8250</v>
      </c>
      <c r="AE16" s="77" t="n">
        <f aca="false">'Revenue Streams'!AE$35</f>
        <v>9750</v>
      </c>
      <c r="AF16" s="77" t="n">
        <f aca="false">'Revenue Streams'!AF$35</f>
        <v>7000</v>
      </c>
      <c r="AG16" s="77" t="n">
        <f aca="false">'Revenue Streams'!AG$35</f>
        <v>8250</v>
      </c>
      <c r="AH16" s="77" t="n">
        <f aca="false">'Revenue Streams'!AH$35</f>
        <v>9750</v>
      </c>
      <c r="AI16" s="77" t="n">
        <f aca="false">'Revenue Streams'!AI$35</f>
        <v>10500</v>
      </c>
      <c r="AJ16" s="77" t="n">
        <f aca="false">'Revenue Streams'!AJ$35</f>
        <v>12375</v>
      </c>
      <c r="AK16" s="77" t="n">
        <f aca="false">'Revenue Streams'!AK$35</f>
        <v>14625</v>
      </c>
      <c r="AL16" s="77" t="n">
        <f aca="false">'Revenue Streams'!AL$35</f>
        <v>10500</v>
      </c>
      <c r="AM16" s="77" t="n">
        <f aca="false">'Revenue Streams'!AM$35</f>
        <v>12375</v>
      </c>
      <c r="AN16" s="77" t="n">
        <f aca="false">'Revenue Streams'!AN$35</f>
        <v>14625</v>
      </c>
      <c r="AO16" s="65" t="n">
        <f aca="false">SUM(AP16:BA16)</f>
        <v>234000</v>
      </c>
      <c r="AP16" s="77" t="n">
        <f aca="false">'Revenue Streams'!AP$35</f>
        <v>14560</v>
      </c>
      <c r="AQ16" s="77" t="n">
        <f aca="false">'Revenue Streams'!AQ$35</f>
        <v>17160</v>
      </c>
      <c r="AR16" s="77" t="n">
        <f aca="false">'Revenue Streams'!AR$35</f>
        <v>20280</v>
      </c>
      <c r="AS16" s="77" t="n">
        <f aca="false">'Revenue Streams'!AS$35</f>
        <v>14560</v>
      </c>
      <c r="AT16" s="77" t="n">
        <f aca="false">'Revenue Streams'!AT$35</f>
        <v>17160</v>
      </c>
      <c r="AU16" s="77" t="n">
        <f aca="false">'Revenue Streams'!AU$35</f>
        <v>20280</v>
      </c>
      <c r="AV16" s="77" t="n">
        <f aca="false">'Revenue Streams'!AV$35</f>
        <v>18200</v>
      </c>
      <c r="AW16" s="77" t="n">
        <f aca="false">'Revenue Streams'!AW$35</f>
        <v>21450</v>
      </c>
      <c r="AX16" s="77" t="n">
        <f aca="false">'Revenue Streams'!AX$35</f>
        <v>25350</v>
      </c>
      <c r="AY16" s="77" t="n">
        <f aca="false">'Revenue Streams'!AY$35</f>
        <v>18200</v>
      </c>
      <c r="AZ16" s="77" t="n">
        <f aca="false">'Revenue Streams'!AZ$35</f>
        <v>21450</v>
      </c>
      <c r="BA16" s="77" t="n">
        <f aca="false">'Revenue Streams'!BA$35</f>
        <v>25350</v>
      </c>
      <c r="BB16" s="65" t="n">
        <f aca="false">SUM(BC16:BN16)</f>
        <v>351000</v>
      </c>
      <c r="BC16" s="77" t="n">
        <f aca="false">'Revenue Streams'!BC$35</f>
        <v>22680</v>
      </c>
      <c r="BD16" s="77" t="n">
        <f aca="false">'Revenue Streams'!BD$35</f>
        <v>26730</v>
      </c>
      <c r="BE16" s="77" t="n">
        <f aca="false">'Revenue Streams'!BE$35</f>
        <v>31590</v>
      </c>
      <c r="BF16" s="77" t="n">
        <f aca="false">'Revenue Streams'!BF$35</f>
        <v>22680</v>
      </c>
      <c r="BG16" s="77" t="n">
        <f aca="false">'Revenue Streams'!BG$35</f>
        <v>26730</v>
      </c>
      <c r="BH16" s="77" t="n">
        <f aca="false">'Revenue Streams'!BH$35</f>
        <v>31590</v>
      </c>
      <c r="BI16" s="77" t="n">
        <f aca="false">'Revenue Streams'!BI$35</f>
        <v>26460</v>
      </c>
      <c r="BJ16" s="77" t="n">
        <f aca="false">'Revenue Streams'!BJ$35</f>
        <v>31185</v>
      </c>
      <c r="BK16" s="77" t="n">
        <f aca="false">'Revenue Streams'!BK$35</f>
        <v>36855</v>
      </c>
      <c r="BL16" s="77" t="n">
        <f aca="false">'Revenue Streams'!BL$35</f>
        <v>26460</v>
      </c>
      <c r="BM16" s="77" t="n">
        <f aca="false">'Revenue Streams'!BM$35</f>
        <v>31185</v>
      </c>
      <c r="BN16" s="77" t="n">
        <f aca="false">'Revenue Streams'!BN$35</f>
        <v>36855</v>
      </c>
    </row>
    <row r="17" customFormat="false" ht="15" hidden="false" customHeight="false" outlineLevel="0" collapsed="false">
      <c r="A17" s="12" t="s">
        <v>743</v>
      </c>
      <c r="B17" s="65" t="n">
        <f aca="false">SUM(C17:N17)</f>
        <v>0</v>
      </c>
      <c r="C17" s="77" t="n">
        <f aca="false">'Revenue Streams'!C$36</f>
        <v>0</v>
      </c>
      <c r="D17" s="77" t="n">
        <f aca="false">'Revenue Streams'!D$36</f>
        <v>0</v>
      </c>
      <c r="E17" s="77" t="n">
        <f aca="false">'Revenue Streams'!E$36</f>
        <v>0</v>
      </c>
      <c r="F17" s="77" t="n">
        <f aca="false">'Revenue Streams'!F$36</f>
        <v>0</v>
      </c>
      <c r="G17" s="77" t="n">
        <f aca="false">'Revenue Streams'!G$36</f>
        <v>0</v>
      </c>
      <c r="H17" s="77" t="n">
        <f aca="false">'Revenue Streams'!H$36</f>
        <v>0</v>
      </c>
      <c r="I17" s="77" t="n">
        <f aca="false">'Revenue Streams'!I$36</f>
        <v>0</v>
      </c>
      <c r="J17" s="77" t="n">
        <f aca="false">'Revenue Streams'!J$36</f>
        <v>0</v>
      </c>
      <c r="K17" s="77" t="n">
        <f aca="false">'Revenue Streams'!K$36</f>
        <v>0</v>
      </c>
      <c r="L17" s="77" t="n">
        <f aca="false">'Revenue Streams'!L$36</f>
        <v>0</v>
      </c>
      <c r="M17" s="77" t="n">
        <f aca="false">'Revenue Streams'!M$36</f>
        <v>0</v>
      </c>
      <c r="N17" s="77" t="n">
        <f aca="false">'Revenue Streams'!N$36</f>
        <v>0</v>
      </c>
      <c r="O17" s="65" t="n">
        <f aca="false">SUM(P17:AA17)</f>
        <v>120000</v>
      </c>
      <c r="P17" s="77" t="n">
        <f aca="false">'Revenue Streams'!P$36</f>
        <v>0</v>
      </c>
      <c r="Q17" s="77" t="n">
        <f aca="false">'Revenue Streams'!Q$36</f>
        <v>0</v>
      </c>
      <c r="R17" s="77" t="n">
        <f aca="false">'Revenue Streams'!R$36</f>
        <v>0</v>
      </c>
      <c r="S17" s="77" t="n">
        <f aca="false">'Revenue Streams'!S$36</f>
        <v>8400</v>
      </c>
      <c r="T17" s="77" t="n">
        <f aca="false">'Revenue Streams'!T$36</f>
        <v>9900</v>
      </c>
      <c r="U17" s="77" t="n">
        <f aca="false">'Revenue Streams'!U$36</f>
        <v>11700</v>
      </c>
      <c r="V17" s="77" t="n">
        <f aca="false">'Revenue Streams'!V$36</f>
        <v>8400</v>
      </c>
      <c r="W17" s="77" t="n">
        <f aca="false">'Revenue Streams'!W$36</f>
        <v>9900</v>
      </c>
      <c r="X17" s="77" t="n">
        <f aca="false">'Revenue Streams'!X$36</f>
        <v>11700</v>
      </c>
      <c r="Y17" s="77" t="n">
        <f aca="false">'Revenue Streams'!Y$36</f>
        <v>16800</v>
      </c>
      <c r="Z17" s="77" t="n">
        <f aca="false">'Revenue Streams'!Z$36</f>
        <v>19800</v>
      </c>
      <c r="AA17" s="77" t="n">
        <f aca="false">'Revenue Streams'!AA$36</f>
        <v>23400</v>
      </c>
      <c r="AB17" s="65" t="n">
        <f aca="false">SUM(AC17:AN17)</f>
        <v>420000</v>
      </c>
      <c r="AC17" s="77" t="n">
        <f aca="false">'Revenue Streams'!AC$36</f>
        <v>19600</v>
      </c>
      <c r="AD17" s="77" t="n">
        <f aca="false">'Revenue Streams'!AD$36</f>
        <v>23100</v>
      </c>
      <c r="AE17" s="77" t="n">
        <f aca="false">'Revenue Streams'!AE$36</f>
        <v>27300</v>
      </c>
      <c r="AF17" s="77" t="n">
        <f aca="false">'Revenue Streams'!AF$36</f>
        <v>29400</v>
      </c>
      <c r="AG17" s="77" t="n">
        <f aca="false">'Revenue Streams'!AG$36</f>
        <v>34650</v>
      </c>
      <c r="AH17" s="77" t="n">
        <f aca="false">'Revenue Streams'!AH$36</f>
        <v>40950</v>
      </c>
      <c r="AI17" s="77" t="n">
        <f aca="false">'Revenue Streams'!AI$36</f>
        <v>29400</v>
      </c>
      <c r="AJ17" s="77" t="n">
        <f aca="false">'Revenue Streams'!AJ$36</f>
        <v>34650</v>
      </c>
      <c r="AK17" s="77" t="n">
        <f aca="false">'Revenue Streams'!AK$36</f>
        <v>40950</v>
      </c>
      <c r="AL17" s="77" t="n">
        <f aca="false">'Revenue Streams'!AL$36</f>
        <v>39200</v>
      </c>
      <c r="AM17" s="77" t="n">
        <f aca="false">'Revenue Streams'!AM$36</f>
        <v>46200</v>
      </c>
      <c r="AN17" s="77" t="n">
        <f aca="false">'Revenue Streams'!AN$36</f>
        <v>54600</v>
      </c>
      <c r="AO17" s="65" t="n">
        <f aca="false">SUM(AP17:BA17)</f>
        <v>760000</v>
      </c>
      <c r="AP17" s="77" t="n">
        <f aca="false">'Revenue Streams'!AP$36</f>
        <v>42560</v>
      </c>
      <c r="AQ17" s="77" t="n">
        <f aca="false">'Revenue Streams'!AQ$36</f>
        <v>50160</v>
      </c>
      <c r="AR17" s="77" t="n">
        <f aca="false">'Revenue Streams'!AR$36</f>
        <v>59280</v>
      </c>
      <c r="AS17" s="77" t="n">
        <f aca="false">'Revenue Streams'!AS$36</f>
        <v>53200</v>
      </c>
      <c r="AT17" s="77" t="n">
        <f aca="false">'Revenue Streams'!AT$36</f>
        <v>62700</v>
      </c>
      <c r="AU17" s="77" t="n">
        <f aca="false">'Revenue Streams'!AU$36</f>
        <v>74100</v>
      </c>
      <c r="AV17" s="77" t="n">
        <f aca="false">'Revenue Streams'!AV$36</f>
        <v>53200</v>
      </c>
      <c r="AW17" s="77" t="n">
        <f aca="false">'Revenue Streams'!AW$36</f>
        <v>62700</v>
      </c>
      <c r="AX17" s="77" t="n">
        <f aca="false">'Revenue Streams'!AX$36</f>
        <v>74100</v>
      </c>
      <c r="AY17" s="77" t="n">
        <f aca="false">'Revenue Streams'!AY$36</f>
        <v>63840</v>
      </c>
      <c r="AZ17" s="77" t="n">
        <f aca="false">'Revenue Streams'!AZ$36</f>
        <v>75240</v>
      </c>
      <c r="BA17" s="77" t="n">
        <f aca="false">'Revenue Streams'!BA$36</f>
        <v>88920</v>
      </c>
      <c r="BB17" s="65" t="n">
        <f aca="false">SUM(BC17:BN17)</f>
        <v>1120000</v>
      </c>
      <c r="BC17" s="77" t="n">
        <f aca="false">'Revenue Streams'!BC$36</f>
        <v>67200</v>
      </c>
      <c r="BD17" s="77" t="n">
        <f aca="false">'Revenue Streams'!BD$36</f>
        <v>79200</v>
      </c>
      <c r="BE17" s="77" t="n">
        <f aca="false">'Revenue Streams'!BE$36</f>
        <v>93600</v>
      </c>
      <c r="BF17" s="77" t="n">
        <f aca="false">'Revenue Streams'!BF$36</f>
        <v>78400</v>
      </c>
      <c r="BG17" s="77" t="n">
        <f aca="false">'Revenue Streams'!BG$36</f>
        <v>92400</v>
      </c>
      <c r="BH17" s="77" t="n">
        <f aca="false">'Revenue Streams'!BH$36</f>
        <v>109200</v>
      </c>
      <c r="BI17" s="77" t="n">
        <f aca="false">'Revenue Streams'!BI$36</f>
        <v>78400</v>
      </c>
      <c r="BJ17" s="77" t="n">
        <f aca="false">'Revenue Streams'!BJ$36</f>
        <v>92400</v>
      </c>
      <c r="BK17" s="77" t="n">
        <f aca="false">'Revenue Streams'!BK$36</f>
        <v>109200</v>
      </c>
      <c r="BL17" s="77" t="n">
        <f aca="false">'Revenue Streams'!BL$36</f>
        <v>89600</v>
      </c>
      <c r="BM17" s="77" t="n">
        <f aca="false">'Revenue Streams'!BM$36</f>
        <v>105600</v>
      </c>
      <c r="BN17" s="77" t="n">
        <f aca="false">'Revenue Streams'!BN$36</f>
        <v>124800</v>
      </c>
    </row>
    <row r="18" customFormat="false" ht="15" hidden="false" customHeight="false" outlineLevel="0" collapsed="false">
      <c r="A18" s="18" t="s">
        <v>744</v>
      </c>
      <c r="B18" s="65" t="n">
        <f aca="false">SUM(C18:N18)</f>
        <v>31000</v>
      </c>
      <c r="C18" s="78" t="n">
        <f aca="false">'Revenue Streams'!C$37+'Revenue Streams'!C$38+'Revenue Streams'!C$40</f>
        <v>0</v>
      </c>
      <c r="D18" s="78" t="n">
        <f aca="false">'Revenue Streams'!D$37+'Revenue Streams'!D$38+'Revenue Streams'!D$40</f>
        <v>0</v>
      </c>
      <c r="E18" s="78" t="n">
        <f aca="false">'Revenue Streams'!E$37+'Revenue Streams'!E$38+'Revenue Streams'!E$40</f>
        <v>0</v>
      </c>
      <c r="F18" s="78" t="n">
        <f aca="false">'Revenue Streams'!F$37+'Revenue Streams'!F$38+'Revenue Streams'!F$40</f>
        <v>0</v>
      </c>
      <c r="G18" s="78" t="n">
        <f aca="false">'Revenue Streams'!G$37+'Revenue Streams'!G$38+'Revenue Streams'!G$40</f>
        <v>0</v>
      </c>
      <c r="H18" s="78" t="n">
        <f aca="false">'Revenue Streams'!H$37+'Revenue Streams'!H$38+'Revenue Streams'!H$40</f>
        <v>0</v>
      </c>
      <c r="I18" s="78" t="n">
        <f aca="false">'Revenue Streams'!I$37+'Revenue Streams'!I$38+'Revenue Streams'!I$40</f>
        <v>0</v>
      </c>
      <c r="J18" s="78" t="n">
        <f aca="false">'Revenue Streams'!J$37+'Revenue Streams'!J$38+'Revenue Streams'!J$40</f>
        <v>0</v>
      </c>
      <c r="K18" s="78" t="n">
        <f aca="false">'Revenue Streams'!K$37+'Revenue Streams'!K$38+'Revenue Streams'!K$40</f>
        <v>0</v>
      </c>
      <c r="L18" s="78" t="n">
        <f aca="false">'Revenue Streams'!L$37+'Revenue Streams'!L$38+'Revenue Streams'!L$40</f>
        <v>8680</v>
      </c>
      <c r="M18" s="78" t="n">
        <f aca="false">'Revenue Streams'!M$37+'Revenue Streams'!M$38+'Revenue Streams'!M$40</f>
        <v>10230</v>
      </c>
      <c r="N18" s="78" t="n">
        <f aca="false">'Revenue Streams'!N$37+'Revenue Streams'!N$38+'Revenue Streams'!N$40</f>
        <v>12090</v>
      </c>
      <c r="O18" s="65" t="n">
        <f aca="false">SUM(P18:AA18)</f>
        <v>196000</v>
      </c>
      <c r="P18" s="78" t="n">
        <f aca="false">'Revenue Streams'!P$37+'Revenue Streams'!P$38+'Revenue Streams'!P$40</f>
        <v>11200</v>
      </c>
      <c r="Q18" s="78" t="n">
        <f aca="false">'Revenue Streams'!Q$37+'Revenue Streams'!Q$38+'Revenue Streams'!Q$40</f>
        <v>13200</v>
      </c>
      <c r="R18" s="78" t="n">
        <f aca="false">'Revenue Streams'!R$37+'Revenue Streams'!R$38+'Revenue Streams'!R$40</f>
        <v>15600</v>
      </c>
      <c r="S18" s="78" t="n">
        <f aca="false">'Revenue Streams'!S$37+'Revenue Streams'!S$38+'Revenue Streams'!S$40</f>
        <v>7280</v>
      </c>
      <c r="T18" s="78" t="n">
        <f aca="false">'Revenue Streams'!T$37+'Revenue Streams'!T$38+'Revenue Streams'!T$40</f>
        <v>8580</v>
      </c>
      <c r="U18" s="78" t="n">
        <f aca="false">'Revenue Streams'!U$37+'Revenue Streams'!U$38+'Revenue Streams'!U$40</f>
        <v>10140</v>
      </c>
      <c r="V18" s="78" t="n">
        <f aca="false">'Revenue Streams'!V$37+'Revenue Streams'!V$38+'Revenue Streams'!V$40</f>
        <v>11200</v>
      </c>
      <c r="W18" s="78" t="n">
        <f aca="false">'Revenue Streams'!W$37+'Revenue Streams'!W$38+'Revenue Streams'!W$40</f>
        <v>13200</v>
      </c>
      <c r="X18" s="78" t="n">
        <f aca="false">'Revenue Streams'!X$37+'Revenue Streams'!X$38+'Revenue Streams'!X$40</f>
        <v>15600</v>
      </c>
      <c r="Y18" s="78" t="n">
        <f aca="false">'Revenue Streams'!Y$37+'Revenue Streams'!Y$38+'Revenue Streams'!Y$40</f>
        <v>25200</v>
      </c>
      <c r="Z18" s="78" t="n">
        <f aca="false">'Revenue Streams'!Z$37+'Revenue Streams'!Z$38+'Revenue Streams'!Z$40</f>
        <v>29700</v>
      </c>
      <c r="AA18" s="78" t="n">
        <f aca="false">'Revenue Streams'!AA$37+'Revenue Streams'!AA$38+'Revenue Streams'!AA$40</f>
        <v>35100</v>
      </c>
      <c r="AB18" s="65" t="n">
        <f aca="false">SUM(AC18:AN18)</f>
        <v>630000</v>
      </c>
      <c r="AC18" s="78" t="n">
        <f aca="false">'Revenue Streams'!AC$37+'Revenue Streams'!AC$38+'Revenue Streams'!AC$40</f>
        <v>35000</v>
      </c>
      <c r="AD18" s="78" t="n">
        <f aca="false">'Revenue Streams'!AD$37+'Revenue Streams'!AD$38+'Revenue Streams'!AD$40</f>
        <v>41250</v>
      </c>
      <c r="AE18" s="78" t="n">
        <f aca="false">'Revenue Streams'!AE$37+'Revenue Streams'!AE$38+'Revenue Streams'!AE$40</f>
        <v>48750</v>
      </c>
      <c r="AF18" s="78" t="n">
        <f aca="false">'Revenue Streams'!AF$37+'Revenue Streams'!AF$38+'Revenue Streams'!AF$40</f>
        <v>35000</v>
      </c>
      <c r="AG18" s="78" t="n">
        <f aca="false">'Revenue Streams'!AG$37+'Revenue Streams'!AG$38+'Revenue Streams'!AG$40</f>
        <v>41250</v>
      </c>
      <c r="AH18" s="78" t="n">
        <f aca="false">'Revenue Streams'!AH$37+'Revenue Streams'!AH$38+'Revenue Streams'!AH$40</f>
        <v>48750</v>
      </c>
      <c r="AI18" s="78" t="n">
        <f aca="false">'Revenue Streams'!AI$37+'Revenue Streams'!AI$38+'Revenue Streams'!AI$40</f>
        <v>56000</v>
      </c>
      <c r="AJ18" s="78" t="n">
        <f aca="false">'Revenue Streams'!AJ$37+'Revenue Streams'!AJ$38+'Revenue Streams'!AJ$40</f>
        <v>66000</v>
      </c>
      <c r="AK18" s="78" t="n">
        <f aca="false">'Revenue Streams'!AK$37+'Revenue Streams'!AK$38+'Revenue Streams'!AK$40</f>
        <v>78000</v>
      </c>
      <c r="AL18" s="78" t="n">
        <f aca="false">'Revenue Streams'!AL$37+'Revenue Streams'!AL$38+'Revenue Streams'!AL$40</f>
        <v>50400</v>
      </c>
      <c r="AM18" s="78" t="n">
        <f aca="false">'Revenue Streams'!AM$37+'Revenue Streams'!AM$38+'Revenue Streams'!AM$40</f>
        <v>59400</v>
      </c>
      <c r="AN18" s="78" t="n">
        <f aca="false">'Revenue Streams'!AN$37+'Revenue Streams'!AN$38+'Revenue Streams'!AN$40</f>
        <v>70200</v>
      </c>
      <c r="AO18" s="65" t="n">
        <f aca="false">SUM(AP18:BA18)</f>
        <v>1246000</v>
      </c>
      <c r="AP18" s="78" t="n">
        <f aca="false">'Revenue Streams'!AP$37+'Revenue Streams'!AP$38+'Revenue Streams'!AP$40</f>
        <v>64960</v>
      </c>
      <c r="AQ18" s="78" t="n">
        <f aca="false">'Revenue Streams'!AQ$37+'Revenue Streams'!AQ$38+'Revenue Streams'!AQ$40</f>
        <v>76560</v>
      </c>
      <c r="AR18" s="78" t="n">
        <f aca="false">'Revenue Streams'!AR$37+'Revenue Streams'!AR$38+'Revenue Streams'!AR$40</f>
        <v>90480</v>
      </c>
      <c r="AS18" s="78" t="n">
        <f aca="false">'Revenue Streams'!AS$37+'Revenue Streams'!AS$38+'Revenue Streams'!AS$40</f>
        <v>89040</v>
      </c>
      <c r="AT18" s="78" t="n">
        <f aca="false">'Revenue Streams'!AT$37+'Revenue Streams'!AT$38+'Revenue Streams'!AT$40</f>
        <v>104940</v>
      </c>
      <c r="AU18" s="78" t="n">
        <f aca="false">'Revenue Streams'!AU$37+'Revenue Streams'!AU$38+'Revenue Streams'!AU$40</f>
        <v>124020</v>
      </c>
      <c r="AV18" s="78" t="n">
        <f aca="false">'Revenue Streams'!AV$37+'Revenue Streams'!AV$38+'Revenue Streams'!AV$40</f>
        <v>89040</v>
      </c>
      <c r="AW18" s="78" t="n">
        <f aca="false">'Revenue Streams'!AW$37+'Revenue Streams'!AW$38+'Revenue Streams'!AW$40</f>
        <v>104940</v>
      </c>
      <c r="AX18" s="78" t="n">
        <f aca="false">'Revenue Streams'!AX$37+'Revenue Streams'!AX$38+'Revenue Streams'!AX$40</f>
        <v>124020</v>
      </c>
      <c r="AY18" s="78" t="n">
        <f aca="false">'Revenue Streams'!AY$37+'Revenue Streams'!AY$38+'Revenue Streams'!AY$40</f>
        <v>105840</v>
      </c>
      <c r="AZ18" s="78" t="n">
        <f aca="false">'Revenue Streams'!AZ$37+'Revenue Streams'!AZ$38+'Revenue Streams'!AZ$40</f>
        <v>124740</v>
      </c>
      <c r="BA18" s="78" t="n">
        <f aca="false">'Revenue Streams'!BA$37+'Revenue Streams'!BA$38+'Revenue Streams'!BA$40</f>
        <v>147420</v>
      </c>
      <c r="BB18" s="65" t="n">
        <f aca="false">SUM(BC18:BN18)</f>
        <v>1948000</v>
      </c>
      <c r="BC18" s="78" t="n">
        <f aca="false">'Revenue Streams'!BC$37+'Revenue Streams'!BC$38+'Revenue Streams'!BC$40</f>
        <v>125160</v>
      </c>
      <c r="BD18" s="78" t="n">
        <f aca="false">'Revenue Streams'!BD$37+'Revenue Streams'!BD$38+'Revenue Streams'!BD$40</f>
        <v>147510</v>
      </c>
      <c r="BE18" s="78" t="n">
        <f aca="false">'Revenue Streams'!BE$37+'Revenue Streams'!BE$38+'Revenue Streams'!BE$40</f>
        <v>174330</v>
      </c>
      <c r="BF18" s="78" t="n">
        <f aca="false">'Revenue Streams'!BF$37+'Revenue Streams'!BF$38+'Revenue Streams'!BF$40</f>
        <v>125160</v>
      </c>
      <c r="BG18" s="78" t="n">
        <f aca="false">'Revenue Streams'!BG$37+'Revenue Streams'!BG$38+'Revenue Streams'!BG$40</f>
        <v>147510</v>
      </c>
      <c r="BH18" s="78" t="n">
        <f aca="false">'Revenue Streams'!BH$37+'Revenue Streams'!BH$38+'Revenue Streams'!BH$40</f>
        <v>174330</v>
      </c>
      <c r="BI18" s="78" t="n">
        <f aca="false">'Revenue Streams'!BI$37+'Revenue Streams'!BI$38+'Revenue Streams'!BI$40</f>
        <v>151760</v>
      </c>
      <c r="BJ18" s="78" t="n">
        <f aca="false">'Revenue Streams'!BJ$37+'Revenue Streams'!BJ$38+'Revenue Streams'!BJ$40</f>
        <v>178860</v>
      </c>
      <c r="BK18" s="78" t="n">
        <f aca="false">'Revenue Streams'!BK$37+'Revenue Streams'!BK$38+'Revenue Streams'!BK$40</f>
        <v>211380</v>
      </c>
      <c r="BL18" s="78" t="n">
        <f aca="false">'Revenue Streams'!BL$37+'Revenue Streams'!BL$38+'Revenue Streams'!BL$40</f>
        <v>143360</v>
      </c>
      <c r="BM18" s="78" t="n">
        <f aca="false">'Revenue Streams'!BM$37+'Revenue Streams'!BM$38+'Revenue Streams'!BM$40</f>
        <v>168960</v>
      </c>
      <c r="BN18" s="78" t="n">
        <f aca="false">'Revenue Streams'!BN$37+'Revenue Streams'!BN$38+'Revenue Streams'!BN$40</f>
        <v>199680</v>
      </c>
    </row>
    <row r="19" customFormat="false" ht="15" hidden="false" customHeight="false" outlineLevel="0" collapsed="false">
      <c r="A19" s="12" t="s">
        <v>745</v>
      </c>
      <c r="B19" s="65" t="n">
        <f aca="false">SUM(C19:N19)</f>
        <v>22000</v>
      </c>
      <c r="C19" s="77" t="n">
        <f aca="false">'Revenue Streams'!C$37</f>
        <v>0</v>
      </c>
      <c r="D19" s="77" t="n">
        <f aca="false">'Revenue Streams'!D$37</f>
        <v>0</v>
      </c>
      <c r="E19" s="77" t="n">
        <f aca="false">'Revenue Streams'!E$37</f>
        <v>0</v>
      </c>
      <c r="F19" s="77" t="n">
        <f aca="false">'Revenue Streams'!F$37</f>
        <v>0</v>
      </c>
      <c r="G19" s="77" t="n">
        <f aca="false">'Revenue Streams'!G$37</f>
        <v>0</v>
      </c>
      <c r="H19" s="77" t="n">
        <f aca="false">'Revenue Streams'!H$37</f>
        <v>0</v>
      </c>
      <c r="I19" s="77" t="n">
        <f aca="false">'Revenue Streams'!I$37</f>
        <v>0</v>
      </c>
      <c r="J19" s="77" t="n">
        <f aca="false">'Revenue Streams'!J$37</f>
        <v>0</v>
      </c>
      <c r="K19" s="77" t="n">
        <f aca="false">'Revenue Streams'!K$37</f>
        <v>0</v>
      </c>
      <c r="L19" s="77" t="n">
        <f aca="false">'Revenue Streams'!L$37</f>
        <v>6160</v>
      </c>
      <c r="M19" s="77" t="n">
        <f aca="false">'Revenue Streams'!M$37</f>
        <v>7260</v>
      </c>
      <c r="N19" s="77" t="n">
        <f aca="false">'Revenue Streams'!N$37</f>
        <v>8580</v>
      </c>
      <c r="O19" s="65" t="n">
        <f aca="false">SUM(P19:AA19)</f>
        <v>130000</v>
      </c>
      <c r="P19" s="77" t="n">
        <f aca="false">'Revenue Streams'!P$37</f>
        <v>7280</v>
      </c>
      <c r="Q19" s="77" t="n">
        <f aca="false">'Revenue Streams'!Q$37</f>
        <v>8580</v>
      </c>
      <c r="R19" s="77" t="n">
        <f aca="false">'Revenue Streams'!R$37</f>
        <v>10140</v>
      </c>
      <c r="S19" s="77" t="n">
        <f aca="false">'Revenue Streams'!S$37</f>
        <v>7280</v>
      </c>
      <c r="T19" s="77" t="n">
        <f aca="false">'Revenue Streams'!T$37</f>
        <v>8580</v>
      </c>
      <c r="U19" s="77" t="n">
        <f aca="false">'Revenue Streams'!U$37</f>
        <v>10140</v>
      </c>
      <c r="V19" s="77" t="n">
        <f aca="false">'Revenue Streams'!V$37</f>
        <v>7280</v>
      </c>
      <c r="W19" s="77" t="n">
        <f aca="false">'Revenue Streams'!W$37</f>
        <v>8580</v>
      </c>
      <c r="X19" s="77" t="n">
        <f aca="false">'Revenue Streams'!X$37</f>
        <v>10140</v>
      </c>
      <c r="Y19" s="77" t="n">
        <f aca="false">'Revenue Streams'!Y$37</f>
        <v>14560</v>
      </c>
      <c r="Z19" s="77" t="n">
        <f aca="false">'Revenue Streams'!Z$37</f>
        <v>17160</v>
      </c>
      <c r="AA19" s="77" t="n">
        <f aca="false">'Revenue Streams'!AA$37</f>
        <v>20280</v>
      </c>
      <c r="AB19" s="65" t="n">
        <f aca="false">SUM(AC19:AN19)</f>
        <v>300000</v>
      </c>
      <c r="AC19" s="77" t="n">
        <f aca="false">'Revenue Streams'!AC$37</f>
        <v>16800</v>
      </c>
      <c r="AD19" s="77" t="n">
        <f aca="false">'Revenue Streams'!AD$37</f>
        <v>19800</v>
      </c>
      <c r="AE19" s="77" t="n">
        <f aca="false">'Revenue Streams'!AE$37</f>
        <v>23400</v>
      </c>
      <c r="AF19" s="77" t="n">
        <f aca="false">'Revenue Streams'!AF$37</f>
        <v>16800</v>
      </c>
      <c r="AG19" s="77" t="n">
        <f aca="false">'Revenue Streams'!AG$37</f>
        <v>19800</v>
      </c>
      <c r="AH19" s="77" t="n">
        <f aca="false">'Revenue Streams'!AH$37</f>
        <v>23400</v>
      </c>
      <c r="AI19" s="77" t="n">
        <f aca="false">'Revenue Streams'!AI$37</f>
        <v>25200</v>
      </c>
      <c r="AJ19" s="77" t="n">
        <f aca="false">'Revenue Streams'!AJ$37</f>
        <v>29700</v>
      </c>
      <c r="AK19" s="77" t="n">
        <f aca="false">'Revenue Streams'!AK$37</f>
        <v>35100</v>
      </c>
      <c r="AL19" s="77" t="n">
        <f aca="false">'Revenue Streams'!AL$37</f>
        <v>25200</v>
      </c>
      <c r="AM19" s="77" t="n">
        <f aca="false">'Revenue Streams'!AM$37</f>
        <v>29700</v>
      </c>
      <c r="AN19" s="77" t="n">
        <f aca="false">'Revenue Streams'!AN$37</f>
        <v>35100</v>
      </c>
      <c r="AO19" s="65" t="n">
        <f aca="false">SUM(AP19:BA19)</f>
        <v>544000</v>
      </c>
      <c r="AP19" s="77" t="n">
        <f aca="false">'Revenue Streams'!AP$37</f>
        <v>28560</v>
      </c>
      <c r="AQ19" s="77" t="n">
        <f aca="false">'Revenue Streams'!AQ$37</f>
        <v>33660</v>
      </c>
      <c r="AR19" s="77" t="n">
        <f aca="false">'Revenue Streams'!AR$37</f>
        <v>39780</v>
      </c>
      <c r="AS19" s="77" t="n">
        <f aca="false">'Revenue Streams'!AS$37</f>
        <v>38080</v>
      </c>
      <c r="AT19" s="77" t="n">
        <f aca="false">'Revenue Streams'!AT$37</f>
        <v>44880</v>
      </c>
      <c r="AU19" s="77" t="n">
        <f aca="false">'Revenue Streams'!AU$37</f>
        <v>53040</v>
      </c>
      <c r="AV19" s="77" t="n">
        <f aca="false">'Revenue Streams'!AV$37</f>
        <v>38080</v>
      </c>
      <c r="AW19" s="77" t="n">
        <f aca="false">'Revenue Streams'!AW$37</f>
        <v>44880</v>
      </c>
      <c r="AX19" s="77" t="n">
        <f aca="false">'Revenue Streams'!AX$37</f>
        <v>53040</v>
      </c>
      <c r="AY19" s="77" t="n">
        <f aca="false">'Revenue Streams'!AY$37</f>
        <v>47600</v>
      </c>
      <c r="AZ19" s="77" t="n">
        <f aca="false">'Revenue Streams'!AZ$37</f>
        <v>56100</v>
      </c>
      <c r="BA19" s="77" t="n">
        <f aca="false">'Revenue Streams'!BA$37</f>
        <v>66300</v>
      </c>
      <c r="BB19" s="65" t="n">
        <f aca="false">SUM(BC19:BN19)</f>
        <v>814000</v>
      </c>
      <c r="BC19" s="77" t="n">
        <f aca="false">'Revenue Streams'!BC$37</f>
        <v>51800</v>
      </c>
      <c r="BD19" s="77" t="n">
        <f aca="false">'Revenue Streams'!BD$37</f>
        <v>61050</v>
      </c>
      <c r="BE19" s="77" t="n">
        <f aca="false">'Revenue Streams'!BE$37</f>
        <v>72150</v>
      </c>
      <c r="BF19" s="77" t="n">
        <f aca="false">'Revenue Streams'!BF$37</f>
        <v>51800</v>
      </c>
      <c r="BG19" s="77" t="n">
        <f aca="false">'Revenue Streams'!BG$37</f>
        <v>61050</v>
      </c>
      <c r="BH19" s="77" t="n">
        <f aca="false">'Revenue Streams'!BH$37</f>
        <v>72150</v>
      </c>
      <c r="BI19" s="77" t="n">
        <f aca="false">'Revenue Streams'!BI$37</f>
        <v>62160</v>
      </c>
      <c r="BJ19" s="77" t="n">
        <f aca="false">'Revenue Streams'!BJ$37</f>
        <v>73260</v>
      </c>
      <c r="BK19" s="77" t="n">
        <f aca="false">'Revenue Streams'!BK$37</f>
        <v>86580</v>
      </c>
      <c r="BL19" s="77" t="n">
        <f aca="false">'Revenue Streams'!BL$37</f>
        <v>62160</v>
      </c>
      <c r="BM19" s="77" t="n">
        <f aca="false">'Revenue Streams'!BM$37</f>
        <v>73260</v>
      </c>
      <c r="BN19" s="77" t="n">
        <f aca="false">'Revenue Streams'!BN$37</f>
        <v>86580</v>
      </c>
    </row>
    <row r="20" customFormat="false" ht="15" hidden="false" customHeight="false" outlineLevel="0" collapsed="false">
      <c r="A20" s="12" t="s">
        <v>746</v>
      </c>
      <c r="B20" s="65" t="n">
        <f aca="false">SUM(C20:N20)</f>
        <v>0</v>
      </c>
      <c r="C20" s="77" t="n">
        <f aca="false">'Revenue Streams'!C$38</f>
        <v>0</v>
      </c>
      <c r="D20" s="77" t="n">
        <f aca="false">'Revenue Streams'!D$38</f>
        <v>0</v>
      </c>
      <c r="E20" s="77" t="n">
        <f aca="false">'Revenue Streams'!E$38</f>
        <v>0</v>
      </c>
      <c r="F20" s="77" t="n">
        <f aca="false">'Revenue Streams'!F$38</f>
        <v>0</v>
      </c>
      <c r="G20" s="77" t="n">
        <f aca="false">'Revenue Streams'!G$38</f>
        <v>0</v>
      </c>
      <c r="H20" s="77" t="n">
        <f aca="false">'Revenue Streams'!H$38</f>
        <v>0</v>
      </c>
      <c r="I20" s="77" t="n">
        <f aca="false">'Revenue Streams'!I$38</f>
        <v>0</v>
      </c>
      <c r="J20" s="77" t="n">
        <f aca="false">'Revenue Streams'!J$38</f>
        <v>0</v>
      </c>
      <c r="K20" s="77" t="n">
        <f aca="false">'Revenue Streams'!K$38</f>
        <v>0</v>
      </c>
      <c r="L20" s="77" t="n">
        <f aca="false">'Revenue Streams'!L$38</f>
        <v>0</v>
      </c>
      <c r="M20" s="77" t="n">
        <f aca="false">'Revenue Streams'!M$38</f>
        <v>0</v>
      </c>
      <c r="N20" s="77" t="n">
        <f aca="false">'Revenue Streams'!N$38</f>
        <v>0</v>
      </c>
      <c r="O20" s="65" t="n">
        <f aca="false">SUM(P20:AA20)</f>
        <v>38000</v>
      </c>
      <c r="P20" s="77" t="n">
        <f aca="false">'Revenue Streams'!P$38</f>
        <v>0</v>
      </c>
      <c r="Q20" s="77" t="n">
        <f aca="false">'Revenue Streams'!Q$38</f>
        <v>0</v>
      </c>
      <c r="R20" s="77" t="n">
        <f aca="false">'Revenue Streams'!R$38</f>
        <v>0</v>
      </c>
      <c r="S20" s="77" t="n">
        <f aca="false">'Revenue Streams'!S$38</f>
        <v>0</v>
      </c>
      <c r="T20" s="77" t="n">
        <f aca="false">'Revenue Streams'!T$38</f>
        <v>0</v>
      </c>
      <c r="U20" s="77" t="n">
        <f aca="false">'Revenue Streams'!U$38</f>
        <v>0</v>
      </c>
      <c r="V20" s="77" t="n">
        <f aca="false">'Revenue Streams'!V$38</f>
        <v>0</v>
      </c>
      <c r="W20" s="77" t="n">
        <f aca="false">'Revenue Streams'!W$38</f>
        <v>0</v>
      </c>
      <c r="X20" s="77" t="n">
        <f aca="false">'Revenue Streams'!X$38</f>
        <v>0</v>
      </c>
      <c r="Y20" s="77" t="n">
        <f aca="false">'Revenue Streams'!Y$38</f>
        <v>10640</v>
      </c>
      <c r="Z20" s="77" t="n">
        <f aca="false">'Revenue Streams'!Z$38</f>
        <v>12540</v>
      </c>
      <c r="AA20" s="77" t="n">
        <f aca="false">'Revenue Streams'!AA$38</f>
        <v>14820</v>
      </c>
      <c r="AB20" s="65" t="n">
        <f aca="false">SUM(AC20:AN20)</f>
        <v>270000</v>
      </c>
      <c r="AC20" s="77" t="n">
        <f aca="false">'Revenue Streams'!AC$38</f>
        <v>12600</v>
      </c>
      <c r="AD20" s="77" t="n">
        <f aca="false">'Revenue Streams'!AD$38</f>
        <v>14850</v>
      </c>
      <c r="AE20" s="77" t="n">
        <f aca="false">'Revenue Streams'!AE$38</f>
        <v>17550</v>
      </c>
      <c r="AF20" s="77" t="n">
        <f aca="false">'Revenue Streams'!AF$38</f>
        <v>12600</v>
      </c>
      <c r="AG20" s="77" t="n">
        <f aca="false">'Revenue Streams'!AG$38</f>
        <v>14850</v>
      </c>
      <c r="AH20" s="77" t="n">
        <f aca="false">'Revenue Streams'!AH$38</f>
        <v>17550</v>
      </c>
      <c r="AI20" s="77" t="n">
        <f aca="false">'Revenue Streams'!AI$38</f>
        <v>25200</v>
      </c>
      <c r="AJ20" s="77" t="n">
        <f aca="false">'Revenue Streams'!AJ$38</f>
        <v>29700</v>
      </c>
      <c r="AK20" s="77" t="n">
        <f aca="false">'Revenue Streams'!AK$38</f>
        <v>35100</v>
      </c>
      <c r="AL20" s="77" t="n">
        <f aca="false">'Revenue Streams'!AL$38</f>
        <v>25200</v>
      </c>
      <c r="AM20" s="77" t="n">
        <f aca="false">'Revenue Streams'!AM$38</f>
        <v>29700</v>
      </c>
      <c r="AN20" s="77" t="n">
        <f aca="false">'Revenue Streams'!AN$38</f>
        <v>35100</v>
      </c>
      <c r="AO20" s="65" t="n">
        <f aca="false">SUM(AP20:BA20)</f>
        <v>624000</v>
      </c>
      <c r="AP20" s="77" t="n">
        <f aca="false">'Revenue Streams'!AP$38</f>
        <v>29120</v>
      </c>
      <c r="AQ20" s="77" t="n">
        <f aca="false">'Revenue Streams'!AQ$38</f>
        <v>34320</v>
      </c>
      <c r="AR20" s="77" t="n">
        <f aca="false">'Revenue Streams'!AR$38</f>
        <v>40560</v>
      </c>
      <c r="AS20" s="77" t="n">
        <f aca="false">'Revenue Streams'!AS$38</f>
        <v>43680</v>
      </c>
      <c r="AT20" s="77" t="n">
        <f aca="false">'Revenue Streams'!AT$38</f>
        <v>51480</v>
      </c>
      <c r="AU20" s="77" t="n">
        <f aca="false">'Revenue Streams'!AU$38</f>
        <v>60840</v>
      </c>
      <c r="AV20" s="77" t="n">
        <f aca="false">'Revenue Streams'!AV$38</f>
        <v>43680</v>
      </c>
      <c r="AW20" s="77" t="n">
        <f aca="false">'Revenue Streams'!AW$38</f>
        <v>51480</v>
      </c>
      <c r="AX20" s="77" t="n">
        <f aca="false">'Revenue Streams'!AX$38</f>
        <v>60840</v>
      </c>
      <c r="AY20" s="77" t="n">
        <f aca="false">'Revenue Streams'!AY$38</f>
        <v>58240</v>
      </c>
      <c r="AZ20" s="77" t="n">
        <f aca="false">'Revenue Streams'!AZ$38</f>
        <v>68640</v>
      </c>
      <c r="BA20" s="77" t="n">
        <f aca="false">'Revenue Streams'!BA$38</f>
        <v>81120</v>
      </c>
      <c r="BB20" s="65" t="n">
        <f aca="false">SUM(BC20:BN20)</f>
        <v>1044000</v>
      </c>
      <c r="BC20" s="77" t="n">
        <f aca="false">'Revenue Streams'!BC$38</f>
        <v>64960</v>
      </c>
      <c r="BD20" s="77" t="n">
        <f aca="false">'Revenue Streams'!BD$38</f>
        <v>76560</v>
      </c>
      <c r="BE20" s="77" t="n">
        <f aca="false">'Revenue Streams'!BE$38</f>
        <v>90480</v>
      </c>
      <c r="BF20" s="77" t="n">
        <f aca="false">'Revenue Streams'!BF$38</f>
        <v>64960</v>
      </c>
      <c r="BG20" s="77" t="n">
        <f aca="false">'Revenue Streams'!BG$38</f>
        <v>76560</v>
      </c>
      <c r="BH20" s="77" t="n">
        <f aca="false">'Revenue Streams'!BH$38</f>
        <v>90480</v>
      </c>
      <c r="BI20" s="77" t="n">
        <f aca="false">'Revenue Streams'!BI$38</f>
        <v>81200</v>
      </c>
      <c r="BJ20" s="77" t="n">
        <f aca="false">'Revenue Streams'!BJ$38</f>
        <v>95700</v>
      </c>
      <c r="BK20" s="77" t="n">
        <f aca="false">'Revenue Streams'!BK$38</f>
        <v>113100</v>
      </c>
      <c r="BL20" s="77" t="n">
        <f aca="false">'Revenue Streams'!BL$38</f>
        <v>81200</v>
      </c>
      <c r="BM20" s="77" t="n">
        <f aca="false">'Revenue Streams'!BM$38</f>
        <v>95700</v>
      </c>
      <c r="BN20" s="77" t="n">
        <f aca="false">'Revenue Streams'!BN$38</f>
        <v>113100</v>
      </c>
    </row>
    <row r="21" customFormat="false" ht="15" hidden="false" customHeight="false" outlineLevel="0" collapsed="false">
      <c r="A21" s="12" t="s">
        <v>747</v>
      </c>
      <c r="B21" s="65" t="n">
        <f aca="false">SUM(C21:N21)</f>
        <v>9000</v>
      </c>
      <c r="C21" s="77" t="n">
        <f aca="false">'Revenue Streams'!C$40</f>
        <v>0</v>
      </c>
      <c r="D21" s="77" t="n">
        <f aca="false">'Revenue Streams'!D$40</f>
        <v>0</v>
      </c>
      <c r="E21" s="77" t="n">
        <f aca="false">'Revenue Streams'!E$40</f>
        <v>0</v>
      </c>
      <c r="F21" s="77" t="n">
        <f aca="false">'Revenue Streams'!F$40</f>
        <v>0</v>
      </c>
      <c r="G21" s="77" t="n">
        <f aca="false">'Revenue Streams'!G$40</f>
        <v>0</v>
      </c>
      <c r="H21" s="77" t="n">
        <f aca="false">'Revenue Streams'!H$40</f>
        <v>0</v>
      </c>
      <c r="I21" s="77" t="n">
        <f aca="false">'Revenue Streams'!I$40</f>
        <v>0</v>
      </c>
      <c r="J21" s="77" t="n">
        <f aca="false">'Revenue Streams'!J$40</f>
        <v>0</v>
      </c>
      <c r="K21" s="77" t="n">
        <f aca="false">'Revenue Streams'!K$40</f>
        <v>0</v>
      </c>
      <c r="L21" s="77" t="n">
        <f aca="false">'Revenue Streams'!L$40</f>
        <v>2520</v>
      </c>
      <c r="M21" s="77" t="n">
        <f aca="false">'Revenue Streams'!M$40</f>
        <v>2970</v>
      </c>
      <c r="N21" s="77" t="n">
        <f aca="false">'Revenue Streams'!N$40</f>
        <v>3510</v>
      </c>
      <c r="O21" s="65" t="n">
        <f aca="false">SUM(P21:AA21)</f>
        <v>28000</v>
      </c>
      <c r="P21" s="77" t="n">
        <f aca="false">'Revenue Streams'!P$40</f>
        <v>3920</v>
      </c>
      <c r="Q21" s="77" t="n">
        <f aca="false">'Revenue Streams'!Q$40</f>
        <v>4620</v>
      </c>
      <c r="R21" s="77" t="n">
        <f aca="false">'Revenue Streams'!R$40</f>
        <v>5460</v>
      </c>
      <c r="S21" s="77" t="n">
        <f aca="false">'Revenue Streams'!S$40</f>
        <v>0</v>
      </c>
      <c r="T21" s="77" t="n">
        <f aca="false">'Revenue Streams'!T$40</f>
        <v>0</v>
      </c>
      <c r="U21" s="77" t="n">
        <f aca="false">'Revenue Streams'!U$40</f>
        <v>0</v>
      </c>
      <c r="V21" s="77" t="n">
        <f aca="false">'Revenue Streams'!V$40</f>
        <v>3920</v>
      </c>
      <c r="W21" s="77" t="n">
        <f aca="false">'Revenue Streams'!W$40</f>
        <v>4620</v>
      </c>
      <c r="X21" s="77" t="n">
        <f aca="false">'Revenue Streams'!X$40</f>
        <v>5460</v>
      </c>
      <c r="Y21" s="77" t="n">
        <f aca="false">'Revenue Streams'!Y$40</f>
        <v>0</v>
      </c>
      <c r="Z21" s="77" t="n">
        <f aca="false">'Revenue Streams'!Z$40</f>
        <v>0</v>
      </c>
      <c r="AA21" s="77" t="n">
        <f aca="false">'Revenue Streams'!AA$40</f>
        <v>0</v>
      </c>
      <c r="AB21" s="65" t="n">
        <f aca="false">SUM(AC21:AN21)</f>
        <v>60000</v>
      </c>
      <c r="AC21" s="77" t="n">
        <f aca="false">'Revenue Streams'!AC$40</f>
        <v>5600</v>
      </c>
      <c r="AD21" s="77" t="n">
        <f aca="false">'Revenue Streams'!AD$40</f>
        <v>6600</v>
      </c>
      <c r="AE21" s="77" t="n">
        <f aca="false">'Revenue Streams'!AE$40</f>
        <v>7800</v>
      </c>
      <c r="AF21" s="77" t="n">
        <f aca="false">'Revenue Streams'!AF$40</f>
        <v>5600</v>
      </c>
      <c r="AG21" s="77" t="n">
        <f aca="false">'Revenue Streams'!AG$40</f>
        <v>6600</v>
      </c>
      <c r="AH21" s="77" t="n">
        <f aca="false">'Revenue Streams'!AH$40</f>
        <v>7800</v>
      </c>
      <c r="AI21" s="77" t="n">
        <f aca="false">'Revenue Streams'!AI$40</f>
        <v>5600</v>
      </c>
      <c r="AJ21" s="77" t="n">
        <f aca="false">'Revenue Streams'!AJ$40</f>
        <v>6600</v>
      </c>
      <c r="AK21" s="77" t="n">
        <f aca="false">'Revenue Streams'!AK$40</f>
        <v>7800</v>
      </c>
      <c r="AL21" s="77" t="n">
        <f aca="false">'Revenue Streams'!AL$40</f>
        <v>0</v>
      </c>
      <c r="AM21" s="77" t="n">
        <f aca="false">'Revenue Streams'!AM$40</f>
        <v>0</v>
      </c>
      <c r="AN21" s="77" t="n">
        <f aca="false">'Revenue Streams'!AN$40</f>
        <v>0</v>
      </c>
      <c r="AO21" s="65" t="n">
        <f aca="false">SUM(AP21:BA21)</f>
        <v>78000</v>
      </c>
      <c r="AP21" s="77" t="n">
        <f aca="false">'Revenue Streams'!AP$40</f>
        <v>7280</v>
      </c>
      <c r="AQ21" s="77" t="n">
        <f aca="false">'Revenue Streams'!AQ$40</f>
        <v>8580</v>
      </c>
      <c r="AR21" s="77" t="n">
        <f aca="false">'Revenue Streams'!AR$40</f>
        <v>10140</v>
      </c>
      <c r="AS21" s="77" t="n">
        <f aca="false">'Revenue Streams'!AS$40</f>
        <v>7280</v>
      </c>
      <c r="AT21" s="77" t="n">
        <f aca="false">'Revenue Streams'!AT$40</f>
        <v>8580</v>
      </c>
      <c r="AU21" s="77" t="n">
        <f aca="false">'Revenue Streams'!AU$40</f>
        <v>10140</v>
      </c>
      <c r="AV21" s="77" t="n">
        <f aca="false">'Revenue Streams'!AV$40</f>
        <v>7280</v>
      </c>
      <c r="AW21" s="77" t="n">
        <f aca="false">'Revenue Streams'!AW$40</f>
        <v>8580</v>
      </c>
      <c r="AX21" s="77" t="n">
        <f aca="false">'Revenue Streams'!AX$40</f>
        <v>10140</v>
      </c>
      <c r="AY21" s="77" t="n">
        <f aca="false">'Revenue Streams'!AY$40</f>
        <v>0</v>
      </c>
      <c r="AZ21" s="77" t="n">
        <f aca="false">'Revenue Streams'!AZ$40</f>
        <v>0</v>
      </c>
      <c r="BA21" s="77" t="n">
        <f aca="false">'Revenue Streams'!BA$40</f>
        <v>0</v>
      </c>
      <c r="BB21" s="65" t="n">
        <f aca="false">SUM(BC21:BN21)</f>
        <v>90000</v>
      </c>
      <c r="BC21" s="77" t="n">
        <f aca="false">'Revenue Streams'!BC$40</f>
        <v>8400</v>
      </c>
      <c r="BD21" s="77" t="n">
        <f aca="false">'Revenue Streams'!BD$40</f>
        <v>9900</v>
      </c>
      <c r="BE21" s="77" t="n">
        <f aca="false">'Revenue Streams'!BE$40</f>
        <v>11700</v>
      </c>
      <c r="BF21" s="77" t="n">
        <f aca="false">'Revenue Streams'!BF$40</f>
        <v>8400</v>
      </c>
      <c r="BG21" s="77" t="n">
        <f aca="false">'Revenue Streams'!BG$40</f>
        <v>9900</v>
      </c>
      <c r="BH21" s="77" t="n">
        <f aca="false">'Revenue Streams'!BH$40</f>
        <v>11700</v>
      </c>
      <c r="BI21" s="77" t="n">
        <f aca="false">'Revenue Streams'!BI$40</f>
        <v>8400</v>
      </c>
      <c r="BJ21" s="77" t="n">
        <f aca="false">'Revenue Streams'!BJ$40</f>
        <v>9900</v>
      </c>
      <c r="BK21" s="77" t="n">
        <f aca="false">'Revenue Streams'!BK$40</f>
        <v>11700</v>
      </c>
      <c r="BL21" s="77" t="n">
        <f aca="false">'Revenue Streams'!BL$40</f>
        <v>0</v>
      </c>
      <c r="BM21" s="77" t="n">
        <f aca="false">'Revenue Streams'!BM$40</f>
        <v>0</v>
      </c>
      <c r="BN21" s="77" t="n">
        <f aca="false">'Revenue Streams'!BN$40</f>
        <v>0</v>
      </c>
    </row>
    <row r="22" customFormat="false" ht="15" hidden="false" customHeight="false" outlineLevel="0" collapsed="false">
      <c r="A22" s="18" t="s">
        <v>748</v>
      </c>
      <c r="B22" s="65" t="n">
        <f aca="false">SUM(C22:N22)</f>
        <v>6452.20350340909</v>
      </c>
      <c r="C22" s="78" t="n">
        <f aca="false">'Revenue Streams'!C$49</f>
        <v>105.021384659091</v>
      </c>
      <c r="D22" s="78" t="n">
        <f aca="false">'Revenue Streams'!D$49</f>
        <v>223.799019318182</v>
      </c>
      <c r="E22" s="78" t="n">
        <f aca="false">'Revenue Streams'!E$49</f>
        <v>359.084153977273</v>
      </c>
      <c r="F22" s="78" t="n">
        <f aca="false">'Revenue Streams'!F$49</f>
        <v>400.489538636364</v>
      </c>
      <c r="G22" s="78" t="n">
        <f aca="false">'Revenue Streams'!G$49</f>
        <v>444.291173295455</v>
      </c>
      <c r="H22" s="78" t="n">
        <f aca="false">'Revenue Streams'!H$49</f>
        <v>490.968307954546</v>
      </c>
      <c r="I22" s="78" t="n">
        <f aca="false">'Revenue Streams'!I$49</f>
        <v>534.858692613636</v>
      </c>
      <c r="J22" s="78" t="n">
        <f aca="false">'Revenue Streams'!J$49</f>
        <v>581.589077272727</v>
      </c>
      <c r="K22" s="78" t="n">
        <f aca="false">'Revenue Streams'!K$49</f>
        <v>631.727461931818</v>
      </c>
      <c r="L22" s="78" t="n">
        <f aca="false">'Revenue Streams'!L$49</f>
        <v>751.161846590909</v>
      </c>
      <c r="M22" s="78" t="n">
        <f aca="false">'Revenue Streams'!M$49</f>
        <v>886.92623125</v>
      </c>
      <c r="N22" s="78" t="n">
        <f aca="false">'Revenue Streams'!N$49</f>
        <v>1042.28661590909</v>
      </c>
      <c r="O22" s="65" t="n">
        <f aca="false">SUM(P22:AA22)</f>
        <v>40601.5543132576</v>
      </c>
      <c r="P22" s="78" t="n">
        <f aca="false">'Revenue Streams'!P$49</f>
        <v>1252.94749311869</v>
      </c>
      <c r="Q22" s="78" t="n">
        <f aca="false">'Revenue Streams'!Q$49</f>
        <v>1471.80295366162</v>
      </c>
      <c r="R22" s="78" t="n">
        <f aca="false">'Revenue Streams'!R$49</f>
        <v>1700.49191420455</v>
      </c>
      <c r="S22" s="78" t="n">
        <f aca="false">'Revenue Streams'!S$49</f>
        <v>2011.87812474748</v>
      </c>
      <c r="T22" s="78" t="n">
        <f aca="false">'Revenue Streams'!T$49</f>
        <v>2349.4455852904</v>
      </c>
      <c r="U22" s="78" t="n">
        <f aca="false">'Revenue Streams'!U$49</f>
        <v>2718.43054583333</v>
      </c>
      <c r="V22" s="78" t="n">
        <f aca="false">'Revenue Streams'!V$49</f>
        <v>3222.15575637626</v>
      </c>
      <c r="W22" s="78" t="n">
        <f aca="false">'Revenue Streams'!W$49</f>
        <v>3786.40846691919</v>
      </c>
      <c r="X22" s="78" t="n">
        <f aca="false">'Revenue Streams'!X$49</f>
        <v>4423.29417746212</v>
      </c>
      <c r="Y22" s="78" t="n">
        <f aca="false">'Revenue Streams'!Y$49</f>
        <v>5092.68605467172</v>
      </c>
      <c r="Z22" s="78" t="n">
        <f aca="false">'Revenue Streams'!Z$49</f>
        <v>5852.18876521465</v>
      </c>
      <c r="AA22" s="78" t="n">
        <f aca="false">'Revenue Streams'!AA$49</f>
        <v>6719.82447575758</v>
      </c>
      <c r="AB22" s="65" t="n">
        <f aca="false">SUM(AC22:AN22)</f>
        <v>203036.967621515</v>
      </c>
      <c r="AC22" s="78" t="n">
        <f aca="false">'Revenue Streams'!AC$49</f>
        <v>7895.60870540404</v>
      </c>
      <c r="AD22" s="78" t="n">
        <f aca="false">'Revenue Streams'!AD$49</f>
        <v>9214.39876838384</v>
      </c>
      <c r="AE22" s="78" t="n">
        <f aca="false">'Revenue Streams'!AE$49</f>
        <v>10704.7958313636</v>
      </c>
      <c r="AF22" s="78" t="n">
        <f aca="false">'Revenue Streams'!AF$49</f>
        <v>12159.5627276768</v>
      </c>
      <c r="AG22" s="78" t="n">
        <f aca="false">'Revenue Streams'!AG$49</f>
        <v>13807.1537906566</v>
      </c>
      <c r="AH22" s="78" t="n">
        <f aca="false">'Revenue Streams'!AH$49</f>
        <v>15686.1338536364</v>
      </c>
      <c r="AI22" s="78" t="n">
        <f aca="false">'Revenue Streams'!AI$49</f>
        <v>17344.3394166162</v>
      </c>
      <c r="AJ22" s="78" t="n">
        <f aca="false">'Revenue Streams'!AJ$49</f>
        <v>19231.697479596</v>
      </c>
      <c r="AK22" s="78" t="n">
        <f aca="false">'Revenue Streams'!AK$49</f>
        <v>21394.0385425758</v>
      </c>
      <c r="AL22" s="78" t="n">
        <f aca="false">'Revenue Streams'!AL$49</f>
        <v>23127.1254388889</v>
      </c>
      <c r="AM22" s="78" t="n">
        <f aca="false">'Revenue Streams'!AM$49</f>
        <v>25102.7365018687</v>
      </c>
      <c r="AN22" s="78" t="n">
        <f aca="false">'Revenue Streams'!AN$49</f>
        <v>27369.3765648485</v>
      </c>
      <c r="AO22" s="65" t="n">
        <f aca="false">SUM(AP22:BA22)</f>
        <v>555175.796497273</v>
      </c>
      <c r="AP22" s="78" t="n">
        <f aca="false">'Revenue Streams'!AP$49</f>
        <v>29718.2383356061</v>
      </c>
      <c r="AQ22" s="78" t="n">
        <f aca="false">'Revenue Streams'!AQ$49</f>
        <v>32397.9482730303</v>
      </c>
      <c r="AR22" s="78" t="n">
        <f aca="false">'Revenue Streams'!AR$49</f>
        <v>35474.6760104546</v>
      </c>
      <c r="AS22" s="78" t="n">
        <f aca="false">'Revenue Streams'!AS$49</f>
        <v>38112.4604478788</v>
      </c>
      <c r="AT22" s="78" t="n">
        <f aca="false">'Revenue Streams'!AT$49</f>
        <v>41132.686385303</v>
      </c>
      <c r="AU22" s="78" t="n">
        <f aca="false">'Revenue Streams'!AU$49</f>
        <v>44611.8421227273</v>
      </c>
      <c r="AV22" s="78" t="n">
        <f aca="false">'Revenue Streams'!AV$49</f>
        <v>47325.1705601515</v>
      </c>
      <c r="AW22" s="78" t="n">
        <f aca="false">'Revenue Streams'!AW$49</f>
        <v>50434.4304975758</v>
      </c>
      <c r="AX22" s="78" t="n">
        <f aca="false">'Revenue Streams'!AX$49</f>
        <v>54018.808235</v>
      </c>
      <c r="AY22" s="78" t="n">
        <f aca="false">'Revenue Streams'!AY$49</f>
        <v>57021.0593390909</v>
      </c>
      <c r="AZ22" s="78" t="n">
        <f aca="false">'Revenue Streams'!AZ$49</f>
        <v>60470.8352765152</v>
      </c>
      <c r="BA22" s="78" t="n">
        <f aca="false">'Revenue Streams'!BA$49</f>
        <v>64457.6410139394</v>
      </c>
      <c r="BB22" s="65" t="n">
        <f aca="false">SUM(BC22:BN22)</f>
        <v>1058087.92518639</v>
      </c>
      <c r="BC22" s="78" t="n">
        <f aca="false">'Revenue Streams'!BC$49</f>
        <v>67674.4667991204</v>
      </c>
      <c r="BD22" s="78" t="n">
        <f aca="false">'Revenue Streams'!BD$49</f>
        <v>71348.7810843014</v>
      </c>
      <c r="BE22" s="78" t="n">
        <f aca="false">'Revenue Streams'!BE$49</f>
        <v>75572.0815694823</v>
      </c>
      <c r="BF22" s="78" t="n">
        <f aca="false">'Revenue Streams'!BF$49</f>
        <v>78718.2091046633</v>
      </c>
      <c r="BG22" s="78" t="n">
        <f aca="false">'Revenue Streams'!BG$49</f>
        <v>82309.2004523443</v>
      </c>
      <c r="BH22" s="78" t="n">
        <f aca="false">'Revenue Streams'!BH$49</f>
        <v>86434.0283750253</v>
      </c>
      <c r="BI22" s="78" t="n">
        <f aca="false">'Revenue Streams'!BI$49</f>
        <v>89738.2433268729</v>
      </c>
      <c r="BJ22" s="78" t="n">
        <f aca="false">'Revenue Streams'!BJ$49</f>
        <v>93515.5519870539</v>
      </c>
      <c r="BK22" s="78" t="n">
        <f aca="false">'Revenue Streams'!BK$49</f>
        <v>97860.5730972348</v>
      </c>
      <c r="BL22" s="78" t="n">
        <f aca="false">'Revenue Streams'!BL$49</f>
        <v>101094.089799082</v>
      </c>
      <c r="BM22" s="78" t="n">
        <f aca="false">'Revenue Streams'!BM$49</f>
        <v>104788.075521763</v>
      </c>
      <c r="BN22" s="78" t="n">
        <f aca="false">'Revenue Streams'!BN$49</f>
        <v>109034.624069444</v>
      </c>
    </row>
    <row r="23" customFormat="false" ht="15" hidden="false" customHeight="false" outlineLevel="0" collapsed="false">
      <c r="A23" s="12" t="s">
        <v>749</v>
      </c>
      <c r="B23" s="65" t="n">
        <f aca="false">SUM(C23:N23)</f>
        <v>6452.20350340909</v>
      </c>
      <c r="C23" s="77" t="n">
        <f aca="false">'Revenue Streams'!C$49</f>
        <v>105.021384659091</v>
      </c>
      <c r="D23" s="77" t="n">
        <f aca="false">'Revenue Streams'!D$49</f>
        <v>223.799019318182</v>
      </c>
      <c r="E23" s="77" t="n">
        <f aca="false">'Revenue Streams'!E$49</f>
        <v>359.084153977273</v>
      </c>
      <c r="F23" s="77" t="n">
        <f aca="false">'Revenue Streams'!F$49</f>
        <v>400.489538636364</v>
      </c>
      <c r="G23" s="77" t="n">
        <f aca="false">'Revenue Streams'!G$49</f>
        <v>444.291173295455</v>
      </c>
      <c r="H23" s="77" t="n">
        <f aca="false">'Revenue Streams'!H$49</f>
        <v>490.968307954546</v>
      </c>
      <c r="I23" s="77" t="n">
        <f aca="false">'Revenue Streams'!I$49</f>
        <v>534.858692613636</v>
      </c>
      <c r="J23" s="77" t="n">
        <f aca="false">'Revenue Streams'!J$49</f>
        <v>581.589077272727</v>
      </c>
      <c r="K23" s="77" t="n">
        <f aca="false">'Revenue Streams'!K$49</f>
        <v>631.727461931818</v>
      </c>
      <c r="L23" s="77" t="n">
        <f aca="false">'Revenue Streams'!L$49</f>
        <v>751.161846590909</v>
      </c>
      <c r="M23" s="77" t="n">
        <f aca="false">'Revenue Streams'!M$49</f>
        <v>886.92623125</v>
      </c>
      <c r="N23" s="77" t="n">
        <f aca="false">'Revenue Streams'!N$49</f>
        <v>1042.28661590909</v>
      </c>
      <c r="O23" s="65" t="n">
        <f aca="false">SUM(P23:AA23)</f>
        <v>40601.5543132576</v>
      </c>
      <c r="P23" s="77" t="n">
        <f aca="false">'Revenue Streams'!P$49</f>
        <v>1252.94749311869</v>
      </c>
      <c r="Q23" s="77" t="n">
        <f aca="false">'Revenue Streams'!Q$49</f>
        <v>1471.80295366162</v>
      </c>
      <c r="R23" s="77" t="n">
        <f aca="false">'Revenue Streams'!R$49</f>
        <v>1700.49191420455</v>
      </c>
      <c r="S23" s="77" t="n">
        <f aca="false">'Revenue Streams'!S$49</f>
        <v>2011.87812474748</v>
      </c>
      <c r="T23" s="77" t="n">
        <f aca="false">'Revenue Streams'!T$49</f>
        <v>2349.4455852904</v>
      </c>
      <c r="U23" s="77" t="n">
        <f aca="false">'Revenue Streams'!U$49</f>
        <v>2718.43054583333</v>
      </c>
      <c r="V23" s="77" t="n">
        <f aca="false">'Revenue Streams'!V$49</f>
        <v>3222.15575637626</v>
      </c>
      <c r="W23" s="77" t="n">
        <f aca="false">'Revenue Streams'!W$49</f>
        <v>3786.40846691919</v>
      </c>
      <c r="X23" s="77" t="n">
        <f aca="false">'Revenue Streams'!X$49</f>
        <v>4423.29417746212</v>
      </c>
      <c r="Y23" s="77" t="n">
        <f aca="false">'Revenue Streams'!Y$49</f>
        <v>5092.68605467172</v>
      </c>
      <c r="Z23" s="77" t="n">
        <f aca="false">'Revenue Streams'!Z$49</f>
        <v>5852.18876521465</v>
      </c>
      <c r="AA23" s="77" t="n">
        <f aca="false">'Revenue Streams'!AA$49</f>
        <v>6719.82447575758</v>
      </c>
      <c r="AB23" s="65" t="n">
        <f aca="false">SUM(AC23:AN23)</f>
        <v>203036.967621515</v>
      </c>
      <c r="AC23" s="77" t="n">
        <f aca="false">'Revenue Streams'!AC$49</f>
        <v>7895.60870540404</v>
      </c>
      <c r="AD23" s="77" t="n">
        <f aca="false">'Revenue Streams'!AD$49</f>
        <v>9214.39876838384</v>
      </c>
      <c r="AE23" s="77" t="n">
        <f aca="false">'Revenue Streams'!AE$49</f>
        <v>10704.7958313636</v>
      </c>
      <c r="AF23" s="77" t="n">
        <f aca="false">'Revenue Streams'!AF$49</f>
        <v>12159.5627276768</v>
      </c>
      <c r="AG23" s="77" t="n">
        <f aca="false">'Revenue Streams'!AG$49</f>
        <v>13807.1537906566</v>
      </c>
      <c r="AH23" s="77" t="n">
        <f aca="false">'Revenue Streams'!AH$49</f>
        <v>15686.1338536364</v>
      </c>
      <c r="AI23" s="77" t="n">
        <f aca="false">'Revenue Streams'!AI$49</f>
        <v>17344.3394166162</v>
      </c>
      <c r="AJ23" s="77" t="n">
        <f aca="false">'Revenue Streams'!AJ$49</f>
        <v>19231.697479596</v>
      </c>
      <c r="AK23" s="77" t="n">
        <f aca="false">'Revenue Streams'!AK$49</f>
        <v>21394.0385425758</v>
      </c>
      <c r="AL23" s="77" t="n">
        <f aca="false">'Revenue Streams'!AL$49</f>
        <v>23127.1254388889</v>
      </c>
      <c r="AM23" s="77" t="n">
        <f aca="false">'Revenue Streams'!AM$49</f>
        <v>25102.7365018687</v>
      </c>
      <c r="AN23" s="77" t="n">
        <f aca="false">'Revenue Streams'!AN$49</f>
        <v>27369.3765648485</v>
      </c>
      <c r="AO23" s="65" t="n">
        <f aca="false">SUM(AP23:BA23)</f>
        <v>555175.796497273</v>
      </c>
      <c r="AP23" s="77" t="n">
        <f aca="false">'Revenue Streams'!AP$49</f>
        <v>29718.2383356061</v>
      </c>
      <c r="AQ23" s="77" t="n">
        <f aca="false">'Revenue Streams'!AQ$49</f>
        <v>32397.9482730303</v>
      </c>
      <c r="AR23" s="77" t="n">
        <f aca="false">'Revenue Streams'!AR$49</f>
        <v>35474.6760104546</v>
      </c>
      <c r="AS23" s="77" t="n">
        <f aca="false">'Revenue Streams'!AS$49</f>
        <v>38112.4604478788</v>
      </c>
      <c r="AT23" s="77" t="n">
        <f aca="false">'Revenue Streams'!AT$49</f>
        <v>41132.686385303</v>
      </c>
      <c r="AU23" s="77" t="n">
        <f aca="false">'Revenue Streams'!AU$49</f>
        <v>44611.8421227273</v>
      </c>
      <c r="AV23" s="77" t="n">
        <f aca="false">'Revenue Streams'!AV$49</f>
        <v>47325.1705601515</v>
      </c>
      <c r="AW23" s="77" t="n">
        <f aca="false">'Revenue Streams'!AW$49</f>
        <v>50434.4304975758</v>
      </c>
      <c r="AX23" s="77" t="n">
        <f aca="false">'Revenue Streams'!AX$49</f>
        <v>54018.808235</v>
      </c>
      <c r="AY23" s="77" t="n">
        <f aca="false">'Revenue Streams'!AY$49</f>
        <v>57021.0593390909</v>
      </c>
      <c r="AZ23" s="77" t="n">
        <f aca="false">'Revenue Streams'!AZ$49</f>
        <v>60470.8352765152</v>
      </c>
      <c r="BA23" s="77" t="n">
        <f aca="false">'Revenue Streams'!BA$49</f>
        <v>64457.6410139394</v>
      </c>
      <c r="BB23" s="65" t="n">
        <f aca="false">SUM(BC23:BN23)</f>
        <v>1058087.92518639</v>
      </c>
      <c r="BC23" s="77" t="n">
        <f aca="false">'Revenue Streams'!BC$49</f>
        <v>67674.4667991204</v>
      </c>
      <c r="BD23" s="77" t="n">
        <f aca="false">'Revenue Streams'!BD$49</f>
        <v>71348.7810843014</v>
      </c>
      <c r="BE23" s="77" t="n">
        <f aca="false">'Revenue Streams'!BE$49</f>
        <v>75572.0815694823</v>
      </c>
      <c r="BF23" s="77" t="n">
        <f aca="false">'Revenue Streams'!BF$49</f>
        <v>78718.2091046633</v>
      </c>
      <c r="BG23" s="77" t="n">
        <f aca="false">'Revenue Streams'!BG$49</f>
        <v>82309.2004523443</v>
      </c>
      <c r="BH23" s="77" t="n">
        <f aca="false">'Revenue Streams'!BH$49</f>
        <v>86434.0283750253</v>
      </c>
      <c r="BI23" s="77" t="n">
        <f aca="false">'Revenue Streams'!BI$49</f>
        <v>89738.2433268729</v>
      </c>
      <c r="BJ23" s="77" t="n">
        <f aca="false">'Revenue Streams'!BJ$49</f>
        <v>93515.5519870539</v>
      </c>
      <c r="BK23" s="77" t="n">
        <f aca="false">'Revenue Streams'!BK$49</f>
        <v>97860.5730972348</v>
      </c>
      <c r="BL23" s="77" t="n">
        <f aca="false">'Revenue Streams'!BL$49</f>
        <v>101094.089799082</v>
      </c>
      <c r="BM23" s="77" t="n">
        <f aca="false">'Revenue Streams'!BM$49</f>
        <v>104788.075521763</v>
      </c>
      <c r="BN23" s="77" t="n">
        <f aca="false">'Revenue Streams'!BN$49</f>
        <v>109034.624069444</v>
      </c>
    </row>
    <row r="25" customFormat="false" ht="15" hidden="false" customHeight="false" outlineLevel="0" collapsed="false">
      <c r="A25" s="67" t="s">
        <v>85</v>
      </c>
      <c r="B25" s="68" t="n">
        <f aca="false">SUM(C25:N25)</f>
        <v>111092.203503409</v>
      </c>
      <c r="C25" s="69" t="n">
        <f aca="false">C7+C14+C18+C22</f>
        <v>1925.02138465909</v>
      </c>
      <c r="D25" s="69" t="n">
        <f aca="false">D7+D14+D18+D22</f>
        <v>2368.79901931818</v>
      </c>
      <c r="E25" s="69" t="n">
        <f aca="false">E7+E14+E18+E22</f>
        <v>2894.08415397727</v>
      </c>
      <c r="F25" s="69" t="n">
        <f aca="false">F7+F14+F18+F22</f>
        <v>4645.28953863636</v>
      </c>
      <c r="G25" s="69" t="n">
        <f aca="false">G7+G14+G18+G22</f>
        <v>5447.09117329546</v>
      </c>
      <c r="H25" s="69" t="n">
        <f aca="false">H7+H14+H18+H22</f>
        <v>6403.36830795455</v>
      </c>
      <c r="I25" s="69" t="n">
        <f aca="false">I7+I14+I18+I22</f>
        <v>6599.65869261364</v>
      </c>
      <c r="J25" s="69" t="n">
        <f aca="false">J7+J14+J18+J22</f>
        <v>7729.38907727273</v>
      </c>
      <c r="K25" s="69" t="n">
        <f aca="false">K7+K14+K18+K22</f>
        <v>9079.12746193182</v>
      </c>
      <c r="L25" s="69" t="n">
        <f aca="false">L7+L14+L18+L22</f>
        <v>17920.7618465909</v>
      </c>
      <c r="M25" s="69" t="n">
        <f aca="false">M7+M14+M18+M22</f>
        <v>21122.52623125</v>
      </c>
      <c r="N25" s="69" t="n">
        <f aca="false">N7+N14+N18+N22</f>
        <v>24957.0866159091</v>
      </c>
      <c r="O25" s="68" t="n">
        <f aca="false">SUM(P25:AA25)</f>
        <v>897001.554313258</v>
      </c>
      <c r="P25" s="69" t="n">
        <f aca="false">P7+P14+P18+P22</f>
        <v>24884.9474931187</v>
      </c>
      <c r="Q25" s="69" t="n">
        <f aca="false">Q7+Q14+Q18+Q22</f>
        <v>29323.8029536616</v>
      </c>
      <c r="R25" s="69" t="n">
        <f aca="false">R7+R14+R18+R22</f>
        <v>34616.4919142046</v>
      </c>
      <c r="S25" s="69" t="n">
        <f aca="false">S7+S14+S18+S22</f>
        <v>42331.8781247475</v>
      </c>
      <c r="T25" s="69" t="n">
        <f aca="false">T7+T14+T18+T22</f>
        <v>49869.4455852904</v>
      </c>
      <c r="U25" s="69" t="n">
        <f aca="false">U7+U14+U18+U22</f>
        <v>58878.4305458333</v>
      </c>
      <c r="V25" s="69" t="n">
        <f aca="false">V7+V14+V18+V22</f>
        <v>70422.1557563763</v>
      </c>
      <c r="W25" s="69" t="n">
        <f aca="false">W7+W14+W18+W22</f>
        <v>82986.4084669192</v>
      </c>
      <c r="X25" s="69" t="n">
        <f aca="false">X7+X14+X18+X22</f>
        <v>98023.2941774621</v>
      </c>
      <c r="Y25" s="69" t="n">
        <f aca="false">Y7+Y14+Y18+Y22</f>
        <v>113732.686054672</v>
      </c>
      <c r="Z25" s="69" t="n">
        <f aca="false">Z7+Z14+Z18+Z22</f>
        <v>133892.188765215</v>
      </c>
      <c r="AA25" s="69" t="n">
        <f aca="false">AA7+AA14+AA18+AA22</f>
        <v>158039.824475758</v>
      </c>
      <c r="AB25" s="68" t="n">
        <f aca="false">SUM(AC25:AN25)</f>
        <v>3342076.96762152</v>
      </c>
      <c r="AC25" s="69" t="n">
        <f aca="false">AC7+AC14+AC18+AC22</f>
        <v>168229.208705404</v>
      </c>
      <c r="AD25" s="69" t="n">
        <f aca="false">AD7+AD14+AD18+AD22</f>
        <v>198178.998768384</v>
      </c>
      <c r="AE25" s="69" t="n">
        <f aca="false">AE7+AE14+AE18+AE22</f>
        <v>234026.595831364</v>
      </c>
      <c r="AF25" s="69" t="n">
        <f aca="false">AF7+AF14+AF18+AF22</f>
        <v>205045.962727677</v>
      </c>
      <c r="AG25" s="69" t="n">
        <f aca="false">AG7+AG14+AG18+AG22</f>
        <v>241137.553790657</v>
      </c>
      <c r="AH25" s="69" t="n">
        <f aca="false">AH7+AH14+AH18+AH22</f>
        <v>284349.333853636</v>
      </c>
      <c r="AI25" s="69" t="n">
        <f aca="false">AI7+AI14+AI18+AI22</f>
        <v>266723.539416616</v>
      </c>
      <c r="AJ25" s="69" t="n">
        <f aca="false">AJ7+AJ14+AJ18+AJ22</f>
        <v>313142.897479596</v>
      </c>
      <c r="AK25" s="69" t="n">
        <f aca="false">AK7+AK14+AK18+AK22</f>
        <v>368743.638542576</v>
      </c>
      <c r="AL25" s="69" t="n">
        <f aca="false">AL7+AL14+AL18+AL22</f>
        <v>299459.125438889</v>
      </c>
      <c r="AM25" s="69" t="n">
        <f aca="false">AM7+AM14+AM18+AM22</f>
        <v>350779.736501869</v>
      </c>
      <c r="AN25" s="69" t="n">
        <f aca="false">AN7+AN14+AN18+AN22</f>
        <v>412260.376564848</v>
      </c>
      <c r="AO25" s="68" t="n">
        <f aca="false">SUM(AP25:BA25)</f>
        <v>6651975.79649727</v>
      </c>
      <c r="AP25" s="69" t="n">
        <f aca="false">AP7+AP14+AP18+AP22</f>
        <v>375417.438335606</v>
      </c>
      <c r="AQ25" s="69" t="n">
        <f aca="false">AQ7+AQ14+AQ18+AQ22</f>
        <v>439829.14827303</v>
      </c>
      <c r="AR25" s="69" t="n">
        <f aca="false">AR7+AR14+AR18+AR22</f>
        <v>516984.276010455</v>
      </c>
      <c r="AS25" s="69" t="n">
        <f aca="false">AS7+AS14+AS18+AS22</f>
        <v>445982.860447879</v>
      </c>
      <c r="AT25" s="69" t="n">
        <f aca="false">AT7+AT14+AT18+AT22</f>
        <v>521837.086385303</v>
      </c>
      <c r="AU25" s="69" t="n">
        <f aca="false">AU7+AU14+AU18+AU22</f>
        <v>612717.042122727</v>
      </c>
      <c r="AV25" s="69" t="n">
        <f aca="false">AV7+AV14+AV18+AV22</f>
        <v>496646.770560152</v>
      </c>
      <c r="AW25" s="69" t="n">
        <f aca="false">AW7+AW14+AW18+AW22</f>
        <v>579992.030497576</v>
      </c>
      <c r="AX25" s="69" t="n">
        <f aca="false">AX7+AX14+AX18+AX22</f>
        <v>679859.608235</v>
      </c>
      <c r="AY25" s="69" t="n">
        <f aca="false">AY7+AY14+AY18+AY22</f>
        <v>561233.859339091</v>
      </c>
      <c r="AZ25" s="69" t="n">
        <f aca="false">AZ7+AZ14+AZ18+AZ22</f>
        <v>654721.635276515</v>
      </c>
      <c r="BA25" s="69" t="n">
        <f aca="false">BA7+BA14+BA18+BA22</f>
        <v>766754.041013939</v>
      </c>
      <c r="BB25" s="68" t="n">
        <f aca="false">SUM(BC25:BN25)</f>
        <v>10320927.9251864</v>
      </c>
      <c r="BC25" s="69" t="n">
        <f aca="false">BC7+BC14+BC18+BC22</f>
        <v>645090.466799121</v>
      </c>
      <c r="BD25" s="69" t="n">
        <f aca="false">BD7+BD14+BD18+BD22</f>
        <v>751874.781084301</v>
      </c>
      <c r="BE25" s="69" t="n">
        <f aca="false">BE7+BE14+BE18+BE22</f>
        <v>879830.081569482</v>
      </c>
      <c r="BF25" s="69" t="n">
        <f aca="false">BF7+BF14+BF18+BF22</f>
        <v>694729.409104663</v>
      </c>
      <c r="BG25" s="69" t="n">
        <f aca="false">BG7+BG14+BG18+BG22</f>
        <v>808322.400452344</v>
      </c>
      <c r="BH25" s="69" t="n">
        <f aca="false">BH7+BH14+BH18+BH22</f>
        <v>944449.628375025</v>
      </c>
      <c r="BI25" s="69" t="n">
        <f aca="false">BI7+BI14+BI18+BI22</f>
        <v>774724.643326873</v>
      </c>
      <c r="BJ25" s="69" t="n">
        <f aca="false">BJ7+BJ14+BJ18+BJ22</f>
        <v>900820.951987054</v>
      </c>
      <c r="BK25" s="69" t="n">
        <f aca="false">BK7+BK14+BK18+BK22</f>
        <v>1051948.77309723</v>
      </c>
      <c r="BL25" s="69" t="n">
        <f aca="false">BL7+BL14+BL18+BL22</f>
        <v>816275.689799083</v>
      </c>
      <c r="BM25" s="69" t="n">
        <f aca="false">BM7+BM14+BM18+BM22</f>
        <v>947680.675521764</v>
      </c>
      <c r="BN25" s="69" t="n">
        <f aca="false">BN7+BN14+BN18+BN22</f>
        <v>1105180.42406944</v>
      </c>
    </row>
    <row r="26" customFormat="false" ht="15" hidden="false" customHeight="false" outlineLevel="0" collapsed="false">
      <c r="A26" s="12" t="s">
        <v>750</v>
      </c>
      <c r="B26" s="107" t="n">
        <f aca="false">IFERROR(AVERAGE(C26:N26),0)</f>
        <v>0.927575220092047</v>
      </c>
      <c r="C26" s="108" t="n">
        <f aca="false">IFERROR('Revenue Streams'!C$41/C25,0)</f>
        <v>0.945444042598161</v>
      </c>
      <c r="D26" s="108" t="n">
        <f aca="false">IFERROR('Revenue Streams'!D$41/D25,0)</f>
        <v>0.905522158067003</v>
      </c>
      <c r="E26" s="108" t="n">
        <f aca="false">IFERROR('Revenue Streams'!E$41/E25,0)</f>
        <v>0.875924771059683</v>
      </c>
      <c r="F26" s="108" t="n">
        <f aca="false">IFERROR('Revenue Streams'!F$41/F25,0)</f>
        <v>0.913785882385724</v>
      </c>
      <c r="G26" s="108" t="n">
        <f aca="false">IFERROR('Revenue Streams'!G$41/G25,0)</f>
        <v>0.918435150218596</v>
      </c>
      <c r="H26" s="108" t="n">
        <f aca="false">IFERROR('Revenue Streams'!H$41/H25,0)</f>
        <v>0.923326554971913</v>
      </c>
      <c r="I26" s="108" t="n">
        <f aca="false">IFERROR('Revenue Streams'!I$41/I25,0)</f>
        <v>0.918956613133305</v>
      </c>
      <c r="J26" s="108" t="n">
        <f aca="false">IFERROR('Revenue Streams'!J$41/J25,0)</f>
        <v>0.92475613900938</v>
      </c>
      <c r="K26" s="108" t="n">
        <f aca="false">IFERROR('Revenue Streams'!K$41/K25,0)</f>
        <v>0.930419804702532</v>
      </c>
      <c r="L26" s="108" t="n">
        <f aca="false">IFERROR('Revenue Streams'!L$41/L25,0)</f>
        <v>0.958084268234735</v>
      </c>
      <c r="M26" s="108" t="n">
        <f aca="false">IFERROR('Revenue Streams'!M$41/M25,0)</f>
        <v>0.958010409288174</v>
      </c>
      <c r="N26" s="108" t="n">
        <f aca="false">IFERROR('Revenue Streams'!N$41/N25,0)</f>
        <v>0.958236847435362</v>
      </c>
      <c r="O26" s="107" t="n">
        <f aca="false">IFERROR(AVERAGE(P26:AA26),0)</f>
        <v>0.953501200630061</v>
      </c>
      <c r="P26" s="108" t="n">
        <f aca="false">IFERROR('Revenue Streams'!P$41/P25,0)</f>
        <v>0.949650386304204</v>
      </c>
      <c r="Q26" s="108" t="n">
        <f aca="false">IFERROR('Revenue Streams'!Q$41/Q25,0)</f>
        <v>0.949808592153364</v>
      </c>
      <c r="R26" s="108" t="n">
        <f aca="false">IFERROR('Revenue Streams'!R$41/R25,0)</f>
        <v>0.950876249435698</v>
      </c>
      <c r="S26" s="108" t="n">
        <f aca="false">IFERROR('Revenue Streams'!S$41/S25,0)</f>
        <v>0.952473686170534</v>
      </c>
      <c r="T26" s="108" t="n">
        <f aca="false">IFERROR('Revenue Streams'!T$41/T25,0)</f>
        <v>0.952888074898041</v>
      </c>
      <c r="U26" s="108" t="n">
        <f aca="false">IFERROR('Revenue Streams'!U$41/U25,0)</f>
        <v>0.953829772284484</v>
      </c>
      <c r="V26" s="108" t="n">
        <f aca="false">IFERROR('Revenue Streams'!V$41/V25,0)</f>
        <v>0.954245141720409</v>
      </c>
      <c r="W26" s="108" t="n">
        <f aca="false">IFERROR('Revenue Streams'!W$41/W25,0)</f>
        <v>0.954373149328079</v>
      </c>
      <c r="X26" s="108" t="n">
        <f aca="false">IFERROR('Revenue Streams'!X$41/X25,0)</f>
        <v>0.954875071128969</v>
      </c>
      <c r="Y26" s="108" t="n">
        <f aca="false">IFERROR('Revenue Streams'!Y$41/Y25,0)</f>
        <v>0.955222317951555</v>
      </c>
      <c r="Z26" s="108" t="n">
        <f aca="false">IFERROR('Revenue Streams'!Z$41/Z25,0)</f>
        <v>0.956291783567175</v>
      </c>
      <c r="AA26" s="108" t="n">
        <f aca="false">IFERROR('Revenue Streams'!AA$41/AA25,0)</f>
        <v>0.957480182618221</v>
      </c>
      <c r="AB26" s="107" t="n">
        <f aca="false">IFERROR(AVERAGE(AC26:AN26),0)</f>
        <v>0.940788503824744</v>
      </c>
      <c r="AC26" s="108" t="n">
        <f aca="false">IFERROR('Revenue Streams'!AC$41/AC25,0)</f>
        <v>0.95306636245772</v>
      </c>
      <c r="AD26" s="108" t="n">
        <f aca="false">IFERROR('Revenue Streams'!AD$41/AD25,0)</f>
        <v>0.953504665854363</v>
      </c>
      <c r="AE26" s="108" t="n">
        <f aca="false">IFERROR('Revenue Streams'!AE$41/AE25,0)</f>
        <v>0.954258208160762</v>
      </c>
      <c r="AF26" s="108" t="n">
        <f aca="false">IFERROR('Revenue Streams'!AF$41/AF25,0)</f>
        <v>0.940698355793398</v>
      </c>
      <c r="AG26" s="108" t="n">
        <f aca="false">IFERROR('Revenue Streams'!AG$41/AG25,0)</f>
        <v>0.942741586394945</v>
      </c>
      <c r="AH26" s="108" t="n">
        <f aca="false">IFERROR('Revenue Streams'!AH$41/AH25,0)</f>
        <v>0.944834989971489</v>
      </c>
      <c r="AI26" s="108" t="n">
        <f aca="false">IFERROR('Revenue Streams'!AI$41/AI25,0)</f>
        <v>0.934972595765068</v>
      </c>
      <c r="AJ26" s="108" t="n">
        <f aca="false">IFERROR('Revenue Streams'!AJ$41/AJ25,0)</f>
        <v>0.938584915594807</v>
      </c>
      <c r="AK26" s="108" t="n">
        <f aca="false">IFERROR('Revenue Streams'!AK$41/AK25,0)</f>
        <v>0.941981267454176</v>
      </c>
      <c r="AL26" s="108" t="n">
        <f aca="false">IFERROR('Revenue Streams'!AL$41/AL25,0)</f>
        <v>0.922770343348216</v>
      </c>
      <c r="AM26" s="108" t="n">
        <f aca="false">IFERROR('Revenue Streams'!AM$41/AM25,0)</f>
        <v>0.928437324367125</v>
      </c>
      <c r="AN26" s="108" t="n">
        <f aca="false">IFERROR('Revenue Streams'!AN$41/AN25,0)</f>
        <v>0.933611430734859</v>
      </c>
      <c r="AO26" s="107" t="n">
        <f aca="false">IFERROR(AVERAGE(AP26:BA26),0)</f>
        <v>0.916811851593169</v>
      </c>
      <c r="AP26" s="108" t="n">
        <f aca="false">IFERROR('Revenue Streams'!AP$41/AP25,0)</f>
        <v>0.920839483463101</v>
      </c>
      <c r="AQ26" s="108" t="n">
        <f aca="false">IFERROR('Revenue Streams'!AQ$41/AQ25,0)</f>
        <v>0.92633969712958</v>
      </c>
      <c r="AR26" s="108" t="n">
        <f aca="false">IFERROR('Revenue Streams'!AR$41/AR25,0)</f>
        <v>0.931381518439572</v>
      </c>
      <c r="AS26" s="108" t="n">
        <f aca="false">IFERROR('Revenue Streams'!AS$41/AS25,0)</f>
        <v>0.914542768729712</v>
      </c>
      <c r="AT26" s="108" t="n">
        <f aca="false">IFERROR('Revenue Streams'!AT$41/AT25,0)</f>
        <v>0.921177149998626</v>
      </c>
      <c r="AU26" s="108" t="n">
        <f aca="false">IFERROR('Revenue Streams'!AU$41/AU25,0)</f>
        <v>0.927190139892026</v>
      </c>
      <c r="AV26" s="108" t="n">
        <f aca="false">IFERROR('Revenue Streams'!AV$41/AV25,0)</f>
        <v>0.904710604466883</v>
      </c>
      <c r="AW26" s="108" t="n">
        <f aca="false">IFERROR('Revenue Streams'!AW$41/AW25,0)</f>
        <v>0.913042890512982</v>
      </c>
      <c r="AX26" s="108" t="n">
        <f aca="false">IFERROR('Revenue Streams'!AX$41/AX25,0)</f>
        <v>0.920544171795645</v>
      </c>
      <c r="AY26" s="108" t="n">
        <f aca="false">IFERROR('Revenue Streams'!AY$41/AY25,0)</f>
        <v>0.898400535908081</v>
      </c>
      <c r="AZ26" s="108" t="n">
        <f aca="false">IFERROR('Revenue Streams'!AZ$41/AZ25,0)</f>
        <v>0.907638862047111</v>
      </c>
      <c r="BA26" s="108" t="n">
        <f aca="false">IFERROR('Revenue Streams'!BA$41/BA25,0)</f>
        <v>0.915934396734705</v>
      </c>
      <c r="BB26" s="107" t="n">
        <f aca="false">IFERROR(AVERAGE(BC26:BN26),0)</f>
        <v>0.896825090719338</v>
      </c>
      <c r="BC26" s="108" t="n">
        <f aca="false">IFERROR('Revenue Streams'!BC$41/BC25,0)</f>
        <v>0.895093060148734</v>
      </c>
      <c r="BD26" s="108" t="n">
        <f aca="false">IFERROR('Revenue Streams'!BD$41/BD25,0)</f>
        <v>0.905105500437976</v>
      </c>
      <c r="BE26" s="108" t="n">
        <f aca="false">IFERROR('Revenue Streams'!BE$41/BE25,0)</f>
        <v>0.914106049392318</v>
      </c>
      <c r="BF26" s="108" t="n">
        <f aca="false">IFERROR('Revenue Streams'!BF$41/BF25,0)</f>
        <v>0.886692274613634</v>
      </c>
      <c r="BG26" s="108" t="n">
        <f aca="false">IFERROR('Revenue Streams'!BG$41/BG25,0)</f>
        <v>0.898172807772885</v>
      </c>
      <c r="BH26" s="108" t="n">
        <f aca="false">IFERROR('Revenue Streams'!BH$41/BH25,0)</f>
        <v>0.908482119344216</v>
      </c>
      <c r="BI26" s="108" t="n">
        <f aca="false">IFERROR('Revenue Streams'!BI$41/BI25,0)</f>
        <v>0.884167563146677</v>
      </c>
      <c r="BJ26" s="108" t="n">
        <f aca="false">IFERROR('Revenue Streams'!BJ$41/BJ25,0)</f>
        <v>0.896188524722061</v>
      </c>
      <c r="BK26" s="108" t="n">
        <f aca="false">IFERROR('Revenue Streams'!BK$41/BK25,0)</f>
        <v>0.906972111570504</v>
      </c>
      <c r="BL26" s="108" t="n">
        <f aca="false">IFERROR('Revenue Streams'!BL$41/BL25,0)</f>
        <v>0.87615202674483</v>
      </c>
      <c r="BM26" s="108" t="n">
        <f aca="false">IFERROR('Revenue Streams'!BM$41/BM25,0)</f>
        <v>0.889426809864968</v>
      </c>
      <c r="BN26" s="108" t="n">
        <f aca="false">IFERROR('Revenue Streams'!BN$41/BN25,0)</f>
        <v>0.901342240873248</v>
      </c>
    </row>
    <row r="27" customFormat="false" ht="15" hidden="false" customHeight="false" outlineLevel="0" collapsed="false">
      <c r="A27" s="12" t="s">
        <v>751</v>
      </c>
      <c r="B27" s="107" t="n">
        <f aca="false">IFERROR(AVERAGE(C27:N27),0)</f>
        <v>0.259670463833634</v>
      </c>
      <c r="C27" s="108" t="n">
        <f aca="false">0</f>
        <v>0</v>
      </c>
      <c r="D27" s="108" t="n">
        <f aca="false">IFERROR(D25/C25-1,0)</f>
        <v>0.230531275234473</v>
      </c>
      <c r="E27" s="108" t="n">
        <f aca="false">IFERROR(E25/D25-1,0)</f>
        <v>0.221751668408865</v>
      </c>
      <c r="F27" s="108" t="n">
        <f aca="false">IFERROR(F25/E25-1,0)</f>
        <v>0.605098294136489</v>
      </c>
      <c r="G27" s="108" t="n">
        <f aca="false">IFERROR(G25/F25-1,0)</f>
        <v>0.172605308665961</v>
      </c>
      <c r="H27" s="108" t="n">
        <f aca="false">IFERROR(H25/G25-1,0)</f>
        <v>0.175557394623257</v>
      </c>
      <c r="I27" s="108" t="n">
        <f aca="false">IFERROR(I25/H25-1,0)</f>
        <v>0.0306542393345159</v>
      </c>
      <c r="J27" s="108" t="n">
        <f aca="false">IFERROR(J25/I25-1,0)</f>
        <v>0.171180122681721</v>
      </c>
      <c r="K27" s="108" t="n">
        <f aca="false">IFERROR(K25/J25-1,0)</f>
        <v>0.174624200071364</v>
      </c>
      <c r="L27" s="108" t="n">
        <f aca="false">IFERROR(L25/K25-1,0)</f>
        <v>0.973841861096398</v>
      </c>
      <c r="M27" s="108" t="n">
        <f aca="false">IFERROR(M25/L25-1,0)</f>
        <v>0.178662291930862</v>
      </c>
      <c r="N27" s="108" t="n">
        <f aca="false">IFERROR(N25/M25-1,0)</f>
        <v>0.181538909819698</v>
      </c>
      <c r="O27" s="107" t="n">
        <f aca="false">IFERROR(AVERAGE(P27:AA27),0)</f>
        <v>0.167592092536187</v>
      </c>
      <c r="P27" s="108" t="n">
        <f aca="false">IFERROR(P25/N25-1,0)</f>
        <v>-0.00289052660274913</v>
      </c>
      <c r="Q27" s="108" t="n">
        <f aca="false">IFERROR(Q25/P25-1,0)</f>
        <v>0.178375118604143</v>
      </c>
      <c r="R27" s="108" t="n">
        <f aca="false">IFERROR(R25/Q25-1,0)</f>
        <v>0.180491219672517</v>
      </c>
      <c r="S27" s="108" t="n">
        <f aca="false">IFERROR(S25/R25-1,0)</f>
        <v>0.222881805287063</v>
      </c>
      <c r="T27" s="108" t="n">
        <f aca="false">IFERROR(T25/S25-1,0)</f>
        <v>0.178058895434087</v>
      </c>
      <c r="U27" s="108" t="n">
        <f aca="false">IFERROR(U25/T25-1,0)</f>
        <v>0.180651395956169</v>
      </c>
      <c r="V27" s="108" t="n">
        <f aca="false">IFERROR(V25/U25-1,0)</f>
        <v>0.196060341682458</v>
      </c>
      <c r="W27" s="108" t="n">
        <f aca="false">IFERROR(W25/V25-1,0)</f>
        <v>0.178413349827129</v>
      </c>
      <c r="X27" s="108" t="n">
        <f aca="false">IFERROR(X25/W25-1,0)</f>
        <v>0.181196969339107</v>
      </c>
      <c r="Y27" s="108" t="n">
        <f aca="false">IFERROR(Y25/X25-1,0)</f>
        <v>0.160261823569908</v>
      </c>
      <c r="Z27" s="108" t="n">
        <f aca="false">IFERROR(Z25/Y25-1,0)</f>
        <v>0.177253377281991</v>
      </c>
      <c r="AA27" s="108" t="n">
        <f aca="false">IFERROR(AA25/Z25-1,0)</f>
        <v>0.180351340382424</v>
      </c>
      <c r="AB27" s="107" t="n">
        <f aca="false">IFERROR(AVERAGE(AC27:AN27),0)</f>
        <v>0.0919274194561942</v>
      </c>
      <c r="AC27" s="108" t="n">
        <f aca="false">IFERROR(AC25/AA25-1,0)</f>
        <v>0.064473522818987</v>
      </c>
      <c r="AD27" s="108" t="n">
        <f aca="false">IFERROR(AD25/AC25-1,0)</f>
        <v>0.178029667341696</v>
      </c>
      <c r="AE27" s="108" t="n">
        <f aca="false">IFERROR(AE25/AD25-1,0)</f>
        <v>0.180884943842489</v>
      </c>
      <c r="AF27" s="108" t="n">
        <f aca="false">IFERROR(AF25/AE25-1,0)</f>
        <v>-0.123834784677934</v>
      </c>
      <c r="AG27" s="108" t="n">
        <f aca="false">IFERROR(AG25/AF25-1,0)</f>
        <v>0.176017077258494</v>
      </c>
      <c r="AH27" s="108" t="n">
        <f aca="false">IFERROR(AH25/AG25-1,0)</f>
        <v>0.17919971146632</v>
      </c>
      <c r="AI27" s="108" t="n">
        <f aca="false">IFERROR(AI25/AH25-1,0)</f>
        <v>-0.0619864101601615</v>
      </c>
      <c r="AJ27" s="108" t="n">
        <f aca="false">IFERROR(AJ25/AI25-1,0)</f>
        <v>0.17403547570083</v>
      </c>
      <c r="AK27" s="108" t="n">
        <f aca="false">IFERROR(AK25/AJ25-1,0)</f>
        <v>0.1775570881872</v>
      </c>
      <c r="AL27" s="108" t="n">
        <f aca="false">IFERROR(AL25/AK25-1,0)</f>
        <v>-0.187893446453822</v>
      </c>
      <c r="AM27" s="108" t="n">
        <f aca="false">IFERROR(AM25/AL25-1,0)</f>
        <v>0.171377682973474</v>
      </c>
      <c r="AN27" s="108" t="n">
        <f aca="false">IFERROR(AN25/AM25-1,0)</f>
        <v>0.175268505176759</v>
      </c>
      <c r="AO27" s="107" t="n">
        <f aca="false">IFERROR(AVERAGE(AP27:BA27),0)</f>
        <v>0.0648582012434508</v>
      </c>
      <c r="AP27" s="108" t="n">
        <f aca="false">IFERROR(AP25/AN25-1,0)</f>
        <v>-0.0893681283082197</v>
      </c>
      <c r="AQ27" s="108" t="n">
        <f aca="false">IFERROR(AQ25/AP25-1,0)</f>
        <v>0.171573569472399</v>
      </c>
      <c r="AR27" s="108" t="n">
        <f aca="false">IFERROR(AR25/AQ25-1,0)</f>
        <v>0.175420678780318</v>
      </c>
      <c r="AS27" s="108" t="n">
        <f aca="false">IFERROR(AS25/AR25-1,0)</f>
        <v>-0.137337669359097</v>
      </c>
      <c r="AT27" s="108" t="n">
        <f aca="false">IFERROR(AT25/AS25-1,0)</f>
        <v>0.170083275983403</v>
      </c>
      <c r="AU27" s="108" t="n">
        <f aca="false">IFERROR(AU25/AT25-1,0)</f>
        <v>0.174153884628894</v>
      </c>
      <c r="AV27" s="108" t="n">
        <f aca="false">IFERROR(AV25/AU25-1,0)</f>
        <v>-0.189435356915251</v>
      </c>
      <c r="AW27" s="108" t="n">
        <f aca="false">IFERROR(AW25/AV25-1,0)</f>
        <v>0.167815970782256</v>
      </c>
      <c r="AX27" s="108" t="n">
        <f aca="false">IFERROR(AX25/AW25-1,0)</f>
        <v>0.172187844808398</v>
      </c>
      <c r="AY27" s="108" t="n">
        <f aca="false">IFERROR(AY25/AX25-1,0)</f>
        <v>-0.174485654771985</v>
      </c>
      <c r="AZ27" s="108" t="n">
        <f aca="false">IFERROR(AZ25/AY25-1,0)</f>
        <v>0.166575437995697</v>
      </c>
      <c r="BA27" s="108" t="n">
        <f aca="false">IFERROR(BA25/AZ25-1,0)</f>
        <v>0.171114561824597</v>
      </c>
      <c r="BB27" s="107" t="n">
        <f aca="false">IFERROR(AVERAGE(BC27:BN27),0)</f>
        <v>0.0460447190397659</v>
      </c>
      <c r="BC27" s="108" t="n">
        <f aca="false">IFERROR(BC25/BA25-1,0)</f>
        <v>-0.158673535067299</v>
      </c>
      <c r="BD27" s="108" t="n">
        <f aca="false">IFERROR(BD25/BC25-1,0)</f>
        <v>0.165533858863292</v>
      </c>
      <c r="BE27" s="108" t="n">
        <f aca="false">IFERROR(BE25/BD25-1,0)</f>
        <v>0.170181662830415</v>
      </c>
      <c r="BF27" s="108" t="n">
        <f aca="false">IFERROR(BF25/BE25-1,0)</f>
        <v>-0.210382295789009</v>
      </c>
      <c r="BG27" s="108" t="n">
        <f aca="false">IFERROR(BG25/BF25-1,0)</f>
        <v>0.163506812665487</v>
      </c>
      <c r="BH27" s="108" t="n">
        <f aca="false">IFERROR(BH25/BG25-1,0)</f>
        <v>0.168407095790619</v>
      </c>
      <c r="BI27" s="108" t="n">
        <f aca="false">IFERROR(BI25/BH25-1,0)</f>
        <v>-0.179707821305592</v>
      </c>
      <c r="BJ27" s="108" t="n">
        <f aca="false">IFERROR(BJ25/BI25-1,0)</f>
        <v>0.162762743829459</v>
      </c>
      <c r="BK27" s="108" t="n">
        <f aca="false">IFERROR(BK25/BJ25-1,0)</f>
        <v>0.167766769608122</v>
      </c>
      <c r="BL27" s="108" t="n">
        <f aca="false">IFERROR(BL25/BK25-1,0)</f>
        <v>-0.224034752761072</v>
      </c>
      <c r="BM27" s="108" t="n">
        <f aca="false">IFERROR(BM25/BL25-1,0)</f>
        <v>0.160981133414649</v>
      </c>
      <c r="BN27" s="108" t="n">
        <f aca="false">IFERROR(BN25/BM25-1,0)</f>
        <v>0.166194956398121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7" topLeftCell="C38" activePane="bottomRight" state="frozen"/>
      <selection pane="topLeft" activeCell="A1" activeCellId="0" sqref="A1"/>
      <selection pane="topRight" activeCell="C1" activeCellId="0" sqref="C1"/>
      <selection pane="bottomLeft" activeCell="A38" activeCellId="0" sqref="A3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615</v>
      </c>
    </row>
    <row r="2" customFormat="false" ht="13.5" hidden="false" customHeight="true" outlineLevel="0" collapsed="false">
      <c r="A2" s="6" t="s">
        <v>752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753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25.5" hidden="false" customHeight="true" outlineLevel="0" collapsed="false">
      <c r="A6" s="109" t="s">
        <v>754</v>
      </c>
      <c r="B6" s="109" t="s">
        <v>755</v>
      </c>
      <c r="C6" s="109" t="s">
        <v>756</v>
      </c>
      <c r="D6" s="109" t="s">
        <v>757</v>
      </c>
      <c r="E6" s="109" t="s">
        <v>333</v>
      </c>
      <c r="F6" s="109" t="s">
        <v>334</v>
      </c>
      <c r="G6" s="109" t="s">
        <v>335</v>
      </c>
      <c r="H6" s="109" t="s">
        <v>336</v>
      </c>
      <c r="I6" s="109" t="s">
        <v>758</v>
      </c>
      <c r="J6" s="109" t="s">
        <v>333</v>
      </c>
      <c r="K6" s="109" t="s">
        <v>334</v>
      </c>
      <c r="L6" s="109" t="s">
        <v>335</v>
      </c>
      <c r="M6" s="109" t="s">
        <v>336</v>
      </c>
    </row>
    <row r="7" customFormat="false" ht="15" hidden="false" customHeight="false" outlineLevel="0" collapsed="false">
      <c r="A7" s="51" t="s">
        <v>759</v>
      </c>
      <c r="B7" s="22" t="s">
        <v>662</v>
      </c>
      <c r="C7" s="110" t="n">
        <v>1</v>
      </c>
      <c r="D7" s="111" t="n">
        <v>900</v>
      </c>
      <c r="E7" s="111" t="n">
        <v>1800</v>
      </c>
      <c r="F7" s="111" t="n">
        <v>2600</v>
      </c>
      <c r="G7" s="111" t="n">
        <v>3000</v>
      </c>
      <c r="H7" s="111" t="n">
        <v>3200</v>
      </c>
      <c r="I7" s="110" t="n">
        <v>1</v>
      </c>
      <c r="J7" s="110" t="n">
        <v>1</v>
      </c>
      <c r="K7" s="110" t="n">
        <v>1</v>
      </c>
      <c r="L7" s="110" t="n">
        <v>1</v>
      </c>
      <c r="M7" s="110" t="n">
        <v>1</v>
      </c>
    </row>
    <row r="8" customFormat="false" ht="15" hidden="false" customHeight="false" outlineLevel="0" collapsed="false">
      <c r="A8" s="51" t="s">
        <v>760</v>
      </c>
      <c r="B8" s="22" t="s">
        <v>662</v>
      </c>
      <c r="C8" s="110" t="n">
        <v>1</v>
      </c>
      <c r="D8" s="111" t="n">
        <v>900</v>
      </c>
      <c r="E8" s="111" t="n">
        <v>1800</v>
      </c>
      <c r="F8" s="111" t="n">
        <v>2600</v>
      </c>
      <c r="G8" s="111" t="n">
        <v>3000</v>
      </c>
      <c r="H8" s="111" t="n">
        <v>3200</v>
      </c>
      <c r="I8" s="110" t="n">
        <v>1</v>
      </c>
      <c r="J8" s="110" t="n">
        <v>1</v>
      </c>
      <c r="K8" s="110" t="n">
        <v>1</v>
      </c>
      <c r="L8" s="110" t="n">
        <v>1</v>
      </c>
      <c r="M8" s="110" t="n">
        <v>1</v>
      </c>
    </row>
    <row r="9" customFormat="false" ht="15" hidden="false" customHeight="false" outlineLevel="0" collapsed="false">
      <c r="A9" s="51" t="s">
        <v>761</v>
      </c>
      <c r="B9" s="22" t="s">
        <v>662</v>
      </c>
      <c r="C9" s="110" t="n">
        <v>37</v>
      </c>
      <c r="D9" s="111" t="n">
        <v>0</v>
      </c>
      <c r="E9" s="111" t="n">
        <v>0</v>
      </c>
      <c r="F9" s="111" t="n">
        <v>0</v>
      </c>
      <c r="G9" s="111" t="n">
        <v>3000</v>
      </c>
      <c r="H9" s="111" t="n">
        <v>3200</v>
      </c>
      <c r="I9" s="110" t="n">
        <v>0</v>
      </c>
      <c r="J9" s="110" t="n">
        <v>0</v>
      </c>
      <c r="K9" s="110" t="n">
        <v>0</v>
      </c>
      <c r="L9" s="110" t="n">
        <v>1</v>
      </c>
      <c r="M9" s="110" t="n">
        <v>1</v>
      </c>
    </row>
    <row r="10" customFormat="false" ht="15" hidden="false" customHeight="false" outlineLevel="0" collapsed="false">
      <c r="A10" s="51" t="s">
        <v>762</v>
      </c>
      <c r="B10" s="22" t="s">
        <v>663</v>
      </c>
      <c r="C10" s="110" t="n">
        <v>1</v>
      </c>
      <c r="D10" s="111" t="n">
        <v>800</v>
      </c>
      <c r="E10" s="111" t="n">
        <v>1900</v>
      </c>
      <c r="F10" s="111" t="n">
        <v>2400</v>
      </c>
      <c r="G10" s="111" t="n">
        <v>2500</v>
      </c>
      <c r="H10" s="111" t="n">
        <v>2600</v>
      </c>
      <c r="I10" s="110" t="n">
        <v>1</v>
      </c>
      <c r="J10" s="110" t="n">
        <v>2</v>
      </c>
      <c r="K10" s="110" t="n">
        <v>2</v>
      </c>
      <c r="L10" s="110" t="n">
        <v>2</v>
      </c>
      <c r="M10" s="110" t="n">
        <v>2</v>
      </c>
    </row>
    <row r="11" customFormat="false" ht="15" hidden="false" customHeight="false" outlineLevel="0" collapsed="false">
      <c r="A11" s="51" t="s">
        <v>763</v>
      </c>
      <c r="B11" s="22" t="s">
        <v>663</v>
      </c>
      <c r="C11" s="110" t="n">
        <v>37</v>
      </c>
      <c r="D11" s="111" t="n">
        <v>0</v>
      </c>
      <c r="E11" s="111" t="n">
        <v>0</v>
      </c>
      <c r="F11" s="111" t="n">
        <v>0</v>
      </c>
      <c r="G11" s="111" t="n">
        <v>2800</v>
      </c>
      <c r="H11" s="111" t="n">
        <v>2900</v>
      </c>
      <c r="I11" s="110" t="n">
        <v>0</v>
      </c>
      <c r="J11" s="110" t="n">
        <v>0</v>
      </c>
      <c r="K11" s="110" t="n">
        <v>0</v>
      </c>
      <c r="L11" s="110" t="n">
        <v>1</v>
      </c>
      <c r="M11" s="110" t="n">
        <v>1</v>
      </c>
    </row>
    <row r="12" customFormat="false" ht="15" hidden="false" customHeight="false" outlineLevel="0" collapsed="false">
      <c r="A12" s="51" t="s">
        <v>764</v>
      </c>
      <c r="B12" s="22" t="s">
        <v>663</v>
      </c>
      <c r="C12" s="110" t="n">
        <v>49</v>
      </c>
      <c r="D12" s="111" t="n">
        <v>0</v>
      </c>
      <c r="E12" s="111" t="n">
        <v>0</v>
      </c>
      <c r="F12" s="111" t="n">
        <v>0</v>
      </c>
      <c r="G12" s="111" t="n">
        <v>0</v>
      </c>
      <c r="H12" s="111" t="n">
        <v>1800</v>
      </c>
      <c r="I12" s="110" t="n">
        <v>0</v>
      </c>
      <c r="J12" s="110" t="n">
        <v>0</v>
      </c>
      <c r="K12" s="110" t="n">
        <v>0</v>
      </c>
      <c r="L12" s="110" t="n">
        <v>0</v>
      </c>
      <c r="M12" s="110" t="n">
        <v>1</v>
      </c>
    </row>
    <row r="13" customFormat="false" ht="15" hidden="false" customHeight="false" outlineLevel="0" collapsed="false">
      <c r="A13" s="51" t="s">
        <v>765</v>
      </c>
      <c r="B13" s="22" t="s">
        <v>401</v>
      </c>
      <c r="C13" s="110" t="n">
        <v>1</v>
      </c>
      <c r="D13" s="111" t="n">
        <v>650</v>
      </c>
      <c r="E13" s="111" t="n">
        <v>1700</v>
      </c>
      <c r="F13" s="111" t="n">
        <v>2400</v>
      </c>
      <c r="G13" s="111" t="n">
        <v>2500</v>
      </c>
      <c r="H13" s="111" t="n">
        <v>2600</v>
      </c>
      <c r="I13" s="110" t="n">
        <v>1</v>
      </c>
      <c r="J13" s="110" t="n">
        <v>1</v>
      </c>
      <c r="K13" s="110" t="n">
        <v>1</v>
      </c>
      <c r="L13" s="110" t="n">
        <v>1</v>
      </c>
      <c r="M13" s="110" t="n">
        <v>1</v>
      </c>
    </row>
    <row r="14" customFormat="false" ht="15" hidden="false" customHeight="false" outlineLevel="0" collapsed="false">
      <c r="A14" s="51" t="s">
        <v>766</v>
      </c>
      <c r="B14" s="22" t="s">
        <v>401</v>
      </c>
      <c r="C14" s="110" t="n">
        <v>25</v>
      </c>
      <c r="D14" s="111" t="n">
        <v>0</v>
      </c>
      <c r="E14" s="111" t="n">
        <v>0</v>
      </c>
      <c r="F14" s="111" t="n">
        <v>2000</v>
      </c>
      <c r="G14" s="111" t="n">
        <v>2100</v>
      </c>
      <c r="H14" s="111" t="n">
        <v>2200</v>
      </c>
      <c r="I14" s="110" t="n">
        <v>0</v>
      </c>
      <c r="J14" s="110" t="n">
        <v>0</v>
      </c>
      <c r="K14" s="110" t="n">
        <v>1</v>
      </c>
      <c r="L14" s="110" t="n">
        <v>1</v>
      </c>
      <c r="M14" s="110" t="n">
        <v>1</v>
      </c>
    </row>
    <row r="15" customFormat="false" ht="15" hidden="false" customHeight="false" outlineLevel="0" collapsed="false">
      <c r="A15" s="51" t="s">
        <v>767</v>
      </c>
      <c r="B15" s="22" t="s">
        <v>401</v>
      </c>
      <c r="C15" s="110" t="n">
        <v>25</v>
      </c>
      <c r="D15" s="111" t="n">
        <v>0</v>
      </c>
      <c r="E15" s="111" t="n">
        <v>0</v>
      </c>
      <c r="F15" s="111" t="n">
        <v>1500</v>
      </c>
      <c r="G15" s="111" t="n">
        <v>1550</v>
      </c>
      <c r="H15" s="111" t="n">
        <v>1600</v>
      </c>
      <c r="I15" s="110" t="n">
        <v>0</v>
      </c>
      <c r="J15" s="110" t="n">
        <v>0</v>
      </c>
      <c r="K15" s="110" t="n">
        <v>1</v>
      </c>
      <c r="L15" s="110" t="n">
        <v>2</v>
      </c>
      <c r="M15" s="110" t="n">
        <v>2</v>
      </c>
    </row>
    <row r="16" customFormat="false" ht="15" hidden="false" customHeight="false" outlineLevel="0" collapsed="false">
      <c r="A16" s="51" t="s">
        <v>768</v>
      </c>
      <c r="B16" s="22" t="s">
        <v>401</v>
      </c>
      <c r="C16" s="110" t="n">
        <v>49</v>
      </c>
      <c r="D16" s="111" t="n">
        <v>0</v>
      </c>
      <c r="E16" s="111" t="n">
        <v>0</v>
      </c>
      <c r="F16" s="111" t="n">
        <v>0</v>
      </c>
      <c r="G16" s="111" t="n">
        <v>0</v>
      </c>
      <c r="H16" s="111" t="n">
        <v>1300</v>
      </c>
      <c r="I16" s="110" t="n">
        <v>0</v>
      </c>
      <c r="J16" s="110" t="n">
        <v>0</v>
      </c>
      <c r="K16" s="110" t="n">
        <v>0</v>
      </c>
      <c r="L16" s="110" t="n">
        <v>0</v>
      </c>
      <c r="M16" s="110" t="n">
        <v>1</v>
      </c>
    </row>
    <row r="17" customFormat="false" ht="15" hidden="false" customHeight="false" outlineLevel="0" collapsed="false">
      <c r="A17" s="51" t="s">
        <v>769</v>
      </c>
      <c r="B17" s="22" t="s">
        <v>404</v>
      </c>
      <c r="C17" s="110" t="n">
        <v>13</v>
      </c>
      <c r="D17" s="111" t="n">
        <v>0</v>
      </c>
      <c r="E17" s="111" t="n">
        <v>1600</v>
      </c>
      <c r="F17" s="111" t="n">
        <v>2200</v>
      </c>
      <c r="G17" s="111" t="n">
        <v>2300</v>
      </c>
      <c r="H17" s="111" t="n">
        <v>2400</v>
      </c>
      <c r="I17" s="110" t="n">
        <v>0</v>
      </c>
      <c r="J17" s="110" t="n">
        <v>1</v>
      </c>
      <c r="K17" s="110" t="n">
        <v>1</v>
      </c>
      <c r="L17" s="110" t="n">
        <v>1</v>
      </c>
      <c r="M17" s="110" t="n">
        <v>1</v>
      </c>
    </row>
    <row r="18" customFormat="false" ht="15" hidden="false" customHeight="false" outlineLevel="0" collapsed="false">
      <c r="A18" s="51" t="s">
        <v>770</v>
      </c>
      <c r="B18" s="22" t="s">
        <v>404</v>
      </c>
      <c r="C18" s="110" t="n">
        <v>25</v>
      </c>
      <c r="D18" s="111" t="n">
        <v>0</v>
      </c>
      <c r="E18" s="111" t="n">
        <v>0</v>
      </c>
      <c r="F18" s="111" t="n">
        <v>5000</v>
      </c>
      <c r="G18" s="111" t="n">
        <v>5200</v>
      </c>
      <c r="H18" s="111" t="n">
        <v>5400</v>
      </c>
      <c r="I18" s="110" t="n">
        <v>0</v>
      </c>
      <c r="J18" s="110" t="n">
        <v>0</v>
      </c>
      <c r="K18" s="110" t="n">
        <v>1</v>
      </c>
      <c r="L18" s="110" t="n">
        <v>1</v>
      </c>
      <c r="M18" s="110" t="n">
        <v>1</v>
      </c>
    </row>
    <row r="19" customFormat="false" ht="15" hidden="false" customHeight="false" outlineLevel="0" collapsed="false">
      <c r="A19" s="51" t="s">
        <v>771</v>
      </c>
      <c r="B19" s="22" t="s">
        <v>404</v>
      </c>
      <c r="C19" s="110" t="n">
        <v>25</v>
      </c>
      <c r="D19" s="111" t="n">
        <v>0</v>
      </c>
      <c r="E19" s="111" t="n">
        <v>0</v>
      </c>
      <c r="F19" s="111" t="n">
        <v>2600</v>
      </c>
      <c r="G19" s="111" t="n">
        <v>2700</v>
      </c>
      <c r="H19" s="111" t="n">
        <v>2800</v>
      </c>
      <c r="I19" s="110" t="n">
        <v>0</v>
      </c>
      <c r="J19" s="110" t="n">
        <v>0</v>
      </c>
      <c r="K19" s="110" t="n">
        <v>1</v>
      </c>
      <c r="L19" s="110" t="n">
        <v>1</v>
      </c>
      <c r="M19" s="110" t="n">
        <v>1</v>
      </c>
    </row>
    <row r="20" customFormat="false" ht="15" hidden="false" customHeight="false" outlineLevel="0" collapsed="false">
      <c r="A20" s="51" t="s">
        <v>772</v>
      </c>
      <c r="B20" s="22" t="s">
        <v>404</v>
      </c>
      <c r="C20" s="110" t="n">
        <v>25</v>
      </c>
      <c r="D20" s="111" t="n">
        <v>0</v>
      </c>
      <c r="E20" s="111" t="n">
        <v>0</v>
      </c>
      <c r="F20" s="111" t="n">
        <v>1200</v>
      </c>
      <c r="G20" s="111" t="n">
        <v>1250</v>
      </c>
      <c r="H20" s="111" t="n">
        <v>1300</v>
      </c>
      <c r="I20" s="110" t="n">
        <v>0</v>
      </c>
      <c r="J20" s="110" t="n">
        <v>0</v>
      </c>
      <c r="K20" s="110" t="n">
        <v>1</v>
      </c>
      <c r="L20" s="110" t="n">
        <v>1</v>
      </c>
      <c r="M20" s="110" t="n">
        <v>1</v>
      </c>
    </row>
    <row r="21" customFormat="false" ht="15" hidden="false" customHeight="false" outlineLevel="0" collapsed="false">
      <c r="A21" s="51" t="s">
        <v>773</v>
      </c>
      <c r="B21" s="22" t="s">
        <v>404</v>
      </c>
      <c r="C21" s="110" t="n">
        <v>37</v>
      </c>
      <c r="D21" s="111" t="n">
        <v>0</v>
      </c>
      <c r="E21" s="111" t="n">
        <v>0</v>
      </c>
      <c r="F21" s="111" t="n">
        <v>0</v>
      </c>
      <c r="G21" s="111" t="n">
        <v>2200</v>
      </c>
      <c r="H21" s="111" t="n">
        <v>2300</v>
      </c>
      <c r="I21" s="110" t="n">
        <v>0</v>
      </c>
      <c r="J21" s="110" t="n">
        <v>0</v>
      </c>
      <c r="K21" s="110" t="n">
        <v>0</v>
      </c>
      <c r="L21" s="110" t="n">
        <v>1</v>
      </c>
      <c r="M21" s="110" t="n">
        <v>1</v>
      </c>
    </row>
    <row r="22" customFormat="false" ht="15" hidden="false" customHeight="false" outlineLevel="0" collapsed="false">
      <c r="A22" s="51" t="s">
        <v>774</v>
      </c>
      <c r="B22" s="22" t="s">
        <v>404</v>
      </c>
      <c r="C22" s="110" t="n">
        <v>49</v>
      </c>
      <c r="D22" s="111" t="n">
        <v>0</v>
      </c>
      <c r="E22" s="111" t="n">
        <v>0</v>
      </c>
      <c r="F22" s="111" t="n">
        <v>0</v>
      </c>
      <c r="G22" s="111" t="n">
        <v>0</v>
      </c>
      <c r="H22" s="111" t="n">
        <v>1600</v>
      </c>
      <c r="I22" s="110" t="n">
        <v>0</v>
      </c>
      <c r="J22" s="110" t="n">
        <v>0</v>
      </c>
      <c r="K22" s="110" t="n">
        <v>0</v>
      </c>
      <c r="L22" s="110" t="n">
        <v>0</v>
      </c>
      <c r="M22" s="110" t="n">
        <v>1</v>
      </c>
    </row>
    <row r="23" customFormat="false" ht="15" hidden="false" customHeight="false" outlineLevel="0" collapsed="false">
      <c r="A23" s="51" t="s">
        <v>775</v>
      </c>
      <c r="B23" s="22" t="s">
        <v>403</v>
      </c>
      <c r="C23" s="110" t="n">
        <v>13</v>
      </c>
      <c r="D23" s="111" t="n">
        <v>0</v>
      </c>
      <c r="E23" s="111" t="n">
        <v>1500</v>
      </c>
      <c r="F23" s="111" t="n">
        <v>2000</v>
      </c>
      <c r="G23" s="111" t="n">
        <v>2100</v>
      </c>
      <c r="H23" s="111" t="n">
        <v>2200</v>
      </c>
      <c r="I23" s="110" t="n">
        <v>0</v>
      </c>
      <c r="J23" s="110" t="n">
        <v>1</v>
      </c>
      <c r="K23" s="110" t="n">
        <v>1</v>
      </c>
      <c r="L23" s="110" t="n">
        <v>1</v>
      </c>
      <c r="M23" s="110" t="n">
        <v>1</v>
      </c>
    </row>
    <row r="24" customFormat="false" ht="15" hidden="false" customHeight="false" outlineLevel="0" collapsed="false">
      <c r="A24" s="51" t="s">
        <v>776</v>
      </c>
      <c r="B24" s="22" t="s">
        <v>403</v>
      </c>
      <c r="C24" s="110" t="n">
        <v>49</v>
      </c>
      <c r="D24" s="111" t="n">
        <v>0</v>
      </c>
      <c r="E24" s="111" t="n">
        <v>0</v>
      </c>
      <c r="F24" s="111" t="n">
        <v>0</v>
      </c>
      <c r="G24" s="111" t="n">
        <v>0</v>
      </c>
      <c r="H24" s="111" t="n">
        <v>900</v>
      </c>
      <c r="I24" s="110" t="n">
        <v>0</v>
      </c>
      <c r="J24" s="110" t="n">
        <v>0</v>
      </c>
      <c r="K24" s="110" t="n">
        <v>0</v>
      </c>
      <c r="L24" s="110" t="n">
        <v>0</v>
      </c>
      <c r="M24" s="110" t="n">
        <v>1</v>
      </c>
    </row>
    <row r="25" customFormat="false" ht="15" hidden="false" customHeight="false" outlineLevel="0" collapsed="false">
      <c r="A25" s="18" t="s">
        <v>777</v>
      </c>
      <c r="I25" s="48" t="n">
        <f aca="false">SUM(I7:I24)</f>
        <v>4</v>
      </c>
      <c r="J25" s="48" t="n">
        <f aca="false">SUM(J7:J24)</f>
        <v>7</v>
      </c>
      <c r="K25" s="48" t="n">
        <f aca="false">SUM(K7:K24)</f>
        <v>12</v>
      </c>
      <c r="L25" s="48" t="n">
        <f aca="false">SUM(L7:L24)</f>
        <v>16</v>
      </c>
      <c r="M25" s="48" t="n">
        <f aca="false">SUM(M7:M24)</f>
        <v>20</v>
      </c>
    </row>
    <row r="26" customFormat="false" ht="15" hidden="false" customHeight="false" outlineLevel="0" collapsed="false">
      <c r="A26" s="112" t="s">
        <v>778</v>
      </c>
      <c r="I26" s="113" t="n">
        <v>4</v>
      </c>
      <c r="J26" s="113" t="n">
        <v>7</v>
      </c>
      <c r="K26" s="113" t="n">
        <v>12</v>
      </c>
      <c r="L26" s="113" t="n">
        <v>16</v>
      </c>
      <c r="M26" s="113" t="n">
        <v>20</v>
      </c>
    </row>
    <row r="27" customFormat="false" ht="15" hidden="false" customHeight="false" outlineLevel="0" collapsed="false">
      <c r="A27" s="18" t="s">
        <v>779</v>
      </c>
      <c r="I27" s="114" t="n">
        <f aca="false">I26-I25</f>
        <v>0</v>
      </c>
      <c r="J27" s="114" t="n">
        <f aca="false">J26-J25</f>
        <v>0</v>
      </c>
      <c r="K27" s="114" t="n">
        <f aca="false">K26-K25</f>
        <v>0</v>
      </c>
      <c r="L27" s="114" t="n">
        <f aca="false">L26-L25</f>
        <v>0</v>
      </c>
      <c r="M27" s="114" t="n">
        <f aca="false">M26-M25</f>
        <v>0</v>
      </c>
    </row>
    <row r="29" customFormat="false" ht="15" hidden="false" customHeight="false" outlineLevel="0" collapsed="false">
      <c r="A29" s="12" t="s">
        <v>780</v>
      </c>
      <c r="B29" s="22" t="s">
        <v>781</v>
      </c>
      <c r="C29" s="41" t="n">
        <v>0.155</v>
      </c>
    </row>
    <row r="31" customFormat="false" ht="16.5" hidden="false" customHeight="true" outlineLevel="0" collapsed="false">
      <c r="A31" s="15" t="s">
        <v>782</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505</v>
      </c>
      <c r="B32" s="62" t="s">
        <v>80</v>
      </c>
      <c r="C32" s="63" t="s">
        <v>506</v>
      </c>
      <c r="D32" s="63" t="s">
        <v>507</v>
      </c>
      <c r="E32" s="63" t="s">
        <v>508</v>
      </c>
      <c r="F32" s="63" t="s">
        <v>509</v>
      </c>
      <c r="G32" s="63" t="s">
        <v>510</v>
      </c>
      <c r="H32" s="63" t="s">
        <v>511</v>
      </c>
      <c r="I32" s="63" t="s">
        <v>512</v>
      </c>
      <c r="J32" s="63" t="s">
        <v>513</v>
      </c>
      <c r="K32" s="63" t="s">
        <v>514</v>
      </c>
      <c r="L32" s="63" t="s">
        <v>515</v>
      </c>
      <c r="M32" s="63" t="s">
        <v>516</v>
      </c>
      <c r="N32" s="63" t="s">
        <v>517</v>
      </c>
      <c r="O32" s="62" t="s">
        <v>81</v>
      </c>
      <c r="P32" s="64" t="s">
        <v>518</v>
      </c>
      <c r="Q32" s="64" t="s">
        <v>519</v>
      </c>
      <c r="R32" s="64" t="s">
        <v>520</v>
      </c>
      <c r="S32" s="64" t="s">
        <v>521</v>
      </c>
      <c r="T32" s="64" t="s">
        <v>522</v>
      </c>
      <c r="U32" s="64" t="s">
        <v>523</v>
      </c>
      <c r="V32" s="64" t="s">
        <v>524</v>
      </c>
      <c r="W32" s="64" t="s">
        <v>525</v>
      </c>
      <c r="X32" s="64" t="s">
        <v>526</v>
      </c>
      <c r="Y32" s="64" t="s">
        <v>527</v>
      </c>
      <c r="Z32" s="64" t="s">
        <v>528</v>
      </c>
      <c r="AA32" s="64" t="s">
        <v>529</v>
      </c>
      <c r="AB32" s="62" t="s">
        <v>82</v>
      </c>
      <c r="AC32" s="63" t="s">
        <v>530</v>
      </c>
      <c r="AD32" s="63" t="s">
        <v>531</v>
      </c>
      <c r="AE32" s="63" t="s">
        <v>532</v>
      </c>
      <c r="AF32" s="63" t="s">
        <v>533</v>
      </c>
      <c r="AG32" s="63" t="s">
        <v>534</v>
      </c>
      <c r="AH32" s="63" t="s">
        <v>535</v>
      </c>
      <c r="AI32" s="63" t="s">
        <v>536</v>
      </c>
      <c r="AJ32" s="63" t="s">
        <v>537</v>
      </c>
      <c r="AK32" s="63" t="s">
        <v>538</v>
      </c>
      <c r="AL32" s="63" t="s">
        <v>539</v>
      </c>
      <c r="AM32" s="63" t="s">
        <v>540</v>
      </c>
      <c r="AN32" s="63" t="s">
        <v>541</v>
      </c>
      <c r="AO32" s="62" t="s">
        <v>83</v>
      </c>
      <c r="AP32" s="64" t="s">
        <v>542</v>
      </c>
      <c r="AQ32" s="64" t="s">
        <v>543</v>
      </c>
      <c r="AR32" s="64" t="s">
        <v>544</v>
      </c>
      <c r="AS32" s="64" t="s">
        <v>545</v>
      </c>
      <c r="AT32" s="64" t="s">
        <v>546</v>
      </c>
      <c r="AU32" s="64" t="s">
        <v>547</v>
      </c>
      <c r="AV32" s="64" t="s">
        <v>548</v>
      </c>
      <c r="AW32" s="64" t="s">
        <v>549</v>
      </c>
      <c r="AX32" s="64" t="s">
        <v>550</v>
      </c>
      <c r="AY32" s="64" t="s">
        <v>551</v>
      </c>
      <c r="AZ32" s="64" t="s">
        <v>552</v>
      </c>
      <c r="BA32" s="64" t="s">
        <v>553</v>
      </c>
      <c r="BB32" s="62" t="s">
        <v>84</v>
      </c>
      <c r="BC32" s="63" t="s">
        <v>554</v>
      </c>
      <c r="BD32" s="63" t="s">
        <v>555</v>
      </c>
      <c r="BE32" s="63" t="s">
        <v>556</v>
      </c>
      <c r="BF32" s="63" t="s">
        <v>557</v>
      </c>
      <c r="BG32" s="63" t="s">
        <v>558</v>
      </c>
      <c r="BH32" s="63" t="s">
        <v>559</v>
      </c>
      <c r="BI32" s="63" t="s">
        <v>560</v>
      </c>
      <c r="BJ32" s="63" t="s">
        <v>561</v>
      </c>
      <c r="BK32" s="63" t="s">
        <v>562</v>
      </c>
      <c r="BL32" s="63" t="s">
        <v>563</v>
      </c>
      <c r="BM32" s="63" t="s">
        <v>564</v>
      </c>
      <c r="BN32" s="63" t="s">
        <v>565</v>
      </c>
    </row>
    <row r="33" customFormat="false" ht="15" hidden="false" customHeight="false" outlineLevel="0" collapsed="false">
      <c r="A33" s="12" t="s">
        <v>759</v>
      </c>
      <c r="B33" s="65" t="n">
        <f aca="false">SUM(C33:N33)</f>
        <v>12474</v>
      </c>
      <c r="C33" s="66" t="n">
        <f aca="false">IF(1&lt;$C$7,0,$I$7*$D$7*(1+$C$29))</f>
        <v>1039.5</v>
      </c>
      <c r="D33" s="66" t="n">
        <f aca="false">IF(2&lt;$C$7,0,$I$7*$D$7*(1+$C$29))</f>
        <v>1039.5</v>
      </c>
      <c r="E33" s="66" t="n">
        <f aca="false">IF(3&lt;$C$7,0,$I$7*$D$7*(1+$C$29))</f>
        <v>1039.5</v>
      </c>
      <c r="F33" s="66" t="n">
        <f aca="false">IF(4&lt;$C$7,0,$I$7*$D$7*(1+$C$29))</f>
        <v>1039.5</v>
      </c>
      <c r="G33" s="66" t="n">
        <f aca="false">IF(5&lt;$C$7,0,$I$7*$D$7*(1+$C$29))</f>
        <v>1039.5</v>
      </c>
      <c r="H33" s="66" t="n">
        <f aca="false">IF(6&lt;$C$7,0,$I$7*$D$7*(1+$C$29))</f>
        <v>1039.5</v>
      </c>
      <c r="I33" s="66" t="n">
        <f aca="false">IF(7&lt;$C$7,0,$I$7*$D$7*(1+$C$29))</f>
        <v>1039.5</v>
      </c>
      <c r="J33" s="66" t="n">
        <f aca="false">IF(8&lt;$C$7,0,$I$7*$D$7*(1+$C$29))</f>
        <v>1039.5</v>
      </c>
      <c r="K33" s="66" t="n">
        <f aca="false">IF(9&lt;$C$7,0,$I$7*$D$7*(1+$C$29))</f>
        <v>1039.5</v>
      </c>
      <c r="L33" s="66" t="n">
        <f aca="false">IF(10&lt;$C$7,0,$I$7*$D$7*(1+$C$29))</f>
        <v>1039.5</v>
      </c>
      <c r="M33" s="66" t="n">
        <f aca="false">IF(11&lt;$C$7,0,$I$7*$D$7*(1+$C$29))</f>
        <v>1039.5</v>
      </c>
      <c r="N33" s="66" t="n">
        <f aca="false">IF(12&lt;$C$7,0,$I$7*$D$7*(1+$C$29))</f>
        <v>1039.5</v>
      </c>
      <c r="O33" s="65" t="n">
        <f aca="false">SUM(P33:AA33)</f>
        <v>24948</v>
      </c>
      <c r="P33" s="66" t="n">
        <f aca="false">IF(13&lt;$C$7,0,$J$7*$E$7*(1+$C$29))</f>
        <v>2079</v>
      </c>
      <c r="Q33" s="66" t="n">
        <f aca="false">IF(14&lt;$C$7,0,$J$7*$E$7*(1+$C$29))</f>
        <v>2079</v>
      </c>
      <c r="R33" s="66" t="n">
        <f aca="false">IF(15&lt;$C$7,0,$J$7*$E$7*(1+$C$29))</f>
        <v>2079</v>
      </c>
      <c r="S33" s="66" t="n">
        <f aca="false">IF(16&lt;$C$7,0,$J$7*$E$7*(1+$C$29))</f>
        <v>2079</v>
      </c>
      <c r="T33" s="66" t="n">
        <f aca="false">IF(17&lt;$C$7,0,$J$7*$E$7*(1+$C$29))</f>
        <v>2079</v>
      </c>
      <c r="U33" s="66" t="n">
        <f aca="false">IF(18&lt;$C$7,0,$J$7*$E$7*(1+$C$29))</f>
        <v>2079</v>
      </c>
      <c r="V33" s="66" t="n">
        <f aca="false">IF(19&lt;$C$7,0,$J$7*$E$7*(1+$C$29))</f>
        <v>2079</v>
      </c>
      <c r="W33" s="66" t="n">
        <f aca="false">IF(20&lt;$C$7,0,$J$7*$E$7*(1+$C$29))</f>
        <v>2079</v>
      </c>
      <c r="X33" s="66" t="n">
        <f aca="false">IF(21&lt;$C$7,0,$J$7*$E$7*(1+$C$29))</f>
        <v>2079</v>
      </c>
      <c r="Y33" s="66" t="n">
        <f aca="false">IF(22&lt;$C$7,0,$J$7*$E$7*(1+$C$29))</f>
        <v>2079</v>
      </c>
      <c r="Z33" s="66" t="n">
        <f aca="false">IF(23&lt;$C$7,0,$J$7*$E$7*(1+$C$29))</f>
        <v>2079</v>
      </c>
      <c r="AA33" s="66" t="n">
        <f aca="false">IF(24&lt;$C$7,0,$J$7*$E$7*(1+$C$29))</f>
        <v>2079</v>
      </c>
      <c r="AB33" s="65" t="n">
        <f aca="false">SUM(AC33:AN33)</f>
        <v>36036</v>
      </c>
      <c r="AC33" s="66" t="n">
        <f aca="false">IF(25&lt;$C$7,0,$K$7*$F$7*(1+$C$29))</f>
        <v>3003</v>
      </c>
      <c r="AD33" s="66" t="n">
        <f aca="false">IF(26&lt;$C$7,0,$K$7*$F$7*(1+$C$29))</f>
        <v>3003</v>
      </c>
      <c r="AE33" s="66" t="n">
        <f aca="false">IF(27&lt;$C$7,0,$K$7*$F$7*(1+$C$29))</f>
        <v>3003</v>
      </c>
      <c r="AF33" s="66" t="n">
        <f aca="false">IF(28&lt;$C$7,0,$K$7*$F$7*(1+$C$29))</f>
        <v>3003</v>
      </c>
      <c r="AG33" s="66" t="n">
        <f aca="false">IF(29&lt;$C$7,0,$K$7*$F$7*(1+$C$29))</f>
        <v>3003</v>
      </c>
      <c r="AH33" s="66" t="n">
        <f aca="false">IF(30&lt;$C$7,0,$K$7*$F$7*(1+$C$29))</f>
        <v>3003</v>
      </c>
      <c r="AI33" s="66" t="n">
        <f aca="false">IF(31&lt;$C$7,0,$K$7*$F$7*(1+$C$29))</f>
        <v>3003</v>
      </c>
      <c r="AJ33" s="66" t="n">
        <f aca="false">IF(32&lt;$C$7,0,$K$7*$F$7*(1+$C$29))</f>
        <v>3003</v>
      </c>
      <c r="AK33" s="66" t="n">
        <f aca="false">IF(33&lt;$C$7,0,$K$7*$F$7*(1+$C$29))</f>
        <v>3003</v>
      </c>
      <c r="AL33" s="66" t="n">
        <f aca="false">IF(34&lt;$C$7,0,$K$7*$F$7*(1+$C$29))</f>
        <v>3003</v>
      </c>
      <c r="AM33" s="66" t="n">
        <f aca="false">IF(35&lt;$C$7,0,$K$7*$F$7*(1+$C$29))</f>
        <v>3003</v>
      </c>
      <c r="AN33" s="66" t="n">
        <f aca="false">IF(36&lt;$C$7,0,$K$7*$F$7*(1+$C$29))</f>
        <v>3003</v>
      </c>
      <c r="AO33" s="65" t="n">
        <f aca="false">SUM(AP33:BA33)</f>
        <v>41580</v>
      </c>
      <c r="AP33" s="66" t="n">
        <f aca="false">IF(37&lt;$C$7,0,$L$7*$G$7*(1+$C$29))</f>
        <v>3465</v>
      </c>
      <c r="AQ33" s="66" t="n">
        <f aca="false">IF(38&lt;$C$7,0,$L$7*$G$7*(1+$C$29))</f>
        <v>3465</v>
      </c>
      <c r="AR33" s="66" t="n">
        <f aca="false">IF(39&lt;$C$7,0,$L$7*$G$7*(1+$C$29))</f>
        <v>3465</v>
      </c>
      <c r="AS33" s="66" t="n">
        <f aca="false">IF(40&lt;$C$7,0,$L$7*$G$7*(1+$C$29))</f>
        <v>3465</v>
      </c>
      <c r="AT33" s="66" t="n">
        <f aca="false">IF(41&lt;$C$7,0,$L$7*$G$7*(1+$C$29))</f>
        <v>3465</v>
      </c>
      <c r="AU33" s="66" t="n">
        <f aca="false">IF(42&lt;$C$7,0,$L$7*$G$7*(1+$C$29))</f>
        <v>3465</v>
      </c>
      <c r="AV33" s="66" t="n">
        <f aca="false">IF(43&lt;$C$7,0,$L$7*$G$7*(1+$C$29))</f>
        <v>3465</v>
      </c>
      <c r="AW33" s="66" t="n">
        <f aca="false">IF(44&lt;$C$7,0,$L$7*$G$7*(1+$C$29))</f>
        <v>3465</v>
      </c>
      <c r="AX33" s="66" t="n">
        <f aca="false">IF(45&lt;$C$7,0,$L$7*$G$7*(1+$C$29))</f>
        <v>3465</v>
      </c>
      <c r="AY33" s="66" t="n">
        <f aca="false">IF(46&lt;$C$7,0,$L$7*$G$7*(1+$C$29))</f>
        <v>3465</v>
      </c>
      <c r="AZ33" s="66" t="n">
        <f aca="false">IF(47&lt;$C$7,0,$L$7*$G$7*(1+$C$29))</f>
        <v>3465</v>
      </c>
      <c r="BA33" s="66" t="n">
        <f aca="false">IF(48&lt;$C$7,0,$L$7*$G$7*(1+$C$29))</f>
        <v>3465</v>
      </c>
      <c r="BB33" s="65" t="n">
        <f aca="false">SUM(BC33:BN33)</f>
        <v>44352</v>
      </c>
      <c r="BC33" s="66" t="n">
        <f aca="false">IF(49&lt;$C$7,0,$M$7*$H$7*(1+$C$29))</f>
        <v>3696</v>
      </c>
      <c r="BD33" s="66" t="n">
        <f aca="false">IF(50&lt;$C$7,0,$M$7*$H$7*(1+$C$29))</f>
        <v>3696</v>
      </c>
      <c r="BE33" s="66" t="n">
        <f aca="false">IF(51&lt;$C$7,0,$M$7*$H$7*(1+$C$29))</f>
        <v>3696</v>
      </c>
      <c r="BF33" s="66" t="n">
        <f aca="false">IF(52&lt;$C$7,0,$M$7*$H$7*(1+$C$29))</f>
        <v>3696</v>
      </c>
      <c r="BG33" s="66" t="n">
        <f aca="false">IF(53&lt;$C$7,0,$M$7*$H$7*(1+$C$29))</f>
        <v>3696</v>
      </c>
      <c r="BH33" s="66" t="n">
        <f aca="false">IF(54&lt;$C$7,0,$M$7*$H$7*(1+$C$29))</f>
        <v>3696</v>
      </c>
      <c r="BI33" s="66" t="n">
        <f aca="false">IF(55&lt;$C$7,0,$M$7*$H$7*(1+$C$29))</f>
        <v>3696</v>
      </c>
      <c r="BJ33" s="66" t="n">
        <f aca="false">IF(56&lt;$C$7,0,$M$7*$H$7*(1+$C$29))</f>
        <v>3696</v>
      </c>
      <c r="BK33" s="66" t="n">
        <f aca="false">IF(57&lt;$C$7,0,$M$7*$H$7*(1+$C$29))</f>
        <v>3696</v>
      </c>
      <c r="BL33" s="66" t="n">
        <f aca="false">IF(58&lt;$C$7,0,$M$7*$H$7*(1+$C$29))</f>
        <v>3696</v>
      </c>
      <c r="BM33" s="66" t="n">
        <f aca="false">IF(59&lt;$C$7,0,$M$7*$H$7*(1+$C$29))</f>
        <v>3696</v>
      </c>
      <c r="BN33" s="66" t="n">
        <f aca="false">IF(60&lt;$C$7,0,$M$7*$H$7*(1+$C$29))</f>
        <v>3696</v>
      </c>
    </row>
    <row r="34" customFormat="false" ht="15" hidden="false" customHeight="false" outlineLevel="0" collapsed="false">
      <c r="A34" s="12" t="s">
        <v>760</v>
      </c>
      <c r="B34" s="65" t="n">
        <f aca="false">SUM(C34:N34)</f>
        <v>12474</v>
      </c>
      <c r="C34" s="66" t="n">
        <f aca="false">IF(1&lt;$C$8,0,$I$8*$D$8*(1+$C$29))</f>
        <v>1039.5</v>
      </c>
      <c r="D34" s="66" t="n">
        <f aca="false">IF(2&lt;$C$8,0,$I$8*$D$8*(1+$C$29))</f>
        <v>1039.5</v>
      </c>
      <c r="E34" s="66" t="n">
        <f aca="false">IF(3&lt;$C$8,0,$I$8*$D$8*(1+$C$29))</f>
        <v>1039.5</v>
      </c>
      <c r="F34" s="66" t="n">
        <f aca="false">IF(4&lt;$C$8,0,$I$8*$D$8*(1+$C$29))</f>
        <v>1039.5</v>
      </c>
      <c r="G34" s="66" t="n">
        <f aca="false">IF(5&lt;$C$8,0,$I$8*$D$8*(1+$C$29))</f>
        <v>1039.5</v>
      </c>
      <c r="H34" s="66" t="n">
        <f aca="false">IF(6&lt;$C$8,0,$I$8*$D$8*(1+$C$29))</f>
        <v>1039.5</v>
      </c>
      <c r="I34" s="66" t="n">
        <f aca="false">IF(7&lt;$C$8,0,$I$8*$D$8*(1+$C$29))</f>
        <v>1039.5</v>
      </c>
      <c r="J34" s="66" t="n">
        <f aca="false">IF(8&lt;$C$8,0,$I$8*$D$8*(1+$C$29))</f>
        <v>1039.5</v>
      </c>
      <c r="K34" s="66" t="n">
        <f aca="false">IF(9&lt;$C$8,0,$I$8*$D$8*(1+$C$29))</f>
        <v>1039.5</v>
      </c>
      <c r="L34" s="66" t="n">
        <f aca="false">IF(10&lt;$C$8,0,$I$8*$D$8*(1+$C$29))</f>
        <v>1039.5</v>
      </c>
      <c r="M34" s="66" t="n">
        <f aca="false">IF(11&lt;$C$8,0,$I$8*$D$8*(1+$C$29))</f>
        <v>1039.5</v>
      </c>
      <c r="N34" s="66" t="n">
        <f aca="false">IF(12&lt;$C$8,0,$I$8*$D$8*(1+$C$29))</f>
        <v>1039.5</v>
      </c>
      <c r="O34" s="65" t="n">
        <f aca="false">SUM(P34:AA34)</f>
        <v>24948</v>
      </c>
      <c r="P34" s="66" t="n">
        <f aca="false">IF(13&lt;$C$8,0,$J$8*$E$8*(1+$C$29))</f>
        <v>2079</v>
      </c>
      <c r="Q34" s="66" t="n">
        <f aca="false">IF(14&lt;$C$8,0,$J$8*$E$8*(1+$C$29))</f>
        <v>2079</v>
      </c>
      <c r="R34" s="66" t="n">
        <f aca="false">IF(15&lt;$C$8,0,$J$8*$E$8*(1+$C$29))</f>
        <v>2079</v>
      </c>
      <c r="S34" s="66" t="n">
        <f aca="false">IF(16&lt;$C$8,0,$J$8*$E$8*(1+$C$29))</f>
        <v>2079</v>
      </c>
      <c r="T34" s="66" t="n">
        <f aca="false">IF(17&lt;$C$8,0,$J$8*$E$8*(1+$C$29))</f>
        <v>2079</v>
      </c>
      <c r="U34" s="66" t="n">
        <f aca="false">IF(18&lt;$C$8,0,$J$8*$E$8*(1+$C$29))</f>
        <v>2079</v>
      </c>
      <c r="V34" s="66" t="n">
        <f aca="false">IF(19&lt;$C$8,0,$J$8*$E$8*(1+$C$29))</f>
        <v>2079</v>
      </c>
      <c r="W34" s="66" t="n">
        <f aca="false">IF(20&lt;$C$8,0,$J$8*$E$8*(1+$C$29))</f>
        <v>2079</v>
      </c>
      <c r="X34" s="66" t="n">
        <f aca="false">IF(21&lt;$C$8,0,$J$8*$E$8*(1+$C$29))</f>
        <v>2079</v>
      </c>
      <c r="Y34" s="66" t="n">
        <f aca="false">IF(22&lt;$C$8,0,$J$8*$E$8*(1+$C$29))</f>
        <v>2079</v>
      </c>
      <c r="Z34" s="66" t="n">
        <f aca="false">IF(23&lt;$C$8,0,$J$8*$E$8*(1+$C$29))</f>
        <v>2079</v>
      </c>
      <c r="AA34" s="66" t="n">
        <f aca="false">IF(24&lt;$C$8,0,$J$8*$E$8*(1+$C$29))</f>
        <v>2079</v>
      </c>
      <c r="AB34" s="65" t="n">
        <f aca="false">SUM(AC34:AN34)</f>
        <v>36036</v>
      </c>
      <c r="AC34" s="66" t="n">
        <f aca="false">IF(25&lt;$C$8,0,$K$8*$F$8*(1+$C$29))</f>
        <v>3003</v>
      </c>
      <c r="AD34" s="66" t="n">
        <f aca="false">IF(26&lt;$C$8,0,$K$8*$F$8*(1+$C$29))</f>
        <v>3003</v>
      </c>
      <c r="AE34" s="66" t="n">
        <f aca="false">IF(27&lt;$C$8,0,$K$8*$F$8*(1+$C$29))</f>
        <v>3003</v>
      </c>
      <c r="AF34" s="66" t="n">
        <f aca="false">IF(28&lt;$C$8,0,$K$8*$F$8*(1+$C$29))</f>
        <v>3003</v>
      </c>
      <c r="AG34" s="66" t="n">
        <f aca="false">IF(29&lt;$C$8,0,$K$8*$F$8*(1+$C$29))</f>
        <v>3003</v>
      </c>
      <c r="AH34" s="66" t="n">
        <f aca="false">IF(30&lt;$C$8,0,$K$8*$F$8*(1+$C$29))</f>
        <v>3003</v>
      </c>
      <c r="AI34" s="66" t="n">
        <f aca="false">IF(31&lt;$C$8,0,$K$8*$F$8*(1+$C$29))</f>
        <v>3003</v>
      </c>
      <c r="AJ34" s="66" t="n">
        <f aca="false">IF(32&lt;$C$8,0,$K$8*$F$8*(1+$C$29))</f>
        <v>3003</v>
      </c>
      <c r="AK34" s="66" t="n">
        <f aca="false">IF(33&lt;$C$8,0,$K$8*$F$8*(1+$C$29))</f>
        <v>3003</v>
      </c>
      <c r="AL34" s="66" t="n">
        <f aca="false">IF(34&lt;$C$8,0,$K$8*$F$8*(1+$C$29))</f>
        <v>3003</v>
      </c>
      <c r="AM34" s="66" t="n">
        <f aca="false">IF(35&lt;$C$8,0,$K$8*$F$8*(1+$C$29))</f>
        <v>3003</v>
      </c>
      <c r="AN34" s="66" t="n">
        <f aca="false">IF(36&lt;$C$8,0,$K$8*$F$8*(1+$C$29))</f>
        <v>3003</v>
      </c>
      <c r="AO34" s="65" t="n">
        <f aca="false">SUM(AP34:BA34)</f>
        <v>41580</v>
      </c>
      <c r="AP34" s="66" t="n">
        <f aca="false">IF(37&lt;$C$8,0,$L$8*$G$8*(1+$C$29))</f>
        <v>3465</v>
      </c>
      <c r="AQ34" s="66" t="n">
        <f aca="false">IF(38&lt;$C$8,0,$L$8*$G$8*(1+$C$29))</f>
        <v>3465</v>
      </c>
      <c r="AR34" s="66" t="n">
        <f aca="false">IF(39&lt;$C$8,0,$L$8*$G$8*(1+$C$29))</f>
        <v>3465</v>
      </c>
      <c r="AS34" s="66" t="n">
        <f aca="false">IF(40&lt;$C$8,0,$L$8*$G$8*(1+$C$29))</f>
        <v>3465</v>
      </c>
      <c r="AT34" s="66" t="n">
        <f aca="false">IF(41&lt;$C$8,0,$L$8*$G$8*(1+$C$29))</f>
        <v>3465</v>
      </c>
      <c r="AU34" s="66" t="n">
        <f aca="false">IF(42&lt;$C$8,0,$L$8*$G$8*(1+$C$29))</f>
        <v>3465</v>
      </c>
      <c r="AV34" s="66" t="n">
        <f aca="false">IF(43&lt;$C$8,0,$L$8*$G$8*(1+$C$29))</f>
        <v>3465</v>
      </c>
      <c r="AW34" s="66" t="n">
        <f aca="false">IF(44&lt;$C$8,0,$L$8*$G$8*(1+$C$29))</f>
        <v>3465</v>
      </c>
      <c r="AX34" s="66" t="n">
        <f aca="false">IF(45&lt;$C$8,0,$L$8*$G$8*(1+$C$29))</f>
        <v>3465</v>
      </c>
      <c r="AY34" s="66" t="n">
        <f aca="false">IF(46&lt;$C$8,0,$L$8*$G$8*(1+$C$29))</f>
        <v>3465</v>
      </c>
      <c r="AZ34" s="66" t="n">
        <f aca="false">IF(47&lt;$C$8,0,$L$8*$G$8*(1+$C$29))</f>
        <v>3465</v>
      </c>
      <c r="BA34" s="66" t="n">
        <f aca="false">IF(48&lt;$C$8,0,$L$8*$G$8*(1+$C$29))</f>
        <v>3465</v>
      </c>
      <c r="BB34" s="65" t="n">
        <f aca="false">SUM(BC34:BN34)</f>
        <v>44352</v>
      </c>
      <c r="BC34" s="66" t="n">
        <f aca="false">IF(49&lt;$C$8,0,$M$8*$H$8*(1+$C$29))</f>
        <v>3696</v>
      </c>
      <c r="BD34" s="66" t="n">
        <f aca="false">IF(50&lt;$C$8,0,$M$8*$H$8*(1+$C$29))</f>
        <v>3696</v>
      </c>
      <c r="BE34" s="66" t="n">
        <f aca="false">IF(51&lt;$C$8,0,$M$8*$H$8*(1+$C$29))</f>
        <v>3696</v>
      </c>
      <c r="BF34" s="66" t="n">
        <f aca="false">IF(52&lt;$C$8,0,$M$8*$H$8*(1+$C$29))</f>
        <v>3696</v>
      </c>
      <c r="BG34" s="66" t="n">
        <f aca="false">IF(53&lt;$C$8,0,$M$8*$H$8*(1+$C$29))</f>
        <v>3696</v>
      </c>
      <c r="BH34" s="66" t="n">
        <f aca="false">IF(54&lt;$C$8,0,$M$8*$H$8*(1+$C$29))</f>
        <v>3696</v>
      </c>
      <c r="BI34" s="66" t="n">
        <f aca="false">IF(55&lt;$C$8,0,$M$8*$H$8*(1+$C$29))</f>
        <v>3696</v>
      </c>
      <c r="BJ34" s="66" t="n">
        <f aca="false">IF(56&lt;$C$8,0,$M$8*$H$8*(1+$C$29))</f>
        <v>3696</v>
      </c>
      <c r="BK34" s="66" t="n">
        <f aca="false">IF(57&lt;$C$8,0,$M$8*$H$8*(1+$C$29))</f>
        <v>3696</v>
      </c>
      <c r="BL34" s="66" t="n">
        <f aca="false">IF(58&lt;$C$8,0,$M$8*$H$8*(1+$C$29))</f>
        <v>3696</v>
      </c>
      <c r="BM34" s="66" t="n">
        <f aca="false">IF(59&lt;$C$8,0,$M$8*$H$8*(1+$C$29))</f>
        <v>3696</v>
      </c>
      <c r="BN34" s="66" t="n">
        <f aca="false">IF(60&lt;$C$8,0,$M$8*$H$8*(1+$C$29))</f>
        <v>3696</v>
      </c>
    </row>
    <row r="35" customFormat="false" ht="15" hidden="false" customHeight="false" outlineLevel="0" collapsed="false">
      <c r="A35" s="12" t="s">
        <v>761</v>
      </c>
      <c r="B35" s="65" t="n">
        <f aca="false">SUM(C35:N35)</f>
        <v>0</v>
      </c>
      <c r="C35" s="66" t="n">
        <f aca="false">IF(1&lt;$C$9,0,$I$9*$D$9*(1+$C$29))</f>
        <v>0</v>
      </c>
      <c r="D35" s="66" t="n">
        <f aca="false">IF(2&lt;$C$9,0,$I$9*$D$9*(1+$C$29))</f>
        <v>0</v>
      </c>
      <c r="E35" s="66" t="n">
        <f aca="false">IF(3&lt;$C$9,0,$I$9*$D$9*(1+$C$29))</f>
        <v>0</v>
      </c>
      <c r="F35" s="66" t="n">
        <f aca="false">IF(4&lt;$C$9,0,$I$9*$D$9*(1+$C$29))</f>
        <v>0</v>
      </c>
      <c r="G35" s="66" t="n">
        <f aca="false">IF(5&lt;$C$9,0,$I$9*$D$9*(1+$C$29))</f>
        <v>0</v>
      </c>
      <c r="H35" s="66" t="n">
        <f aca="false">IF(6&lt;$C$9,0,$I$9*$D$9*(1+$C$29))</f>
        <v>0</v>
      </c>
      <c r="I35" s="66" t="n">
        <f aca="false">IF(7&lt;$C$9,0,$I$9*$D$9*(1+$C$29))</f>
        <v>0</v>
      </c>
      <c r="J35" s="66" t="n">
        <f aca="false">IF(8&lt;$C$9,0,$I$9*$D$9*(1+$C$29))</f>
        <v>0</v>
      </c>
      <c r="K35" s="66" t="n">
        <f aca="false">IF(9&lt;$C$9,0,$I$9*$D$9*(1+$C$29))</f>
        <v>0</v>
      </c>
      <c r="L35" s="66" t="n">
        <f aca="false">IF(10&lt;$C$9,0,$I$9*$D$9*(1+$C$29))</f>
        <v>0</v>
      </c>
      <c r="M35" s="66" t="n">
        <f aca="false">IF(11&lt;$C$9,0,$I$9*$D$9*(1+$C$29))</f>
        <v>0</v>
      </c>
      <c r="N35" s="66" t="n">
        <f aca="false">IF(12&lt;$C$9,0,$I$9*$D$9*(1+$C$29))</f>
        <v>0</v>
      </c>
      <c r="O35" s="65" t="n">
        <f aca="false">SUM(P35:AA35)</f>
        <v>0</v>
      </c>
      <c r="P35" s="66" t="n">
        <f aca="false">IF(13&lt;$C$9,0,$J$9*$E$9*(1+$C$29))</f>
        <v>0</v>
      </c>
      <c r="Q35" s="66" t="n">
        <f aca="false">IF(14&lt;$C$9,0,$J$9*$E$9*(1+$C$29))</f>
        <v>0</v>
      </c>
      <c r="R35" s="66" t="n">
        <f aca="false">IF(15&lt;$C$9,0,$J$9*$E$9*(1+$C$29))</f>
        <v>0</v>
      </c>
      <c r="S35" s="66" t="n">
        <f aca="false">IF(16&lt;$C$9,0,$J$9*$E$9*(1+$C$29))</f>
        <v>0</v>
      </c>
      <c r="T35" s="66" t="n">
        <f aca="false">IF(17&lt;$C$9,0,$J$9*$E$9*(1+$C$29))</f>
        <v>0</v>
      </c>
      <c r="U35" s="66" t="n">
        <f aca="false">IF(18&lt;$C$9,0,$J$9*$E$9*(1+$C$29))</f>
        <v>0</v>
      </c>
      <c r="V35" s="66" t="n">
        <f aca="false">IF(19&lt;$C$9,0,$J$9*$E$9*(1+$C$29))</f>
        <v>0</v>
      </c>
      <c r="W35" s="66" t="n">
        <f aca="false">IF(20&lt;$C$9,0,$J$9*$E$9*(1+$C$29))</f>
        <v>0</v>
      </c>
      <c r="X35" s="66" t="n">
        <f aca="false">IF(21&lt;$C$9,0,$J$9*$E$9*(1+$C$29))</f>
        <v>0</v>
      </c>
      <c r="Y35" s="66" t="n">
        <f aca="false">IF(22&lt;$C$9,0,$J$9*$E$9*(1+$C$29))</f>
        <v>0</v>
      </c>
      <c r="Z35" s="66" t="n">
        <f aca="false">IF(23&lt;$C$9,0,$J$9*$E$9*(1+$C$29))</f>
        <v>0</v>
      </c>
      <c r="AA35" s="66" t="n">
        <f aca="false">IF(24&lt;$C$9,0,$J$9*$E$9*(1+$C$29))</f>
        <v>0</v>
      </c>
      <c r="AB35" s="65" t="n">
        <f aca="false">SUM(AC35:AN35)</f>
        <v>0</v>
      </c>
      <c r="AC35" s="66" t="n">
        <f aca="false">IF(25&lt;$C$9,0,$K$9*$F$9*(1+$C$29))</f>
        <v>0</v>
      </c>
      <c r="AD35" s="66" t="n">
        <f aca="false">IF(26&lt;$C$9,0,$K$9*$F$9*(1+$C$29))</f>
        <v>0</v>
      </c>
      <c r="AE35" s="66" t="n">
        <f aca="false">IF(27&lt;$C$9,0,$K$9*$F$9*(1+$C$29))</f>
        <v>0</v>
      </c>
      <c r="AF35" s="66" t="n">
        <f aca="false">IF(28&lt;$C$9,0,$K$9*$F$9*(1+$C$29))</f>
        <v>0</v>
      </c>
      <c r="AG35" s="66" t="n">
        <f aca="false">IF(29&lt;$C$9,0,$K$9*$F$9*(1+$C$29))</f>
        <v>0</v>
      </c>
      <c r="AH35" s="66" t="n">
        <f aca="false">IF(30&lt;$C$9,0,$K$9*$F$9*(1+$C$29))</f>
        <v>0</v>
      </c>
      <c r="AI35" s="66" t="n">
        <f aca="false">IF(31&lt;$C$9,0,$K$9*$F$9*(1+$C$29))</f>
        <v>0</v>
      </c>
      <c r="AJ35" s="66" t="n">
        <f aca="false">IF(32&lt;$C$9,0,$K$9*$F$9*(1+$C$29))</f>
        <v>0</v>
      </c>
      <c r="AK35" s="66" t="n">
        <f aca="false">IF(33&lt;$C$9,0,$K$9*$F$9*(1+$C$29))</f>
        <v>0</v>
      </c>
      <c r="AL35" s="66" t="n">
        <f aca="false">IF(34&lt;$C$9,0,$K$9*$F$9*(1+$C$29))</f>
        <v>0</v>
      </c>
      <c r="AM35" s="66" t="n">
        <f aca="false">IF(35&lt;$C$9,0,$K$9*$F$9*(1+$C$29))</f>
        <v>0</v>
      </c>
      <c r="AN35" s="66" t="n">
        <f aca="false">IF(36&lt;$C$9,0,$K$9*$F$9*(1+$C$29))</f>
        <v>0</v>
      </c>
      <c r="AO35" s="65" t="n">
        <f aca="false">SUM(AP35:BA35)</f>
        <v>41580</v>
      </c>
      <c r="AP35" s="66" t="n">
        <f aca="false">IF(37&lt;$C$9,0,$L$9*$G$9*(1+$C$29))</f>
        <v>3465</v>
      </c>
      <c r="AQ35" s="66" t="n">
        <f aca="false">IF(38&lt;$C$9,0,$L$9*$G$9*(1+$C$29))</f>
        <v>3465</v>
      </c>
      <c r="AR35" s="66" t="n">
        <f aca="false">IF(39&lt;$C$9,0,$L$9*$G$9*(1+$C$29))</f>
        <v>3465</v>
      </c>
      <c r="AS35" s="66" t="n">
        <f aca="false">IF(40&lt;$C$9,0,$L$9*$G$9*(1+$C$29))</f>
        <v>3465</v>
      </c>
      <c r="AT35" s="66" t="n">
        <f aca="false">IF(41&lt;$C$9,0,$L$9*$G$9*(1+$C$29))</f>
        <v>3465</v>
      </c>
      <c r="AU35" s="66" t="n">
        <f aca="false">IF(42&lt;$C$9,0,$L$9*$G$9*(1+$C$29))</f>
        <v>3465</v>
      </c>
      <c r="AV35" s="66" t="n">
        <f aca="false">IF(43&lt;$C$9,0,$L$9*$G$9*(1+$C$29))</f>
        <v>3465</v>
      </c>
      <c r="AW35" s="66" t="n">
        <f aca="false">IF(44&lt;$C$9,0,$L$9*$G$9*(1+$C$29))</f>
        <v>3465</v>
      </c>
      <c r="AX35" s="66" t="n">
        <f aca="false">IF(45&lt;$C$9,0,$L$9*$G$9*(1+$C$29))</f>
        <v>3465</v>
      </c>
      <c r="AY35" s="66" t="n">
        <f aca="false">IF(46&lt;$C$9,0,$L$9*$G$9*(1+$C$29))</f>
        <v>3465</v>
      </c>
      <c r="AZ35" s="66" t="n">
        <f aca="false">IF(47&lt;$C$9,0,$L$9*$G$9*(1+$C$29))</f>
        <v>3465</v>
      </c>
      <c r="BA35" s="66" t="n">
        <f aca="false">IF(48&lt;$C$9,0,$L$9*$G$9*(1+$C$29))</f>
        <v>3465</v>
      </c>
      <c r="BB35" s="65" t="n">
        <f aca="false">SUM(BC35:BN35)</f>
        <v>44352</v>
      </c>
      <c r="BC35" s="66" t="n">
        <f aca="false">IF(49&lt;$C$9,0,$M$9*$H$9*(1+$C$29))</f>
        <v>3696</v>
      </c>
      <c r="BD35" s="66" t="n">
        <f aca="false">IF(50&lt;$C$9,0,$M$9*$H$9*(1+$C$29))</f>
        <v>3696</v>
      </c>
      <c r="BE35" s="66" t="n">
        <f aca="false">IF(51&lt;$C$9,0,$M$9*$H$9*(1+$C$29))</f>
        <v>3696</v>
      </c>
      <c r="BF35" s="66" t="n">
        <f aca="false">IF(52&lt;$C$9,0,$M$9*$H$9*(1+$C$29))</f>
        <v>3696</v>
      </c>
      <c r="BG35" s="66" t="n">
        <f aca="false">IF(53&lt;$C$9,0,$M$9*$H$9*(1+$C$29))</f>
        <v>3696</v>
      </c>
      <c r="BH35" s="66" t="n">
        <f aca="false">IF(54&lt;$C$9,0,$M$9*$H$9*(1+$C$29))</f>
        <v>3696</v>
      </c>
      <c r="BI35" s="66" t="n">
        <f aca="false">IF(55&lt;$C$9,0,$M$9*$H$9*(1+$C$29))</f>
        <v>3696</v>
      </c>
      <c r="BJ35" s="66" t="n">
        <f aca="false">IF(56&lt;$C$9,0,$M$9*$H$9*(1+$C$29))</f>
        <v>3696</v>
      </c>
      <c r="BK35" s="66" t="n">
        <f aca="false">IF(57&lt;$C$9,0,$M$9*$H$9*(1+$C$29))</f>
        <v>3696</v>
      </c>
      <c r="BL35" s="66" t="n">
        <f aca="false">IF(58&lt;$C$9,0,$M$9*$H$9*(1+$C$29))</f>
        <v>3696</v>
      </c>
      <c r="BM35" s="66" t="n">
        <f aca="false">IF(59&lt;$C$9,0,$M$9*$H$9*(1+$C$29))</f>
        <v>3696</v>
      </c>
      <c r="BN35" s="66" t="n">
        <f aca="false">IF(60&lt;$C$9,0,$M$9*$H$9*(1+$C$29))</f>
        <v>3696</v>
      </c>
    </row>
    <row r="36" customFormat="false" ht="15" hidden="false" customHeight="false" outlineLevel="0" collapsed="false">
      <c r="A36" s="12" t="s">
        <v>762</v>
      </c>
      <c r="B36" s="65" t="n">
        <f aca="false">SUM(C36:N36)</f>
        <v>11088</v>
      </c>
      <c r="C36" s="66" t="n">
        <f aca="false">IF(1&lt;$C$10,0,$I$10*$D$10*(1+$C$29))</f>
        <v>924</v>
      </c>
      <c r="D36" s="66" t="n">
        <f aca="false">IF(2&lt;$C$10,0,$I$10*$D$10*(1+$C$29))</f>
        <v>924</v>
      </c>
      <c r="E36" s="66" t="n">
        <f aca="false">IF(3&lt;$C$10,0,$I$10*$D$10*(1+$C$29))</f>
        <v>924</v>
      </c>
      <c r="F36" s="66" t="n">
        <f aca="false">IF(4&lt;$C$10,0,$I$10*$D$10*(1+$C$29))</f>
        <v>924</v>
      </c>
      <c r="G36" s="66" t="n">
        <f aca="false">IF(5&lt;$C$10,0,$I$10*$D$10*(1+$C$29))</f>
        <v>924</v>
      </c>
      <c r="H36" s="66" t="n">
        <f aca="false">IF(6&lt;$C$10,0,$I$10*$D$10*(1+$C$29))</f>
        <v>924</v>
      </c>
      <c r="I36" s="66" t="n">
        <f aca="false">IF(7&lt;$C$10,0,$I$10*$D$10*(1+$C$29))</f>
        <v>924</v>
      </c>
      <c r="J36" s="66" t="n">
        <f aca="false">IF(8&lt;$C$10,0,$I$10*$D$10*(1+$C$29))</f>
        <v>924</v>
      </c>
      <c r="K36" s="66" t="n">
        <f aca="false">IF(9&lt;$C$10,0,$I$10*$D$10*(1+$C$29))</f>
        <v>924</v>
      </c>
      <c r="L36" s="66" t="n">
        <f aca="false">IF(10&lt;$C$10,0,$I$10*$D$10*(1+$C$29))</f>
        <v>924</v>
      </c>
      <c r="M36" s="66" t="n">
        <f aca="false">IF(11&lt;$C$10,0,$I$10*$D$10*(1+$C$29))</f>
        <v>924</v>
      </c>
      <c r="N36" s="66" t="n">
        <f aca="false">IF(12&lt;$C$10,0,$I$10*$D$10*(1+$C$29))</f>
        <v>924</v>
      </c>
      <c r="O36" s="65" t="n">
        <f aca="false">SUM(P36:AA36)</f>
        <v>52668</v>
      </c>
      <c r="P36" s="66" t="n">
        <f aca="false">IF(13&lt;$C$10,0,$J$10*$E$10*(1+$C$29))</f>
        <v>4389</v>
      </c>
      <c r="Q36" s="66" t="n">
        <f aca="false">IF(14&lt;$C$10,0,$J$10*$E$10*(1+$C$29))</f>
        <v>4389</v>
      </c>
      <c r="R36" s="66" t="n">
        <f aca="false">IF(15&lt;$C$10,0,$J$10*$E$10*(1+$C$29))</f>
        <v>4389</v>
      </c>
      <c r="S36" s="66" t="n">
        <f aca="false">IF(16&lt;$C$10,0,$J$10*$E$10*(1+$C$29))</f>
        <v>4389</v>
      </c>
      <c r="T36" s="66" t="n">
        <f aca="false">IF(17&lt;$C$10,0,$J$10*$E$10*(1+$C$29))</f>
        <v>4389</v>
      </c>
      <c r="U36" s="66" t="n">
        <f aca="false">IF(18&lt;$C$10,0,$J$10*$E$10*(1+$C$29))</f>
        <v>4389</v>
      </c>
      <c r="V36" s="66" t="n">
        <f aca="false">IF(19&lt;$C$10,0,$J$10*$E$10*(1+$C$29))</f>
        <v>4389</v>
      </c>
      <c r="W36" s="66" t="n">
        <f aca="false">IF(20&lt;$C$10,0,$J$10*$E$10*(1+$C$29))</f>
        <v>4389</v>
      </c>
      <c r="X36" s="66" t="n">
        <f aca="false">IF(21&lt;$C$10,0,$J$10*$E$10*(1+$C$29))</f>
        <v>4389</v>
      </c>
      <c r="Y36" s="66" t="n">
        <f aca="false">IF(22&lt;$C$10,0,$J$10*$E$10*(1+$C$29))</f>
        <v>4389</v>
      </c>
      <c r="Z36" s="66" t="n">
        <f aca="false">IF(23&lt;$C$10,0,$J$10*$E$10*(1+$C$29))</f>
        <v>4389</v>
      </c>
      <c r="AA36" s="66" t="n">
        <f aca="false">IF(24&lt;$C$10,0,$J$10*$E$10*(1+$C$29))</f>
        <v>4389</v>
      </c>
      <c r="AB36" s="65" t="n">
        <f aca="false">SUM(AC36:AN36)</f>
        <v>66528</v>
      </c>
      <c r="AC36" s="66" t="n">
        <f aca="false">IF(25&lt;$C$10,0,$K$10*$F$10*(1+$C$29))</f>
        <v>5544</v>
      </c>
      <c r="AD36" s="66" t="n">
        <f aca="false">IF(26&lt;$C$10,0,$K$10*$F$10*(1+$C$29))</f>
        <v>5544</v>
      </c>
      <c r="AE36" s="66" t="n">
        <f aca="false">IF(27&lt;$C$10,0,$K$10*$F$10*(1+$C$29))</f>
        <v>5544</v>
      </c>
      <c r="AF36" s="66" t="n">
        <f aca="false">IF(28&lt;$C$10,0,$K$10*$F$10*(1+$C$29))</f>
        <v>5544</v>
      </c>
      <c r="AG36" s="66" t="n">
        <f aca="false">IF(29&lt;$C$10,0,$K$10*$F$10*(1+$C$29))</f>
        <v>5544</v>
      </c>
      <c r="AH36" s="66" t="n">
        <f aca="false">IF(30&lt;$C$10,0,$K$10*$F$10*(1+$C$29))</f>
        <v>5544</v>
      </c>
      <c r="AI36" s="66" t="n">
        <f aca="false">IF(31&lt;$C$10,0,$K$10*$F$10*(1+$C$29))</f>
        <v>5544</v>
      </c>
      <c r="AJ36" s="66" t="n">
        <f aca="false">IF(32&lt;$C$10,0,$K$10*$F$10*(1+$C$29))</f>
        <v>5544</v>
      </c>
      <c r="AK36" s="66" t="n">
        <f aca="false">IF(33&lt;$C$10,0,$K$10*$F$10*(1+$C$29))</f>
        <v>5544</v>
      </c>
      <c r="AL36" s="66" t="n">
        <f aca="false">IF(34&lt;$C$10,0,$K$10*$F$10*(1+$C$29))</f>
        <v>5544</v>
      </c>
      <c r="AM36" s="66" t="n">
        <f aca="false">IF(35&lt;$C$10,0,$K$10*$F$10*(1+$C$29))</f>
        <v>5544</v>
      </c>
      <c r="AN36" s="66" t="n">
        <f aca="false">IF(36&lt;$C$10,0,$K$10*$F$10*(1+$C$29))</f>
        <v>5544</v>
      </c>
      <c r="AO36" s="65" t="n">
        <f aca="false">SUM(AP36:BA36)</f>
        <v>69300</v>
      </c>
      <c r="AP36" s="66" t="n">
        <f aca="false">IF(37&lt;$C$10,0,$L$10*$G$10*(1+$C$29))</f>
        <v>5775</v>
      </c>
      <c r="AQ36" s="66" t="n">
        <f aca="false">IF(38&lt;$C$10,0,$L$10*$G$10*(1+$C$29))</f>
        <v>5775</v>
      </c>
      <c r="AR36" s="66" t="n">
        <f aca="false">IF(39&lt;$C$10,0,$L$10*$G$10*(1+$C$29))</f>
        <v>5775</v>
      </c>
      <c r="AS36" s="66" t="n">
        <f aca="false">IF(40&lt;$C$10,0,$L$10*$G$10*(1+$C$29))</f>
        <v>5775</v>
      </c>
      <c r="AT36" s="66" t="n">
        <f aca="false">IF(41&lt;$C$10,0,$L$10*$G$10*(1+$C$29))</f>
        <v>5775</v>
      </c>
      <c r="AU36" s="66" t="n">
        <f aca="false">IF(42&lt;$C$10,0,$L$10*$G$10*(1+$C$29))</f>
        <v>5775</v>
      </c>
      <c r="AV36" s="66" t="n">
        <f aca="false">IF(43&lt;$C$10,0,$L$10*$G$10*(1+$C$29))</f>
        <v>5775</v>
      </c>
      <c r="AW36" s="66" t="n">
        <f aca="false">IF(44&lt;$C$10,0,$L$10*$G$10*(1+$C$29))</f>
        <v>5775</v>
      </c>
      <c r="AX36" s="66" t="n">
        <f aca="false">IF(45&lt;$C$10,0,$L$10*$G$10*(1+$C$29))</f>
        <v>5775</v>
      </c>
      <c r="AY36" s="66" t="n">
        <f aca="false">IF(46&lt;$C$10,0,$L$10*$G$10*(1+$C$29))</f>
        <v>5775</v>
      </c>
      <c r="AZ36" s="66" t="n">
        <f aca="false">IF(47&lt;$C$10,0,$L$10*$G$10*(1+$C$29))</f>
        <v>5775</v>
      </c>
      <c r="BA36" s="66" t="n">
        <f aca="false">IF(48&lt;$C$10,0,$L$10*$G$10*(1+$C$29))</f>
        <v>5775</v>
      </c>
      <c r="BB36" s="65" t="n">
        <f aca="false">SUM(BC36:BN36)</f>
        <v>72072</v>
      </c>
      <c r="BC36" s="66" t="n">
        <f aca="false">IF(49&lt;$C$10,0,$M$10*$H$10*(1+$C$29))</f>
        <v>6006</v>
      </c>
      <c r="BD36" s="66" t="n">
        <f aca="false">IF(50&lt;$C$10,0,$M$10*$H$10*(1+$C$29))</f>
        <v>6006</v>
      </c>
      <c r="BE36" s="66" t="n">
        <f aca="false">IF(51&lt;$C$10,0,$M$10*$H$10*(1+$C$29))</f>
        <v>6006</v>
      </c>
      <c r="BF36" s="66" t="n">
        <f aca="false">IF(52&lt;$C$10,0,$M$10*$H$10*(1+$C$29))</f>
        <v>6006</v>
      </c>
      <c r="BG36" s="66" t="n">
        <f aca="false">IF(53&lt;$C$10,0,$M$10*$H$10*(1+$C$29))</f>
        <v>6006</v>
      </c>
      <c r="BH36" s="66" t="n">
        <f aca="false">IF(54&lt;$C$10,0,$M$10*$H$10*(1+$C$29))</f>
        <v>6006</v>
      </c>
      <c r="BI36" s="66" t="n">
        <f aca="false">IF(55&lt;$C$10,0,$M$10*$H$10*(1+$C$29))</f>
        <v>6006</v>
      </c>
      <c r="BJ36" s="66" t="n">
        <f aca="false">IF(56&lt;$C$10,0,$M$10*$H$10*(1+$C$29))</f>
        <v>6006</v>
      </c>
      <c r="BK36" s="66" t="n">
        <f aca="false">IF(57&lt;$C$10,0,$M$10*$H$10*(1+$C$29))</f>
        <v>6006</v>
      </c>
      <c r="BL36" s="66" t="n">
        <f aca="false">IF(58&lt;$C$10,0,$M$10*$H$10*(1+$C$29))</f>
        <v>6006</v>
      </c>
      <c r="BM36" s="66" t="n">
        <f aca="false">IF(59&lt;$C$10,0,$M$10*$H$10*(1+$C$29))</f>
        <v>6006</v>
      </c>
      <c r="BN36" s="66" t="n">
        <f aca="false">IF(60&lt;$C$10,0,$M$10*$H$10*(1+$C$29))</f>
        <v>6006</v>
      </c>
    </row>
    <row r="37" customFormat="false" ht="15" hidden="false" customHeight="false" outlineLevel="0" collapsed="false">
      <c r="A37" s="12" t="s">
        <v>763</v>
      </c>
      <c r="B37" s="65" t="n">
        <f aca="false">SUM(C37:N37)</f>
        <v>0</v>
      </c>
      <c r="C37" s="66" t="n">
        <f aca="false">IF(1&lt;$C$11,0,$I$11*$D$11*(1+$C$29))</f>
        <v>0</v>
      </c>
      <c r="D37" s="66" t="n">
        <f aca="false">IF(2&lt;$C$11,0,$I$11*$D$11*(1+$C$29))</f>
        <v>0</v>
      </c>
      <c r="E37" s="66" t="n">
        <f aca="false">IF(3&lt;$C$11,0,$I$11*$D$11*(1+$C$29))</f>
        <v>0</v>
      </c>
      <c r="F37" s="66" t="n">
        <f aca="false">IF(4&lt;$C$11,0,$I$11*$D$11*(1+$C$29))</f>
        <v>0</v>
      </c>
      <c r="G37" s="66" t="n">
        <f aca="false">IF(5&lt;$C$11,0,$I$11*$D$11*(1+$C$29))</f>
        <v>0</v>
      </c>
      <c r="H37" s="66" t="n">
        <f aca="false">IF(6&lt;$C$11,0,$I$11*$D$11*(1+$C$29))</f>
        <v>0</v>
      </c>
      <c r="I37" s="66" t="n">
        <f aca="false">IF(7&lt;$C$11,0,$I$11*$D$11*(1+$C$29))</f>
        <v>0</v>
      </c>
      <c r="J37" s="66" t="n">
        <f aca="false">IF(8&lt;$C$11,0,$I$11*$D$11*(1+$C$29))</f>
        <v>0</v>
      </c>
      <c r="K37" s="66" t="n">
        <f aca="false">IF(9&lt;$C$11,0,$I$11*$D$11*(1+$C$29))</f>
        <v>0</v>
      </c>
      <c r="L37" s="66" t="n">
        <f aca="false">IF(10&lt;$C$11,0,$I$11*$D$11*(1+$C$29))</f>
        <v>0</v>
      </c>
      <c r="M37" s="66" t="n">
        <f aca="false">IF(11&lt;$C$11,0,$I$11*$D$11*(1+$C$29))</f>
        <v>0</v>
      </c>
      <c r="N37" s="66" t="n">
        <f aca="false">IF(12&lt;$C$11,0,$I$11*$D$11*(1+$C$29))</f>
        <v>0</v>
      </c>
      <c r="O37" s="65" t="n">
        <f aca="false">SUM(P37:AA37)</f>
        <v>0</v>
      </c>
      <c r="P37" s="66" t="n">
        <f aca="false">IF(13&lt;$C$11,0,$J$11*$E$11*(1+$C$29))</f>
        <v>0</v>
      </c>
      <c r="Q37" s="66" t="n">
        <f aca="false">IF(14&lt;$C$11,0,$J$11*$E$11*(1+$C$29))</f>
        <v>0</v>
      </c>
      <c r="R37" s="66" t="n">
        <f aca="false">IF(15&lt;$C$11,0,$J$11*$E$11*(1+$C$29))</f>
        <v>0</v>
      </c>
      <c r="S37" s="66" t="n">
        <f aca="false">IF(16&lt;$C$11,0,$J$11*$E$11*(1+$C$29))</f>
        <v>0</v>
      </c>
      <c r="T37" s="66" t="n">
        <f aca="false">IF(17&lt;$C$11,0,$J$11*$E$11*(1+$C$29))</f>
        <v>0</v>
      </c>
      <c r="U37" s="66" t="n">
        <f aca="false">IF(18&lt;$C$11,0,$J$11*$E$11*(1+$C$29))</f>
        <v>0</v>
      </c>
      <c r="V37" s="66" t="n">
        <f aca="false">IF(19&lt;$C$11,0,$J$11*$E$11*(1+$C$29))</f>
        <v>0</v>
      </c>
      <c r="W37" s="66" t="n">
        <f aca="false">IF(20&lt;$C$11,0,$J$11*$E$11*(1+$C$29))</f>
        <v>0</v>
      </c>
      <c r="X37" s="66" t="n">
        <f aca="false">IF(21&lt;$C$11,0,$J$11*$E$11*(1+$C$29))</f>
        <v>0</v>
      </c>
      <c r="Y37" s="66" t="n">
        <f aca="false">IF(22&lt;$C$11,0,$J$11*$E$11*(1+$C$29))</f>
        <v>0</v>
      </c>
      <c r="Z37" s="66" t="n">
        <f aca="false">IF(23&lt;$C$11,0,$J$11*$E$11*(1+$C$29))</f>
        <v>0</v>
      </c>
      <c r="AA37" s="66" t="n">
        <f aca="false">IF(24&lt;$C$11,0,$J$11*$E$11*(1+$C$29))</f>
        <v>0</v>
      </c>
      <c r="AB37" s="65" t="n">
        <f aca="false">SUM(AC37:AN37)</f>
        <v>0</v>
      </c>
      <c r="AC37" s="66" t="n">
        <f aca="false">IF(25&lt;$C$11,0,$K$11*$F$11*(1+$C$29))</f>
        <v>0</v>
      </c>
      <c r="AD37" s="66" t="n">
        <f aca="false">IF(26&lt;$C$11,0,$K$11*$F$11*(1+$C$29))</f>
        <v>0</v>
      </c>
      <c r="AE37" s="66" t="n">
        <f aca="false">IF(27&lt;$C$11,0,$K$11*$F$11*(1+$C$29))</f>
        <v>0</v>
      </c>
      <c r="AF37" s="66" t="n">
        <f aca="false">IF(28&lt;$C$11,0,$K$11*$F$11*(1+$C$29))</f>
        <v>0</v>
      </c>
      <c r="AG37" s="66" t="n">
        <f aca="false">IF(29&lt;$C$11,0,$K$11*$F$11*(1+$C$29))</f>
        <v>0</v>
      </c>
      <c r="AH37" s="66" t="n">
        <f aca="false">IF(30&lt;$C$11,0,$K$11*$F$11*(1+$C$29))</f>
        <v>0</v>
      </c>
      <c r="AI37" s="66" t="n">
        <f aca="false">IF(31&lt;$C$11,0,$K$11*$F$11*(1+$C$29))</f>
        <v>0</v>
      </c>
      <c r="AJ37" s="66" t="n">
        <f aca="false">IF(32&lt;$C$11,0,$K$11*$F$11*(1+$C$29))</f>
        <v>0</v>
      </c>
      <c r="AK37" s="66" t="n">
        <f aca="false">IF(33&lt;$C$11,0,$K$11*$F$11*(1+$C$29))</f>
        <v>0</v>
      </c>
      <c r="AL37" s="66" t="n">
        <f aca="false">IF(34&lt;$C$11,0,$K$11*$F$11*(1+$C$29))</f>
        <v>0</v>
      </c>
      <c r="AM37" s="66" t="n">
        <f aca="false">IF(35&lt;$C$11,0,$K$11*$F$11*(1+$C$29))</f>
        <v>0</v>
      </c>
      <c r="AN37" s="66" t="n">
        <f aca="false">IF(36&lt;$C$11,0,$K$11*$F$11*(1+$C$29))</f>
        <v>0</v>
      </c>
      <c r="AO37" s="65" t="n">
        <f aca="false">SUM(AP37:BA37)</f>
        <v>38808</v>
      </c>
      <c r="AP37" s="66" t="n">
        <f aca="false">IF(37&lt;$C$11,0,$L$11*$G$11*(1+$C$29))</f>
        <v>3234</v>
      </c>
      <c r="AQ37" s="66" t="n">
        <f aca="false">IF(38&lt;$C$11,0,$L$11*$G$11*(1+$C$29))</f>
        <v>3234</v>
      </c>
      <c r="AR37" s="66" t="n">
        <f aca="false">IF(39&lt;$C$11,0,$L$11*$G$11*(1+$C$29))</f>
        <v>3234</v>
      </c>
      <c r="AS37" s="66" t="n">
        <f aca="false">IF(40&lt;$C$11,0,$L$11*$G$11*(1+$C$29))</f>
        <v>3234</v>
      </c>
      <c r="AT37" s="66" t="n">
        <f aca="false">IF(41&lt;$C$11,0,$L$11*$G$11*(1+$C$29))</f>
        <v>3234</v>
      </c>
      <c r="AU37" s="66" t="n">
        <f aca="false">IF(42&lt;$C$11,0,$L$11*$G$11*(1+$C$29))</f>
        <v>3234</v>
      </c>
      <c r="AV37" s="66" t="n">
        <f aca="false">IF(43&lt;$C$11,0,$L$11*$G$11*(1+$C$29))</f>
        <v>3234</v>
      </c>
      <c r="AW37" s="66" t="n">
        <f aca="false">IF(44&lt;$C$11,0,$L$11*$G$11*(1+$C$29))</f>
        <v>3234</v>
      </c>
      <c r="AX37" s="66" t="n">
        <f aca="false">IF(45&lt;$C$11,0,$L$11*$G$11*(1+$C$29))</f>
        <v>3234</v>
      </c>
      <c r="AY37" s="66" t="n">
        <f aca="false">IF(46&lt;$C$11,0,$L$11*$G$11*(1+$C$29))</f>
        <v>3234</v>
      </c>
      <c r="AZ37" s="66" t="n">
        <f aca="false">IF(47&lt;$C$11,0,$L$11*$G$11*(1+$C$29))</f>
        <v>3234</v>
      </c>
      <c r="BA37" s="66" t="n">
        <f aca="false">IF(48&lt;$C$11,0,$L$11*$G$11*(1+$C$29))</f>
        <v>3234</v>
      </c>
      <c r="BB37" s="65" t="n">
        <f aca="false">SUM(BC37:BN37)</f>
        <v>40194</v>
      </c>
      <c r="BC37" s="66" t="n">
        <f aca="false">IF(49&lt;$C$11,0,$M$11*$H$11*(1+$C$29))</f>
        <v>3349.5</v>
      </c>
      <c r="BD37" s="66" t="n">
        <f aca="false">IF(50&lt;$C$11,0,$M$11*$H$11*(1+$C$29))</f>
        <v>3349.5</v>
      </c>
      <c r="BE37" s="66" t="n">
        <f aca="false">IF(51&lt;$C$11,0,$M$11*$H$11*(1+$C$29))</f>
        <v>3349.5</v>
      </c>
      <c r="BF37" s="66" t="n">
        <f aca="false">IF(52&lt;$C$11,0,$M$11*$H$11*(1+$C$29))</f>
        <v>3349.5</v>
      </c>
      <c r="BG37" s="66" t="n">
        <f aca="false">IF(53&lt;$C$11,0,$M$11*$H$11*(1+$C$29))</f>
        <v>3349.5</v>
      </c>
      <c r="BH37" s="66" t="n">
        <f aca="false">IF(54&lt;$C$11,0,$M$11*$H$11*(1+$C$29))</f>
        <v>3349.5</v>
      </c>
      <c r="BI37" s="66" t="n">
        <f aca="false">IF(55&lt;$C$11,0,$M$11*$H$11*(1+$C$29))</f>
        <v>3349.5</v>
      </c>
      <c r="BJ37" s="66" t="n">
        <f aca="false">IF(56&lt;$C$11,0,$M$11*$H$11*(1+$C$29))</f>
        <v>3349.5</v>
      </c>
      <c r="BK37" s="66" t="n">
        <f aca="false">IF(57&lt;$C$11,0,$M$11*$H$11*(1+$C$29))</f>
        <v>3349.5</v>
      </c>
      <c r="BL37" s="66" t="n">
        <f aca="false">IF(58&lt;$C$11,0,$M$11*$H$11*(1+$C$29))</f>
        <v>3349.5</v>
      </c>
      <c r="BM37" s="66" t="n">
        <f aca="false">IF(59&lt;$C$11,0,$M$11*$H$11*(1+$C$29))</f>
        <v>3349.5</v>
      </c>
      <c r="BN37" s="66" t="n">
        <f aca="false">IF(60&lt;$C$11,0,$M$11*$H$11*(1+$C$29))</f>
        <v>3349.5</v>
      </c>
    </row>
    <row r="38" customFormat="false" ht="15" hidden="false" customHeight="false" outlineLevel="0" collapsed="false">
      <c r="A38" s="12" t="s">
        <v>764</v>
      </c>
      <c r="B38" s="65" t="n">
        <f aca="false">SUM(C38:N38)</f>
        <v>0</v>
      </c>
      <c r="C38" s="66" t="n">
        <f aca="false">IF(1&lt;$C$12,0,$I$12*$D$12*(1+$C$29))</f>
        <v>0</v>
      </c>
      <c r="D38" s="66" t="n">
        <f aca="false">IF(2&lt;$C$12,0,$I$12*$D$12*(1+$C$29))</f>
        <v>0</v>
      </c>
      <c r="E38" s="66" t="n">
        <f aca="false">IF(3&lt;$C$12,0,$I$12*$D$12*(1+$C$29))</f>
        <v>0</v>
      </c>
      <c r="F38" s="66" t="n">
        <f aca="false">IF(4&lt;$C$12,0,$I$12*$D$12*(1+$C$29))</f>
        <v>0</v>
      </c>
      <c r="G38" s="66" t="n">
        <f aca="false">IF(5&lt;$C$12,0,$I$12*$D$12*(1+$C$29))</f>
        <v>0</v>
      </c>
      <c r="H38" s="66" t="n">
        <f aca="false">IF(6&lt;$C$12,0,$I$12*$D$12*(1+$C$29))</f>
        <v>0</v>
      </c>
      <c r="I38" s="66" t="n">
        <f aca="false">IF(7&lt;$C$12,0,$I$12*$D$12*(1+$C$29))</f>
        <v>0</v>
      </c>
      <c r="J38" s="66" t="n">
        <f aca="false">IF(8&lt;$C$12,0,$I$12*$D$12*(1+$C$29))</f>
        <v>0</v>
      </c>
      <c r="K38" s="66" t="n">
        <f aca="false">IF(9&lt;$C$12,0,$I$12*$D$12*(1+$C$29))</f>
        <v>0</v>
      </c>
      <c r="L38" s="66" t="n">
        <f aca="false">IF(10&lt;$C$12,0,$I$12*$D$12*(1+$C$29))</f>
        <v>0</v>
      </c>
      <c r="M38" s="66" t="n">
        <f aca="false">IF(11&lt;$C$12,0,$I$12*$D$12*(1+$C$29))</f>
        <v>0</v>
      </c>
      <c r="N38" s="66" t="n">
        <f aca="false">IF(12&lt;$C$12,0,$I$12*$D$12*(1+$C$29))</f>
        <v>0</v>
      </c>
      <c r="O38" s="65" t="n">
        <f aca="false">SUM(P38:AA38)</f>
        <v>0</v>
      </c>
      <c r="P38" s="66" t="n">
        <f aca="false">IF(13&lt;$C$12,0,$J$12*$E$12*(1+$C$29))</f>
        <v>0</v>
      </c>
      <c r="Q38" s="66" t="n">
        <f aca="false">IF(14&lt;$C$12,0,$J$12*$E$12*(1+$C$29))</f>
        <v>0</v>
      </c>
      <c r="R38" s="66" t="n">
        <f aca="false">IF(15&lt;$C$12,0,$J$12*$E$12*(1+$C$29))</f>
        <v>0</v>
      </c>
      <c r="S38" s="66" t="n">
        <f aca="false">IF(16&lt;$C$12,0,$J$12*$E$12*(1+$C$29))</f>
        <v>0</v>
      </c>
      <c r="T38" s="66" t="n">
        <f aca="false">IF(17&lt;$C$12,0,$J$12*$E$12*(1+$C$29))</f>
        <v>0</v>
      </c>
      <c r="U38" s="66" t="n">
        <f aca="false">IF(18&lt;$C$12,0,$J$12*$E$12*(1+$C$29))</f>
        <v>0</v>
      </c>
      <c r="V38" s="66" t="n">
        <f aca="false">IF(19&lt;$C$12,0,$J$12*$E$12*(1+$C$29))</f>
        <v>0</v>
      </c>
      <c r="W38" s="66" t="n">
        <f aca="false">IF(20&lt;$C$12,0,$J$12*$E$12*(1+$C$29))</f>
        <v>0</v>
      </c>
      <c r="X38" s="66" t="n">
        <f aca="false">IF(21&lt;$C$12,0,$J$12*$E$12*(1+$C$29))</f>
        <v>0</v>
      </c>
      <c r="Y38" s="66" t="n">
        <f aca="false">IF(22&lt;$C$12,0,$J$12*$E$12*(1+$C$29))</f>
        <v>0</v>
      </c>
      <c r="Z38" s="66" t="n">
        <f aca="false">IF(23&lt;$C$12,0,$J$12*$E$12*(1+$C$29))</f>
        <v>0</v>
      </c>
      <c r="AA38" s="66" t="n">
        <f aca="false">IF(24&lt;$C$12,0,$J$12*$E$12*(1+$C$29))</f>
        <v>0</v>
      </c>
      <c r="AB38" s="65" t="n">
        <f aca="false">SUM(AC38:AN38)</f>
        <v>0</v>
      </c>
      <c r="AC38" s="66" t="n">
        <f aca="false">IF(25&lt;$C$12,0,$K$12*$F$12*(1+$C$29))</f>
        <v>0</v>
      </c>
      <c r="AD38" s="66" t="n">
        <f aca="false">IF(26&lt;$C$12,0,$K$12*$F$12*(1+$C$29))</f>
        <v>0</v>
      </c>
      <c r="AE38" s="66" t="n">
        <f aca="false">IF(27&lt;$C$12,0,$K$12*$F$12*(1+$C$29))</f>
        <v>0</v>
      </c>
      <c r="AF38" s="66" t="n">
        <f aca="false">IF(28&lt;$C$12,0,$K$12*$F$12*(1+$C$29))</f>
        <v>0</v>
      </c>
      <c r="AG38" s="66" t="n">
        <f aca="false">IF(29&lt;$C$12,0,$K$12*$F$12*(1+$C$29))</f>
        <v>0</v>
      </c>
      <c r="AH38" s="66" t="n">
        <f aca="false">IF(30&lt;$C$12,0,$K$12*$F$12*(1+$C$29))</f>
        <v>0</v>
      </c>
      <c r="AI38" s="66" t="n">
        <f aca="false">IF(31&lt;$C$12,0,$K$12*$F$12*(1+$C$29))</f>
        <v>0</v>
      </c>
      <c r="AJ38" s="66" t="n">
        <f aca="false">IF(32&lt;$C$12,0,$K$12*$F$12*(1+$C$29))</f>
        <v>0</v>
      </c>
      <c r="AK38" s="66" t="n">
        <f aca="false">IF(33&lt;$C$12,0,$K$12*$F$12*(1+$C$29))</f>
        <v>0</v>
      </c>
      <c r="AL38" s="66" t="n">
        <f aca="false">IF(34&lt;$C$12,0,$K$12*$F$12*(1+$C$29))</f>
        <v>0</v>
      </c>
      <c r="AM38" s="66" t="n">
        <f aca="false">IF(35&lt;$C$12,0,$K$12*$F$12*(1+$C$29))</f>
        <v>0</v>
      </c>
      <c r="AN38" s="66" t="n">
        <f aca="false">IF(36&lt;$C$12,0,$K$12*$F$12*(1+$C$29))</f>
        <v>0</v>
      </c>
      <c r="AO38" s="65" t="n">
        <f aca="false">SUM(AP38:BA38)</f>
        <v>0</v>
      </c>
      <c r="AP38" s="66" t="n">
        <f aca="false">IF(37&lt;$C$12,0,$L$12*$G$12*(1+$C$29))</f>
        <v>0</v>
      </c>
      <c r="AQ38" s="66" t="n">
        <f aca="false">IF(38&lt;$C$12,0,$L$12*$G$12*(1+$C$29))</f>
        <v>0</v>
      </c>
      <c r="AR38" s="66" t="n">
        <f aca="false">IF(39&lt;$C$12,0,$L$12*$G$12*(1+$C$29))</f>
        <v>0</v>
      </c>
      <c r="AS38" s="66" t="n">
        <f aca="false">IF(40&lt;$C$12,0,$L$12*$G$12*(1+$C$29))</f>
        <v>0</v>
      </c>
      <c r="AT38" s="66" t="n">
        <f aca="false">IF(41&lt;$C$12,0,$L$12*$G$12*(1+$C$29))</f>
        <v>0</v>
      </c>
      <c r="AU38" s="66" t="n">
        <f aca="false">IF(42&lt;$C$12,0,$L$12*$G$12*(1+$C$29))</f>
        <v>0</v>
      </c>
      <c r="AV38" s="66" t="n">
        <f aca="false">IF(43&lt;$C$12,0,$L$12*$G$12*(1+$C$29))</f>
        <v>0</v>
      </c>
      <c r="AW38" s="66" t="n">
        <f aca="false">IF(44&lt;$C$12,0,$L$12*$G$12*(1+$C$29))</f>
        <v>0</v>
      </c>
      <c r="AX38" s="66" t="n">
        <f aca="false">IF(45&lt;$C$12,0,$L$12*$G$12*(1+$C$29))</f>
        <v>0</v>
      </c>
      <c r="AY38" s="66" t="n">
        <f aca="false">IF(46&lt;$C$12,0,$L$12*$G$12*(1+$C$29))</f>
        <v>0</v>
      </c>
      <c r="AZ38" s="66" t="n">
        <f aca="false">IF(47&lt;$C$12,0,$L$12*$G$12*(1+$C$29))</f>
        <v>0</v>
      </c>
      <c r="BA38" s="66" t="n">
        <f aca="false">IF(48&lt;$C$12,0,$L$12*$G$12*(1+$C$29))</f>
        <v>0</v>
      </c>
      <c r="BB38" s="65" t="n">
        <f aca="false">SUM(BC38:BN38)</f>
        <v>24948</v>
      </c>
      <c r="BC38" s="66" t="n">
        <f aca="false">IF(49&lt;$C$12,0,$M$12*$H$12*(1+$C$29))</f>
        <v>2079</v>
      </c>
      <c r="BD38" s="66" t="n">
        <f aca="false">IF(50&lt;$C$12,0,$M$12*$H$12*(1+$C$29))</f>
        <v>2079</v>
      </c>
      <c r="BE38" s="66" t="n">
        <f aca="false">IF(51&lt;$C$12,0,$M$12*$H$12*(1+$C$29))</f>
        <v>2079</v>
      </c>
      <c r="BF38" s="66" t="n">
        <f aca="false">IF(52&lt;$C$12,0,$M$12*$H$12*(1+$C$29))</f>
        <v>2079</v>
      </c>
      <c r="BG38" s="66" t="n">
        <f aca="false">IF(53&lt;$C$12,0,$M$12*$H$12*(1+$C$29))</f>
        <v>2079</v>
      </c>
      <c r="BH38" s="66" t="n">
        <f aca="false">IF(54&lt;$C$12,0,$M$12*$H$12*(1+$C$29))</f>
        <v>2079</v>
      </c>
      <c r="BI38" s="66" t="n">
        <f aca="false">IF(55&lt;$C$12,0,$M$12*$H$12*(1+$C$29))</f>
        <v>2079</v>
      </c>
      <c r="BJ38" s="66" t="n">
        <f aca="false">IF(56&lt;$C$12,0,$M$12*$H$12*(1+$C$29))</f>
        <v>2079</v>
      </c>
      <c r="BK38" s="66" t="n">
        <f aca="false">IF(57&lt;$C$12,0,$M$12*$H$12*(1+$C$29))</f>
        <v>2079</v>
      </c>
      <c r="BL38" s="66" t="n">
        <f aca="false">IF(58&lt;$C$12,0,$M$12*$H$12*(1+$C$29))</f>
        <v>2079</v>
      </c>
      <c r="BM38" s="66" t="n">
        <f aca="false">IF(59&lt;$C$12,0,$M$12*$H$12*(1+$C$29))</f>
        <v>2079</v>
      </c>
      <c r="BN38" s="66" t="n">
        <f aca="false">IF(60&lt;$C$12,0,$M$12*$H$12*(1+$C$29))</f>
        <v>2079</v>
      </c>
    </row>
    <row r="39" customFormat="false" ht="15" hidden="false" customHeight="false" outlineLevel="0" collapsed="false">
      <c r="A39" s="12" t="s">
        <v>765</v>
      </c>
      <c r="B39" s="65" t="n">
        <f aca="false">SUM(C39:N39)</f>
        <v>9009</v>
      </c>
      <c r="C39" s="66" t="n">
        <f aca="false">IF(1&lt;$C$13,0,$I$13*$D$13*(1+$C$29))</f>
        <v>750.75</v>
      </c>
      <c r="D39" s="66" t="n">
        <f aca="false">IF(2&lt;$C$13,0,$I$13*$D$13*(1+$C$29))</f>
        <v>750.75</v>
      </c>
      <c r="E39" s="66" t="n">
        <f aca="false">IF(3&lt;$C$13,0,$I$13*$D$13*(1+$C$29))</f>
        <v>750.75</v>
      </c>
      <c r="F39" s="66" t="n">
        <f aca="false">IF(4&lt;$C$13,0,$I$13*$D$13*(1+$C$29))</f>
        <v>750.75</v>
      </c>
      <c r="G39" s="66" t="n">
        <f aca="false">IF(5&lt;$C$13,0,$I$13*$D$13*(1+$C$29))</f>
        <v>750.75</v>
      </c>
      <c r="H39" s="66" t="n">
        <f aca="false">IF(6&lt;$C$13,0,$I$13*$D$13*(1+$C$29))</f>
        <v>750.75</v>
      </c>
      <c r="I39" s="66" t="n">
        <f aca="false">IF(7&lt;$C$13,0,$I$13*$D$13*(1+$C$29))</f>
        <v>750.75</v>
      </c>
      <c r="J39" s="66" t="n">
        <f aca="false">IF(8&lt;$C$13,0,$I$13*$D$13*(1+$C$29))</f>
        <v>750.75</v>
      </c>
      <c r="K39" s="66" t="n">
        <f aca="false">IF(9&lt;$C$13,0,$I$13*$D$13*(1+$C$29))</f>
        <v>750.75</v>
      </c>
      <c r="L39" s="66" t="n">
        <f aca="false">IF(10&lt;$C$13,0,$I$13*$D$13*(1+$C$29))</f>
        <v>750.75</v>
      </c>
      <c r="M39" s="66" t="n">
        <f aca="false">IF(11&lt;$C$13,0,$I$13*$D$13*(1+$C$29))</f>
        <v>750.75</v>
      </c>
      <c r="N39" s="66" t="n">
        <f aca="false">IF(12&lt;$C$13,0,$I$13*$D$13*(1+$C$29))</f>
        <v>750.75</v>
      </c>
      <c r="O39" s="65" t="n">
        <f aca="false">SUM(P39:AA39)</f>
        <v>23562</v>
      </c>
      <c r="P39" s="66" t="n">
        <f aca="false">IF(13&lt;$C$13,0,$J$13*$E$13*(1+$C$29))</f>
        <v>1963.5</v>
      </c>
      <c r="Q39" s="66" t="n">
        <f aca="false">IF(14&lt;$C$13,0,$J$13*$E$13*(1+$C$29))</f>
        <v>1963.5</v>
      </c>
      <c r="R39" s="66" t="n">
        <f aca="false">IF(15&lt;$C$13,0,$J$13*$E$13*(1+$C$29))</f>
        <v>1963.5</v>
      </c>
      <c r="S39" s="66" t="n">
        <f aca="false">IF(16&lt;$C$13,0,$J$13*$E$13*(1+$C$29))</f>
        <v>1963.5</v>
      </c>
      <c r="T39" s="66" t="n">
        <f aca="false">IF(17&lt;$C$13,0,$J$13*$E$13*(1+$C$29))</f>
        <v>1963.5</v>
      </c>
      <c r="U39" s="66" t="n">
        <f aca="false">IF(18&lt;$C$13,0,$J$13*$E$13*(1+$C$29))</f>
        <v>1963.5</v>
      </c>
      <c r="V39" s="66" t="n">
        <f aca="false">IF(19&lt;$C$13,0,$J$13*$E$13*(1+$C$29))</f>
        <v>1963.5</v>
      </c>
      <c r="W39" s="66" t="n">
        <f aca="false">IF(20&lt;$C$13,0,$J$13*$E$13*(1+$C$29))</f>
        <v>1963.5</v>
      </c>
      <c r="X39" s="66" t="n">
        <f aca="false">IF(21&lt;$C$13,0,$J$13*$E$13*(1+$C$29))</f>
        <v>1963.5</v>
      </c>
      <c r="Y39" s="66" t="n">
        <f aca="false">IF(22&lt;$C$13,0,$J$13*$E$13*(1+$C$29))</f>
        <v>1963.5</v>
      </c>
      <c r="Z39" s="66" t="n">
        <f aca="false">IF(23&lt;$C$13,0,$J$13*$E$13*(1+$C$29))</f>
        <v>1963.5</v>
      </c>
      <c r="AA39" s="66" t="n">
        <f aca="false">IF(24&lt;$C$13,0,$J$13*$E$13*(1+$C$29))</f>
        <v>1963.5</v>
      </c>
      <c r="AB39" s="65" t="n">
        <f aca="false">SUM(AC39:AN39)</f>
        <v>33264</v>
      </c>
      <c r="AC39" s="66" t="n">
        <f aca="false">IF(25&lt;$C$13,0,$K$13*$F$13*(1+$C$29))</f>
        <v>2772</v>
      </c>
      <c r="AD39" s="66" t="n">
        <f aca="false">IF(26&lt;$C$13,0,$K$13*$F$13*(1+$C$29))</f>
        <v>2772</v>
      </c>
      <c r="AE39" s="66" t="n">
        <f aca="false">IF(27&lt;$C$13,0,$K$13*$F$13*(1+$C$29))</f>
        <v>2772</v>
      </c>
      <c r="AF39" s="66" t="n">
        <f aca="false">IF(28&lt;$C$13,0,$K$13*$F$13*(1+$C$29))</f>
        <v>2772</v>
      </c>
      <c r="AG39" s="66" t="n">
        <f aca="false">IF(29&lt;$C$13,0,$K$13*$F$13*(1+$C$29))</f>
        <v>2772</v>
      </c>
      <c r="AH39" s="66" t="n">
        <f aca="false">IF(30&lt;$C$13,0,$K$13*$F$13*(1+$C$29))</f>
        <v>2772</v>
      </c>
      <c r="AI39" s="66" t="n">
        <f aca="false">IF(31&lt;$C$13,0,$K$13*$F$13*(1+$C$29))</f>
        <v>2772</v>
      </c>
      <c r="AJ39" s="66" t="n">
        <f aca="false">IF(32&lt;$C$13,0,$K$13*$F$13*(1+$C$29))</f>
        <v>2772</v>
      </c>
      <c r="AK39" s="66" t="n">
        <f aca="false">IF(33&lt;$C$13,0,$K$13*$F$13*(1+$C$29))</f>
        <v>2772</v>
      </c>
      <c r="AL39" s="66" t="n">
        <f aca="false">IF(34&lt;$C$13,0,$K$13*$F$13*(1+$C$29))</f>
        <v>2772</v>
      </c>
      <c r="AM39" s="66" t="n">
        <f aca="false">IF(35&lt;$C$13,0,$K$13*$F$13*(1+$C$29))</f>
        <v>2772</v>
      </c>
      <c r="AN39" s="66" t="n">
        <f aca="false">IF(36&lt;$C$13,0,$K$13*$F$13*(1+$C$29))</f>
        <v>2772</v>
      </c>
      <c r="AO39" s="65" t="n">
        <f aca="false">SUM(AP39:BA39)</f>
        <v>34650</v>
      </c>
      <c r="AP39" s="66" t="n">
        <f aca="false">IF(37&lt;$C$13,0,$L$13*$G$13*(1+$C$29))</f>
        <v>2887.5</v>
      </c>
      <c r="AQ39" s="66" t="n">
        <f aca="false">IF(38&lt;$C$13,0,$L$13*$G$13*(1+$C$29))</f>
        <v>2887.5</v>
      </c>
      <c r="AR39" s="66" t="n">
        <f aca="false">IF(39&lt;$C$13,0,$L$13*$G$13*(1+$C$29))</f>
        <v>2887.5</v>
      </c>
      <c r="AS39" s="66" t="n">
        <f aca="false">IF(40&lt;$C$13,0,$L$13*$G$13*(1+$C$29))</f>
        <v>2887.5</v>
      </c>
      <c r="AT39" s="66" t="n">
        <f aca="false">IF(41&lt;$C$13,0,$L$13*$G$13*(1+$C$29))</f>
        <v>2887.5</v>
      </c>
      <c r="AU39" s="66" t="n">
        <f aca="false">IF(42&lt;$C$13,0,$L$13*$G$13*(1+$C$29))</f>
        <v>2887.5</v>
      </c>
      <c r="AV39" s="66" t="n">
        <f aca="false">IF(43&lt;$C$13,0,$L$13*$G$13*(1+$C$29))</f>
        <v>2887.5</v>
      </c>
      <c r="AW39" s="66" t="n">
        <f aca="false">IF(44&lt;$C$13,0,$L$13*$G$13*(1+$C$29))</f>
        <v>2887.5</v>
      </c>
      <c r="AX39" s="66" t="n">
        <f aca="false">IF(45&lt;$C$13,0,$L$13*$G$13*(1+$C$29))</f>
        <v>2887.5</v>
      </c>
      <c r="AY39" s="66" t="n">
        <f aca="false">IF(46&lt;$C$13,0,$L$13*$G$13*(1+$C$29))</f>
        <v>2887.5</v>
      </c>
      <c r="AZ39" s="66" t="n">
        <f aca="false">IF(47&lt;$C$13,0,$L$13*$G$13*(1+$C$29))</f>
        <v>2887.5</v>
      </c>
      <c r="BA39" s="66" t="n">
        <f aca="false">IF(48&lt;$C$13,0,$L$13*$G$13*(1+$C$29))</f>
        <v>2887.5</v>
      </c>
      <c r="BB39" s="65" t="n">
        <f aca="false">SUM(BC39:BN39)</f>
        <v>36036</v>
      </c>
      <c r="BC39" s="66" t="n">
        <f aca="false">IF(49&lt;$C$13,0,$M$13*$H$13*(1+$C$29))</f>
        <v>3003</v>
      </c>
      <c r="BD39" s="66" t="n">
        <f aca="false">IF(50&lt;$C$13,0,$M$13*$H$13*(1+$C$29))</f>
        <v>3003</v>
      </c>
      <c r="BE39" s="66" t="n">
        <f aca="false">IF(51&lt;$C$13,0,$M$13*$H$13*(1+$C$29))</f>
        <v>3003</v>
      </c>
      <c r="BF39" s="66" t="n">
        <f aca="false">IF(52&lt;$C$13,0,$M$13*$H$13*(1+$C$29))</f>
        <v>3003</v>
      </c>
      <c r="BG39" s="66" t="n">
        <f aca="false">IF(53&lt;$C$13,0,$M$13*$H$13*(1+$C$29))</f>
        <v>3003</v>
      </c>
      <c r="BH39" s="66" t="n">
        <f aca="false">IF(54&lt;$C$13,0,$M$13*$H$13*(1+$C$29))</f>
        <v>3003</v>
      </c>
      <c r="BI39" s="66" t="n">
        <f aca="false">IF(55&lt;$C$13,0,$M$13*$H$13*(1+$C$29))</f>
        <v>3003</v>
      </c>
      <c r="BJ39" s="66" t="n">
        <f aca="false">IF(56&lt;$C$13,0,$M$13*$H$13*(1+$C$29))</f>
        <v>3003</v>
      </c>
      <c r="BK39" s="66" t="n">
        <f aca="false">IF(57&lt;$C$13,0,$M$13*$H$13*(1+$C$29))</f>
        <v>3003</v>
      </c>
      <c r="BL39" s="66" t="n">
        <f aca="false">IF(58&lt;$C$13,0,$M$13*$H$13*(1+$C$29))</f>
        <v>3003</v>
      </c>
      <c r="BM39" s="66" t="n">
        <f aca="false">IF(59&lt;$C$13,0,$M$13*$H$13*(1+$C$29))</f>
        <v>3003</v>
      </c>
      <c r="BN39" s="66" t="n">
        <f aca="false">IF(60&lt;$C$13,0,$M$13*$H$13*(1+$C$29))</f>
        <v>3003</v>
      </c>
    </row>
    <row r="40" customFormat="false" ht="15" hidden="false" customHeight="false" outlineLevel="0" collapsed="false">
      <c r="A40" s="12" t="s">
        <v>766</v>
      </c>
      <c r="B40" s="65" t="n">
        <f aca="false">SUM(C40:N40)</f>
        <v>0</v>
      </c>
      <c r="C40" s="66" t="n">
        <f aca="false">IF(1&lt;$C$14,0,$I$14*$D$14*(1+$C$29))</f>
        <v>0</v>
      </c>
      <c r="D40" s="66" t="n">
        <f aca="false">IF(2&lt;$C$14,0,$I$14*$D$14*(1+$C$29))</f>
        <v>0</v>
      </c>
      <c r="E40" s="66" t="n">
        <f aca="false">IF(3&lt;$C$14,0,$I$14*$D$14*(1+$C$29))</f>
        <v>0</v>
      </c>
      <c r="F40" s="66" t="n">
        <f aca="false">IF(4&lt;$C$14,0,$I$14*$D$14*(1+$C$29))</f>
        <v>0</v>
      </c>
      <c r="G40" s="66" t="n">
        <f aca="false">IF(5&lt;$C$14,0,$I$14*$D$14*(1+$C$29))</f>
        <v>0</v>
      </c>
      <c r="H40" s="66" t="n">
        <f aca="false">IF(6&lt;$C$14,0,$I$14*$D$14*(1+$C$29))</f>
        <v>0</v>
      </c>
      <c r="I40" s="66" t="n">
        <f aca="false">IF(7&lt;$C$14,0,$I$14*$D$14*(1+$C$29))</f>
        <v>0</v>
      </c>
      <c r="J40" s="66" t="n">
        <f aca="false">IF(8&lt;$C$14,0,$I$14*$D$14*(1+$C$29))</f>
        <v>0</v>
      </c>
      <c r="K40" s="66" t="n">
        <f aca="false">IF(9&lt;$C$14,0,$I$14*$D$14*(1+$C$29))</f>
        <v>0</v>
      </c>
      <c r="L40" s="66" t="n">
        <f aca="false">IF(10&lt;$C$14,0,$I$14*$D$14*(1+$C$29))</f>
        <v>0</v>
      </c>
      <c r="M40" s="66" t="n">
        <f aca="false">IF(11&lt;$C$14,0,$I$14*$D$14*(1+$C$29))</f>
        <v>0</v>
      </c>
      <c r="N40" s="66" t="n">
        <f aca="false">IF(12&lt;$C$14,0,$I$14*$D$14*(1+$C$29))</f>
        <v>0</v>
      </c>
      <c r="O40" s="65" t="n">
        <f aca="false">SUM(P40:AA40)</f>
        <v>0</v>
      </c>
      <c r="P40" s="66" t="n">
        <f aca="false">IF(13&lt;$C$14,0,$J$14*$E$14*(1+$C$29))</f>
        <v>0</v>
      </c>
      <c r="Q40" s="66" t="n">
        <f aca="false">IF(14&lt;$C$14,0,$J$14*$E$14*(1+$C$29))</f>
        <v>0</v>
      </c>
      <c r="R40" s="66" t="n">
        <f aca="false">IF(15&lt;$C$14,0,$J$14*$E$14*(1+$C$29))</f>
        <v>0</v>
      </c>
      <c r="S40" s="66" t="n">
        <f aca="false">IF(16&lt;$C$14,0,$J$14*$E$14*(1+$C$29))</f>
        <v>0</v>
      </c>
      <c r="T40" s="66" t="n">
        <f aca="false">IF(17&lt;$C$14,0,$J$14*$E$14*(1+$C$29))</f>
        <v>0</v>
      </c>
      <c r="U40" s="66" t="n">
        <f aca="false">IF(18&lt;$C$14,0,$J$14*$E$14*(1+$C$29))</f>
        <v>0</v>
      </c>
      <c r="V40" s="66" t="n">
        <f aca="false">IF(19&lt;$C$14,0,$J$14*$E$14*(1+$C$29))</f>
        <v>0</v>
      </c>
      <c r="W40" s="66" t="n">
        <f aca="false">IF(20&lt;$C$14,0,$J$14*$E$14*(1+$C$29))</f>
        <v>0</v>
      </c>
      <c r="X40" s="66" t="n">
        <f aca="false">IF(21&lt;$C$14,0,$J$14*$E$14*(1+$C$29))</f>
        <v>0</v>
      </c>
      <c r="Y40" s="66" t="n">
        <f aca="false">IF(22&lt;$C$14,0,$J$14*$E$14*(1+$C$29))</f>
        <v>0</v>
      </c>
      <c r="Z40" s="66" t="n">
        <f aca="false">IF(23&lt;$C$14,0,$J$14*$E$14*(1+$C$29))</f>
        <v>0</v>
      </c>
      <c r="AA40" s="66" t="n">
        <f aca="false">IF(24&lt;$C$14,0,$J$14*$E$14*(1+$C$29))</f>
        <v>0</v>
      </c>
      <c r="AB40" s="65" t="n">
        <f aca="false">SUM(AC40:AN40)</f>
        <v>27720</v>
      </c>
      <c r="AC40" s="66" t="n">
        <f aca="false">IF(25&lt;$C$14,0,$K$14*$F$14*(1+$C$29))</f>
        <v>2310</v>
      </c>
      <c r="AD40" s="66" t="n">
        <f aca="false">IF(26&lt;$C$14,0,$K$14*$F$14*(1+$C$29))</f>
        <v>2310</v>
      </c>
      <c r="AE40" s="66" t="n">
        <f aca="false">IF(27&lt;$C$14,0,$K$14*$F$14*(1+$C$29))</f>
        <v>2310</v>
      </c>
      <c r="AF40" s="66" t="n">
        <f aca="false">IF(28&lt;$C$14,0,$K$14*$F$14*(1+$C$29))</f>
        <v>2310</v>
      </c>
      <c r="AG40" s="66" t="n">
        <f aca="false">IF(29&lt;$C$14,0,$K$14*$F$14*(1+$C$29))</f>
        <v>2310</v>
      </c>
      <c r="AH40" s="66" t="n">
        <f aca="false">IF(30&lt;$C$14,0,$K$14*$F$14*(1+$C$29))</f>
        <v>2310</v>
      </c>
      <c r="AI40" s="66" t="n">
        <f aca="false">IF(31&lt;$C$14,0,$K$14*$F$14*(1+$C$29))</f>
        <v>2310</v>
      </c>
      <c r="AJ40" s="66" t="n">
        <f aca="false">IF(32&lt;$C$14,0,$K$14*$F$14*(1+$C$29))</f>
        <v>2310</v>
      </c>
      <c r="AK40" s="66" t="n">
        <f aca="false">IF(33&lt;$C$14,0,$K$14*$F$14*(1+$C$29))</f>
        <v>2310</v>
      </c>
      <c r="AL40" s="66" t="n">
        <f aca="false">IF(34&lt;$C$14,0,$K$14*$F$14*(1+$C$29))</f>
        <v>2310</v>
      </c>
      <c r="AM40" s="66" t="n">
        <f aca="false">IF(35&lt;$C$14,0,$K$14*$F$14*(1+$C$29))</f>
        <v>2310</v>
      </c>
      <c r="AN40" s="66" t="n">
        <f aca="false">IF(36&lt;$C$14,0,$K$14*$F$14*(1+$C$29))</f>
        <v>2310</v>
      </c>
      <c r="AO40" s="65" t="n">
        <f aca="false">SUM(AP40:BA40)</f>
        <v>29106</v>
      </c>
      <c r="AP40" s="66" t="n">
        <f aca="false">IF(37&lt;$C$14,0,$L$14*$G$14*(1+$C$29))</f>
        <v>2425.5</v>
      </c>
      <c r="AQ40" s="66" t="n">
        <f aca="false">IF(38&lt;$C$14,0,$L$14*$G$14*(1+$C$29))</f>
        <v>2425.5</v>
      </c>
      <c r="AR40" s="66" t="n">
        <f aca="false">IF(39&lt;$C$14,0,$L$14*$G$14*(1+$C$29))</f>
        <v>2425.5</v>
      </c>
      <c r="AS40" s="66" t="n">
        <f aca="false">IF(40&lt;$C$14,0,$L$14*$G$14*(1+$C$29))</f>
        <v>2425.5</v>
      </c>
      <c r="AT40" s="66" t="n">
        <f aca="false">IF(41&lt;$C$14,0,$L$14*$G$14*(1+$C$29))</f>
        <v>2425.5</v>
      </c>
      <c r="AU40" s="66" t="n">
        <f aca="false">IF(42&lt;$C$14,0,$L$14*$G$14*(1+$C$29))</f>
        <v>2425.5</v>
      </c>
      <c r="AV40" s="66" t="n">
        <f aca="false">IF(43&lt;$C$14,0,$L$14*$G$14*(1+$C$29))</f>
        <v>2425.5</v>
      </c>
      <c r="AW40" s="66" t="n">
        <f aca="false">IF(44&lt;$C$14,0,$L$14*$G$14*(1+$C$29))</f>
        <v>2425.5</v>
      </c>
      <c r="AX40" s="66" t="n">
        <f aca="false">IF(45&lt;$C$14,0,$L$14*$G$14*(1+$C$29))</f>
        <v>2425.5</v>
      </c>
      <c r="AY40" s="66" t="n">
        <f aca="false">IF(46&lt;$C$14,0,$L$14*$G$14*(1+$C$29))</f>
        <v>2425.5</v>
      </c>
      <c r="AZ40" s="66" t="n">
        <f aca="false">IF(47&lt;$C$14,0,$L$14*$G$14*(1+$C$29))</f>
        <v>2425.5</v>
      </c>
      <c r="BA40" s="66" t="n">
        <f aca="false">IF(48&lt;$C$14,0,$L$14*$G$14*(1+$C$29))</f>
        <v>2425.5</v>
      </c>
      <c r="BB40" s="65" t="n">
        <f aca="false">SUM(BC40:BN40)</f>
        <v>30492</v>
      </c>
      <c r="BC40" s="66" t="n">
        <f aca="false">IF(49&lt;$C$14,0,$M$14*$H$14*(1+$C$29))</f>
        <v>2541</v>
      </c>
      <c r="BD40" s="66" t="n">
        <f aca="false">IF(50&lt;$C$14,0,$M$14*$H$14*(1+$C$29))</f>
        <v>2541</v>
      </c>
      <c r="BE40" s="66" t="n">
        <f aca="false">IF(51&lt;$C$14,0,$M$14*$H$14*(1+$C$29))</f>
        <v>2541</v>
      </c>
      <c r="BF40" s="66" t="n">
        <f aca="false">IF(52&lt;$C$14,0,$M$14*$H$14*(1+$C$29))</f>
        <v>2541</v>
      </c>
      <c r="BG40" s="66" t="n">
        <f aca="false">IF(53&lt;$C$14,0,$M$14*$H$14*(1+$C$29))</f>
        <v>2541</v>
      </c>
      <c r="BH40" s="66" t="n">
        <f aca="false">IF(54&lt;$C$14,0,$M$14*$H$14*(1+$C$29))</f>
        <v>2541</v>
      </c>
      <c r="BI40" s="66" t="n">
        <f aca="false">IF(55&lt;$C$14,0,$M$14*$H$14*(1+$C$29))</f>
        <v>2541</v>
      </c>
      <c r="BJ40" s="66" t="n">
        <f aca="false">IF(56&lt;$C$14,0,$M$14*$H$14*(1+$C$29))</f>
        <v>2541</v>
      </c>
      <c r="BK40" s="66" t="n">
        <f aca="false">IF(57&lt;$C$14,0,$M$14*$H$14*(1+$C$29))</f>
        <v>2541</v>
      </c>
      <c r="BL40" s="66" t="n">
        <f aca="false">IF(58&lt;$C$14,0,$M$14*$H$14*(1+$C$29))</f>
        <v>2541</v>
      </c>
      <c r="BM40" s="66" t="n">
        <f aca="false">IF(59&lt;$C$14,0,$M$14*$H$14*(1+$C$29))</f>
        <v>2541</v>
      </c>
      <c r="BN40" s="66" t="n">
        <f aca="false">IF(60&lt;$C$14,0,$M$14*$H$14*(1+$C$29))</f>
        <v>2541</v>
      </c>
    </row>
    <row r="41" customFormat="false" ht="15" hidden="false" customHeight="false" outlineLevel="0" collapsed="false">
      <c r="A41" s="12" t="s">
        <v>767</v>
      </c>
      <c r="B41" s="65" t="n">
        <f aca="false">SUM(C41:N41)</f>
        <v>0</v>
      </c>
      <c r="C41" s="66" t="n">
        <f aca="false">IF(1&lt;$C$15,0,$I$15*$D$15*(1+$C$29))</f>
        <v>0</v>
      </c>
      <c r="D41" s="66" t="n">
        <f aca="false">IF(2&lt;$C$15,0,$I$15*$D$15*(1+$C$29))</f>
        <v>0</v>
      </c>
      <c r="E41" s="66" t="n">
        <f aca="false">IF(3&lt;$C$15,0,$I$15*$D$15*(1+$C$29))</f>
        <v>0</v>
      </c>
      <c r="F41" s="66" t="n">
        <f aca="false">IF(4&lt;$C$15,0,$I$15*$D$15*(1+$C$29))</f>
        <v>0</v>
      </c>
      <c r="G41" s="66" t="n">
        <f aca="false">IF(5&lt;$C$15,0,$I$15*$D$15*(1+$C$29))</f>
        <v>0</v>
      </c>
      <c r="H41" s="66" t="n">
        <f aca="false">IF(6&lt;$C$15,0,$I$15*$D$15*(1+$C$29))</f>
        <v>0</v>
      </c>
      <c r="I41" s="66" t="n">
        <f aca="false">IF(7&lt;$C$15,0,$I$15*$D$15*(1+$C$29))</f>
        <v>0</v>
      </c>
      <c r="J41" s="66" t="n">
        <f aca="false">IF(8&lt;$C$15,0,$I$15*$D$15*(1+$C$29))</f>
        <v>0</v>
      </c>
      <c r="K41" s="66" t="n">
        <f aca="false">IF(9&lt;$C$15,0,$I$15*$D$15*(1+$C$29))</f>
        <v>0</v>
      </c>
      <c r="L41" s="66" t="n">
        <f aca="false">IF(10&lt;$C$15,0,$I$15*$D$15*(1+$C$29))</f>
        <v>0</v>
      </c>
      <c r="M41" s="66" t="n">
        <f aca="false">IF(11&lt;$C$15,0,$I$15*$D$15*(1+$C$29))</f>
        <v>0</v>
      </c>
      <c r="N41" s="66" t="n">
        <f aca="false">IF(12&lt;$C$15,0,$I$15*$D$15*(1+$C$29))</f>
        <v>0</v>
      </c>
      <c r="O41" s="65" t="n">
        <f aca="false">SUM(P41:AA41)</f>
        <v>0</v>
      </c>
      <c r="P41" s="66" t="n">
        <f aca="false">IF(13&lt;$C$15,0,$J$15*$E$15*(1+$C$29))</f>
        <v>0</v>
      </c>
      <c r="Q41" s="66" t="n">
        <f aca="false">IF(14&lt;$C$15,0,$J$15*$E$15*(1+$C$29))</f>
        <v>0</v>
      </c>
      <c r="R41" s="66" t="n">
        <f aca="false">IF(15&lt;$C$15,0,$J$15*$E$15*(1+$C$29))</f>
        <v>0</v>
      </c>
      <c r="S41" s="66" t="n">
        <f aca="false">IF(16&lt;$C$15,0,$J$15*$E$15*(1+$C$29))</f>
        <v>0</v>
      </c>
      <c r="T41" s="66" t="n">
        <f aca="false">IF(17&lt;$C$15,0,$J$15*$E$15*(1+$C$29))</f>
        <v>0</v>
      </c>
      <c r="U41" s="66" t="n">
        <f aca="false">IF(18&lt;$C$15,0,$J$15*$E$15*(1+$C$29))</f>
        <v>0</v>
      </c>
      <c r="V41" s="66" t="n">
        <f aca="false">IF(19&lt;$C$15,0,$J$15*$E$15*(1+$C$29))</f>
        <v>0</v>
      </c>
      <c r="W41" s="66" t="n">
        <f aca="false">IF(20&lt;$C$15,0,$J$15*$E$15*(1+$C$29))</f>
        <v>0</v>
      </c>
      <c r="X41" s="66" t="n">
        <f aca="false">IF(21&lt;$C$15,0,$J$15*$E$15*(1+$C$29))</f>
        <v>0</v>
      </c>
      <c r="Y41" s="66" t="n">
        <f aca="false">IF(22&lt;$C$15,0,$J$15*$E$15*(1+$C$29))</f>
        <v>0</v>
      </c>
      <c r="Z41" s="66" t="n">
        <f aca="false">IF(23&lt;$C$15,0,$J$15*$E$15*(1+$C$29))</f>
        <v>0</v>
      </c>
      <c r="AA41" s="66" t="n">
        <f aca="false">IF(24&lt;$C$15,0,$J$15*$E$15*(1+$C$29))</f>
        <v>0</v>
      </c>
      <c r="AB41" s="65" t="n">
        <f aca="false">SUM(AC41:AN41)</f>
        <v>20790</v>
      </c>
      <c r="AC41" s="66" t="n">
        <f aca="false">IF(25&lt;$C$15,0,$K$15*$F$15*(1+$C$29))</f>
        <v>1732.5</v>
      </c>
      <c r="AD41" s="66" t="n">
        <f aca="false">IF(26&lt;$C$15,0,$K$15*$F$15*(1+$C$29))</f>
        <v>1732.5</v>
      </c>
      <c r="AE41" s="66" t="n">
        <f aca="false">IF(27&lt;$C$15,0,$K$15*$F$15*(1+$C$29))</f>
        <v>1732.5</v>
      </c>
      <c r="AF41" s="66" t="n">
        <f aca="false">IF(28&lt;$C$15,0,$K$15*$F$15*(1+$C$29))</f>
        <v>1732.5</v>
      </c>
      <c r="AG41" s="66" t="n">
        <f aca="false">IF(29&lt;$C$15,0,$K$15*$F$15*(1+$C$29))</f>
        <v>1732.5</v>
      </c>
      <c r="AH41" s="66" t="n">
        <f aca="false">IF(30&lt;$C$15,0,$K$15*$F$15*(1+$C$29))</f>
        <v>1732.5</v>
      </c>
      <c r="AI41" s="66" t="n">
        <f aca="false">IF(31&lt;$C$15,0,$K$15*$F$15*(1+$C$29))</f>
        <v>1732.5</v>
      </c>
      <c r="AJ41" s="66" t="n">
        <f aca="false">IF(32&lt;$C$15,0,$K$15*$F$15*(1+$C$29))</f>
        <v>1732.5</v>
      </c>
      <c r="AK41" s="66" t="n">
        <f aca="false">IF(33&lt;$C$15,0,$K$15*$F$15*(1+$C$29))</f>
        <v>1732.5</v>
      </c>
      <c r="AL41" s="66" t="n">
        <f aca="false">IF(34&lt;$C$15,0,$K$15*$F$15*(1+$C$29))</f>
        <v>1732.5</v>
      </c>
      <c r="AM41" s="66" t="n">
        <f aca="false">IF(35&lt;$C$15,0,$K$15*$F$15*(1+$C$29))</f>
        <v>1732.5</v>
      </c>
      <c r="AN41" s="66" t="n">
        <f aca="false">IF(36&lt;$C$15,0,$K$15*$F$15*(1+$C$29))</f>
        <v>1732.5</v>
      </c>
      <c r="AO41" s="65" t="n">
        <f aca="false">SUM(AP41:BA41)</f>
        <v>42966</v>
      </c>
      <c r="AP41" s="66" t="n">
        <f aca="false">IF(37&lt;$C$15,0,$L$15*$G$15*(1+$C$29))</f>
        <v>3580.5</v>
      </c>
      <c r="AQ41" s="66" t="n">
        <f aca="false">IF(38&lt;$C$15,0,$L$15*$G$15*(1+$C$29))</f>
        <v>3580.5</v>
      </c>
      <c r="AR41" s="66" t="n">
        <f aca="false">IF(39&lt;$C$15,0,$L$15*$G$15*(1+$C$29))</f>
        <v>3580.5</v>
      </c>
      <c r="AS41" s="66" t="n">
        <f aca="false">IF(40&lt;$C$15,0,$L$15*$G$15*(1+$C$29))</f>
        <v>3580.5</v>
      </c>
      <c r="AT41" s="66" t="n">
        <f aca="false">IF(41&lt;$C$15,0,$L$15*$G$15*(1+$C$29))</f>
        <v>3580.5</v>
      </c>
      <c r="AU41" s="66" t="n">
        <f aca="false">IF(42&lt;$C$15,0,$L$15*$G$15*(1+$C$29))</f>
        <v>3580.5</v>
      </c>
      <c r="AV41" s="66" t="n">
        <f aca="false">IF(43&lt;$C$15,0,$L$15*$G$15*(1+$C$29))</f>
        <v>3580.5</v>
      </c>
      <c r="AW41" s="66" t="n">
        <f aca="false">IF(44&lt;$C$15,0,$L$15*$G$15*(1+$C$29))</f>
        <v>3580.5</v>
      </c>
      <c r="AX41" s="66" t="n">
        <f aca="false">IF(45&lt;$C$15,0,$L$15*$G$15*(1+$C$29))</f>
        <v>3580.5</v>
      </c>
      <c r="AY41" s="66" t="n">
        <f aca="false">IF(46&lt;$C$15,0,$L$15*$G$15*(1+$C$29))</f>
        <v>3580.5</v>
      </c>
      <c r="AZ41" s="66" t="n">
        <f aca="false">IF(47&lt;$C$15,0,$L$15*$G$15*(1+$C$29))</f>
        <v>3580.5</v>
      </c>
      <c r="BA41" s="66" t="n">
        <f aca="false">IF(48&lt;$C$15,0,$L$15*$G$15*(1+$C$29))</f>
        <v>3580.5</v>
      </c>
      <c r="BB41" s="65" t="n">
        <f aca="false">SUM(BC41:BN41)</f>
        <v>44352</v>
      </c>
      <c r="BC41" s="66" t="n">
        <f aca="false">IF(49&lt;$C$15,0,$M$15*$H$15*(1+$C$29))</f>
        <v>3696</v>
      </c>
      <c r="BD41" s="66" t="n">
        <f aca="false">IF(50&lt;$C$15,0,$M$15*$H$15*(1+$C$29))</f>
        <v>3696</v>
      </c>
      <c r="BE41" s="66" t="n">
        <f aca="false">IF(51&lt;$C$15,0,$M$15*$H$15*(1+$C$29))</f>
        <v>3696</v>
      </c>
      <c r="BF41" s="66" t="n">
        <f aca="false">IF(52&lt;$C$15,0,$M$15*$H$15*(1+$C$29))</f>
        <v>3696</v>
      </c>
      <c r="BG41" s="66" t="n">
        <f aca="false">IF(53&lt;$C$15,0,$M$15*$H$15*(1+$C$29))</f>
        <v>3696</v>
      </c>
      <c r="BH41" s="66" t="n">
        <f aca="false">IF(54&lt;$C$15,0,$M$15*$H$15*(1+$C$29))</f>
        <v>3696</v>
      </c>
      <c r="BI41" s="66" t="n">
        <f aca="false">IF(55&lt;$C$15,0,$M$15*$H$15*(1+$C$29))</f>
        <v>3696</v>
      </c>
      <c r="BJ41" s="66" t="n">
        <f aca="false">IF(56&lt;$C$15,0,$M$15*$H$15*(1+$C$29))</f>
        <v>3696</v>
      </c>
      <c r="BK41" s="66" t="n">
        <f aca="false">IF(57&lt;$C$15,0,$M$15*$H$15*(1+$C$29))</f>
        <v>3696</v>
      </c>
      <c r="BL41" s="66" t="n">
        <f aca="false">IF(58&lt;$C$15,0,$M$15*$H$15*(1+$C$29))</f>
        <v>3696</v>
      </c>
      <c r="BM41" s="66" t="n">
        <f aca="false">IF(59&lt;$C$15,0,$M$15*$H$15*(1+$C$29))</f>
        <v>3696</v>
      </c>
      <c r="BN41" s="66" t="n">
        <f aca="false">IF(60&lt;$C$15,0,$M$15*$H$15*(1+$C$29))</f>
        <v>3696</v>
      </c>
    </row>
    <row r="42" customFormat="false" ht="15" hidden="false" customHeight="false" outlineLevel="0" collapsed="false">
      <c r="A42" s="12" t="s">
        <v>768</v>
      </c>
      <c r="B42" s="65" t="n">
        <f aca="false">SUM(C42:N42)</f>
        <v>0</v>
      </c>
      <c r="C42" s="66" t="n">
        <f aca="false">IF(1&lt;$C$16,0,$I$16*$D$16*(1+$C$29))</f>
        <v>0</v>
      </c>
      <c r="D42" s="66" t="n">
        <f aca="false">IF(2&lt;$C$16,0,$I$16*$D$16*(1+$C$29))</f>
        <v>0</v>
      </c>
      <c r="E42" s="66" t="n">
        <f aca="false">IF(3&lt;$C$16,0,$I$16*$D$16*(1+$C$29))</f>
        <v>0</v>
      </c>
      <c r="F42" s="66" t="n">
        <f aca="false">IF(4&lt;$C$16,0,$I$16*$D$16*(1+$C$29))</f>
        <v>0</v>
      </c>
      <c r="G42" s="66" t="n">
        <f aca="false">IF(5&lt;$C$16,0,$I$16*$D$16*(1+$C$29))</f>
        <v>0</v>
      </c>
      <c r="H42" s="66" t="n">
        <f aca="false">IF(6&lt;$C$16,0,$I$16*$D$16*(1+$C$29))</f>
        <v>0</v>
      </c>
      <c r="I42" s="66" t="n">
        <f aca="false">IF(7&lt;$C$16,0,$I$16*$D$16*(1+$C$29))</f>
        <v>0</v>
      </c>
      <c r="J42" s="66" t="n">
        <f aca="false">IF(8&lt;$C$16,0,$I$16*$D$16*(1+$C$29))</f>
        <v>0</v>
      </c>
      <c r="K42" s="66" t="n">
        <f aca="false">IF(9&lt;$C$16,0,$I$16*$D$16*(1+$C$29))</f>
        <v>0</v>
      </c>
      <c r="L42" s="66" t="n">
        <f aca="false">IF(10&lt;$C$16,0,$I$16*$D$16*(1+$C$29))</f>
        <v>0</v>
      </c>
      <c r="M42" s="66" t="n">
        <f aca="false">IF(11&lt;$C$16,0,$I$16*$D$16*(1+$C$29))</f>
        <v>0</v>
      </c>
      <c r="N42" s="66" t="n">
        <f aca="false">IF(12&lt;$C$16,0,$I$16*$D$16*(1+$C$29))</f>
        <v>0</v>
      </c>
      <c r="O42" s="65" t="n">
        <f aca="false">SUM(P42:AA42)</f>
        <v>0</v>
      </c>
      <c r="P42" s="66" t="n">
        <f aca="false">IF(13&lt;$C$16,0,$J$16*$E$16*(1+$C$29))</f>
        <v>0</v>
      </c>
      <c r="Q42" s="66" t="n">
        <f aca="false">IF(14&lt;$C$16,0,$J$16*$E$16*(1+$C$29))</f>
        <v>0</v>
      </c>
      <c r="R42" s="66" t="n">
        <f aca="false">IF(15&lt;$C$16,0,$J$16*$E$16*(1+$C$29))</f>
        <v>0</v>
      </c>
      <c r="S42" s="66" t="n">
        <f aca="false">IF(16&lt;$C$16,0,$J$16*$E$16*(1+$C$29))</f>
        <v>0</v>
      </c>
      <c r="T42" s="66" t="n">
        <f aca="false">IF(17&lt;$C$16,0,$J$16*$E$16*(1+$C$29))</f>
        <v>0</v>
      </c>
      <c r="U42" s="66" t="n">
        <f aca="false">IF(18&lt;$C$16,0,$J$16*$E$16*(1+$C$29))</f>
        <v>0</v>
      </c>
      <c r="V42" s="66" t="n">
        <f aca="false">IF(19&lt;$C$16,0,$J$16*$E$16*(1+$C$29))</f>
        <v>0</v>
      </c>
      <c r="W42" s="66" t="n">
        <f aca="false">IF(20&lt;$C$16,0,$J$16*$E$16*(1+$C$29))</f>
        <v>0</v>
      </c>
      <c r="X42" s="66" t="n">
        <f aca="false">IF(21&lt;$C$16,0,$J$16*$E$16*(1+$C$29))</f>
        <v>0</v>
      </c>
      <c r="Y42" s="66" t="n">
        <f aca="false">IF(22&lt;$C$16,0,$J$16*$E$16*(1+$C$29))</f>
        <v>0</v>
      </c>
      <c r="Z42" s="66" t="n">
        <f aca="false">IF(23&lt;$C$16,0,$J$16*$E$16*(1+$C$29))</f>
        <v>0</v>
      </c>
      <c r="AA42" s="66" t="n">
        <f aca="false">IF(24&lt;$C$16,0,$J$16*$E$16*(1+$C$29))</f>
        <v>0</v>
      </c>
      <c r="AB42" s="65" t="n">
        <f aca="false">SUM(AC42:AN42)</f>
        <v>0</v>
      </c>
      <c r="AC42" s="66" t="n">
        <f aca="false">IF(25&lt;$C$16,0,$K$16*$F$16*(1+$C$29))</f>
        <v>0</v>
      </c>
      <c r="AD42" s="66" t="n">
        <f aca="false">IF(26&lt;$C$16,0,$K$16*$F$16*(1+$C$29))</f>
        <v>0</v>
      </c>
      <c r="AE42" s="66" t="n">
        <f aca="false">IF(27&lt;$C$16,0,$K$16*$F$16*(1+$C$29))</f>
        <v>0</v>
      </c>
      <c r="AF42" s="66" t="n">
        <f aca="false">IF(28&lt;$C$16,0,$K$16*$F$16*(1+$C$29))</f>
        <v>0</v>
      </c>
      <c r="AG42" s="66" t="n">
        <f aca="false">IF(29&lt;$C$16,0,$K$16*$F$16*(1+$C$29))</f>
        <v>0</v>
      </c>
      <c r="AH42" s="66" t="n">
        <f aca="false">IF(30&lt;$C$16,0,$K$16*$F$16*(1+$C$29))</f>
        <v>0</v>
      </c>
      <c r="AI42" s="66" t="n">
        <f aca="false">IF(31&lt;$C$16,0,$K$16*$F$16*(1+$C$29))</f>
        <v>0</v>
      </c>
      <c r="AJ42" s="66" t="n">
        <f aca="false">IF(32&lt;$C$16,0,$K$16*$F$16*(1+$C$29))</f>
        <v>0</v>
      </c>
      <c r="AK42" s="66" t="n">
        <f aca="false">IF(33&lt;$C$16,0,$K$16*$F$16*(1+$C$29))</f>
        <v>0</v>
      </c>
      <c r="AL42" s="66" t="n">
        <f aca="false">IF(34&lt;$C$16,0,$K$16*$F$16*(1+$C$29))</f>
        <v>0</v>
      </c>
      <c r="AM42" s="66" t="n">
        <f aca="false">IF(35&lt;$C$16,0,$K$16*$F$16*(1+$C$29))</f>
        <v>0</v>
      </c>
      <c r="AN42" s="66" t="n">
        <f aca="false">IF(36&lt;$C$16,0,$K$16*$F$16*(1+$C$29))</f>
        <v>0</v>
      </c>
      <c r="AO42" s="65" t="n">
        <f aca="false">SUM(AP42:BA42)</f>
        <v>0</v>
      </c>
      <c r="AP42" s="66" t="n">
        <f aca="false">IF(37&lt;$C$16,0,$L$16*$G$16*(1+$C$29))</f>
        <v>0</v>
      </c>
      <c r="AQ42" s="66" t="n">
        <f aca="false">IF(38&lt;$C$16,0,$L$16*$G$16*(1+$C$29))</f>
        <v>0</v>
      </c>
      <c r="AR42" s="66" t="n">
        <f aca="false">IF(39&lt;$C$16,0,$L$16*$G$16*(1+$C$29))</f>
        <v>0</v>
      </c>
      <c r="AS42" s="66" t="n">
        <f aca="false">IF(40&lt;$C$16,0,$L$16*$G$16*(1+$C$29))</f>
        <v>0</v>
      </c>
      <c r="AT42" s="66" t="n">
        <f aca="false">IF(41&lt;$C$16,0,$L$16*$G$16*(1+$C$29))</f>
        <v>0</v>
      </c>
      <c r="AU42" s="66" t="n">
        <f aca="false">IF(42&lt;$C$16,0,$L$16*$G$16*(1+$C$29))</f>
        <v>0</v>
      </c>
      <c r="AV42" s="66" t="n">
        <f aca="false">IF(43&lt;$C$16,0,$L$16*$G$16*(1+$C$29))</f>
        <v>0</v>
      </c>
      <c r="AW42" s="66" t="n">
        <f aca="false">IF(44&lt;$C$16,0,$L$16*$G$16*(1+$C$29))</f>
        <v>0</v>
      </c>
      <c r="AX42" s="66" t="n">
        <f aca="false">IF(45&lt;$C$16,0,$L$16*$G$16*(1+$C$29))</f>
        <v>0</v>
      </c>
      <c r="AY42" s="66" t="n">
        <f aca="false">IF(46&lt;$C$16,0,$L$16*$G$16*(1+$C$29))</f>
        <v>0</v>
      </c>
      <c r="AZ42" s="66" t="n">
        <f aca="false">IF(47&lt;$C$16,0,$L$16*$G$16*(1+$C$29))</f>
        <v>0</v>
      </c>
      <c r="BA42" s="66" t="n">
        <f aca="false">IF(48&lt;$C$16,0,$L$16*$G$16*(1+$C$29))</f>
        <v>0</v>
      </c>
      <c r="BB42" s="65" t="n">
        <f aca="false">SUM(BC42:BN42)</f>
        <v>18018</v>
      </c>
      <c r="BC42" s="66" t="n">
        <f aca="false">IF(49&lt;$C$16,0,$M$16*$H$16*(1+$C$29))</f>
        <v>1501.5</v>
      </c>
      <c r="BD42" s="66" t="n">
        <f aca="false">IF(50&lt;$C$16,0,$M$16*$H$16*(1+$C$29))</f>
        <v>1501.5</v>
      </c>
      <c r="BE42" s="66" t="n">
        <f aca="false">IF(51&lt;$C$16,0,$M$16*$H$16*(1+$C$29))</f>
        <v>1501.5</v>
      </c>
      <c r="BF42" s="66" t="n">
        <f aca="false">IF(52&lt;$C$16,0,$M$16*$H$16*(1+$C$29))</f>
        <v>1501.5</v>
      </c>
      <c r="BG42" s="66" t="n">
        <f aca="false">IF(53&lt;$C$16,0,$M$16*$H$16*(1+$C$29))</f>
        <v>1501.5</v>
      </c>
      <c r="BH42" s="66" t="n">
        <f aca="false">IF(54&lt;$C$16,0,$M$16*$H$16*(1+$C$29))</f>
        <v>1501.5</v>
      </c>
      <c r="BI42" s="66" t="n">
        <f aca="false">IF(55&lt;$C$16,0,$M$16*$H$16*(1+$C$29))</f>
        <v>1501.5</v>
      </c>
      <c r="BJ42" s="66" t="n">
        <f aca="false">IF(56&lt;$C$16,0,$M$16*$H$16*(1+$C$29))</f>
        <v>1501.5</v>
      </c>
      <c r="BK42" s="66" t="n">
        <f aca="false">IF(57&lt;$C$16,0,$M$16*$H$16*(1+$C$29))</f>
        <v>1501.5</v>
      </c>
      <c r="BL42" s="66" t="n">
        <f aca="false">IF(58&lt;$C$16,0,$M$16*$H$16*(1+$C$29))</f>
        <v>1501.5</v>
      </c>
      <c r="BM42" s="66" t="n">
        <f aca="false">IF(59&lt;$C$16,0,$M$16*$H$16*(1+$C$29))</f>
        <v>1501.5</v>
      </c>
      <c r="BN42" s="66" t="n">
        <f aca="false">IF(60&lt;$C$16,0,$M$16*$H$16*(1+$C$29))</f>
        <v>1501.5</v>
      </c>
    </row>
    <row r="43" customFormat="false" ht="15" hidden="false" customHeight="false" outlineLevel="0" collapsed="false">
      <c r="A43" s="12" t="s">
        <v>769</v>
      </c>
      <c r="B43" s="65" t="n">
        <f aca="false">SUM(C43:N43)</f>
        <v>0</v>
      </c>
      <c r="C43" s="66" t="n">
        <f aca="false">IF(1&lt;$C$17,0,$I$17*$D$17*(1+$C$29))</f>
        <v>0</v>
      </c>
      <c r="D43" s="66" t="n">
        <f aca="false">IF(2&lt;$C$17,0,$I$17*$D$17*(1+$C$29))</f>
        <v>0</v>
      </c>
      <c r="E43" s="66" t="n">
        <f aca="false">IF(3&lt;$C$17,0,$I$17*$D$17*(1+$C$29))</f>
        <v>0</v>
      </c>
      <c r="F43" s="66" t="n">
        <f aca="false">IF(4&lt;$C$17,0,$I$17*$D$17*(1+$C$29))</f>
        <v>0</v>
      </c>
      <c r="G43" s="66" t="n">
        <f aca="false">IF(5&lt;$C$17,0,$I$17*$D$17*(1+$C$29))</f>
        <v>0</v>
      </c>
      <c r="H43" s="66" t="n">
        <f aca="false">IF(6&lt;$C$17,0,$I$17*$D$17*(1+$C$29))</f>
        <v>0</v>
      </c>
      <c r="I43" s="66" t="n">
        <f aca="false">IF(7&lt;$C$17,0,$I$17*$D$17*(1+$C$29))</f>
        <v>0</v>
      </c>
      <c r="J43" s="66" t="n">
        <f aca="false">IF(8&lt;$C$17,0,$I$17*$D$17*(1+$C$29))</f>
        <v>0</v>
      </c>
      <c r="K43" s="66" t="n">
        <f aca="false">IF(9&lt;$C$17,0,$I$17*$D$17*(1+$C$29))</f>
        <v>0</v>
      </c>
      <c r="L43" s="66" t="n">
        <f aca="false">IF(10&lt;$C$17,0,$I$17*$D$17*(1+$C$29))</f>
        <v>0</v>
      </c>
      <c r="M43" s="66" t="n">
        <f aca="false">IF(11&lt;$C$17,0,$I$17*$D$17*(1+$C$29))</f>
        <v>0</v>
      </c>
      <c r="N43" s="66" t="n">
        <f aca="false">IF(12&lt;$C$17,0,$I$17*$D$17*(1+$C$29))</f>
        <v>0</v>
      </c>
      <c r="O43" s="65" t="n">
        <f aca="false">SUM(P43:AA43)</f>
        <v>22176</v>
      </c>
      <c r="P43" s="66" t="n">
        <f aca="false">IF(13&lt;$C$17,0,$J$17*$E$17*(1+$C$29))</f>
        <v>1848</v>
      </c>
      <c r="Q43" s="66" t="n">
        <f aca="false">IF(14&lt;$C$17,0,$J$17*$E$17*(1+$C$29))</f>
        <v>1848</v>
      </c>
      <c r="R43" s="66" t="n">
        <f aca="false">IF(15&lt;$C$17,0,$J$17*$E$17*(1+$C$29))</f>
        <v>1848</v>
      </c>
      <c r="S43" s="66" t="n">
        <f aca="false">IF(16&lt;$C$17,0,$J$17*$E$17*(1+$C$29))</f>
        <v>1848</v>
      </c>
      <c r="T43" s="66" t="n">
        <f aca="false">IF(17&lt;$C$17,0,$J$17*$E$17*(1+$C$29))</f>
        <v>1848</v>
      </c>
      <c r="U43" s="66" t="n">
        <f aca="false">IF(18&lt;$C$17,0,$J$17*$E$17*(1+$C$29))</f>
        <v>1848</v>
      </c>
      <c r="V43" s="66" t="n">
        <f aca="false">IF(19&lt;$C$17,0,$J$17*$E$17*(1+$C$29))</f>
        <v>1848</v>
      </c>
      <c r="W43" s="66" t="n">
        <f aca="false">IF(20&lt;$C$17,0,$J$17*$E$17*(1+$C$29))</f>
        <v>1848</v>
      </c>
      <c r="X43" s="66" t="n">
        <f aca="false">IF(21&lt;$C$17,0,$J$17*$E$17*(1+$C$29))</f>
        <v>1848</v>
      </c>
      <c r="Y43" s="66" t="n">
        <f aca="false">IF(22&lt;$C$17,0,$J$17*$E$17*(1+$C$29))</f>
        <v>1848</v>
      </c>
      <c r="Z43" s="66" t="n">
        <f aca="false">IF(23&lt;$C$17,0,$J$17*$E$17*(1+$C$29))</f>
        <v>1848</v>
      </c>
      <c r="AA43" s="66" t="n">
        <f aca="false">IF(24&lt;$C$17,0,$J$17*$E$17*(1+$C$29))</f>
        <v>1848</v>
      </c>
      <c r="AB43" s="65" t="n">
        <f aca="false">SUM(AC43:AN43)</f>
        <v>30492</v>
      </c>
      <c r="AC43" s="66" t="n">
        <f aca="false">IF(25&lt;$C$17,0,$K$17*$F$17*(1+$C$29))</f>
        <v>2541</v>
      </c>
      <c r="AD43" s="66" t="n">
        <f aca="false">IF(26&lt;$C$17,0,$K$17*$F$17*(1+$C$29))</f>
        <v>2541</v>
      </c>
      <c r="AE43" s="66" t="n">
        <f aca="false">IF(27&lt;$C$17,0,$K$17*$F$17*(1+$C$29))</f>
        <v>2541</v>
      </c>
      <c r="AF43" s="66" t="n">
        <f aca="false">IF(28&lt;$C$17,0,$K$17*$F$17*(1+$C$29))</f>
        <v>2541</v>
      </c>
      <c r="AG43" s="66" t="n">
        <f aca="false">IF(29&lt;$C$17,0,$K$17*$F$17*(1+$C$29))</f>
        <v>2541</v>
      </c>
      <c r="AH43" s="66" t="n">
        <f aca="false">IF(30&lt;$C$17,0,$K$17*$F$17*(1+$C$29))</f>
        <v>2541</v>
      </c>
      <c r="AI43" s="66" t="n">
        <f aca="false">IF(31&lt;$C$17,0,$K$17*$F$17*(1+$C$29))</f>
        <v>2541</v>
      </c>
      <c r="AJ43" s="66" t="n">
        <f aca="false">IF(32&lt;$C$17,0,$K$17*$F$17*(1+$C$29))</f>
        <v>2541</v>
      </c>
      <c r="AK43" s="66" t="n">
        <f aca="false">IF(33&lt;$C$17,0,$K$17*$F$17*(1+$C$29))</f>
        <v>2541</v>
      </c>
      <c r="AL43" s="66" t="n">
        <f aca="false">IF(34&lt;$C$17,0,$K$17*$F$17*(1+$C$29))</f>
        <v>2541</v>
      </c>
      <c r="AM43" s="66" t="n">
        <f aca="false">IF(35&lt;$C$17,0,$K$17*$F$17*(1+$C$29))</f>
        <v>2541</v>
      </c>
      <c r="AN43" s="66" t="n">
        <f aca="false">IF(36&lt;$C$17,0,$K$17*$F$17*(1+$C$29))</f>
        <v>2541</v>
      </c>
      <c r="AO43" s="65" t="n">
        <f aca="false">SUM(AP43:BA43)</f>
        <v>31878</v>
      </c>
      <c r="AP43" s="66" t="n">
        <f aca="false">IF(37&lt;$C$17,0,$L$17*$G$17*(1+$C$29))</f>
        <v>2656.5</v>
      </c>
      <c r="AQ43" s="66" t="n">
        <f aca="false">IF(38&lt;$C$17,0,$L$17*$G$17*(1+$C$29))</f>
        <v>2656.5</v>
      </c>
      <c r="AR43" s="66" t="n">
        <f aca="false">IF(39&lt;$C$17,0,$L$17*$G$17*(1+$C$29))</f>
        <v>2656.5</v>
      </c>
      <c r="AS43" s="66" t="n">
        <f aca="false">IF(40&lt;$C$17,0,$L$17*$G$17*(1+$C$29))</f>
        <v>2656.5</v>
      </c>
      <c r="AT43" s="66" t="n">
        <f aca="false">IF(41&lt;$C$17,0,$L$17*$G$17*(1+$C$29))</f>
        <v>2656.5</v>
      </c>
      <c r="AU43" s="66" t="n">
        <f aca="false">IF(42&lt;$C$17,0,$L$17*$G$17*(1+$C$29))</f>
        <v>2656.5</v>
      </c>
      <c r="AV43" s="66" t="n">
        <f aca="false">IF(43&lt;$C$17,0,$L$17*$G$17*(1+$C$29))</f>
        <v>2656.5</v>
      </c>
      <c r="AW43" s="66" t="n">
        <f aca="false">IF(44&lt;$C$17,0,$L$17*$G$17*(1+$C$29))</f>
        <v>2656.5</v>
      </c>
      <c r="AX43" s="66" t="n">
        <f aca="false">IF(45&lt;$C$17,0,$L$17*$G$17*(1+$C$29))</f>
        <v>2656.5</v>
      </c>
      <c r="AY43" s="66" t="n">
        <f aca="false">IF(46&lt;$C$17,0,$L$17*$G$17*(1+$C$29))</f>
        <v>2656.5</v>
      </c>
      <c r="AZ43" s="66" t="n">
        <f aca="false">IF(47&lt;$C$17,0,$L$17*$G$17*(1+$C$29))</f>
        <v>2656.5</v>
      </c>
      <c r="BA43" s="66" t="n">
        <f aca="false">IF(48&lt;$C$17,0,$L$17*$G$17*(1+$C$29))</f>
        <v>2656.5</v>
      </c>
      <c r="BB43" s="65" t="n">
        <f aca="false">SUM(BC43:BN43)</f>
        <v>33264</v>
      </c>
      <c r="BC43" s="66" t="n">
        <f aca="false">IF(49&lt;$C$17,0,$M$17*$H$17*(1+$C$29))</f>
        <v>2772</v>
      </c>
      <c r="BD43" s="66" t="n">
        <f aca="false">IF(50&lt;$C$17,0,$M$17*$H$17*(1+$C$29))</f>
        <v>2772</v>
      </c>
      <c r="BE43" s="66" t="n">
        <f aca="false">IF(51&lt;$C$17,0,$M$17*$H$17*(1+$C$29))</f>
        <v>2772</v>
      </c>
      <c r="BF43" s="66" t="n">
        <f aca="false">IF(52&lt;$C$17,0,$M$17*$H$17*(1+$C$29))</f>
        <v>2772</v>
      </c>
      <c r="BG43" s="66" t="n">
        <f aca="false">IF(53&lt;$C$17,0,$M$17*$H$17*(1+$C$29))</f>
        <v>2772</v>
      </c>
      <c r="BH43" s="66" t="n">
        <f aca="false">IF(54&lt;$C$17,0,$M$17*$H$17*(1+$C$29))</f>
        <v>2772</v>
      </c>
      <c r="BI43" s="66" t="n">
        <f aca="false">IF(55&lt;$C$17,0,$M$17*$H$17*(1+$C$29))</f>
        <v>2772</v>
      </c>
      <c r="BJ43" s="66" t="n">
        <f aca="false">IF(56&lt;$C$17,0,$M$17*$H$17*(1+$C$29))</f>
        <v>2772</v>
      </c>
      <c r="BK43" s="66" t="n">
        <f aca="false">IF(57&lt;$C$17,0,$M$17*$H$17*(1+$C$29))</f>
        <v>2772</v>
      </c>
      <c r="BL43" s="66" t="n">
        <f aca="false">IF(58&lt;$C$17,0,$M$17*$H$17*(1+$C$29))</f>
        <v>2772</v>
      </c>
      <c r="BM43" s="66" t="n">
        <f aca="false">IF(59&lt;$C$17,0,$M$17*$H$17*(1+$C$29))</f>
        <v>2772</v>
      </c>
      <c r="BN43" s="66" t="n">
        <f aca="false">IF(60&lt;$C$17,0,$M$17*$H$17*(1+$C$29))</f>
        <v>2772</v>
      </c>
    </row>
    <row r="44" customFormat="false" ht="15" hidden="false" customHeight="false" outlineLevel="0" collapsed="false">
      <c r="A44" s="12" t="s">
        <v>770</v>
      </c>
      <c r="B44" s="65" t="n">
        <f aca="false">SUM(C44:N44)</f>
        <v>0</v>
      </c>
      <c r="C44" s="66" t="n">
        <f aca="false">IF(1&lt;$C$18,0,$I$18*$D$18*(1+$C$29))</f>
        <v>0</v>
      </c>
      <c r="D44" s="66" t="n">
        <f aca="false">IF(2&lt;$C$18,0,$I$18*$D$18*(1+$C$29))</f>
        <v>0</v>
      </c>
      <c r="E44" s="66" t="n">
        <f aca="false">IF(3&lt;$C$18,0,$I$18*$D$18*(1+$C$29))</f>
        <v>0</v>
      </c>
      <c r="F44" s="66" t="n">
        <f aca="false">IF(4&lt;$C$18,0,$I$18*$D$18*(1+$C$29))</f>
        <v>0</v>
      </c>
      <c r="G44" s="66" t="n">
        <f aca="false">IF(5&lt;$C$18,0,$I$18*$D$18*(1+$C$29))</f>
        <v>0</v>
      </c>
      <c r="H44" s="66" t="n">
        <f aca="false">IF(6&lt;$C$18,0,$I$18*$D$18*(1+$C$29))</f>
        <v>0</v>
      </c>
      <c r="I44" s="66" t="n">
        <f aca="false">IF(7&lt;$C$18,0,$I$18*$D$18*(1+$C$29))</f>
        <v>0</v>
      </c>
      <c r="J44" s="66" t="n">
        <f aca="false">IF(8&lt;$C$18,0,$I$18*$D$18*(1+$C$29))</f>
        <v>0</v>
      </c>
      <c r="K44" s="66" t="n">
        <f aca="false">IF(9&lt;$C$18,0,$I$18*$D$18*(1+$C$29))</f>
        <v>0</v>
      </c>
      <c r="L44" s="66" t="n">
        <f aca="false">IF(10&lt;$C$18,0,$I$18*$D$18*(1+$C$29))</f>
        <v>0</v>
      </c>
      <c r="M44" s="66" t="n">
        <f aca="false">IF(11&lt;$C$18,0,$I$18*$D$18*(1+$C$29))</f>
        <v>0</v>
      </c>
      <c r="N44" s="66" t="n">
        <f aca="false">IF(12&lt;$C$18,0,$I$18*$D$18*(1+$C$29))</f>
        <v>0</v>
      </c>
      <c r="O44" s="65" t="n">
        <f aca="false">SUM(P44:AA44)</f>
        <v>0</v>
      </c>
      <c r="P44" s="66" t="n">
        <f aca="false">IF(13&lt;$C$18,0,$J$18*$E$18*(1+$C$29))</f>
        <v>0</v>
      </c>
      <c r="Q44" s="66" t="n">
        <f aca="false">IF(14&lt;$C$18,0,$J$18*$E$18*(1+$C$29))</f>
        <v>0</v>
      </c>
      <c r="R44" s="66" t="n">
        <f aca="false">IF(15&lt;$C$18,0,$J$18*$E$18*(1+$C$29))</f>
        <v>0</v>
      </c>
      <c r="S44" s="66" t="n">
        <f aca="false">IF(16&lt;$C$18,0,$J$18*$E$18*(1+$C$29))</f>
        <v>0</v>
      </c>
      <c r="T44" s="66" t="n">
        <f aca="false">IF(17&lt;$C$18,0,$J$18*$E$18*(1+$C$29))</f>
        <v>0</v>
      </c>
      <c r="U44" s="66" t="n">
        <f aca="false">IF(18&lt;$C$18,0,$J$18*$E$18*(1+$C$29))</f>
        <v>0</v>
      </c>
      <c r="V44" s="66" t="n">
        <f aca="false">IF(19&lt;$C$18,0,$J$18*$E$18*(1+$C$29))</f>
        <v>0</v>
      </c>
      <c r="W44" s="66" t="n">
        <f aca="false">IF(20&lt;$C$18,0,$J$18*$E$18*(1+$C$29))</f>
        <v>0</v>
      </c>
      <c r="X44" s="66" t="n">
        <f aca="false">IF(21&lt;$C$18,0,$J$18*$E$18*(1+$C$29))</f>
        <v>0</v>
      </c>
      <c r="Y44" s="66" t="n">
        <f aca="false">IF(22&lt;$C$18,0,$J$18*$E$18*(1+$C$29))</f>
        <v>0</v>
      </c>
      <c r="Z44" s="66" t="n">
        <f aca="false">IF(23&lt;$C$18,0,$J$18*$E$18*(1+$C$29))</f>
        <v>0</v>
      </c>
      <c r="AA44" s="66" t="n">
        <f aca="false">IF(24&lt;$C$18,0,$J$18*$E$18*(1+$C$29))</f>
        <v>0</v>
      </c>
      <c r="AB44" s="65" t="n">
        <f aca="false">SUM(AC44:AN44)</f>
        <v>69300</v>
      </c>
      <c r="AC44" s="66" t="n">
        <f aca="false">IF(25&lt;$C$18,0,$K$18*$F$18*(1+$C$29))</f>
        <v>5775</v>
      </c>
      <c r="AD44" s="66" t="n">
        <f aca="false">IF(26&lt;$C$18,0,$K$18*$F$18*(1+$C$29))</f>
        <v>5775</v>
      </c>
      <c r="AE44" s="66" t="n">
        <f aca="false">IF(27&lt;$C$18,0,$K$18*$F$18*(1+$C$29))</f>
        <v>5775</v>
      </c>
      <c r="AF44" s="66" t="n">
        <f aca="false">IF(28&lt;$C$18,0,$K$18*$F$18*(1+$C$29))</f>
        <v>5775</v>
      </c>
      <c r="AG44" s="66" t="n">
        <f aca="false">IF(29&lt;$C$18,0,$K$18*$F$18*(1+$C$29))</f>
        <v>5775</v>
      </c>
      <c r="AH44" s="66" t="n">
        <f aca="false">IF(30&lt;$C$18,0,$K$18*$F$18*(1+$C$29))</f>
        <v>5775</v>
      </c>
      <c r="AI44" s="66" t="n">
        <f aca="false">IF(31&lt;$C$18,0,$K$18*$F$18*(1+$C$29))</f>
        <v>5775</v>
      </c>
      <c r="AJ44" s="66" t="n">
        <f aca="false">IF(32&lt;$C$18,0,$K$18*$F$18*(1+$C$29))</f>
        <v>5775</v>
      </c>
      <c r="AK44" s="66" t="n">
        <f aca="false">IF(33&lt;$C$18,0,$K$18*$F$18*(1+$C$29))</f>
        <v>5775</v>
      </c>
      <c r="AL44" s="66" t="n">
        <f aca="false">IF(34&lt;$C$18,0,$K$18*$F$18*(1+$C$29))</f>
        <v>5775</v>
      </c>
      <c r="AM44" s="66" t="n">
        <f aca="false">IF(35&lt;$C$18,0,$K$18*$F$18*(1+$C$29))</f>
        <v>5775</v>
      </c>
      <c r="AN44" s="66" t="n">
        <f aca="false">IF(36&lt;$C$18,0,$K$18*$F$18*(1+$C$29))</f>
        <v>5775</v>
      </c>
      <c r="AO44" s="65" t="n">
        <f aca="false">SUM(AP44:BA44)</f>
        <v>72072</v>
      </c>
      <c r="AP44" s="66" t="n">
        <f aca="false">IF(37&lt;$C$18,0,$L$18*$G$18*(1+$C$29))</f>
        <v>6006</v>
      </c>
      <c r="AQ44" s="66" t="n">
        <f aca="false">IF(38&lt;$C$18,0,$L$18*$G$18*(1+$C$29))</f>
        <v>6006</v>
      </c>
      <c r="AR44" s="66" t="n">
        <f aca="false">IF(39&lt;$C$18,0,$L$18*$G$18*(1+$C$29))</f>
        <v>6006</v>
      </c>
      <c r="AS44" s="66" t="n">
        <f aca="false">IF(40&lt;$C$18,0,$L$18*$G$18*(1+$C$29))</f>
        <v>6006</v>
      </c>
      <c r="AT44" s="66" t="n">
        <f aca="false">IF(41&lt;$C$18,0,$L$18*$G$18*(1+$C$29))</f>
        <v>6006</v>
      </c>
      <c r="AU44" s="66" t="n">
        <f aca="false">IF(42&lt;$C$18,0,$L$18*$G$18*(1+$C$29))</f>
        <v>6006</v>
      </c>
      <c r="AV44" s="66" t="n">
        <f aca="false">IF(43&lt;$C$18,0,$L$18*$G$18*(1+$C$29))</f>
        <v>6006</v>
      </c>
      <c r="AW44" s="66" t="n">
        <f aca="false">IF(44&lt;$C$18,0,$L$18*$G$18*(1+$C$29))</f>
        <v>6006</v>
      </c>
      <c r="AX44" s="66" t="n">
        <f aca="false">IF(45&lt;$C$18,0,$L$18*$G$18*(1+$C$29))</f>
        <v>6006</v>
      </c>
      <c r="AY44" s="66" t="n">
        <f aca="false">IF(46&lt;$C$18,0,$L$18*$G$18*(1+$C$29))</f>
        <v>6006</v>
      </c>
      <c r="AZ44" s="66" t="n">
        <f aca="false">IF(47&lt;$C$18,0,$L$18*$G$18*(1+$C$29))</f>
        <v>6006</v>
      </c>
      <c r="BA44" s="66" t="n">
        <f aca="false">IF(48&lt;$C$18,0,$L$18*$G$18*(1+$C$29))</f>
        <v>6006</v>
      </c>
      <c r="BB44" s="65" t="n">
        <f aca="false">SUM(BC44:BN44)</f>
        <v>74844</v>
      </c>
      <c r="BC44" s="66" t="n">
        <f aca="false">IF(49&lt;$C$18,0,$M$18*$H$18*(1+$C$29))</f>
        <v>6237</v>
      </c>
      <c r="BD44" s="66" t="n">
        <f aca="false">IF(50&lt;$C$18,0,$M$18*$H$18*(1+$C$29))</f>
        <v>6237</v>
      </c>
      <c r="BE44" s="66" t="n">
        <f aca="false">IF(51&lt;$C$18,0,$M$18*$H$18*(1+$C$29))</f>
        <v>6237</v>
      </c>
      <c r="BF44" s="66" t="n">
        <f aca="false">IF(52&lt;$C$18,0,$M$18*$H$18*(1+$C$29))</f>
        <v>6237</v>
      </c>
      <c r="BG44" s="66" t="n">
        <f aca="false">IF(53&lt;$C$18,0,$M$18*$H$18*(1+$C$29))</f>
        <v>6237</v>
      </c>
      <c r="BH44" s="66" t="n">
        <f aca="false">IF(54&lt;$C$18,0,$M$18*$H$18*(1+$C$29))</f>
        <v>6237</v>
      </c>
      <c r="BI44" s="66" t="n">
        <f aca="false">IF(55&lt;$C$18,0,$M$18*$H$18*(1+$C$29))</f>
        <v>6237</v>
      </c>
      <c r="BJ44" s="66" t="n">
        <f aca="false">IF(56&lt;$C$18,0,$M$18*$H$18*(1+$C$29))</f>
        <v>6237</v>
      </c>
      <c r="BK44" s="66" t="n">
        <f aca="false">IF(57&lt;$C$18,0,$M$18*$H$18*(1+$C$29))</f>
        <v>6237</v>
      </c>
      <c r="BL44" s="66" t="n">
        <f aca="false">IF(58&lt;$C$18,0,$M$18*$H$18*(1+$C$29))</f>
        <v>6237</v>
      </c>
      <c r="BM44" s="66" t="n">
        <f aca="false">IF(59&lt;$C$18,0,$M$18*$H$18*(1+$C$29))</f>
        <v>6237</v>
      </c>
      <c r="BN44" s="66" t="n">
        <f aca="false">IF(60&lt;$C$18,0,$M$18*$H$18*(1+$C$29))</f>
        <v>6237</v>
      </c>
    </row>
    <row r="45" customFormat="false" ht="15" hidden="false" customHeight="false" outlineLevel="0" collapsed="false">
      <c r="A45" s="12" t="s">
        <v>771</v>
      </c>
      <c r="B45" s="65" t="n">
        <f aca="false">SUM(C45:N45)</f>
        <v>0</v>
      </c>
      <c r="C45" s="66" t="n">
        <f aca="false">IF(1&lt;$C$19,0,$I$19*$D$19*(1+$C$29))</f>
        <v>0</v>
      </c>
      <c r="D45" s="66" t="n">
        <f aca="false">IF(2&lt;$C$19,0,$I$19*$D$19*(1+$C$29))</f>
        <v>0</v>
      </c>
      <c r="E45" s="66" t="n">
        <f aca="false">IF(3&lt;$C$19,0,$I$19*$D$19*(1+$C$29))</f>
        <v>0</v>
      </c>
      <c r="F45" s="66" t="n">
        <f aca="false">IF(4&lt;$C$19,0,$I$19*$D$19*(1+$C$29))</f>
        <v>0</v>
      </c>
      <c r="G45" s="66" t="n">
        <f aca="false">IF(5&lt;$C$19,0,$I$19*$D$19*(1+$C$29))</f>
        <v>0</v>
      </c>
      <c r="H45" s="66" t="n">
        <f aca="false">IF(6&lt;$C$19,0,$I$19*$D$19*(1+$C$29))</f>
        <v>0</v>
      </c>
      <c r="I45" s="66" t="n">
        <f aca="false">IF(7&lt;$C$19,0,$I$19*$D$19*(1+$C$29))</f>
        <v>0</v>
      </c>
      <c r="J45" s="66" t="n">
        <f aca="false">IF(8&lt;$C$19,0,$I$19*$D$19*(1+$C$29))</f>
        <v>0</v>
      </c>
      <c r="K45" s="66" t="n">
        <f aca="false">IF(9&lt;$C$19,0,$I$19*$D$19*(1+$C$29))</f>
        <v>0</v>
      </c>
      <c r="L45" s="66" t="n">
        <f aca="false">IF(10&lt;$C$19,0,$I$19*$D$19*(1+$C$29))</f>
        <v>0</v>
      </c>
      <c r="M45" s="66" t="n">
        <f aca="false">IF(11&lt;$C$19,0,$I$19*$D$19*(1+$C$29))</f>
        <v>0</v>
      </c>
      <c r="N45" s="66" t="n">
        <f aca="false">IF(12&lt;$C$19,0,$I$19*$D$19*(1+$C$29))</f>
        <v>0</v>
      </c>
      <c r="O45" s="65" t="n">
        <f aca="false">SUM(P45:AA45)</f>
        <v>0</v>
      </c>
      <c r="P45" s="66" t="n">
        <f aca="false">IF(13&lt;$C$19,0,$J$19*$E$19*(1+$C$29))</f>
        <v>0</v>
      </c>
      <c r="Q45" s="66" t="n">
        <f aca="false">IF(14&lt;$C$19,0,$J$19*$E$19*(1+$C$29))</f>
        <v>0</v>
      </c>
      <c r="R45" s="66" t="n">
        <f aca="false">IF(15&lt;$C$19,0,$J$19*$E$19*(1+$C$29))</f>
        <v>0</v>
      </c>
      <c r="S45" s="66" t="n">
        <f aca="false">IF(16&lt;$C$19,0,$J$19*$E$19*(1+$C$29))</f>
        <v>0</v>
      </c>
      <c r="T45" s="66" t="n">
        <f aca="false">IF(17&lt;$C$19,0,$J$19*$E$19*(1+$C$29))</f>
        <v>0</v>
      </c>
      <c r="U45" s="66" t="n">
        <f aca="false">IF(18&lt;$C$19,0,$J$19*$E$19*(1+$C$29))</f>
        <v>0</v>
      </c>
      <c r="V45" s="66" t="n">
        <f aca="false">IF(19&lt;$C$19,0,$J$19*$E$19*(1+$C$29))</f>
        <v>0</v>
      </c>
      <c r="W45" s="66" t="n">
        <f aca="false">IF(20&lt;$C$19,0,$J$19*$E$19*(1+$C$29))</f>
        <v>0</v>
      </c>
      <c r="X45" s="66" t="n">
        <f aca="false">IF(21&lt;$C$19,0,$J$19*$E$19*(1+$C$29))</f>
        <v>0</v>
      </c>
      <c r="Y45" s="66" t="n">
        <f aca="false">IF(22&lt;$C$19,0,$J$19*$E$19*(1+$C$29))</f>
        <v>0</v>
      </c>
      <c r="Z45" s="66" t="n">
        <f aca="false">IF(23&lt;$C$19,0,$J$19*$E$19*(1+$C$29))</f>
        <v>0</v>
      </c>
      <c r="AA45" s="66" t="n">
        <f aca="false">IF(24&lt;$C$19,0,$J$19*$E$19*(1+$C$29))</f>
        <v>0</v>
      </c>
      <c r="AB45" s="65" t="n">
        <f aca="false">SUM(AC45:AN45)</f>
        <v>36036</v>
      </c>
      <c r="AC45" s="66" t="n">
        <f aca="false">IF(25&lt;$C$19,0,$K$19*$F$19*(1+$C$29))</f>
        <v>3003</v>
      </c>
      <c r="AD45" s="66" t="n">
        <f aca="false">IF(26&lt;$C$19,0,$K$19*$F$19*(1+$C$29))</f>
        <v>3003</v>
      </c>
      <c r="AE45" s="66" t="n">
        <f aca="false">IF(27&lt;$C$19,0,$K$19*$F$19*(1+$C$29))</f>
        <v>3003</v>
      </c>
      <c r="AF45" s="66" t="n">
        <f aca="false">IF(28&lt;$C$19,0,$K$19*$F$19*(1+$C$29))</f>
        <v>3003</v>
      </c>
      <c r="AG45" s="66" t="n">
        <f aca="false">IF(29&lt;$C$19,0,$K$19*$F$19*(1+$C$29))</f>
        <v>3003</v>
      </c>
      <c r="AH45" s="66" t="n">
        <f aca="false">IF(30&lt;$C$19,0,$K$19*$F$19*(1+$C$29))</f>
        <v>3003</v>
      </c>
      <c r="AI45" s="66" t="n">
        <f aca="false">IF(31&lt;$C$19,0,$K$19*$F$19*(1+$C$29))</f>
        <v>3003</v>
      </c>
      <c r="AJ45" s="66" t="n">
        <f aca="false">IF(32&lt;$C$19,0,$K$19*$F$19*(1+$C$29))</f>
        <v>3003</v>
      </c>
      <c r="AK45" s="66" t="n">
        <f aca="false">IF(33&lt;$C$19,0,$K$19*$F$19*(1+$C$29))</f>
        <v>3003</v>
      </c>
      <c r="AL45" s="66" t="n">
        <f aca="false">IF(34&lt;$C$19,0,$K$19*$F$19*(1+$C$29))</f>
        <v>3003</v>
      </c>
      <c r="AM45" s="66" t="n">
        <f aca="false">IF(35&lt;$C$19,0,$K$19*$F$19*(1+$C$29))</f>
        <v>3003</v>
      </c>
      <c r="AN45" s="66" t="n">
        <f aca="false">IF(36&lt;$C$19,0,$K$19*$F$19*(1+$C$29))</f>
        <v>3003</v>
      </c>
      <c r="AO45" s="65" t="n">
        <f aca="false">SUM(AP45:BA45)</f>
        <v>37422</v>
      </c>
      <c r="AP45" s="66" t="n">
        <f aca="false">IF(37&lt;$C$19,0,$L$19*$G$19*(1+$C$29))</f>
        <v>3118.5</v>
      </c>
      <c r="AQ45" s="66" t="n">
        <f aca="false">IF(38&lt;$C$19,0,$L$19*$G$19*(1+$C$29))</f>
        <v>3118.5</v>
      </c>
      <c r="AR45" s="66" t="n">
        <f aca="false">IF(39&lt;$C$19,0,$L$19*$G$19*(1+$C$29))</f>
        <v>3118.5</v>
      </c>
      <c r="AS45" s="66" t="n">
        <f aca="false">IF(40&lt;$C$19,0,$L$19*$G$19*(1+$C$29))</f>
        <v>3118.5</v>
      </c>
      <c r="AT45" s="66" t="n">
        <f aca="false">IF(41&lt;$C$19,0,$L$19*$G$19*(1+$C$29))</f>
        <v>3118.5</v>
      </c>
      <c r="AU45" s="66" t="n">
        <f aca="false">IF(42&lt;$C$19,0,$L$19*$G$19*(1+$C$29))</f>
        <v>3118.5</v>
      </c>
      <c r="AV45" s="66" t="n">
        <f aca="false">IF(43&lt;$C$19,0,$L$19*$G$19*(1+$C$29))</f>
        <v>3118.5</v>
      </c>
      <c r="AW45" s="66" t="n">
        <f aca="false">IF(44&lt;$C$19,0,$L$19*$G$19*(1+$C$29))</f>
        <v>3118.5</v>
      </c>
      <c r="AX45" s="66" t="n">
        <f aca="false">IF(45&lt;$C$19,0,$L$19*$G$19*(1+$C$29))</f>
        <v>3118.5</v>
      </c>
      <c r="AY45" s="66" t="n">
        <f aca="false">IF(46&lt;$C$19,0,$L$19*$G$19*(1+$C$29))</f>
        <v>3118.5</v>
      </c>
      <c r="AZ45" s="66" t="n">
        <f aca="false">IF(47&lt;$C$19,0,$L$19*$G$19*(1+$C$29))</f>
        <v>3118.5</v>
      </c>
      <c r="BA45" s="66" t="n">
        <f aca="false">IF(48&lt;$C$19,0,$L$19*$G$19*(1+$C$29))</f>
        <v>3118.5</v>
      </c>
      <c r="BB45" s="65" t="n">
        <f aca="false">SUM(BC45:BN45)</f>
        <v>38808</v>
      </c>
      <c r="BC45" s="66" t="n">
        <f aca="false">IF(49&lt;$C$19,0,$M$19*$H$19*(1+$C$29))</f>
        <v>3234</v>
      </c>
      <c r="BD45" s="66" t="n">
        <f aca="false">IF(50&lt;$C$19,0,$M$19*$H$19*(1+$C$29))</f>
        <v>3234</v>
      </c>
      <c r="BE45" s="66" t="n">
        <f aca="false">IF(51&lt;$C$19,0,$M$19*$H$19*(1+$C$29))</f>
        <v>3234</v>
      </c>
      <c r="BF45" s="66" t="n">
        <f aca="false">IF(52&lt;$C$19,0,$M$19*$H$19*(1+$C$29))</f>
        <v>3234</v>
      </c>
      <c r="BG45" s="66" t="n">
        <f aca="false">IF(53&lt;$C$19,0,$M$19*$H$19*(1+$C$29))</f>
        <v>3234</v>
      </c>
      <c r="BH45" s="66" t="n">
        <f aca="false">IF(54&lt;$C$19,0,$M$19*$H$19*(1+$C$29))</f>
        <v>3234</v>
      </c>
      <c r="BI45" s="66" t="n">
        <f aca="false">IF(55&lt;$C$19,0,$M$19*$H$19*(1+$C$29))</f>
        <v>3234</v>
      </c>
      <c r="BJ45" s="66" t="n">
        <f aca="false">IF(56&lt;$C$19,0,$M$19*$H$19*(1+$C$29))</f>
        <v>3234</v>
      </c>
      <c r="BK45" s="66" t="n">
        <f aca="false">IF(57&lt;$C$19,0,$M$19*$H$19*(1+$C$29))</f>
        <v>3234</v>
      </c>
      <c r="BL45" s="66" t="n">
        <f aca="false">IF(58&lt;$C$19,0,$M$19*$H$19*(1+$C$29))</f>
        <v>3234</v>
      </c>
      <c r="BM45" s="66" t="n">
        <f aca="false">IF(59&lt;$C$19,0,$M$19*$H$19*(1+$C$29))</f>
        <v>3234</v>
      </c>
      <c r="BN45" s="66" t="n">
        <f aca="false">IF(60&lt;$C$19,0,$M$19*$H$19*(1+$C$29))</f>
        <v>3234</v>
      </c>
    </row>
    <row r="46" customFormat="false" ht="15" hidden="false" customHeight="false" outlineLevel="0" collapsed="false">
      <c r="A46" s="12" t="s">
        <v>772</v>
      </c>
      <c r="B46" s="65" t="n">
        <f aca="false">SUM(C46:N46)</f>
        <v>0</v>
      </c>
      <c r="C46" s="66" t="n">
        <f aca="false">IF(1&lt;$C$20,0,$I$20*$D$20*(1+$C$29))</f>
        <v>0</v>
      </c>
      <c r="D46" s="66" t="n">
        <f aca="false">IF(2&lt;$C$20,0,$I$20*$D$20*(1+$C$29))</f>
        <v>0</v>
      </c>
      <c r="E46" s="66" t="n">
        <f aca="false">IF(3&lt;$C$20,0,$I$20*$D$20*(1+$C$29))</f>
        <v>0</v>
      </c>
      <c r="F46" s="66" t="n">
        <f aca="false">IF(4&lt;$C$20,0,$I$20*$D$20*(1+$C$29))</f>
        <v>0</v>
      </c>
      <c r="G46" s="66" t="n">
        <f aca="false">IF(5&lt;$C$20,0,$I$20*$D$20*(1+$C$29))</f>
        <v>0</v>
      </c>
      <c r="H46" s="66" t="n">
        <f aca="false">IF(6&lt;$C$20,0,$I$20*$D$20*(1+$C$29))</f>
        <v>0</v>
      </c>
      <c r="I46" s="66" t="n">
        <f aca="false">IF(7&lt;$C$20,0,$I$20*$D$20*(1+$C$29))</f>
        <v>0</v>
      </c>
      <c r="J46" s="66" t="n">
        <f aca="false">IF(8&lt;$C$20,0,$I$20*$D$20*(1+$C$29))</f>
        <v>0</v>
      </c>
      <c r="K46" s="66" t="n">
        <f aca="false">IF(9&lt;$C$20,0,$I$20*$D$20*(1+$C$29))</f>
        <v>0</v>
      </c>
      <c r="L46" s="66" t="n">
        <f aca="false">IF(10&lt;$C$20,0,$I$20*$D$20*(1+$C$29))</f>
        <v>0</v>
      </c>
      <c r="M46" s="66" t="n">
        <f aca="false">IF(11&lt;$C$20,0,$I$20*$D$20*(1+$C$29))</f>
        <v>0</v>
      </c>
      <c r="N46" s="66" t="n">
        <f aca="false">IF(12&lt;$C$20,0,$I$20*$D$20*(1+$C$29))</f>
        <v>0</v>
      </c>
      <c r="O46" s="65" t="n">
        <f aca="false">SUM(P46:AA46)</f>
        <v>0</v>
      </c>
      <c r="P46" s="66" t="n">
        <f aca="false">IF(13&lt;$C$20,0,$J$20*$E$20*(1+$C$29))</f>
        <v>0</v>
      </c>
      <c r="Q46" s="66" t="n">
        <f aca="false">IF(14&lt;$C$20,0,$J$20*$E$20*(1+$C$29))</f>
        <v>0</v>
      </c>
      <c r="R46" s="66" t="n">
        <f aca="false">IF(15&lt;$C$20,0,$J$20*$E$20*(1+$C$29))</f>
        <v>0</v>
      </c>
      <c r="S46" s="66" t="n">
        <f aca="false">IF(16&lt;$C$20,0,$J$20*$E$20*(1+$C$29))</f>
        <v>0</v>
      </c>
      <c r="T46" s="66" t="n">
        <f aca="false">IF(17&lt;$C$20,0,$J$20*$E$20*(1+$C$29))</f>
        <v>0</v>
      </c>
      <c r="U46" s="66" t="n">
        <f aca="false">IF(18&lt;$C$20,0,$J$20*$E$20*(1+$C$29))</f>
        <v>0</v>
      </c>
      <c r="V46" s="66" t="n">
        <f aca="false">IF(19&lt;$C$20,0,$J$20*$E$20*(1+$C$29))</f>
        <v>0</v>
      </c>
      <c r="W46" s="66" t="n">
        <f aca="false">IF(20&lt;$C$20,0,$J$20*$E$20*(1+$C$29))</f>
        <v>0</v>
      </c>
      <c r="X46" s="66" t="n">
        <f aca="false">IF(21&lt;$C$20,0,$J$20*$E$20*(1+$C$29))</f>
        <v>0</v>
      </c>
      <c r="Y46" s="66" t="n">
        <f aca="false">IF(22&lt;$C$20,0,$J$20*$E$20*(1+$C$29))</f>
        <v>0</v>
      </c>
      <c r="Z46" s="66" t="n">
        <f aca="false">IF(23&lt;$C$20,0,$J$20*$E$20*(1+$C$29))</f>
        <v>0</v>
      </c>
      <c r="AA46" s="66" t="n">
        <f aca="false">IF(24&lt;$C$20,0,$J$20*$E$20*(1+$C$29))</f>
        <v>0</v>
      </c>
      <c r="AB46" s="65" t="n">
        <f aca="false">SUM(AC46:AN46)</f>
        <v>16632</v>
      </c>
      <c r="AC46" s="66" t="n">
        <f aca="false">IF(25&lt;$C$20,0,$K$20*$F$20*(1+$C$29))</f>
        <v>1386</v>
      </c>
      <c r="AD46" s="66" t="n">
        <f aca="false">IF(26&lt;$C$20,0,$K$20*$F$20*(1+$C$29))</f>
        <v>1386</v>
      </c>
      <c r="AE46" s="66" t="n">
        <f aca="false">IF(27&lt;$C$20,0,$K$20*$F$20*(1+$C$29))</f>
        <v>1386</v>
      </c>
      <c r="AF46" s="66" t="n">
        <f aca="false">IF(28&lt;$C$20,0,$K$20*$F$20*(1+$C$29))</f>
        <v>1386</v>
      </c>
      <c r="AG46" s="66" t="n">
        <f aca="false">IF(29&lt;$C$20,0,$K$20*$F$20*(1+$C$29))</f>
        <v>1386</v>
      </c>
      <c r="AH46" s="66" t="n">
        <f aca="false">IF(30&lt;$C$20,0,$K$20*$F$20*(1+$C$29))</f>
        <v>1386</v>
      </c>
      <c r="AI46" s="66" t="n">
        <f aca="false">IF(31&lt;$C$20,0,$K$20*$F$20*(1+$C$29))</f>
        <v>1386</v>
      </c>
      <c r="AJ46" s="66" t="n">
        <f aca="false">IF(32&lt;$C$20,0,$K$20*$F$20*(1+$C$29))</f>
        <v>1386</v>
      </c>
      <c r="AK46" s="66" t="n">
        <f aca="false">IF(33&lt;$C$20,0,$K$20*$F$20*(1+$C$29))</f>
        <v>1386</v>
      </c>
      <c r="AL46" s="66" t="n">
        <f aca="false">IF(34&lt;$C$20,0,$K$20*$F$20*(1+$C$29))</f>
        <v>1386</v>
      </c>
      <c r="AM46" s="66" t="n">
        <f aca="false">IF(35&lt;$C$20,0,$K$20*$F$20*(1+$C$29))</f>
        <v>1386</v>
      </c>
      <c r="AN46" s="66" t="n">
        <f aca="false">IF(36&lt;$C$20,0,$K$20*$F$20*(1+$C$29))</f>
        <v>1386</v>
      </c>
      <c r="AO46" s="65" t="n">
        <f aca="false">SUM(AP46:BA46)</f>
        <v>17325</v>
      </c>
      <c r="AP46" s="66" t="n">
        <f aca="false">IF(37&lt;$C$20,0,$L$20*$G$20*(1+$C$29))</f>
        <v>1443.75</v>
      </c>
      <c r="AQ46" s="66" t="n">
        <f aca="false">IF(38&lt;$C$20,0,$L$20*$G$20*(1+$C$29))</f>
        <v>1443.75</v>
      </c>
      <c r="AR46" s="66" t="n">
        <f aca="false">IF(39&lt;$C$20,0,$L$20*$G$20*(1+$C$29))</f>
        <v>1443.75</v>
      </c>
      <c r="AS46" s="66" t="n">
        <f aca="false">IF(40&lt;$C$20,0,$L$20*$G$20*(1+$C$29))</f>
        <v>1443.75</v>
      </c>
      <c r="AT46" s="66" t="n">
        <f aca="false">IF(41&lt;$C$20,0,$L$20*$G$20*(1+$C$29))</f>
        <v>1443.75</v>
      </c>
      <c r="AU46" s="66" t="n">
        <f aca="false">IF(42&lt;$C$20,0,$L$20*$G$20*(1+$C$29))</f>
        <v>1443.75</v>
      </c>
      <c r="AV46" s="66" t="n">
        <f aca="false">IF(43&lt;$C$20,0,$L$20*$G$20*(1+$C$29))</f>
        <v>1443.75</v>
      </c>
      <c r="AW46" s="66" t="n">
        <f aca="false">IF(44&lt;$C$20,0,$L$20*$G$20*(1+$C$29))</f>
        <v>1443.75</v>
      </c>
      <c r="AX46" s="66" t="n">
        <f aca="false">IF(45&lt;$C$20,0,$L$20*$G$20*(1+$C$29))</f>
        <v>1443.75</v>
      </c>
      <c r="AY46" s="66" t="n">
        <f aca="false">IF(46&lt;$C$20,0,$L$20*$G$20*(1+$C$29))</f>
        <v>1443.75</v>
      </c>
      <c r="AZ46" s="66" t="n">
        <f aca="false">IF(47&lt;$C$20,0,$L$20*$G$20*(1+$C$29))</f>
        <v>1443.75</v>
      </c>
      <c r="BA46" s="66" t="n">
        <f aca="false">IF(48&lt;$C$20,0,$L$20*$G$20*(1+$C$29))</f>
        <v>1443.75</v>
      </c>
      <c r="BB46" s="65" t="n">
        <f aca="false">SUM(BC46:BN46)</f>
        <v>18018</v>
      </c>
      <c r="BC46" s="66" t="n">
        <f aca="false">IF(49&lt;$C$20,0,$M$20*$H$20*(1+$C$29))</f>
        <v>1501.5</v>
      </c>
      <c r="BD46" s="66" t="n">
        <f aca="false">IF(50&lt;$C$20,0,$M$20*$H$20*(1+$C$29))</f>
        <v>1501.5</v>
      </c>
      <c r="BE46" s="66" t="n">
        <f aca="false">IF(51&lt;$C$20,0,$M$20*$H$20*(1+$C$29))</f>
        <v>1501.5</v>
      </c>
      <c r="BF46" s="66" t="n">
        <f aca="false">IF(52&lt;$C$20,0,$M$20*$H$20*(1+$C$29))</f>
        <v>1501.5</v>
      </c>
      <c r="BG46" s="66" t="n">
        <f aca="false">IF(53&lt;$C$20,0,$M$20*$H$20*(1+$C$29))</f>
        <v>1501.5</v>
      </c>
      <c r="BH46" s="66" t="n">
        <f aca="false">IF(54&lt;$C$20,0,$M$20*$H$20*(1+$C$29))</f>
        <v>1501.5</v>
      </c>
      <c r="BI46" s="66" t="n">
        <f aca="false">IF(55&lt;$C$20,0,$M$20*$H$20*(1+$C$29))</f>
        <v>1501.5</v>
      </c>
      <c r="BJ46" s="66" t="n">
        <f aca="false">IF(56&lt;$C$20,0,$M$20*$H$20*(1+$C$29))</f>
        <v>1501.5</v>
      </c>
      <c r="BK46" s="66" t="n">
        <f aca="false">IF(57&lt;$C$20,0,$M$20*$H$20*(1+$C$29))</f>
        <v>1501.5</v>
      </c>
      <c r="BL46" s="66" t="n">
        <f aca="false">IF(58&lt;$C$20,0,$M$20*$H$20*(1+$C$29))</f>
        <v>1501.5</v>
      </c>
      <c r="BM46" s="66" t="n">
        <f aca="false">IF(59&lt;$C$20,0,$M$20*$H$20*(1+$C$29))</f>
        <v>1501.5</v>
      </c>
      <c r="BN46" s="66" t="n">
        <f aca="false">IF(60&lt;$C$20,0,$M$20*$H$20*(1+$C$29))</f>
        <v>1501.5</v>
      </c>
    </row>
    <row r="47" customFormat="false" ht="15" hidden="false" customHeight="false" outlineLevel="0" collapsed="false">
      <c r="A47" s="12" t="s">
        <v>773</v>
      </c>
      <c r="B47" s="65" t="n">
        <f aca="false">SUM(C47:N47)</f>
        <v>0</v>
      </c>
      <c r="C47" s="66" t="n">
        <f aca="false">IF(1&lt;$C$21,0,$I$21*$D$21*(1+$C$29))</f>
        <v>0</v>
      </c>
      <c r="D47" s="66" t="n">
        <f aca="false">IF(2&lt;$C$21,0,$I$21*$D$21*(1+$C$29))</f>
        <v>0</v>
      </c>
      <c r="E47" s="66" t="n">
        <f aca="false">IF(3&lt;$C$21,0,$I$21*$D$21*(1+$C$29))</f>
        <v>0</v>
      </c>
      <c r="F47" s="66" t="n">
        <f aca="false">IF(4&lt;$C$21,0,$I$21*$D$21*(1+$C$29))</f>
        <v>0</v>
      </c>
      <c r="G47" s="66" t="n">
        <f aca="false">IF(5&lt;$C$21,0,$I$21*$D$21*(1+$C$29))</f>
        <v>0</v>
      </c>
      <c r="H47" s="66" t="n">
        <f aca="false">IF(6&lt;$C$21,0,$I$21*$D$21*(1+$C$29))</f>
        <v>0</v>
      </c>
      <c r="I47" s="66" t="n">
        <f aca="false">IF(7&lt;$C$21,0,$I$21*$D$21*(1+$C$29))</f>
        <v>0</v>
      </c>
      <c r="J47" s="66" t="n">
        <f aca="false">IF(8&lt;$C$21,0,$I$21*$D$21*(1+$C$29))</f>
        <v>0</v>
      </c>
      <c r="K47" s="66" t="n">
        <f aca="false">IF(9&lt;$C$21,0,$I$21*$D$21*(1+$C$29))</f>
        <v>0</v>
      </c>
      <c r="L47" s="66" t="n">
        <f aca="false">IF(10&lt;$C$21,0,$I$21*$D$21*(1+$C$29))</f>
        <v>0</v>
      </c>
      <c r="M47" s="66" t="n">
        <f aca="false">IF(11&lt;$C$21,0,$I$21*$D$21*(1+$C$29))</f>
        <v>0</v>
      </c>
      <c r="N47" s="66" t="n">
        <f aca="false">IF(12&lt;$C$21,0,$I$21*$D$21*(1+$C$29))</f>
        <v>0</v>
      </c>
      <c r="O47" s="65" t="n">
        <f aca="false">SUM(P47:AA47)</f>
        <v>0</v>
      </c>
      <c r="P47" s="66" t="n">
        <f aca="false">IF(13&lt;$C$21,0,$J$21*$E$21*(1+$C$29))</f>
        <v>0</v>
      </c>
      <c r="Q47" s="66" t="n">
        <f aca="false">IF(14&lt;$C$21,0,$J$21*$E$21*(1+$C$29))</f>
        <v>0</v>
      </c>
      <c r="R47" s="66" t="n">
        <f aca="false">IF(15&lt;$C$21,0,$J$21*$E$21*(1+$C$29))</f>
        <v>0</v>
      </c>
      <c r="S47" s="66" t="n">
        <f aca="false">IF(16&lt;$C$21,0,$J$21*$E$21*(1+$C$29))</f>
        <v>0</v>
      </c>
      <c r="T47" s="66" t="n">
        <f aca="false">IF(17&lt;$C$21,0,$J$21*$E$21*(1+$C$29))</f>
        <v>0</v>
      </c>
      <c r="U47" s="66" t="n">
        <f aca="false">IF(18&lt;$C$21,0,$J$21*$E$21*(1+$C$29))</f>
        <v>0</v>
      </c>
      <c r="V47" s="66" t="n">
        <f aca="false">IF(19&lt;$C$21,0,$J$21*$E$21*(1+$C$29))</f>
        <v>0</v>
      </c>
      <c r="W47" s="66" t="n">
        <f aca="false">IF(20&lt;$C$21,0,$J$21*$E$21*(1+$C$29))</f>
        <v>0</v>
      </c>
      <c r="X47" s="66" t="n">
        <f aca="false">IF(21&lt;$C$21,0,$J$21*$E$21*(1+$C$29))</f>
        <v>0</v>
      </c>
      <c r="Y47" s="66" t="n">
        <f aca="false">IF(22&lt;$C$21,0,$J$21*$E$21*(1+$C$29))</f>
        <v>0</v>
      </c>
      <c r="Z47" s="66" t="n">
        <f aca="false">IF(23&lt;$C$21,0,$J$21*$E$21*(1+$C$29))</f>
        <v>0</v>
      </c>
      <c r="AA47" s="66" t="n">
        <f aca="false">IF(24&lt;$C$21,0,$J$21*$E$21*(1+$C$29))</f>
        <v>0</v>
      </c>
      <c r="AB47" s="65" t="n">
        <f aca="false">SUM(AC47:AN47)</f>
        <v>0</v>
      </c>
      <c r="AC47" s="66" t="n">
        <f aca="false">IF(25&lt;$C$21,0,$K$21*$F$21*(1+$C$29))</f>
        <v>0</v>
      </c>
      <c r="AD47" s="66" t="n">
        <f aca="false">IF(26&lt;$C$21,0,$K$21*$F$21*(1+$C$29))</f>
        <v>0</v>
      </c>
      <c r="AE47" s="66" t="n">
        <f aca="false">IF(27&lt;$C$21,0,$K$21*$F$21*(1+$C$29))</f>
        <v>0</v>
      </c>
      <c r="AF47" s="66" t="n">
        <f aca="false">IF(28&lt;$C$21,0,$K$21*$F$21*(1+$C$29))</f>
        <v>0</v>
      </c>
      <c r="AG47" s="66" t="n">
        <f aca="false">IF(29&lt;$C$21,0,$K$21*$F$21*(1+$C$29))</f>
        <v>0</v>
      </c>
      <c r="AH47" s="66" t="n">
        <f aca="false">IF(30&lt;$C$21,0,$K$21*$F$21*(1+$C$29))</f>
        <v>0</v>
      </c>
      <c r="AI47" s="66" t="n">
        <f aca="false">IF(31&lt;$C$21,0,$K$21*$F$21*(1+$C$29))</f>
        <v>0</v>
      </c>
      <c r="AJ47" s="66" t="n">
        <f aca="false">IF(32&lt;$C$21,0,$K$21*$F$21*(1+$C$29))</f>
        <v>0</v>
      </c>
      <c r="AK47" s="66" t="n">
        <f aca="false">IF(33&lt;$C$21,0,$K$21*$F$21*(1+$C$29))</f>
        <v>0</v>
      </c>
      <c r="AL47" s="66" t="n">
        <f aca="false">IF(34&lt;$C$21,0,$K$21*$F$21*(1+$C$29))</f>
        <v>0</v>
      </c>
      <c r="AM47" s="66" t="n">
        <f aca="false">IF(35&lt;$C$21,0,$K$21*$F$21*(1+$C$29))</f>
        <v>0</v>
      </c>
      <c r="AN47" s="66" t="n">
        <f aca="false">IF(36&lt;$C$21,0,$K$21*$F$21*(1+$C$29))</f>
        <v>0</v>
      </c>
      <c r="AO47" s="65" t="n">
        <f aca="false">SUM(AP47:BA47)</f>
        <v>30492</v>
      </c>
      <c r="AP47" s="66" t="n">
        <f aca="false">IF(37&lt;$C$21,0,$L$21*$G$21*(1+$C$29))</f>
        <v>2541</v>
      </c>
      <c r="AQ47" s="66" t="n">
        <f aca="false">IF(38&lt;$C$21,0,$L$21*$G$21*(1+$C$29))</f>
        <v>2541</v>
      </c>
      <c r="AR47" s="66" t="n">
        <f aca="false">IF(39&lt;$C$21,0,$L$21*$G$21*(1+$C$29))</f>
        <v>2541</v>
      </c>
      <c r="AS47" s="66" t="n">
        <f aca="false">IF(40&lt;$C$21,0,$L$21*$G$21*(1+$C$29))</f>
        <v>2541</v>
      </c>
      <c r="AT47" s="66" t="n">
        <f aca="false">IF(41&lt;$C$21,0,$L$21*$G$21*(1+$C$29))</f>
        <v>2541</v>
      </c>
      <c r="AU47" s="66" t="n">
        <f aca="false">IF(42&lt;$C$21,0,$L$21*$G$21*(1+$C$29))</f>
        <v>2541</v>
      </c>
      <c r="AV47" s="66" t="n">
        <f aca="false">IF(43&lt;$C$21,0,$L$21*$G$21*(1+$C$29))</f>
        <v>2541</v>
      </c>
      <c r="AW47" s="66" t="n">
        <f aca="false">IF(44&lt;$C$21,0,$L$21*$G$21*(1+$C$29))</f>
        <v>2541</v>
      </c>
      <c r="AX47" s="66" t="n">
        <f aca="false">IF(45&lt;$C$21,0,$L$21*$G$21*(1+$C$29))</f>
        <v>2541</v>
      </c>
      <c r="AY47" s="66" t="n">
        <f aca="false">IF(46&lt;$C$21,0,$L$21*$G$21*(1+$C$29))</f>
        <v>2541</v>
      </c>
      <c r="AZ47" s="66" t="n">
        <f aca="false">IF(47&lt;$C$21,0,$L$21*$G$21*(1+$C$29))</f>
        <v>2541</v>
      </c>
      <c r="BA47" s="66" t="n">
        <f aca="false">IF(48&lt;$C$21,0,$L$21*$G$21*(1+$C$29))</f>
        <v>2541</v>
      </c>
      <c r="BB47" s="65" t="n">
        <f aca="false">SUM(BC47:BN47)</f>
        <v>31878</v>
      </c>
      <c r="BC47" s="66" t="n">
        <f aca="false">IF(49&lt;$C$21,0,$M$21*$H$21*(1+$C$29))</f>
        <v>2656.5</v>
      </c>
      <c r="BD47" s="66" t="n">
        <f aca="false">IF(50&lt;$C$21,0,$M$21*$H$21*(1+$C$29))</f>
        <v>2656.5</v>
      </c>
      <c r="BE47" s="66" t="n">
        <f aca="false">IF(51&lt;$C$21,0,$M$21*$H$21*(1+$C$29))</f>
        <v>2656.5</v>
      </c>
      <c r="BF47" s="66" t="n">
        <f aca="false">IF(52&lt;$C$21,0,$M$21*$H$21*(1+$C$29))</f>
        <v>2656.5</v>
      </c>
      <c r="BG47" s="66" t="n">
        <f aca="false">IF(53&lt;$C$21,0,$M$21*$H$21*(1+$C$29))</f>
        <v>2656.5</v>
      </c>
      <c r="BH47" s="66" t="n">
        <f aca="false">IF(54&lt;$C$21,0,$M$21*$H$21*(1+$C$29))</f>
        <v>2656.5</v>
      </c>
      <c r="BI47" s="66" t="n">
        <f aca="false">IF(55&lt;$C$21,0,$M$21*$H$21*(1+$C$29))</f>
        <v>2656.5</v>
      </c>
      <c r="BJ47" s="66" t="n">
        <f aca="false">IF(56&lt;$C$21,0,$M$21*$H$21*(1+$C$29))</f>
        <v>2656.5</v>
      </c>
      <c r="BK47" s="66" t="n">
        <f aca="false">IF(57&lt;$C$21,0,$M$21*$H$21*(1+$C$29))</f>
        <v>2656.5</v>
      </c>
      <c r="BL47" s="66" t="n">
        <f aca="false">IF(58&lt;$C$21,0,$M$21*$H$21*(1+$C$29))</f>
        <v>2656.5</v>
      </c>
      <c r="BM47" s="66" t="n">
        <f aca="false">IF(59&lt;$C$21,0,$M$21*$H$21*(1+$C$29))</f>
        <v>2656.5</v>
      </c>
      <c r="BN47" s="66" t="n">
        <f aca="false">IF(60&lt;$C$21,0,$M$21*$H$21*(1+$C$29))</f>
        <v>2656.5</v>
      </c>
    </row>
    <row r="48" customFormat="false" ht="15" hidden="false" customHeight="false" outlineLevel="0" collapsed="false">
      <c r="A48" s="12" t="s">
        <v>774</v>
      </c>
      <c r="B48" s="65" t="n">
        <f aca="false">SUM(C48:N48)</f>
        <v>0</v>
      </c>
      <c r="C48" s="66" t="n">
        <f aca="false">IF(1&lt;$C$22,0,$I$22*$D$22*(1+$C$29))</f>
        <v>0</v>
      </c>
      <c r="D48" s="66" t="n">
        <f aca="false">IF(2&lt;$C$22,0,$I$22*$D$22*(1+$C$29))</f>
        <v>0</v>
      </c>
      <c r="E48" s="66" t="n">
        <f aca="false">IF(3&lt;$C$22,0,$I$22*$D$22*(1+$C$29))</f>
        <v>0</v>
      </c>
      <c r="F48" s="66" t="n">
        <f aca="false">IF(4&lt;$C$22,0,$I$22*$D$22*(1+$C$29))</f>
        <v>0</v>
      </c>
      <c r="G48" s="66" t="n">
        <f aca="false">IF(5&lt;$C$22,0,$I$22*$D$22*(1+$C$29))</f>
        <v>0</v>
      </c>
      <c r="H48" s="66" t="n">
        <f aca="false">IF(6&lt;$C$22,0,$I$22*$D$22*(1+$C$29))</f>
        <v>0</v>
      </c>
      <c r="I48" s="66" t="n">
        <f aca="false">IF(7&lt;$C$22,0,$I$22*$D$22*(1+$C$29))</f>
        <v>0</v>
      </c>
      <c r="J48" s="66" t="n">
        <f aca="false">IF(8&lt;$C$22,0,$I$22*$D$22*(1+$C$29))</f>
        <v>0</v>
      </c>
      <c r="K48" s="66" t="n">
        <f aca="false">IF(9&lt;$C$22,0,$I$22*$D$22*(1+$C$29))</f>
        <v>0</v>
      </c>
      <c r="L48" s="66" t="n">
        <f aca="false">IF(10&lt;$C$22,0,$I$22*$D$22*(1+$C$29))</f>
        <v>0</v>
      </c>
      <c r="M48" s="66" t="n">
        <f aca="false">IF(11&lt;$C$22,0,$I$22*$D$22*(1+$C$29))</f>
        <v>0</v>
      </c>
      <c r="N48" s="66" t="n">
        <f aca="false">IF(12&lt;$C$22,0,$I$22*$D$22*(1+$C$29))</f>
        <v>0</v>
      </c>
      <c r="O48" s="65" t="n">
        <f aca="false">SUM(P48:AA48)</f>
        <v>0</v>
      </c>
      <c r="P48" s="66" t="n">
        <f aca="false">IF(13&lt;$C$22,0,$J$22*$E$22*(1+$C$29))</f>
        <v>0</v>
      </c>
      <c r="Q48" s="66" t="n">
        <f aca="false">IF(14&lt;$C$22,0,$J$22*$E$22*(1+$C$29))</f>
        <v>0</v>
      </c>
      <c r="R48" s="66" t="n">
        <f aca="false">IF(15&lt;$C$22,0,$J$22*$E$22*(1+$C$29))</f>
        <v>0</v>
      </c>
      <c r="S48" s="66" t="n">
        <f aca="false">IF(16&lt;$C$22,0,$J$22*$E$22*(1+$C$29))</f>
        <v>0</v>
      </c>
      <c r="T48" s="66" t="n">
        <f aca="false">IF(17&lt;$C$22,0,$J$22*$E$22*(1+$C$29))</f>
        <v>0</v>
      </c>
      <c r="U48" s="66" t="n">
        <f aca="false">IF(18&lt;$C$22,0,$J$22*$E$22*(1+$C$29))</f>
        <v>0</v>
      </c>
      <c r="V48" s="66" t="n">
        <f aca="false">IF(19&lt;$C$22,0,$J$22*$E$22*(1+$C$29))</f>
        <v>0</v>
      </c>
      <c r="W48" s="66" t="n">
        <f aca="false">IF(20&lt;$C$22,0,$J$22*$E$22*(1+$C$29))</f>
        <v>0</v>
      </c>
      <c r="X48" s="66" t="n">
        <f aca="false">IF(21&lt;$C$22,0,$J$22*$E$22*(1+$C$29))</f>
        <v>0</v>
      </c>
      <c r="Y48" s="66" t="n">
        <f aca="false">IF(22&lt;$C$22,0,$J$22*$E$22*(1+$C$29))</f>
        <v>0</v>
      </c>
      <c r="Z48" s="66" t="n">
        <f aca="false">IF(23&lt;$C$22,0,$J$22*$E$22*(1+$C$29))</f>
        <v>0</v>
      </c>
      <c r="AA48" s="66" t="n">
        <f aca="false">IF(24&lt;$C$22,0,$J$22*$E$22*(1+$C$29))</f>
        <v>0</v>
      </c>
      <c r="AB48" s="65" t="n">
        <f aca="false">SUM(AC48:AN48)</f>
        <v>0</v>
      </c>
      <c r="AC48" s="66" t="n">
        <f aca="false">IF(25&lt;$C$22,0,$K$22*$F$22*(1+$C$29))</f>
        <v>0</v>
      </c>
      <c r="AD48" s="66" t="n">
        <f aca="false">IF(26&lt;$C$22,0,$K$22*$F$22*(1+$C$29))</f>
        <v>0</v>
      </c>
      <c r="AE48" s="66" t="n">
        <f aca="false">IF(27&lt;$C$22,0,$K$22*$F$22*(1+$C$29))</f>
        <v>0</v>
      </c>
      <c r="AF48" s="66" t="n">
        <f aca="false">IF(28&lt;$C$22,0,$K$22*$F$22*(1+$C$29))</f>
        <v>0</v>
      </c>
      <c r="AG48" s="66" t="n">
        <f aca="false">IF(29&lt;$C$22,0,$K$22*$F$22*(1+$C$29))</f>
        <v>0</v>
      </c>
      <c r="AH48" s="66" t="n">
        <f aca="false">IF(30&lt;$C$22,0,$K$22*$F$22*(1+$C$29))</f>
        <v>0</v>
      </c>
      <c r="AI48" s="66" t="n">
        <f aca="false">IF(31&lt;$C$22,0,$K$22*$F$22*(1+$C$29))</f>
        <v>0</v>
      </c>
      <c r="AJ48" s="66" t="n">
        <f aca="false">IF(32&lt;$C$22,0,$K$22*$F$22*(1+$C$29))</f>
        <v>0</v>
      </c>
      <c r="AK48" s="66" t="n">
        <f aca="false">IF(33&lt;$C$22,0,$K$22*$F$22*(1+$C$29))</f>
        <v>0</v>
      </c>
      <c r="AL48" s="66" t="n">
        <f aca="false">IF(34&lt;$C$22,0,$K$22*$F$22*(1+$C$29))</f>
        <v>0</v>
      </c>
      <c r="AM48" s="66" t="n">
        <f aca="false">IF(35&lt;$C$22,0,$K$22*$F$22*(1+$C$29))</f>
        <v>0</v>
      </c>
      <c r="AN48" s="66" t="n">
        <f aca="false">IF(36&lt;$C$22,0,$K$22*$F$22*(1+$C$29))</f>
        <v>0</v>
      </c>
      <c r="AO48" s="65" t="n">
        <f aca="false">SUM(AP48:BA48)</f>
        <v>0</v>
      </c>
      <c r="AP48" s="66" t="n">
        <f aca="false">IF(37&lt;$C$22,0,$L$22*$G$22*(1+$C$29))</f>
        <v>0</v>
      </c>
      <c r="AQ48" s="66" t="n">
        <f aca="false">IF(38&lt;$C$22,0,$L$22*$G$22*(1+$C$29))</f>
        <v>0</v>
      </c>
      <c r="AR48" s="66" t="n">
        <f aca="false">IF(39&lt;$C$22,0,$L$22*$G$22*(1+$C$29))</f>
        <v>0</v>
      </c>
      <c r="AS48" s="66" t="n">
        <f aca="false">IF(40&lt;$C$22,0,$L$22*$G$22*(1+$C$29))</f>
        <v>0</v>
      </c>
      <c r="AT48" s="66" t="n">
        <f aca="false">IF(41&lt;$C$22,0,$L$22*$G$22*(1+$C$29))</f>
        <v>0</v>
      </c>
      <c r="AU48" s="66" t="n">
        <f aca="false">IF(42&lt;$C$22,0,$L$22*$G$22*(1+$C$29))</f>
        <v>0</v>
      </c>
      <c r="AV48" s="66" t="n">
        <f aca="false">IF(43&lt;$C$22,0,$L$22*$G$22*(1+$C$29))</f>
        <v>0</v>
      </c>
      <c r="AW48" s="66" t="n">
        <f aca="false">IF(44&lt;$C$22,0,$L$22*$G$22*(1+$C$29))</f>
        <v>0</v>
      </c>
      <c r="AX48" s="66" t="n">
        <f aca="false">IF(45&lt;$C$22,0,$L$22*$G$22*(1+$C$29))</f>
        <v>0</v>
      </c>
      <c r="AY48" s="66" t="n">
        <f aca="false">IF(46&lt;$C$22,0,$L$22*$G$22*(1+$C$29))</f>
        <v>0</v>
      </c>
      <c r="AZ48" s="66" t="n">
        <f aca="false">IF(47&lt;$C$22,0,$L$22*$G$22*(1+$C$29))</f>
        <v>0</v>
      </c>
      <c r="BA48" s="66" t="n">
        <f aca="false">IF(48&lt;$C$22,0,$L$22*$G$22*(1+$C$29))</f>
        <v>0</v>
      </c>
      <c r="BB48" s="65" t="n">
        <f aca="false">SUM(BC48:BN48)</f>
        <v>22176</v>
      </c>
      <c r="BC48" s="66" t="n">
        <f aca="false">IF(49&lt;$C$22,0,$M$22*$H$22*(1+$C$29))</f>
        <v>1848</v>
      </c>
      <c r="BD48" s="66" t="n">
        <f aca="false">IF(50&lt;$C$22,0,$M$22*$H$22*(1+$C$29))</f>
        <v>1848</v>
      </c>
      <c r="BE48" s="66" t="n">
        <f aca="false">IF(51&lt;$C$22,0,$M$22*$H$22*(1+$C$29))</f>
        <v>1848</v>
      </c>
      <c r="BF48" s="66" t="n">
        <f aca="false">IF(52&lt;$C$22,0,$M$22*$H$22*(1+$C$29))</f>
        <v>1848</v>
      </c>
      <c r="BG48" s="66" t="n">
        <f aca="false">IF(53&lt;$C$22,0,$M$22*$H$22*(1+$C$29))</f>
        <v>1848</v>
      </c>
      <c r="BH48" s="66" t="n">
        <f aca="false">IF(54&lt;$C$22,0,$M$22*$H$22*(1+$C$29))</f>
        <v>1848</v>
      </c>
      <c r="BI48" s="66" t="n">
        <f aca="false">IF(55&lt;$C$22,0,$M$22*$H$22*(1+$C$29))</f>
        <v>1848</v>
      </c>
      <c r="BJ48" s="66" t="n">
        <f aca="false">IF(56&lt;$C$22,0,$M$22*$H$22*(1+$C$29))</f>
        <v>1848</v>
      </c>
      <c r="BK48" s="66" t="n">
        <f aca="false">IF(57&lt;$C$22,0,$M$22*$H$22*(1+$C$29))</f>
        <v>1848</v>
      </c>
      <c r="BL48" s="66" t="n">
        <f aca="false">IF(58&lt;$C$22,0,$M$22*$H$22*(1+$C$29))</f>
        <v>1848</v>
      </c>
      <c r="BM48" s="66" t="n">
        <f aca="false">IF(59&lt;$C$22,0,$M$22*$H$22*(1+$C$29))</f>
        <v>1848</v>
      </c>
      <c r="BN48" s="66" t="n">
        <f aca="false">IF(60&lt;$C$22,0,$M$22*$H$22*(1+$C$29))</f>
        <v>1848</v>
      </c>
    </row>
    <row r="49" customFormat="false" ht="15" hidden="false" customHeight="false" outlineLevel="0" collapsed="false">
      <c r="A49" s="12" t="s">
        <v>775</v>
      </c>
      <c r="B49" s="65" t="n">
        <f aca="false">SUM(C49:N49)</f>
        <v>0</v>
      </c>
      <c r="C49" s="66" t="n">
        <f aca="false">IF(1&lt;$C$23,0,$I$23*$D$23*(1+$C$29))</f>
        <v>0</v>
      </c>
      <c r="D49" s="66" t="n">
        <f aca="false">IF(2&lt;$C$23,0,$I$23*$D$23*(1+$C$29))</f>
        <v>0</v>
      </c>
      <c r="E49" s="66" t="n">
        <f aca="false">IF(3&lt;$C$23,0,$I$23*$D$23*(1+$C$29))</f>
        <v>0</v>
      </c>
      <c r="F49" s="66" t="n">
        <f aca="false">IF(4&lt;$C$23,0,$I$23*$D$23*(1+$C$29))</f>
        <v>0</v>
      </c>
      <c r="G49" s="66" t="n">
        <f aca="false">IF(5&lt;$C$23,0,$I$23*$D$23*(1+$C$29))</f>
        <v>0</v>
      </c>
      <c r="H49" s="66" t="n">
        <f aca="false">IF(6&lt;$C$23,0,$I$23*$D$23*(1+$C$29))</f>
        <v>0</v>
      </c>
      <c r="I49" s="66" t="n">
        <f aca="false">IF(7&lt;$C$23,0,$I$23*$D$23*(1+$C$29))</f>
        <v>0</v>
      </c>
      <c r="J49" s="66" t="n">
        <f aca="false">IF(8&lt;$C$23,0,$I$23*$D$23*(1+$C$29))</f>
        <v>0</v>
      </c>
      <c r="K49" s="66" t="n">
        <f aca="false">IF(9&lt;$C$23,0,$I$23*$D$23*(1+$C$29))</f>
        <v>0</v>
      </c>
      <c r="L49" s="66" t="n">
        <f aca="false">IF(10&lt;$C$23,0,$I$23*$D$23*(1+$C$29))</f>
        <v>0</v>
      </c>
      <c r="M49" s="66" t="n">
        <f aca="false">IF(11&lt;$C$23,0,$I$23*$D$23*(1+$C$29))</f>
        <v>0</v>
      </c>
      <c r="N49" s="66" t="n">
        <f aca="false">IF(12&lt;$C$23,0,$I$23*$D$23*(1+$C$29))</f>
        <v>0</v>
      </c>
      <c r="O49" s="65" t="n">
        <f aca="false">SUM(P49:AA49)</f>
        <v>20790</v>
      </c>
      <c r="P49" s="66" t="n">
        <f aca="false">IF(13&lt;$C$23,0,$J$23*$E$23*(1+$C$29))</f>
        <v>1732.5</v>
      </c>
      <c r="Q49" s="66" t="n">
        <f aca="false">IF(14&lt;$C$23,0,$J$23*$E$23*(1+$C$29))</f>
        <v>1732.5</v>
      </c>
      <c r="R49" s="66" t="n">
        <f aca="false">IF(15&lt;$C$23,0,$J$23*$E$23*(1+$C$29))</f>
        <v>1732.5</v>
      </c>
      <c r="S49" s="66" t="n">
        <f aca="false">IF(16&lt;$C$23,0,$J$23*$E$23*(1+$C$29))</f>
        <v>1732.5</v>
      </c>
      <c r="T49" s="66" t="n">
        <f aca="false">IF(17&lt;$C$23,0,$J$23*$E$23*(1+$C$29))</f>
        <v>1732.5</v>
      </c>
      <c r="U49" s="66" t="n">
        <f aca="false">IF(18&lt;$C$23,0,$J$23*$E$23*(1+$C$29))</f>
        <v>1732.5</v>
      </c>
      <c r="V49" s="66" t="n">
        <f aca="false">IF(19&lt;$C$23,0,$J$23*$E$23*(1+$C$29))</f>
        <v>1732.5</v>
      </c>
      <c r="W49" s="66" t="n">
        <f aca="false">IF(20&lt;$C$23,0,$J$23*$E$23*(1+$C$29))</f>
        <v>1732.5</v>
      </c>
      <c r="X49" s="66" t="n">
        <f aca="false">IF(21&lt;$C$23,0,$J$23*$E$23*(1+$C$29))</f>
        <v>1732.5</v>
      </c>
      <c r="Y49" s="66" t="n">
        <f aca="false">IF(22&lt;$C$23,0,$J$23*$E$23*(1+$C$29))</f>
        <v>1732.5</v>
      </c>
      <c r="Z49" s="66" t="n">
        <f aca="false">IF(23&lt;$C$23,0,$J$23*$E$23*(1+$C$29))</f>
        <v>1732.5</v>
      </c>
      <c r="AA49" s="66" t="n">
        <f aca="false">IF(24&lt;$C$23,0,$J$23*$E$23*(1+$C$29))</f>
        <v>1732.5</v>
      </c>
      <c r="AB49" s="65" t="n">
        <f aca="false">SUM(AC49:AN49)</f>
        <v>27720</v>
      </c>
      <c r="AC49" s="66" t="n">
        <f aca="false">IF(25&lt;$C$23,0,$K$23*$F$23*(1+$C$29))</f>
        <v>2310</v>
      </c>
      <c r="AD49" s="66" t="n">
        <f aca="false">IF(26&lt;$C$23,0,$K$23*$F$23*(1+$C$29))</f>
        <v>2310</v>
      </c>
      <c r="AE49" s="66" t="n">
        <f aca="false">IF(27&lt;$C$23,0,$K$23*$F$23*(1+$C$29))</f>
        <v>2310</v>
      </c>
      <c r="AF49" s="66" t="n">
        <f aca="false">IF(28&lt;$C$23,0,$K$23*$F$23*(1+$C$29))</f>
        <v>2310</v>
      </c>
      <c r="AG49" s="66" t="n">
        <f aca="false">IF(29&lt;$C$23,0,$K$23*$F$23*(1+$C$29))</f>
        <v>2310</v>
      </c>
      <c r="AH49" s="66" t="n">
        <f aca="false">IF(30&lt;$C$23,0,$K$23*$F$23*(1+$C$29))</f>
        <v>2310</v>
      </c>
      <c r="AI49" s="66" t="n">
        <f aca="false">IF(31&lt;$C$23,0,$K$23*$F$23*(1+$C$29))</f>
        <v>2310</v>
      </c>
      <c r="AJ49" s="66" t="n">
        <f aca="false">IF(32&lt;$C$23,0,$K$23*$F$23*(1+$C$29))</f>
        <v>2310</v>
      </c>
      <c r="AK49" s="66" t="n">
        <f aca="false">IF(33&lt;$C$23,0,$K$23*$F$23*(1+$C$29))</f>
        <v>2310</v>
      </c>
      <c r="AL49" s="66" t="n">
        <f aca="false">IF(34&lt;$C$23,0,$K$23*$F$23*(1+$C$29))</f>
        <v>2310</v>
      </c>
      <c r="AM49" s="66" t="n">
        <f aca="false">IF(35&lt;$C$23,0,$K$23*$F$23*(1+$C$29))</f>
        <v>2310</v>
      </c>
      <c r="AN49" s="66" t="n">
        <f aca="false">IF(36&lt;$C$23,0,$K$23*$F$23*(1+$C$29))</f>
        <v>2310</v>
      </c>
      <c r="AO49" s="65" t="n">
        <f aca="false">SUM(AP49:BA49)</f>
        <v>29106</v>
      </c>
      <c r="AP49" s="66" t="n">
        <f aca="false">IF(37&lt;$C$23,0,$L$23*$G$23*(1+$C$29))</f>
        <v>2425.5</v>
      </c>
      <c r="AQ49" s="66" t="n">
        <f aca="false">IF(38&lt;$C$23,0,$L$23*$G$23*(1+$C$29))</f>
        <v>2425.5</v>
      </c>
      <c r="AR49" s="66" t="n">
        <f aca="false">IF(39&lt;$C$23,0,$L$23*$G$23*(1+$C$29))</f>
        <v>2425.5</v>
      </c>
      <c r="AS49" s="66" t="n">
        <f aca="false">IF(40&lt;$C$23,0,$L$23*$G$23*(1+$C$29))</f>
        <v>2425.5</v>
      </c>
      <c r="AT49" s="66" t="n">
        <f aca="false">IF(41&lt;$C$23,0,$L$23*$G$23*(1+$C$29))</f>
        <v>2425.5</v>
      </c>
      <c r="AU49" s="66" t="n">
        <f aca="false">IF(42&lt;$C$23,0,$L$23*$G$23*(1+$C$29))</f>
        <v>2425.5</v>
      </c>
      <c r="AV49" s="66" t="n">
        <f aca="false">IF(43&lt;$C$23,0,$L$23*$G$23*(1+$C$29))</f>
        <v>2425.5</v>
      </c>
      <c r="AW49" s="66" t="n">
        <f aca="false">IF(44&lt;$C$23,0,$L$23*$G$23*(1+$C$29))</f>
        <v>2425.5</v>
      </c>
      <c r="AX49" s="66" t="n">
        <f aca="false">IF(45&lt;$C$23,0,$L$23*$G$23*(1+$C$29))</f>
        <v>2425.5</v>
      </c>
      <c r="AY49" s="66" t="n">
        <f aca="false">IF(46&lt;$C$23,0,$L$23*$G$23*(1+$C$29))</f>
        <v>2425.5</v>
      </c>
      <c r="AZ49" s="66" t="n">
        <f aca="false">IF(47&lt;$C$23,0,$L$23*$G$23*(1+$C$29))</f>
        <v>2425.5</v>
      </c>
      <c r="BA49" s="66" t="n">
        <f aca="false">IF(48&lt;$C$23,0,$L$23*$G$23*(1+$C$29))</f>
        <v>2425.5</v>
      </c>
      <c r="BB49" s="65" t="n">
        <f aca="false">SUM(BC49:BN49)</f>
        <v>30492</v>
      </c>
      <c r="BC49" s="66" t="n">
        <f aca="false">IF(49&lt;$C$23,0,$M$23*$H$23*(1+$C$29))</f>
        <v>2541</v>
      </c>
      <c r="BD49" s="66" t="n">
        <f aca="false">IF(50&lt;$C$23,0,$M$23*$H$23*(1+$C$29))</f>
        <v>2541</v>
      </c>
      <c r="BE49" s="66" t="n">
        <f aca="false">IF(51&lt;$C$23,0,$M$23*$H$23*(1+$C$29))</f>
        <v>2541</v>
      </c>
      <c r="BF49" s="66" t="n">
        <f aca="false">IF(52&lt;$C$23,0,$M$23*$H$23*(1+$C$29))</f>
        <v>2541</v>
      </c>
      <c r="BG49" s="66" t="n">
        <f aca="false">IF(53&lt;$C$23,0,$M$23*$H$23*(1+$C$29))</f>
        <v>2541</v>
      </c>
      <c r="BH49" s="66" t="n">
        <f aca="false">IF(54&lt;$C$23,0,$M$23*$H$23*(1+$C$29))</f>
        <v>2541</v>
      </c>
      <c r="BI49" s="66" t="n">
        <f aca="false">IF(55&lt;$C$23,0,$M$23*$H$23*(1+$C$29))</f>
        <v>2541</v>
      </c>
      <c r="BJ49" s="66" t="n">
        <f aca="false">IF(56&lt;$C$23,0,$M$23*$H$23*(1+$C$29))</f>
        <v>2541</v>
      </c>
      <c r="BK49" s="66" t="n">
        <f aca="false">IF(57&lt;$C$23,0,$M$23*$H$23*(1+$C$29))</f>
        <v>2541</v>
      </c>
      <c r="BL49" s="66" t="n">
        <f aca="false">IF(58&lt;$C$23,0,$M$23*$H$23*(1+$C$29))</f>
        <v>2541</v>
      </c>
      <c r="BM49" s="66" t="n">
        <f aca="false">IF(59&lt;$C$23,0,$M$23*$H$23*(1+$C$29))</f>
        <v>2541</v>
      </c>
      <c r="BN49" s="66" t="n">
        <f aca="false">IF(60&lt;$C$23,0,$M$23*$H$23*(1+$C$29))</f>
        <v>2541</v>
      </c>
    </row>
    <row r="50" customFormat="false" ht="15" hidden="false" customHeight="false" outlineLevel="0" collapsed="false">
      <c r="A50" s="12" t="s">
        <v>776</v>
      </c>
      <c r="B50" s="65" t="n">
        <f aca="false">SUM(C50:N50)</f>
        <v>0</v>
      </c>
      <c r="C50" s="66" t="n">
        <f aca="false">IF(1&lt;$C$24,0,$I$24*$D$24*(1+$C$29))</f>
        <v>0</v>
      </c>
      <c r="D50" s="66" t="n">
        <f aca="false">IF(2&lt;$C$24,0,$I$24*$D$24*(1+$C$29))</f>
        <v>0</v>
      </c>
      <c r="E50" s="66" t="n">
        <f aca="false">IF(3&lt;$C$24,0,$I$24*$D$24*(1+$C$29))</f>
        <v>0</v>
      </c>
      <c r="F50" s="66" t="n">
        <f aca="false">IF(4&lt;$C$24,0,$I$24*$D$24*(1+$C$29))</f>
        <v>0</v>
      </c>
      <c r="G50" s="66" t="n">
        <f aca="false">IF(5&lt;$C$24,0,$I$24*$D$24*(1+$C$29))</f>
        <v>0</v>
      </c>
      <c r="H50" s="66" t="n">
        <f aca="false">IF(6&lt;$C$24,0,$I$24*$D$24*(1+$C$29))</f>
        <v>0</v>
      </c>
      <c r="I50" s="66" t="n">
        <f aca="false">IF(7&lt;$C$24,0,$I$24*$D$24*(1+$C$29))</f>
        <v>0</v>
      </c>
      <c r="J50" s="66" t="n">
        <f aca="false">IF(8&lt;$C$24,0,$I$24*$D$24*(1+$C$29))</f>
        <v>0</v>
      </c>
      <c r="K50" s="66" t="n">
        <f aca="false">IF(9&lt;$C$24,0,$I$24*$D$24*(1+$C$29))</f>
        <v>0</v>
      </c>
      <c r="L50" s="66" t="n">
        <f aca="false">IF(10&lt;$C$24,0,$I$24*$D$24*(1+$C$29))</f>
        <v>0</v>
      </c>
      <c r="M50" s="66" t="n">
        <f aca="false">IF(11&lt;$C$24,0,$I$24*$D$24*(1+$C$29))</f>
        <v>0</v>
      </c>
      <c r="N50" s="66" t="n">
        <f aca="false">IF(12&lt;$C$24,0,$I$24*$D$24*(1+$C$29))</f>
        <v>0</v>
      </c>
      <c r="O50" s="65" t="n">
        <f aca="false">SUM(P50:AA50)</f>
        <v>0</v>
      </c>
      <c r="P50" s="66" t="n">
        <f aca="false">IF(13&lt;$C$24,0,$J$24*$E$24*(1+$C$29))</f>
        <v>0</v>
      </c>
      <c r="Q50" s="66" t="n">
        <f aca="false">IF(14&lt;$C$24,0,$J$24*$E$24*(1+$C$29))</f>
        <v>0</v>
      </c>
      <c r="R50" s="66" t="n">
        <f aca="false">IF(15&lt;$C$24,0,$J$24*$E$24*(1+$C$29))</f>
        <v>0</v>
      </c>
      <c r="S50" s="66" t="n">
        <f aca="false">IF(16&lt;$C$24,0,$J$24*$E$24*(1+$C$29))</f>
        <v>0</v>
      </c>
      <c r="T50" s="66" t="n">
        <f aca="false">IF(17&lt;$C$24,0,$J$24*$E$24*(1+$C$29))</f>
        <v>0</v>
      </c>
      <c r="U50" s="66" t="n">
        <f aca="false">IF(18&lt;$C$24,0,$J$24*$E$24*(1+$C$29))</f>
        <v>0</v>
      </c>
      <c r="V50" s="66" t="n">
        <f aca="false">IF(19&lt;$C$24,0,$J$24*$E$24*(1+$C$29))</f>
        <v>0</v>
      </c>
      <c r="W50" s="66" t="n">
        <f aca="false">IF(20&lt;$C$24,0,$J$24*$E$24*(1+$C$29))</f>
        <v>0</v>
      </c>
      <c r="X50" s="66" t="n">
        <f aca="false">IF(21&lt;$C$24,0,$J$24*$E$24*(1+$C$29))</f>
        <v>0</v>
      </c>
      <c r="Y50" s="66" t="n">
        <f aca="false">IF(22&lt;$C$24,0,$J$24*$E$24*(1+$C$29))</f>
        <v>0</v>
      </c>
      <c r="Z50" s="66" t="n">
        <f aca="false">IF(23&lt;$C$24,0,$J$24*$E$24*(1+$C$29))</f>
        <v>0</v>
      </c>
      <c r="AA50" s="66" t="n">
        <f aca="false">IF(24&lt;$C$24,0,$J$24*$E$24*(1+$C$29))</f>
        <v>0</v>
      </c>
      <c r="AB50" s="65" t="n">
        <f aca="false">SUM(AC50:AN50)</f>
        <v>0</v>
      </c>
      <c r="AC50" s="66" t="n">
        <f aca="false">IF(25&lt;$C$24,0,$K$24*$F$24*(1+$C$29))</f>
        <v>0</v>
      </c>
      <c r="AD50" s="66" t="n">
        <f aca="false">IF(26&lt;$C$24,0,$K$24*$F$24*(1+$C$29))</f>
        <v>0</v>
      </c>
      <c r="AE50" s="66" t="n">
        <f aca="false">IF(27&lt;$C$24,0,$K$24*$F$24*(1+$C$29))</f>
        <v>0</v>
      </c>
      <c r="AF50" s="66" t="n">
        <f aca="false">IF(28&lt;$C$24,0,$K$24*$F$24*(1+$C$29))</f>
        <v>0</v>
      </c>
      <c r="AG50" s="66" t="n">
        <f aca="false">IF(29&lt;$C$24,0,$K$24*$F$24*(1+$C$29))</f>
        <v>0</v>
      </c>
      <c r="AH50" s="66" t="n">
        <f aca="false">IF(30&lt;$C$24,0,$K$24*$F$24*(1+$C$29))</f>
        <v>0</v>
      </c>
      <c r="AI50" s="66" t="n">
        <f aca="false">IF(31&lt;$C$24,0,$K$24*$F$24*(1+$C$29))</f>
        <v>0</v>
      </c>
      <c r="AJ50" s="66" t="n">
        <f aca="false">IF(32&lt;$C$24,0,$K$24*$F$24*(1+$C$29))</f>
        <v>0</v>
      </c>
      <c r="AK50" s="66" t="n">
        <f aca="false">IF(33&lt;$C$24,0,$K$24*$F$24*(1+$C$29))</f>
        <v>0</v>
      </c>
      <c r="AL50" s="66" t="n">
        <f aca="false">IF(34&lt;$C$24,0,$K$24*$F$24*(1+$C$29))</f>
        <v>0</v>
      </c>
      <c r="AM50" s="66" t="n">
        <f aca="false">IF(35&lt;$C$24,0,$K$24*$F$24*(1+$C$29))</f>
        <v>0</v>
      </c>
      <c r="AN50" s="66" t="n">
        <f aca="false">IF(36&lt;$C$24,0,$K$24*$F$24*(1+$C$29))</f>
        <v>0</v>
      </c>
      <c r="AO50" s="65" t="n">
        <f aca="false">SUM(AP50:BA50)</f>
        <v>0</v>
      </c>
      <c r="AP50" s="66" t="n">
        <f aca="false">IF(37&lt;$C$24,0,$L$24*$G$24*(1+$C$29))</f>
        <v>0</v>
      </c>
      <c r="AQ50" s="66" t="n">
        <f aca="false">IF(38&lt;$C$24,0,$L$24*$G$24*(1+$C$29))</f>
        <v>0</v>
      </c>
      <c r="AR50" s="66" t="n">
        <f aca="false">IF(39&lt;$C$24,0,$L$24*$G$24*(1+$C$29))</f>
        <v>0</v>
      </c>
      <c r="AS50" s="66" t="n">
        <f aca="false">IF(40&lt;$C$24,0,$L$24*$G$24*(1+$C$29))</f>
        <v>0</v>
      </c>
      <c r="AT50" s="66" t="n">
        <f aca="false">IF(41&lt;$C$24,0,$L$24*$G$24*(1+$C$29))</f>
        <v>0</v>
      </c>
      <c r="AU50" s="66" t="n">
        <f aca="false">IF(42&lt;$C$24,0,$L$24*$G$24*(1+$C$29))</f>
        <v>0</v>
      </c>
      <c r="AV50" s="66" t="n">
        <f aca="false">IF(43&lt;$C$24,0,$L$24*$G$24*(1+$C$29))</f>
        <v>0</v>
      </c>
      <c r="AW50" s="66" t="n">
        <f aca="false">IF(44&lt;$C$24,0,$L$24*$G$24*(1+$C$29))</f>
        <v>0</v>
      </c>
      <c r="AX50" s="66" t="n">
        <f aca="false">IF(45&lt;$C$24,0,$L$24*$G$24*(1+$C$29))</f>
        <v>0</v>
      </c>
      <c r="AY50" s="66" t="n">
        <f aca="false">IF(46&lt;$C$24,0,$L$24*$G$24*(1+$C$29))</f>
        <v>0</v>
      </c>
      <c r="AZ50" s="66" t="n">
        <f aca="false">IF(47&lt;$C$24,0,$L$24*$G$24*(1+$C$29))</f>
        <v>0</v>
      </c>
      <c r="BA50" s="66" t="n">
        <f aca="false">IF(48&lt;$C$24,0,$L$24*$G$24*(1+$C$29))</f>
        <v>0</v>
      </c>
      <c r="BB50" s="65" t="n">
        <f aca="false">SUM(BC50:BN50)</f>
        <v>12474</v>
      </c>
      <c r="BC50" s="66" t="n">
        <f aca="false">IF(49&lt;$C$24,0,$M$24*$H$24*(1+$C$29))</f>
        <v>1039.5</v>
      </c>
      <c r="BD50" s="66" t="n">
        <f aca="false">IF(50&lt;$C$24,0,$M$24*$H$24*(1+$C$29))</f>
        <v>1039.5</v>
      </c>
      <c r="BE50" s="66" t="n">
        <f aca="false">IF(51&lt;$C$24,0,$M$24*$H$24*(1+$C$29))</f>
        <v>1039.5</v>
      </c>
      <c r="BF50" s="66" t="n">
        <f aca="false">IF(52&lt;$C$24,0,$M$24*$H$24*(1+$C$29))</f>
        <v>1039.5</v>
      </c>
      <c r="BG50" s="66" t="n">
        <f aca="false">IF(53&lt;$C$24,0,$M$24*$H$24*(1+$C$29))</f>
        <v>1039.5</v>
      </c>
      <c r="BH50" s="66" t="n">
        <f aca="false">IF(54&lt;$C$24,0,$M$24*$H$24*(1+$C$29))</f>
        <v>1039.5</v>
      </c>
      <c r="BI50" s="66" t="n">
        <f aca="false">IF(55&lt;$C$24,0,$M$24*$H$24*(1+$C$29))</f>
        <v>1039.5</v>
      </c>
      <c r="BJ50" s="66" t="n">
        <f aca="false">IF(56&lt;$C$24,0,$M$24*$H$24*(1+$C$29))</f>
        <v>1039.5</v>
      </c>
      <c r="BK50" s="66" t="n">
        <f aca="false">IF(57&lt;$C$24,0,$M$24*$H$24*(1+$C$29))</f>
        <v>1039.5</v>
      </c>
      <c r="BL50" s="66" t="n">
        <f aca="false">IF(58&lt;$C$24,0,$M$24*$H$24*(1+$C$29))</f>
        <v>1039.5</v>
      </c>
      <c r="BM50" s="66" t="n">
        <f aca="false">IF(59&lt;$C$24,0,$M$24*$H$24*(1+$C$29))</f>
        <v>1039.5</v>
      </c>
      <c r="BN50" s="66" t="n">
        <f aca="false">IF(60&lt;$C$24,0,$M$24*$H$24*(1+$C$29))</f>
        <v>1039.5</v>
      </c>
    </row>
    <row r="51" customFormat="false" ht="15" hidden="false" customHeight="false" outlineLevel="0" collapsed="false">
      <c r="A51" s="67" t="s">
        <v>783</v>
      </c>
      <c r="B51" s="68" t="n">
        <f aca="false">SUM(C51:N51)</f>
        <v>45045</v>
      </c>
      <c r="C51" s="69" t="n">
        <f aca="false">SUM(C33:C50)</f>
        <v>3753.75</v>
      </c>
      <c r="D51" s="69" t="n">
        <f aca="false">SUM(D33:D50)</f>
        <v>3753.75</v>
      </c>
      <c r="E51" s="69" t="n">
        <f aca="false">SUM(E33:E50)</f>
        <v>3753.75</v>
      </c>
      <c r="F51" s="69" t="n">
        <f aca="false">SUM(F33:F50)</f>
        <v>3753.75</v>
      </c>
      <c r="G51" s="69" t="n">
        <f aca="false">SUM(G33:G50)</f>
        <v>3753.75</v>
      </c>
      <c r="H51" s="69" t="n">
        <f aca="false">SUM(H33:H50)</f>
        <v>3753.75</v>
      </c>
      <c r="I51" s="69" t="n">
        <f aca="false">SUM(I33:I50)</f>
        <v>3753.75</v>
      </c>
      <c r="J51" s="69" t="n">
        <f aca="false">SUM(J33:J50)</f>
        <v>3753.75</v>
      </c>
      <c r="K51" s="69" t="n">
        <f aca="false">SUM(K33:K50)</f>
        <v>3753.75</v>
      </c>
      <c r="L51" s="69" t="n">
        <f aca="false">SUM(L33:L50)</f>
        <v>3753.75</v>
      </c>
      <c r="M51" s="69" t="n">
        <f aca="false">SUM(M33:M50)</f>
        <v>3753.75</v>
      </c>
      <c r="N51" s="69" t="n">
        <f aca="false">SUM(N33:N50)</f>
        <v>3753.75</v>
      </c>
      <c r="O51" s="68" t="n">
        <f aca="false">SUM(P51:AA51)</f>
        <v>169092</v>
      </c>
      <c r="P51" s="69" t="n">
        <f aca="false">SUM(P33:P50)</f>
        <v>14091</v>
      </c>
      <c r="Q51" s="69" t="n">
        <f aca="false">SUM(Q33:Q50)</f>
        <v>14091</v>
      </c>
      <c r="R51" s="69" t="n">
        <f aca="false">SUM(R33:R50)</f>
        <v>14091</v>
      </c>
      <c r="S51" s="69" t="n">
        <f aca="false">SUM(S33:S50)</f>
        <v>14091</v>
      </c>
      <c r="T51" s="69" t="n">
        <f aca="false">SUM(T33:T50)</f>
        <v>14091</v>
      </c>
      <c r="U51" s="69" t="n">
        <f aca="false">SUM(U33:U50)</f>
        <v>14091</v>
      </c>
      <c r="V51" s="69" t="n">
        <f aca="false">SUM(V33:V50)</f>
        <v>14091</v>
      </c>
      <c r="W51" s="69" t="n">
        <f aca="false">SUM(W33:W50)</f>
        <v>14091</v>
      </c>
      <c r="X51" s="69" t="n">
        <f aca="false">SUM(X33:X50)</f>
        <v>14091</v>
      </c>
      <c r="Y51" s="69" t="n">
        <f aca="false">SUM(Y33:Y50)</f>
        <v>14091</v>
      </c>
      <c r="Z51" s="69" t="n">
        <f aca="false">SUM(Z33:Z50)</f>
        <v>14091</v>
      </c>
      <c r="AA51" s="69" t="n">
        <f aca="false">SUM(AA33:AA50)</f>
        <v>14091</v>
      </c>
      <c r="AB51" s="68" t="n">
        <f aca="false">SUM(AC51:AN51)</f>
        <v>400554</v>
      </c>
      <c r="AC51" s="69" t="n">
        <f aca="false">SUM(AC33:AC50)</f>
        <v>33379.5</v>
      </c>
      <c r="AD51" s="69" t="n">
        <f aca="false">SUM(AD33:AD50)</f>
        <v>33379.5</v>
      </c>
      <c r="AE51" s="69" t="n">
        <f aca="false">SUM(AE33:AE50)</f>
        <v>33379.5</v>
      </c>
      <c r="AF51" s="69" t="n">
        <f aca="false">SUM(AF33:AF50)</f>
        <v>33379.5</v>
      </c>
      <c r="AG51" s="69" t="n">
        <f aca="false">SUM(AG33:AG50)</f>
        <v>33379.5</v>
      </c>
      <c r="AH51" s="69" t="n">
        <f aca="false">SUM(AH33:AH50)</f>
        <v>33379.5</v>
      </c>
      <c r="AI51" s="69" t="n">
        <f aca="false">SUM(AI33:AI50)</f>
        <v>33379.5</v>
      </c>
      <c r="AJ51" s="69" t="n">
        <f aca="false">SUM(AJ33:AJ50)</f>
        <v>33379.5</v>
      </c>
      <c r="AK51" s="69" t="n">
        <f aca="false">SUM(AK33:AK50)</f>
        <v>33379.5</v>
      </c>
      <c r="AL51" s="69" t="n">
        <f aca="false">SUM(AL33:AL50)</f>
        <v>33379.5</v>
      </c>
      <c r="AM51" s="69" t="n">
        <f aca="false">SUM(AM33:AM50)</f>
        <v>33379.5</v>
      </c>
      <c r="AN51" s="69" t="n">
        <f aca="false">SUM(AN33:AN50)</f>
        <v>33379.5</v>
      </c>
      <c r="AO51" s="68" t="n">
        <f aca="false">SUM(AP51:BA51)</f>
        <v>557865</v>
      </c>
      <c r="AP51" s="69" t="n">
        <f aca="false">SUM(AP33:AP50)</f>
        <v>46488.75</v>
      </c>
      <c r="AQ51" s="69" t="n">
        <f aca="false">SUM(AQ33:AQ50)</f>
        <v>46488.75</v>
      </c>
      <c r="AR51" s="69" t="n">
        <f aca="false">SUM(AR33:AR50)</f>
        <v>46488.75</v>
      </c>
      <c r="AS51" s="69" t="n">
        <f aca="false">SUM(AS33:AS50)</f>
        <v>46488.75</v>
      </c>
      <c r="AT51" s="69" t="n">
        <f aca="false">SUM(AT33:AT50)</f>
        <v>46488.75</v>
      </c>
      <c r="AU51" s="69" t="n">
        <f aca="false">SUM(AU33:AU50)</f>
        <v>46488.75</v>
      </c>
      <c r="AV51" s="69" t="n">
        <f aca="false">SUM(AV33:AV50)</f>
        <v>46488.75</v>
      </c>
      <c r="AW51" s="69" t="n">
        <f aca="false">SUM(AW33:AW50)</f>
        <v>46488.75</v>
      </c>
      <c r="AX51" s="69" t="n">
        <f aca="false">SUM(AX33:AX50)</f>
        <v>46488.75</v>
      </c>
      <c r="AY51" s="69" t="n">
        <f aca="false">SUM(AY33:AY50)</f>
        <v>46488.75</v>
      </c>
      <c r="AZ51" s="69" t="n">
        <f aca="false">SUM(AZ33:AZ50)</f>
        <v>46488.75</v>
      </c>
      <c r="BA51" s="69" t="n">
        <f aca="false">SUM(BA33:BA50)</f>
        <v>46488.75</v>
      </c>
      <c r="BB51" s="68" t="n">
        <f aca="false">SUM(BC51:BN51)</f>
        <v>661122</v>
      </c>
      <c r="BC51" s="69" t="n">
        <f aca="false">SUM(BC33:BC50)</f>
        <v>55093.5</v>
      </c>
      <c r="BD51" s="69" t="n">
        <f aca="false">SUM(BD33:BD50)</f>
        <v>55093.5</v>
      </c>
      <c r="BE51" s="69" t="n">
        <f aca="false">SUM(BE33:BE50)</f>
        <v>55093.5</v>
      </c>
      <c r="BF51" s="69" t="n">
        <f aca="false">SUM(BF33:BF50)</f>
        <v>55093.5</v>
      </c>
      <c r="BG51" s="69" t="n">
        <f aca="false">SUM(BG33:BG50)</f>
        <v>55093.5</v>
      </c>
      <c r="BH51" s="69" t="n">
        <f aca="false">SUM(BH33:BH50)</f>
        <v>55093.5</v>
      </c>
      <c r="BI51" s="69" t="n">
        <f aca="false">SUM(BI33:BI50)</f>
        <v>55093.5</v>
      </c>
      <c r="BJ51" s="69" t="n">
        <f aca="false">SUM(BJ33:BJ50)</f>
        <v>55093.5</v>
      </c>
      <c r="BK51" s="69" t="n">
        <f aca="false">SUM(BK33:BK50)</f>
        <v>55093.5</v>
      </c>
      <c r="BL51" s="69" t="n">
        <f aca="false">SUM(BL33:BL50)</f>
        <v>55093.5</v>
      </c>
      <c r="BM51" s="69" t="n">
        <f aca="false">SUM(BM33:BM50)</f>
        <v>55093.5</v>
      </c>
      <c r="BN51" s="69" t="n">
        <f aca="false">SUM(BN33:BN50)</f>
        <v>55093.5</v>
      </c>
    </row>
    <row r="53" customFormat="false" ht="16.5" hidden="false" customHeight="true" outlineLevel="0" collapsed="false">
      <c r="A53" s="15" t="s">
        <v>784</v>
      </c>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row>
    <row r="54" customFormat="false" ht="15" hidden="false" customHeight="true" outlineLevel="0" collapsed="false">
      <c r="A54" s="26" t="s">
        <v>505</v>
      </c>
      <c r="B54" s="62" t="s">
        <v>80</v>
      </c>
      <c r="C54" s="63" t="s">
        <v>506</v>
      </c>
      <c r="D54" s="63" t="s">
        <v>507</v>
      </c>
      <c r="E54" s="63" t="s">
        <v>508</v>
      </c>
      <c r="F54" s="63" t="s">
        <v>509</v>
      </c>
      <c r="G54" s="63" t="s">
        <v>510</v>
      </c>
      <c r="H54" s="63" t="s">
        <v>511</v>
      </c>
      <c r="I54" s="63" t="s">
        <v>512</v>
      </c>
      <c r="J54" s="63" t="s">
        <v>513</v>
      </c>
      <c r="K54" s="63" t="s">
        <v>514</v>
      </c>
      <c r="L54" s="63" t="s">
        <v>515</v>
      </c>
      <c r="M54" s="63" t="s">
        <v>516</v>
      </c>
      <c r="N54" s="63" t="s">
        <v>517</v>
      </c>
      <c r="O54" s="62" t="s">
        <v>81</v>
      </c>
      <c r="P54" s="64" t="s">
        <v>518</v>
      </c>
      <c r="Q54" s="64" t="s">
        <v>519</v>
      </c>
      <c r="R54" s="64" t="s">
        <v>520</v>
      </c>
      <c r="S54" s="64" t="s">
        <v>521</v>
      </c>
      <c r="T54" s="64" t="s">
        <v>522</v>
      </c>
      <c r="U54" s="64" t="s">
        <v>523</v>
      </c>
      <c r="V54" s="64" t="s">
        <v>524</v>
      </c>
      <c r="W54" s="64" t="s">
        <v>525</v>
      </c>
      <c r="X54" s="64" t="s">
        <v>526</v>
      </c>
      <c r="Y54" s="64" t="s">
        <v>527</v>
      </c>
      <c r="Z54" s="64" t="s">
        <v>528</v>
      </c>
      <c r="AA54" s="64" t="s">
        <v>529</v>
      </c>
      <c r="AB54" s="62" t="s">
        <v>82</v>
      </c>
      <c r="AC54" s="63" t="s">
        <v>530</v>
      </c>
      <c r="AD54" s="63" t="s">
        <v>531</v>
      </c>
      <c r="AE54" s="63" t="s">
        <v>532</v>
      </c>
      <c r="AF54" s="63" t="s">
        <v>533</v>
      </c>
      <c r="AG54" s="63" t="s">
        <v>534</v>
      </c>
      <c r="AH54" s="63" t="s">
        <v>535</v>
      </c>
      <c r="AI54" s="63" t="s">
        <v>536</v>
      </c>
      <c r="AJ54" s="63" t="s">
        <v>537</v>
      </c>
      <c r="AK54" s="63" t="s">
        <v>538</v>
      </c>
      <c r="AL54" s="63" t="s">
        <v>539</v>
      </c>
      <c r="AM54" s="63" t="s">
        <v>540</v>
      </c>
      <c r="AN54" s="63" t="s">
        <v>541</v>
      </c>
      <c r="AO54" s="62" t="s">
        <v>83</v>
      </c>
      <c r="AP54" s="64" t="s">
        <v>542</v>
      </c>
      <c r="AQ54" s="64" t="s">
        <v>543</v>
      </c>
      <c r="AR54" s="64" t="s">
        <v>544</v>
      </c>
      <c r="AS54" s="64" t="s">
        <v>545</v>
      </c>
      <c r="AT54" s="64" t="s">
        <v>546</v>
      </c>
      <c r="AU54" s="64" t="s">
        <v>547</v>
      </c>
      <c r="AV54" s="64" t="s">
        <v>548</v>
      </c>
      <c r="AW54" s="64" t="s">
        <v>549</v>
      </c>
      <c r="AX54" s="64" t="s">
        <v>550</v>
      </c>
      <c r="AY54" s="64" t="s">
        <v>551</v>
      </c>
      <c r="AZ54" s="64" t="s">
        <v>552</v>
      </c>
      <c r="BA54" s="64" t="s">
        <v>553</v>
      </c>
      <c r="BB54" s="62" t="s">
        <v>84</v>
      </c>
      <c r="BC54" s="63" t="s">
        <v>554</v>
      </c>
      <c r="BD54" s="63" t="s">
        <v>555</v>
      </c>
      <c r="BE54" s="63" t="s">
        <v>556</v>
      </c>
      <c r="BF54" s="63" t="s">
        <v>557</v>
      </c>
      <c r="BG54" s="63" t="s">
        <v>558</v>
      </c>
      <c r="BH54" s="63" t="s">
        <v>559</v>
      </c>
      <c r="BI54" s="63" t="s">
        <v>560</v>
      </c>
      <c r="BJ54" s="63" t="s">
        <v>561</v>
      </c>
      <c r="BK54" s="63" t="s">
        <v>562</v>
      </c>
      <c r="BL54" s="63" t="s">
        <v>563</v>
      </c>
      <c r="BM54" s="63" t="s">
        <v>564</v>
      </c>
      <c r="BN54" s="63" t="s">
        <v>565</v>
      </c>
    </row>
    <row r="55" customFormat="false" ht="15" hidden="false" customHeight="false" outlineLevel="0" collapsed="false">
      <c r="A55" s="12" t="s">
        <v>759</v>
      </c>
      <c r="B55" s="79" t="n">
        <f aca="false">N55</f>
        <v>1</v>
      </c>
      <c r="C55" s="80" t="n">
        <f aca="false">IF(1&lt;$C$7,0,$I$7)</f>
        <v>1</v>
      </c>
      <c r="D55" s="80" t="n">
        <f aca="false">IF(2&lt;$C$7,0,$I$7)</f>
        <v>1</v>
      </c>
      <c r="E55" s="80" t="n">
        <f aca="false">IF(3&lt;$C$7,0,$I$7)</f>
        <v>1</v>
      </c>
      <c r="F55" s="80" t="n">
        <f aca="false">IF(4&lt;$C$7,0,$I$7)</f>
        <v>1</v>
      </c>
      <c r="G55" s="80" t="n">
        <f aca="false">IF(5&lt;$C$7,0,$I$7)</f>
        <v>1</v>
      </c>
      <c r="H55" s="80" t="n">
        <f aca="false">IF(6&lt;$C$7,0,$I$7)</f>
        <v>1</v>
      </c>
      <c r="I55" s="80" t="n">
        <f aca="false">IF(7&lt;$C$7,0,$I$7)</f>
        <v>1</v>
      </c>
      <c r="J55" s="80" t="n">
        <f aca="false">IF(8&lt;$C$7,0,$I$7)</f>
        <v>1</v>
      </c>
      <c r="K55" s="80" t="n">
        <f aca="false">IF(9&lt;$C$7,0,$I$7)</f>
        <v>1</v>
      </c>
      <c r="L55" s="80" t="n">
        <f aca="false">IF(10&lt;$C$7,0,$I$7)</f>
        <v>1</v>
      </c>
      <c r="M55" s="80" t="n">
        <f aca="false">IF(11&lt;$C$7,0,$I$7)</f>
        <v>1</v>
      </c>
      <c r="N55" s="80" t="n">
        <f aca="false">IF(12&lt;$C$7,0,$I$7)</f>
        <v>1</v>
      </c>
      <c r="O55" s="79" t="n">
        <f aca="false">AA55</f>
        <v>1</v>
      </c>
      <c r="P55" s="80" t="n">
        <f aca="false">IF(13&lt;$C$7,0,$J$7)</f>
        <v>1</v>
      </c>
      <c r="Q55" s="80" t="n">
        <f aca="false">IF(14&lt;$C$7,0,$J$7)</f>
        <v>1</v>
      </c>
      <c r="R55" s="80" t="n">
        <f aca="false">IF(15&lt;$C$7,0,$J$7)</f>
        <v>1</v>
      </c>
      <c r="S55" s="80" t="n">
        <f aca="false">IF(16&lt;$C$7,0,$J$7)</f>
        <v>1</v>
      </c>
      <c r="T55" s="80" t="n">
        <f aca="false">IF(17&lt;$C$7,0,$J$7)</f>
        <v>1</v>
      </c>
      <c r="U55" s="80" t="n">
        <f aca="false">IF(18&lt;$C$7,0,$J$7)</f>
        <v>1</v>
      </c>
      <c r="V55" s="80" t="n">
        <f aca="false">IF(19&lt;$C$7,0,$J$7)</f>
        <v>1</v>
      </c>
      <c r="W55" s="80" t="n">
        <f aca="false">IF(20&lt;$C$7,0,$J$7)</f>
        <v>1</v>
      </c>
      <c r="X55" s="80" t="n">
        <f aca="false">IF(21&lt;$C$7,0,$J$7)</f>
        <v>1</v>
      </c>
      <c r="Y55" s="80" t="n">
        <f aca="false">IF(22&lt;$C$7,0,$J$7)</f>
        <v>1</v>
      </c>
      <c r="Z55" s="80" t="n">
        <f aca="false">IF(23&lt;$C$7,0,$J$7)</f>
        <v>1</v>
      </c>
      <c r="AA55" s="80" t="n">
        <f aca="false">IF(24&lt;$C$7,0,$J$7)</f>
        <v>1</v>
      </c>
      <c r="AB55" s="79" t="n">
        <f aca="false">AN55</f>
        <v>1</v>
      </c>
      <c r="AC55" s="80" t="n">
        <f aca="false">IF(25&lt;$C$7,0,$K$7)</f>
        <v>1</v>
      </c>
      <c r="AD55" s="80" t="n">
        <f aca="false">IF(26&lt;$C$7,0,$K$7)</f>
        <v>1</v>
      </c>
      <c r="AE55" s="80" t="n">
        <f aca="false">IF(27&lt;$C$7,0,$K$7)</f>
        <v>1</v>
      </c>
      <c r="AF55" s="80" t="n">
        <f aca="false">IF(28&lt;$C$7,0,$K$7)</f>
        <v>1</v>
      </c>
      <c r="AG55" s="80" t="n">
        <f aca="false">IF(29&lt;$C$7,0,$K$7)</f>
        <v>1</v>
      </c>
      <c r="AH55" s="80" t="n">
        <f aca="false">IF(30&lt;$C$7,0,$K$7)</f>
        <v>1</v>
      </c>
      <c r="AI55" s="80" t="n">
        <f aca="false">IF(31&lt;$C$7,0,$K$7)</f>
        <v>1</v>
      </c>
      <c r="AJ55" s="80" t="n">
        <f aca="false">IF(32&lt;$C$7,0,$K$7)</f>
        <v>1</v>
      </c>
      <c r="AK55" s="80" t="n">
        <f aca="false">IF(33&lt;$C$7,0,$K$7)</f>
        <v>1</v>
      </c>
      <c r="AL55" s="80" t="n">
        <f aca="false">IF(34&lt;$C$7,0,$K$7)</f>
        <v>1</v>
      </c>
      <c r="AM55" s="80" t="n">
        <f aca="false">IF(35&lt;$C$7,0,$K$7)</f>
        <v>1</v>
      </c>
      <c r="AN55" s="80" t="n">
        <f aca="false">IF(36&lt;$C$7,0,$K$7)</f>
        <v>1</v>
      </c>
      <c r="AO55" s="79" t="n">
        <f aca="false">BA55</f>
        <v>1</v>
      </c>
      <c r="AP55" s="80" t="n">
        <f aca="false">IF(37&lt;$C$7,0,$L$7)</f>
        <v>1</v>
      </c>
      <c r="AQ55" s="80" t="n">
        <f aca="false">IF(38&lt;$C$7,0,$L$7)</f>
        <v>1</v>
      </c>
      <c r="AR55" s="80" t="n">
        <f aca="false">IF(39&lt;$C$7,0,$L$7)</f>
        <v>1</v>
      </c>
      <c r="AS55" s="80" t="n">
        <f aca="false">IF(40&lt;$C$7,0,$L$7)</f>
        <v>1</v>
      </c>
      <c r="AT55" s="80" t="n">
        <f aca="false">IF(41&lt;$C$7,0,$L$7)</f>
        <v>1</v>
      </c>
      <c r="AU55" s="80" t="n">
        <f aca="false">IF(42&lt;$C$7,0,$L$7)</f>
        <v>1</v>
      </c>
      <c r="AV55" s="80" t="n">
        <f aca="false">IF(43&lt;$C$7,0,$L$7)</f>
        <v>1</v>
      </c>
      <c r="AW55" s="80" t="n">
        <f aca="false">IF(44&lt;$C$7,0,$L$7)</f>
        <v>1</v>
      </c>
      <c r="AX55" s="80" t="n">
        <f aca="false">IF(45&lt;$C$7,0,$L$7)</f>
        <v>1</v>
      </c>
      <c r="AY55" s="80" t="n">
        <f aca="false">IF(46&lt;$C$7,0,$L$7)</f>
        <v>1</v>
      </c>
      <c r="AZ55" s="80" t="n">
        <f aca="false">IF(47&lt;$C$7,0,$L$7)</f>
        <v>1</v>
      </c>
      <c r="BA55" s="80" t="n">
        <f aca="false">IF(48&lt;$C$7,0,$L$7)</f>
        <v>1</v>
      </c>
      <c r="BB55" s="79" t="n">
        <f aca="false">BN55</f>
        <v>1</v>
      </c>
      <c r="BC55" s="80" t="n">
        <f aca="false">IF(49&lt;$C$7,0,$M$7)</f>
        <v>1</v>
      </c>
      <c r="BD55" s="80" t="n">
        <f aca="false">IF(50&lt;$C$7,0,$M$7)</f>
        <v>1</v>
      </c>
      <c r="BE55" s="80" t="n">
        <f aca="false">IF(51&lt;$C$7,0,$M$7)</f>
        <v>1</v>
      </c>
      <c r="BF55" s="80" t="n">
        <f aca="false">IF(52&lt;$C$7,0,$M$7)</f>
        <v>1</v>
      </c>
      <c r="BG55" s="80" t="n">
        <f aca="false">IF(53&lt;$C$7,0,$M$7)</f>
        <v>1</v>
      </c>
      <c r="BH55" s="80" t="n">
        <f aca="false">IF(54&lt;$C$7,0,$M$7)</f>
        <v>1</v>
      </c>
      <c r="BI55" s="80" t="n">
        <f aca="false">IF(55&lt;$C$7,0,$M$7)</f>
        <v>1</v>
      </c>
      <c r="BJ55" s="80" t="n">
        <f aca="false">IF(56&lt;$C$7,0,$M$7)</f>
        <v>1</v>
      </c>
      <c r="BK55" s="80" t="n">
        <f aca="false">IF(57&lt;$C$7,0,$M$7)</f>
        <v>1</v>
      </c>
      <c r="BL55" s="80" t="n">
        <f aca="false">IF(58&lt;$C$7,0,$M$7)</f>
        <v>1</v>
      </c>
      <c r="BM55" s="80" t="n">
        <f aca="false">IF(59&lt;$C$7,0,$M$7)</f>
        <v>1</v>
      </c>
      <c r="BN55" s="80" t="n">
        <f aca="false">IF(60&lt;$C$7,0,$M$7)</f>
        <v>1</v>
      </c>
    </row>
    <row r="56" customFormat="false" ht="15" hidden="false" customHeight="false" outlineLevel="0" collapsed="false">
      <c r="A56" s="12" t="s">
        <v>760</v>
      </c>
      <c r="B56" s="79" t="n">
        <f aca="false">N56</f>
        <v>1</v>
      </c>
      <c r="C56" s="80" t="n">
        <f aca="false">IF(1&lt;$C$8,0,$I$8)</f>
        <v>1</v>
      </c>
      <c r="D56" s="80" t="n">
        <f aca="false">IF(2&lt;$C$8,0,$I$8)</f>
        <v>1</v>
      </c>
      <c r="E56" s="80" t="n">
        <f aca="false">IF(3&lt;$C$8,0,$I$8)</f>
        <v>1</v>
      </c>
      <c r="F56" s="80" t="n">
        <f aca="false">IF(4&lt;$C$8,0,$I$8)</f>
        <v>1</v>
      </c>
      <c r="G56" s="80" t="n">
        <f aca="false">IF(5&lt;$C$8,0,$I$8)</f>
        <v>1</v>
      </c>
      <c r="H56" s="80" t="n">
        <f aca="false">IF(6&lt;$C$8,0,$I$8)</f>
        <v>1</v>
      </c>
      <c r="I56" s="80" t="n">
        <f aca="false">IF(7&lt;$C$8,0,$I$8)</f>
        <v>1</v>
      </c>
      <c r="J56" s="80" t="n">
        <f aca="false">IF(8&lt;$C$8,0,$I$8)</f>
        <v>1</v>
      </c>
      <c r="K56" s="80" t="n">
        <f aca="false">IF(9&lt;$C$8,0,$I$8)</f>
        <v>1</v>
      </c>
      <c r="L56" s="80" t="n">
        <f aca="false">IF(10&lt;$C$8,0,$I$8)</f>
        <v>1</v>
      </c>
      <c r="M56" s="80" t="n">
        <f aca="false">IF(11&lt;$C$8,0,$I$8)</f>
        <v>1</v>
      </c>
      <c r="N56" s="80" t="n">
        <f aca="false">IF(12&lt;$C$8,0,$I$8)</f>
        <v>1</v>
      </c>
      <c r="O56" s="79" t="n">
        <f aca="false">AA56</f>
        <v>1</v>
      </c>
      <c r="P56" s="80" t="n">
        <f aca="false">IF(13&lt;$C$8,0,$J$8)</f>
        <v>1</v>
      </c>
      <c r="Q56" s="80" t="n">
        <f aca="false">IF(14&lt;$C$8,0,$J$8)</f>
        <v>1</v>
      </c>
      <c r="R56" s="80" t="n">
        <f aca="false">IF(15&lt;$C$8,0,$J$8)</f>
        <v>1</v>
      </c>
      <c r="S56" s="80" t="n">
        <f aca="false">IF(16&lt;$C$8,0,$J$8)</f>
        <v>1</v>
      </c>
      <c r="T56" s="80" t="n">
        <f aca="false">IF(17&lt;$C$8,0,$J$8)</f>
        <v>1</v>
      </c>
      <c r="U56" s="80" t="n">
        <f aca="false">IF(18&lt;$C$8,0,$J$8)</f>
        <v>1</v>
      </c>
      <c r="V56" s="80" t="n">
        <f aca="false">IF(19&lt;$C$8,0,$J$8)</f>
        <v>1</v>
      </c>
      <c r="W56" s="80" t="n">
        <f aca="false">IF(20&lt;$C$8,0,$J$8)</f>
        <v>1</v>
      </c>
      <c r="X56" s="80" t="n">
        <f aca="false">IF(21&lt;$C$8,0,$J$8)</f>
        <v>1</v>
      </c>
      <c r="Y56" s="80" t="n">
        <f aca="false">IF(22&lt;$C$8,0,$J$8)</f>
        <v>1</v>
      </c>
      <c r="Z56" s="80" t="n">
        <f aca="false">IF(23&lt;$C$8,0,$J$8)</f>
        <v>1</v>
      </c>
      <c r="AA56" s="80" t="n">
        <f aca="false">IF(24&lt;$C$8,0,$J$8)</f>
        <v>1</v>
      </c>
      <c r="AB56" s="79" t="n">
        <f aca="false">AN56</f>
        <v>1</v>
      </c>
      <c r="AC56" s="80" t="n">
        <f aca="false">IF(25&lt;$C$8,0,$K$8)</f>
        <v>1</v>
      </c>
      <c r="AD56" s="80" t="n">
        <f aca="false">IF(26&lt;$C$8,0,$K$8)</f>
        <v>1</v>
      </c>
      <c r="AE56" s="80" t="n">
        <f aca="false">IF(27&lt;$C$8,0,$K$8)</f>
        <v>1</v>
      </c>
      <c r="AF56" s="80" t="n">
        <f aca="false">IF(28&lt;$C$8,0,$K$8)</f>
        <v>1</v>
      </c>
      <c r="AG56" s="80" t="n">
        <f aca="false">IF(29&lt;$C$8,0,$K$8)</f>
        <v>1</v>
      </c>
      <c r="AH56" s="80" t="n">
        <f aca="false">IF(30&lt;$C$8,0,$K$8)</f>
        <v>1</v>
      </c>
      <c r="AI56" s="80" t="n">
        <f aca="false">IF(31&lt;$C$8,0,$K$8)</f>
        <v>1</v>
      </c>
      <c r="AJ56" s="80" t="n">
        <f aca="false">IF(32&lt;$C$8,0,$K$8)</f>
        <v>1</v>
      </c>
      <c r="AK56" s="80" t="n">
        <f aca="false">IF(33&lt;$C$8,0,$K$8)</f>
        <v>1</v>
      </c>
      <c r="AL56" s="80" t="n">
        <f aca="false">IF(34&lt;$C$8,0,$K$8)</f>
        <v>1</v>
      </c>
      <c r="AM56" s="80" t="n">
        <f aca="false">IF(35&lt;$C$8,0,$K$8)</f>
        <v>1</v>
      </c>
      <c r="AN56" s="80" t="n">
        <f aca="false">IF(36&lt;$C$8,0,$K$8)</f>
        <v>1</v>
      </c>
      <c r="AO56" s="79" t="n">
        <f aca="false">BA56</f>
        <v>1</v>
      </c>
      <c r="AP56" s="80" t="n">
        <f aca="false">IF(37&lt;$C$8,0,$L$8)</f>
        <v>1</v>
      </c>
      <c r="AQ56" s="80" t="n">
        <f aca="false">IF(38&lt;$C$8,0,$L$8)</f>
        <v>1</v>
      </c>
      <c r="AR56" s="80" t="n">
        <f aca="false">IF(39&lt;$C$8,0,$L$8)</f>
        <v>1</v>
      </c>
      <c r="AS56" s="80" t="n">
        <f aca="false">IF(40&lt;$C$8,0,$L$8)</f>
        <v>1</v>
      </c>
      <c r="AT56" s="80" t="n">
        <f aca="false">IF(41&lt;$C$8,0,$L$8)</f>
        <v>1</v>
      </c>
      <c r="AU56" s="80" t="n">
        <f aca="false">IF(42&lt;$C$8,0,$L$8)</f>
        <v>1</v>
      </c>
      <c r="AV56" s="80" t="n">
        <f aca="false">IF(43&lt;$C$8,0,$L$8)</f>
        <v>1</v>
      </c>
      <c r="AW56" s="80" t="n">
        <f aca="false">IF(44&lt;$C$8,0,$L$8)</f>
        <v>1</v>
      </c>
      <c r="AX56" s="80" t="n">
        <f aca="false">IF(45&lt;$C$8,0,$L$8)</f>
        <v>1</v>
      </c>
      <c r="AY56" s="80" t="n">
        <f aca="false">IF(46&lt;$C$8,0,$L$8)</f>
        <v>1</v>
      </c>
      <c r="AZ56" s="80" t="n">
        <f aca="false">IF(47&lt;$C$8,0,$L$8)</f>
        <v>1</v>
      </c>
      <c r="BA56" s="80" t="n">
        <f aca="false">IF(48&lt;$C$8,0,$L$8)</f>
        <v>1</v>
      </c>
      <c r="BB56" s="79" t="n">
        <f aca="false">BN56</f>
        <v>1</v>
      </c>
      <c r="BC56" s="80" t="n">
        <f aca="false">IF(49&lt;$C$8,0,$M$8)</f>
        <v>1</v>
      </c>
      <c r="BD56" s="80" t="n">
        <f aca="false">IF(50&lt;$C$8,0,$M$8)</f>
        <v>1</v>
      </c>
      <c r="BE56" s="80" t="n">
        <f aca="false">IF(51&lt;$C$8,0,$M$8)</f>
        <v>1</v>
      </c>
      <c r="BF56" s="80" t="n">
        <f aca="false">IF(52&lt;$C$8,0,$M$8)</f>
        <v>1</v>
      </c>
      <c r="BG56" s="80" t="n">
        <f aca="false">IF(53&lt;$C$8,0,$M$8)</f>
        <v>1</v>
      </c>
      <c r="BH56" s="80" t="n">
        <f aca="false">IF(54&lt;$C$8,0,$M$8)</f>
        <v>1</v>
      </c>
      <c r="BI56" s="80" t="n">
        <f aca="false">IF(55&lt;$C$8,0,$M$8)</f>
        <v>1</v>
      </c>
      <c r="BJ56" s="80" t="n">
        <f aca="false">IF(56&lt;$C$8,0,$M$8)</f>
        <v>1</v>
      </c>
      <c r="BK56" s="80" t="n">
        <f aca="false">IF(57&lt;$C$8,0,$M$8)</f>
        <v>1</v>
      </c>
      <c r="BL56" s="80" t="n">
        <f aca="false">IF(58&lt;$C$8,0,$M$8)</f>
        <v>1</v>
      </c>
      <c r="BM56" s="80" t="n">
        <f aca="false">IF(59&lt;$C$8,0,$M$8)</f>
        <v>1</v>
      </c>
      <c r="BN56" s="80" t="n">
        <f aca="false">IF(60&lt;$C$8,0,$M$8)</f>
        <v>1</v>
      </c>
    </row>
    <row r="57" customFormat="false" ht="15" hidden="false" customHeight="false" outlineLevel="0" collapsed="false">
      <c r="A57" s="12" t="s">
        <v>761</v>
      </c>
      <c r="B57" s="79" t="n">
        <f aca="false">N57</f>
        <v>0</v>
      </c>
      <c r="C57" s="80" t="n">
        <f aca="false">IF(1&lt;$C$9,0,$I$9)</f>
        <v>0</v>
      </c>
      <c r="D57" s="80" t="n">
        <f aca="false">IF(2&lt;$C$9,0,$I$9)</f>
        <v>0</v>
      </c>
      <c r="E57" s="80" t="n">
        <f aca="false">IF(3&lt;$C$9,0,$I$9)</f>
        <v>0</v>
      </c>
      <c r="F57" s="80" t="n">
        <f aca="false">IF(4&lt;$C$9,0,$I$9)</f>
        <v>0</v>
      </c>
      <c r="G57" s="80" t="n">
        <f aca="false">IF(5&lt;$C$9,0,$I$9)</f>
        <v>0</v>
      </c>
      <c r="H57" s="80" t="n">
        <f aca="false">IF(6&lt;$C$9,0,$I$9)</f>
        <v>0</v>
      </c>
      <c r="I57" s="80" t="n">
        <f aca="false">IF(7&lt;$C$9,0,$I$9)</f>
        <v>0</v>
      </c>
      <c r="J57" s="80" t="n">
        <f aca="false">IF(8&lt;$C$9,0,$I$9)</f>
        <v>0</v>
      </c>
      <c r="K57" s="80" t="n">
        <f aca="false">IF(9&lt;$C$9,0,$I$9)</f>
        <v>0</v>
      </c>
      <c r="L57" s="80" t="n">
        <f aca="false">IF(10&lt;$C$9,0,$I$9)</f>
        <v>0</v>
      </c>
      <c r="M57" s="80" t="n">
        <f aca="false">IF(11&lt;$C$9,0,$I$9)</f>
        <v>0</v>
      </c>
      <c r="N57" s="80" t="n">
        <f aca="false">IF(12&lt;$C$9,0,$I$9)</f>
        <v>0</v>
      </c>
      <c r="O57" s="79" t="n">
        <f aca="false">AA57</f>
        <v>0</v>
      </c>
      <c r="P57" s="80" t="n">
        <f aca="false">IF(13&lt;$C$9,0,$J$9)</f>
        <v>0</v>
      </c>
      <c r="Q57" s="80" t="n">
        <f aca="false">IF(14&lt;$C$9,0,$J$9)</f>
        <v>0</v>
      </c>
      <c r="R57" s="80" t="n">
        <f aca="false">IF(15&lt;$C$9,0,$J$9)</f>
        <v>0</v>
      </c>
      <c r="S57" s="80" t="n">
        <f aca="false">IF(16&lt;$C$9,0,$J$9)</f>
        <v>0</v>
      </c>
      <c r="T57" s="80" t="n">
        <f aca="false">IF(17&lt;$C$9,0,$J$9)</f>
        <v>0</v>
      </c>
      <c r="U57" s="80" t="n">
        <f aca="false">IF(18&lt;$C$9,0,$J$9)</f>
        <v>0</v>
      </c>
      <c r="V57" s="80" t="n">
        <f aca="false">IF(19&lt;$C$9,0,$J$9)</f>
        <v>0</v>
      </c>
      <c r="W57" s="80" t="n">
        <f aca="false">IF(20&lt;$C$9,0,$J$9)</f>
        <v>0</v>
      </c>
      <c r="X57" s="80" t="n">
        <f aca="false">IF(21&lt;$C$9,0,$J$9)</f>
        <v>0</v>
      </c>
      <c r="Y57" s="80" t="n">
        <f aca="false">IF(22&lt;$C$9,0,$J$9)</f>
        <v>0</v>
      </c>
      <c r="Z57" s="80" t="n">
        <f aca="false">IF(23&lt;$C$9,0,$J$9)</f>
        <v>0</v>
      </c>
      <c r="AA57" s="80" t="n">
        <f aca="false">IF(24&lt;$C$9,0,$J$9)</f>
        <v>0</v>
      </c>
      <c r="AB57" s="79" t="n">
        <f aca="false">AN57</f>
        <v>0</v>
      </c>
      <c r="AC57" s="80" t="n">
        <f aca="false">IF(25&lt;$C$9,0,$K$9)</f>
        <v>0</v>
      </c>
      <c r="AD57" s="80" t="n">
        <f aca="false">IF(26&lt;$C$9,0,$K$9)</f>
        <v>0</v>
      </c>
      <c r="AE57" s="80" t="n">
        <f aca="false">IF(27&lt;$C$9,0,$K$9)</f>
        <v>0</v>
      </c>
      <c r="AF57" s="80" t="n">
        <f aca="false">IF(28&lt;$C$9,0,$K$9)</f>
        <v>0</v>
      </c>
      <c r="AG57" s="80" t="n">
        <f aca="false">IF(29&lt;$C$9,0,$K$9)</f>
        <v>0</v>
      </c>
      <c r="AH57" s="80" t="n">
        <f aca="false">IF(30&lt;$C$9,0,$K$9)</f>
        <v>0</v>
      </c>
      <c r="AI57" s="80" t="n">
        <f aca="false">IF(31&lt;$C$9,0,$K$9)</f>
        <v>0</v>
      </c>
      <c r="AJ57" s="80" t="n">
        <f aca="false">IF(32&lt;$C$9,0,$K$9)</f>
        <v>0</v>
      </c>
      <c r="AK57" s="80" t="n">
        <f aca="false">IF(33&lt;$C$9,0,$K$9)</f>
        <v>0</v>
      </c>
      <c r="AL57" s="80" t="n">
        <f aca="false">IF(34&lt;$C$9,0,$K$9)</f>
        <v>0</v>
      </c>
      <c r="AM57" s="80" t="n">
        <f aca="false">IF(35&lt;$C$9,0,$K$9)</f>
        <v>0</v>
      </c>
      <c r="AN57" s="80" t="n">
        <f aca="false">IF(36&lt;$C$9,0,$K$9)</f>
        <v>0</v>
      </c>
      <c r="AO57" s="79" t="n">
        <f aca="false">BA57</f>
        <v>1</v>
      </c>
      <c r="AP57" s="80" t="n">
        <f aca="false">IF(37&lt;$C$9,0,$L$9)</f>
        <v>1</v>
      </c>
      <c r="AQ57" s="80" t="n">
        <f aca="false">IF(38&lt;$C$9,0,$L$9)</f>
        <v>1</v>
      </c>
      <c r="AR57" s="80" t="n">
        <f aca="false">IF(39&lt;$C$9,0,$L$9)</f>
        <v>1</v>
      </c>
      <c r="AS57" s="80" t="n">
        <f aca="false">IF(40&lt;$C$9,0,$L$9)</f>
        <v>1</v>
      </c>
      <c r="AT57" s="80" t="n">
        <f aca="false">IF(41&lt;$C$9,0,$L$9)</f>
        <v>1</v>
      </c>
      <c r="AU57" s="80" t="n">
        <f aca="false">IF(42&lt;$C$9,0,$L$9)</f>
        <v>1</v>
      </c>
      <c r="AV57" s="80" t="n">
        <f aca="false">IF(43&lt;$C$9,0,$L$9)</f>
        <v>1</v>
      </c>
      <c r="AW57" s="80" t="n">
        <f aca="false">IF(44&lt;$C$9,0,$L$9)</f>
        <v>1</v>
      </c>
      <c r="AX57" s="80" t="n">
        <f aca="false">IF(45&lt;$C$9,0,$L$9)</f>
        <v>1</v>
      </c>
      <c r="AY57" s="80" t="n">
        <f aca="false">IF(46&lt;$C$9,0,$L$9)</f>
        <v>1</v>
      </c>
      <c r="AZ57" s="80" t="n">
        <f aca="false">IF(47&lt;$C$9,0,$L$9)</f>
        <v>1</v>
      </c>
      <c r="BA57" s="80" t="n">
        <f aca="false">IF(48&lt;$C$9,0,$L$9)</f>
        <v>1</v>
      </c>
      <c r="BB57" s="79" t="n">
        <f aca="false">BN57</f>
        <v>1</v>
      </c>
      <c r="BC57" s="80" t="n">
        <f aca="false">IF(49&lt;$C$9,0,$M$9)</f>
        <v>1</v>
      </c>
      <c r="BD57" s="80" t="n">
        <f aca="false">IF(50&lt;$C$9,0,$M$9)</f>
        <v>1</v>
      </c>
      <c r="BE57" s="80" t="n">
        <f aca="false">IF(51&lt;$C$9,0,$M$9)</f>
        <v>1</v>
      </c>
      <c r="BF57" s="80" t="n">
        <f aca="false">IF(52&lt;$C$9,0,$M$9)</f>
        <v>1</v>
      </c>
      <c r="BG57" s="80" t="n">
        <f aca="false">IF(53&lt;$C$9,0,$M$9)</f>
        <v>1</v>
      </c>
      <c r="BH57" s="80" t="n">
        <f aca="false">IF(54&lt;$C$9,0,$M$9)</f>
        <v>1</v>
      </c>
      <c r="BI57" s="80" t="n">
        <f aca="false">IF(55&lt;$C$9,0,$M$9)</f>
        <v>1</v>
      </c>
      <c r="BJ57" s="80" t="n">
        <f aca="false">IF(56&lt;$C$9,0,$M$9)</f>
        <v>1</v>
      </c>
      <c r="BK57" s="80" t="n">
        <f aca="false">IF(57&lt;$C$9,0,$M$9)</f>
        <v>1</v>
      </c>
      <c r="BL57" s="80" t="n">
        <f aca="false">IF(58&lt;$C$9,0,$M$9)</f>
        <v>1</v>
      </c>
      <c r="BM57" s="80" t="n">
        <f aca="false">IF(59&lt;$C$9,0,$M$9)</f>
        <v>1</v>
      </c>
      <c r="BN57" s="80" t="n">
        <f aca="false">IF(60&lt;$C$9,0,$M$9)</f>
        <v>1</v>
      </c>
    </row>
    <row r="58" customFormat="false" ht="15" hidden="false" customHeight="false" outlineLevel="0" collapsed="false">
      <c r="A58" s="12" t="s">
        <v>762</v>
      </c>
      <c r="B58" s="79" t="n">
        <f aca="false">N58</f>
        <v>1</v>
      </c>
      <c r="C58" s="80" t="n">
        <f aca="false">IF(1&lt;$C$10,0,$I$10)</f>
        <v>1</v>
      </c>
      <c r="D58" s="80" t="n">
        <f aca="false">IF(2&lt;$C$10,0,$I$10)</f>
        <v>1</v>
      </c>
      <c r="E58" s="80" t="n">
        <f aca="false">IF(3&lt;$C$10,0,$I$10)</f>
        <v>1</v>
      </c>
      <c r="F58" s="80" t="n">
        <f aca="false">IF(4&lt;$C$10,0,$I$10)</f>
        <v>1</v>
      </c>
      <c r="G58" s="80" t="n">
        <f aca="false">IF(5&lt;$C$10,0,$I$10)</f>
        <v>1</v>
      </c>
      <c r="H58" s="80" t="n">
        <f aca="false">IF(6&lt;$C$10,0,$I$10)</f>
        <v>1</v>
      </c>
      <c r="I58" s="80" t="n">
        <f aca="false">IF(7&lt;$C$10,0,$I$10)</f>
        <v>1</v>
      </c>
      <c r="J58" s="80" t="n">
        <f aca="false">IF(8&lt;$C$10,0,$I$10)</f>
        <v>1</v>
      </c>
      <c r="K58" s="80" t="n">
        <f aca="false">IF(9&lt;$C$10,0,$I$10)</f>
        <v>1</v>
      </c>
      <c r="L58" s="80" t="n">
        <f aca="false">IF(10&lt;$C$10,0,$I$10)</f>
        <v>1</v>
      </c>
      <c r="M58" s="80" t="n">
        <f aca="false">IF(11&lt;$C$10,0,$I$10)</f>
        <v>1</v>
      </c>
      <c r="N58" s="80" t="n">
        <f aca="false">IF(12&lt;$C$10,0,$I$10)</f>
        <v>1</v>
      </c>
      <c r="O58" s="79" t="n">
        <f aca="false">AA58</f>
        <v>2</v>
      </c>
      <c r="P58" s="80" t="n">
        <f aca="false">IF(13&lt;$C$10,0,$J$10)</f>
        <v>2</v>
      </c>
      <c r="Q58" s="80" t="n">
        <f aca="false">IF(14&lt;$C$10,0,$J$10)</f>
        <v>2</v>
      </c>
      <c r="R58" s="80" t="n">
        <f aca="false">IF(15&lt;$C$10,0,$J$10)</f>
        <v>2</v>
      </c>
      <c r="S58" s="80" t="n">
        <f aca="false">IF(16&lt;$C$10,0,$J$10)</f>
        <v>2</v>
      </c>
      <c r="T58" s="80" t="n">
        <f aca="false">IF(17&lt;$C$10,0,$J$10)</f>
        <v>2</v>
      </c>
      <c r="U58" s="80" t="n">
        <f aca="false">IF(18&lt;$C$10,0,$J$10)</f>
        <v>2</v>
      </c>
      <c r="V58" s="80" t="n">
        <f aca="false">IF(19&lt;$C$10,0,$J$10)</f>
        <v>2</v>
      </c>
      <c r="W58" s="80" t="n">
        <f aca="false">IF(20&lt;$C$10,0,$J$10)</f>
        <v>2</v>
      </c>
      <c r="X58" s="80" t="n">
        <f aca="false">IF(21&lt;$C$10,0,$J$10)</f>
        <v>2</v>
      </c>
      <c r="Y58" s="80" t="n">
        <f aca="false">IF(22&lt;$C$10,0,$J$10)</f>
        <v>2</v>
      </c>
      <c r="Z58" s="80" t="n">
        <f aca="false">IF(23&lt;$C$10,0,$J$10)</f>
        <v>2</v>
      </c>
      <c r="AA58" s="80" t="n">
        <f aca="false">IF(24&lt;$C$10,0,$J$10)</f>
        <v>2</v>
      </c>
      <c r="AB58" s="79" t="n">
        <f aca="false">AN58</f>
        <v>2</v>
      </c>
      <c r="AC58" s="80" t="n">
        <f aca="false">IF(25&lt;$C$10,0,$K$10)</f>
        <v>2</v>
      </c>
      <c r="AD58" s="80" t="n">
        <f aca="false">IF(26&lt;$C$10,0,$K$10)</f>
        <v>2</v>
      </c>
      <c r="AE58" s="80" t="n">
        <f aca="false">IF(27&lt;$C$10,0,$K$10)</f>
        <v>2</v>
      </c>
      <c r="AF58" s="80" t="n">
        <f aca="false">IF(28&lt;$C$10,0,$K$10)</f>
        <v>2</v>
      </c>
      <c r="AG58" s="80" t="n">
        <f aca="false">IF(29&lt;$C$10,0,$K$10)</f>
        <v>2</v>
      </c>
      <c r="AH58" s="80" t="n">
        <f aca="false">IF(30&lt;$C$10,0,$K$10)</f>
        <v>2</v>
      </c>
      <c r="AI58" s="80" t="n">
        <f aca="false">IF(31&lt;$C$10,0,$K$10)</f>
        <v>2</v>
      </c>
      <c r="AJ58" s="80" t="n">
        <f aca="false">IF(32&lt;$C$10,0,$K$10)</f>
        <v>2</v>
      </c>
      <c r="AK58" s="80" t="n">
        <f aca="false">IF(33&lt;$C$10,0,$K$10)</f>
        <v>2</v>
      </c>
      <c r="AL58" s="80" t="n">
        <f aca="false">IF(34&lt;$C$10,0,$K$10)</f>
        <v>2</v>
      </c>
      <c r="AM58" s="80" t="n">
        <f aca="false">IF(35&lt;$C$10,0,$K$10)</f>
        <v>2</v>
      </c>
      <c r="AN58" s="80" t="n">
        <f aca="false">IF(36&lt;$C$10,0,$K$10)</f>
        <v>2</v>
      </c>
      <c r="AO58" s="79" t="n">
        <f aca="false">BA58</f>
        <v>2</v>
      </c>
      <c r="AP58" s="80" t="n">
        <f aca="false">IF(37&lt;$C$10,0,$L$10)</f>
        <v>2</v>
      </c>
      <c r="AQ58" s="80" t="n">
        <f aca="false">IF(38&lt;$C$10,0,$L$10)</f>
        <v>2</v>
      </c>
      <c r="AR58" s="80" t="n">
        <f aca="false">IF(39&lt;$C$10,0,$L$10)</f>
        <v>2</v>
      </c>
      <c r="AS58" s="80" t="n">
        <f aca="false">IF(40&lt;$C$10,0,$L$10)</f>
        <v>2</v>
      </c>
      <c r="AT58" s="80" t="n">
        <f aca="false">IF(41&lt;$C$10,0,$L$10)</f>
        <v>2</v>
      </c>
      <c r="AU58" s="80" t="n">
        <f aca="false">IF(42&lt;$C$10,0,$L$10)</f>
        <v>2</v>
      </c>
      <c r="AV58" s="80" t="n">
        <f aca="false">IF(43&lt;$C$10,0,$L$10)</f>
        <v>2</v>
      </c>
      <c r="AW58" s="80" t="n">
        <f aca="false">IF(44&lt;$C$10,0,$L$10)</f>
        <v>2</v>
      </c>
      <c r="AX58" s="80" t="n">
        <f aca="false">IF(45&lt;$C$10,0,$L$10)</f>
        <v>2</v>
      </c>
      <c r="AY58" s="80" t="n">
        <f aca="false">IF(46&lt;$C$10,0,$L$10)</f>
        <v>2</v>
      </c>
      <c r="AZ58" s="80" t="n">
        <f aca="false">IF(47&lt;$C$10,0,$L$10)</f>
        <v>2</v>
      </c>
      <c r="BA58" s="80" t="n">
        <f aca="false">IF(48&lt;$C$10,0,$L$10)</f>
        <v>2</v>
      </c>
      <c r="BB58" s="79" t="n">
        <f aca="false">BN58</f>
        <v>2</v>
      </c>
      <c r="BC58" s="80" t="n">
        <f aca="false">IF(49&lt;$C$10,0,$M$10)</f>
        <v>2</v>
      </c>
      <c r="BD58" s="80" t="n">
        <f aca="false">IF(50&lt;$C$10,0,$M$10)</f>
        <v>2</v>
      </c>
      <c r="BE58" s="80" t="n">
        <f aca="false">IF(51&lt;$C$10,0,$M$10)</f>
        <v>2</v>
      </c>
      <c r="BF58" s="80" t="n">
        <f aca="false">IF(52&lt;$C$10,0,$M$10)</f>
        <v>2</v>
      </c>
      <c r="BG58" s="80" t="n">
        <f aca="false">IF(53&lt;$C$10,0,$M$10)</f>
        <v>2</v>
      </c>
      <c r="BH58" s="80" t="n">
        <f aca="false">IF(54&lt;$C$10,0,$M$10)</f>
        <v>2</v>
      </c>
      <c r="BI58" s="80" t="n">
        <f aca="false">IF(55&lt;$C$10,0,$M$10)</f>
        <v>2</v>
      </c>
      <c r="BJ58" s="80" t="n">
        <f aca="false">IF(56&lt;$C$10,0,$M$10)</f>
        <v>2</v>
      </c>
      <c r="BK58" s="80" t="n">
        <f aca="false">IF(57&lt;$C$10,0,$M$10)</f>
        <v>2</v>
      </c>
      <c r="BL58" s="80" t="n">
        <f aca="false">IF(58&lt;$C$10,0,$M$10)</f>
        <v>2</v>
      </c>
      <c r="BM58" s="80" t="n">
        <f aca="false">IF(59&lt;$C$10,0,$M$10)</f>
        <v>2</v>
      </c>
      <c r="BN58" s="80" t="n">
        <f aca="false">IF(60&lt;$C$10,0,$M$10)</f>
        <v>2</v>
      </c>
    </row>
    <row r="59" customFormat="false" ht="15" hidden="false" customHeight="false" outlineLevel="0" collapsed="false">
      <c r="A59" s="12" t="s">
        <v>763</v>
      </c>
      <c r="B59" s="79" t="n">
        <f aca="false">N59</f>
        <v>0</v>
      </c>
      <c r="C59" s="80" t="n">
        <f aca="false">IF(1&lt;$C$11,0,$I$11)</f>
        <v>0</v>
      </c>
      <c r="D59" s="80" t="n">
        <f aca="false">IF(2&lt;$C$11,0,$I$11)</f>
        <v>0</v>
      </c>
      <c r="E59" s="80" t="n">
        <f aca="false">IF(3&lt;$C$11,0,$I$11)</f>
        <v>0</v>
      </c>
      <c r="F59" s="80" t="n">
        <f aca="false">IF(4&lt;$C$11,0,$I$11)</f>
        <v>0</v>
      </c>
      <c r="G59" s="80" t="n">
        <f aca="false">IF(5&lt;$C$11,0,$I$11)</f>
        <v>0</v>
      </c>
      <c r="H59" s="80" t="n">
        <f aca="false">IF(6&lt;$C$11,0,$I$11)</f>
        <v>0</v>
      </c>
      <c r="I59" s="80" t="n">
        <f aca="false">IF(7&lt;$C$11,0,$I$11)</f>
        <v>0</v>
      </c>
      <c r="J59" s="80" t="n">
        <f aca="false">IF(8&lt;$C$11,0,$I$11)</f>
        <v>0</v>
      </c>
      <c r="K59" s="80" t="n">
        <f aca="false">IF(9&lt;$C$11,0,$I$11)</f>
        <v>0</v>
      </c>
      <c r="L59" s="80" t="n">
        <f aca="false">IF(10&lt;$C$11,0,$I$11)</f>
        <v>0</v>
      </c>
      <c r="M59" s="80" t="n">
        <f aca="false">IF(11&lt;$C$11,0,$I$11)</f>
        <v>0</v>
      </c>
      <c r="N59" s="80" t="n">
        <f aca="false">IF(12&lt;$C$11,0,$I$11)</f>
        <v>0</v>
      </c>
      <c r="O59" s="79" t="n">
        <f aca="false">AA59</f>
        <v>0</v>
      </c>
      <c r="P59" s="80" t="n">
        <f aca="false">IF(13&lt;$C$11,0,$J$11)</f>
        <v>0</v>
      </c>
      <c r="Q59" s="80" t="n">
        <f aca="false">IF(14&lt;$C$11,0,$J$11)</f>
        <v>0</v>
      </c>
      <c r="R59" s="80" t="n">
        <f aca="false">IF(15&lt;$C$11,0,$J$11)</f>
        <v>0</v>
      </c>
      <c r="S59" s="80" t="n">
        <f aca="false">IF(16&lt;$C$11,0,$J$11)</f>
        <v>0</v>
      </c>
      <c r="T59" s="80" t="n">
        <f aca="false">IF(17&lt;$C$11,0,$J$11)</f>
        <v>0</v>
      </c>
      <c r="U59" s="80" t="n">
        <f aca="false">IF(18&lt;$C$11,0,$J$11)</f>
        <v>0</v>
      </c>
      <c r="V59" s="80" t="n">
        <f aca="false">IF(19&lt;$C$11,0,$J$11)</f>
        <v>0</v>
      </c>
      <c r="W59" s="80" t="n">
        <f aca="false">IF(20&lt;$C$11,0,$J$11)</f>
        <v>0</v>
      </c>
      <c r="X59" s="80" t="n">
        <f aca="false">IF(21&lt;$C$11,0,$J$11)</f>
        <v>0</v>
      </c>
      <c r="Y59" s="80" t="n">
        <f aca="false">IF(22&lt;$C$11,0,$J$11)</f>
        <v>0</v>
      </c>
      <c r="Z59" s="80" t="n">
        <f aca="false">IF(23&lt;$C$11,0,$J$11)</f>
        <v>0</v>
      </c>
      <c r="AA59" s="80" t="n">
        <f aca="false">IF(24&lt;$C$11,0,$J$11)</f>
        <v>0</v>
      </c>
      <c r="AB59" s="79" t="n">
        <f aca="false">AN59</f>
        <v>0</v>
      </c>
      <c r="AC59" s="80" t="n">
        <f aca="false">IF(25&lt;$C$11,0,$K$11)</f>
        <v>0</v>
      </c>
      <c r="AD59" s="80" t="n">
        <f aca="false">IF(26&lt;$C$11,0,$K$11)</f>
        <v>0</v>
      </c>
      <c r="AE59" s="80" t="n">
        <f aca="false">IF(27&lt;$C$11,0,$K$11)</f>
        <v>0</v>
      </c>
      <c r="AF59" s="80" t="n">
        <f aca="false">IF(28&lt;$C$11,0,$K$11)</f>
        <v>0</v>
      </c>
      <c r="AG59" s="80" t="n">
        <f aca="false">IF(29&lt;$C$11,0,$K$11)</f>
        <v>0</v>
      </c>
      <c r="AH59" s="80" t="n">
        <f aca="false">IF(30&lt;$C$11,0,$K$11)</f>
        <v>0</v>
      </c>
      <c r="AI59" s="80" t="n">
        <f aca="false">IF(31&lt;$C$11,0,$K$11)</f>
        <v>0</v>
      </c>
      <c r="AJ59" s="80" t="n">
        <f aca="false">IF(32&lt;$C$11,0,$K$11)</f>
        <v>0</v>
      </c>
      <c r="AK59" s="80" t="n">
        <f aca="false">IF(33&lt;$C$11,0,$K$11)</f>
        <v>0</v>
      </c>
      <c r="AL59" s="80" t="n">
        <f aca="false">IF(34&lt;$C$11,0,$K$11)</f>
        <v>0</v>
      </c>
      <c r="AM59" s="80" t="n">
        <f aca="false">IF(35&lt;$C$11,0,$K$11)</f>
        <v>0</v>
      </c>
      <c r="AN59" s="80" t="n">
        <f aca="false">IF(36&lt;$C$11,0,$K$11)</f>
        <v>0</v>
      </c>
      <c r="AO59" s="79" t="n">
        <f aca="false">BA59</f>
        <v>1</v>
      </c>
      <c r="AP59" s="80" t="n">
        <f aca="false">IF(37&lt;$C$11,0,$L$11)</f>
        <v>1</v>
      </c>
      <c r="AQ59" s="80" t="n">
        <f aca="false">IF(38&lt;$C$11,0,$L$11)</f>
        <v>1</v>
      </c>
      <c r="AR59" s="80" t="n">
        <f aca="false">IF(39&lt;$C$11,0,$L$11)</f>
        <v>1</v>
      </c>
      <c r="AS59" s="80" t="n">
        <f aca="false">IF(40&lt;$C$11,0,$L$11)</f>
        <v>1</v>
      </c>
      <c r="AT59" s="80" t="n">
        <f aca="false">IF(41&lt;$C$11,0,$L$11)</f>
        <v>1</v>
      </c>
      <c r="AU59" s="80" t="n">
        <f aca="false">IF(42&lt;$C$11,0,$L$11)</f>
        <v>1</v>
      </c>
      <c r="AV59" s="80" t="n">
        <f aca="false">IF(43&lt;$C$11,0,$L$11)</f>
        <v>1</v>
      </c>
      <c r="AW59" s="80" t="n">
        <f aca="false">IF(44&lt;$C$11,0,$L$11)</f>
        <v>1</v>
      </c>
      <c r="AX59" s="80" t="n">
        <f aca="false">IF(45&lt;$C$11,0,$L$11)</f>
        <v>1</v>
      </c>
      <c r="AY59" s="80" t="n">
        <f aca="false">IF(46&lt;$C$11,0,$L$11)</f>
        <v>1</v>
      </c>
      <c r="AZ59" s="80" t="n">
        <f aca="false">IF(47&lt;$C$11,0,$L$11)</f>
        <v>1</v>
      </c>
      <c r="BA59" s="80" t="n">
        <f aca="false">IF(48&lt;$C$11,0,$L$11)</f>
        <v>1</v>
      </c>
      <c r="BB59" s="79" t="n">
        <f aca="false">BN59</f>
        <v>1</v>
      </c>
      <c r="BC59" s="80" t="n">
        <f aca="false">IF(49&lt;$C$11,0,$M$11)</f>
        <v>1</v>
      </c>
      <c r="BD59" s="80" t="n">
        <f aca="false">IF(50&lt;$C$11,0,$M$11)</f>
        <v>1</v>
      </c>
      <c r="BE59" s="80" t="n">
        <f aca="false">IF(51&lt;$C$11,0,$M$11)</f>
        <v>1</v>
      </c>
      <c r="BF59" s="80" t="n">
        <f aca="false">IF(52&lt;$C$11,0,$M$11)</f>
        <v>1</v>
      </c>
      <c r="BG59" s="80" t="n">
        <f aca="false">IF(53&lt;$C$11,0,$M$11)</f>
        <v>1</v>
      </c>
      <c r="BH59" s="80" t="n">
        <f aca="false">IF(54&lt;$C$11,0,$M$11)</f>
        <v>1</v>
      </c>
      <c r="BI59" s="80" t="n">
        <f aca="false">IF(55&lt;$C$11,0,$M$11)</f>
        <v>1</v>
      </c>
      <c r="BJ59" s="80" t="n">
        <f aca="false">IF(56&lt;$C$11,0,$M$11)</f>
        <v>1</v>
      </c>
      <c r="BK59" s="80" t="n">
        <f aca="false">IF(57&lt;$C$11,0,$M$11)</f>
        <v>1</v>
      </c>
      <c r="BL59" s="80" t="n">
        <f aca="false">IF(58&lt;$C$11,0,$M$11)</f>
        <v>1</v>
      </c>
      <c r="BM59" s="80" t="n">
        <f aca="false">IF(59&lt;$C$11,0,$M$11)</f>
        <v>1</v>
      </c>
      <c r="BN59" s="80" t="n">
        <f aca="false">IF(60&lt;$C$11,0,$M$11)</f>
        <v>1</v>
      </c>
    </row>
    <row r="60" customFormat="false" ht="15" hidden="false" customHeight="false" outlineLevel="0" collapsed="false">
      <c r="A60" s="12" t="s">
        <v>764</v>
      </c>
      <c r="B60" s="79" t="n">
        <f aca="false">N60</f>
        <v>0</v>
      </c>
      <c r="C60" s="80" t="n">
        <f aca="false">IF(1&lt;$C$12,0,$I$12)</f>
        <v>0</v>
      </c>
      <c r="D60" s="80" t="n">
        <f aca="false">IF(2&lt;$C$12,0,$I$12)</f>
        <v>0</v>
      </c>
      <c r="E60" s="80" t="n">
        <f aca="false">IF(3&lt;$C$12,0,$I$12)</f>
        <v>0</v>
      </c>
      <c r="F60" s="80" t="n">
        <f aca="false">IF(4&lt;$C$12,0,$I$12)</f>
        <v>0</v>
      </c>
      <c r="G60" s="80" t="n">
        <f aca="false">IF(5&lt;$C$12,0,$I$12)</f>
        <v>0</v>
      </c>
      <c r="H60" s="80" t="n">
        <f aca="false">IF(6&lt;$C$12,0,$I$12)</f>
        <v>0</v>
      </c>
      <c r="I60" s="80" t="n">
        <f aca="false">IF(7&lt;$C$12,0,$I$12)</f>
        <v>0</v>
      </c>
      <c r="J60" s="80" t="n">
        <f aca="false">IF(8&lt;$C$12,0,$I$12)</f>
        <v>0</v>
      </c>
      <c r="K60" s="80" t="n">
        <f aca="false">IF(9&lt;$C$12,0,$I$12)</f>
        <v>0</v>
      </c>
      <c r="L60" s="80" t="n">
        <f aca="false">IF(10&lt;$C$12,0,$I$12)</f>
        <v>0</v>
      </c>
      <c r="M60" s="80" t="n">
        <f aca="false">IF(11&lt;$C$12,0,$I$12)</f>
        <v>0</v>
      </c>
      <c r="N60" s="80" t="n">
        <f aca="false">IF(12&lt;$C$12,0,$I$12)</f>
        <v>0</v>
      </c>
      <c r="O60" s="79" t="n">
        <f aca="false">AA60</f>
        <v>0</v>
      </c>
      <c r="P60" s="80" t="n">
        <f aca="false">IF(13&lt;$C$12,0,$J$12)</f>
        <v>0</v>
      </c>
      <c r="Q60" s="80" t="n">
        <f aca="false">IF(14&lt;$C$12,0,$J$12)</f>
        <v>0</v>
      </c>
      <c r="R60" s="80" t="n">
        <f aca="false">IF(15&lt;$C$12,0,$J$12)</f>
        <v>0</v>
      </c>
      <c r="S60" s="80" t="n">
        <f aca="false">IF(16&lt;$C$12,0,$J$12)</f>
        <v>0</v>
      </c>
      <c r="T60" s="80" t="n">
        <f aca="false">IF(17&lt;$C$12,0,$J$12)</f>
        <v>0</v>
      </c>
      <c r="U60" s="80" t="n">
        <f aca="false">IF(18&lt;$C$12,0,$J$12)</f>
        <v>0</v>
      </c>
      <c r="V60" s="80" t="n">
        <f aca="false">IF(19&lt;$C$12,0,$J$12)</f>
        <v>0</v>
      </c>
      <c r="W60" s="80" t="n">
        <f aca="false">IF(20&lt;$C$12,0,$J$12)</f>
        <v>0</v>
      </c>
      <c r="X60" s="80" t="n">
        <f aca="false">IF(21&lt;$C$12,0,$J$12)</f>
        <v>0</v>
      </c>
      <c r="Y60" s="80" t="n">
        <f aca="false">IF(22&lt;$C$12,0,$J$12)</f>
        <v>0</v>
      </c>
      <c r="Z60" s="80" t="n">
        <f aca="false">IF(23&lt;$C$12,0,$J$12)</f>
        <v>0</v>
      </c>
      <c r="AA60" s="80" t="n">
        <f aca="false">IF(24&lt;$C$12,0,$J$12)</f>
        <v>0</v>
      </c>
      <c r="AB60" s="79" t="n">
        <f aca="false">AN60</f>
        <v>0</v>
      </c>
      <c r="AC60" s="80" t="n">
        <f aca="false">IF(25&lt;$C$12,0,$K$12)</f>
        <v>0</v>
      </c>
      <c r="AD60" s="80" t="n">
        <f aca="false">IF(26&lt;$C$12,0,$K$12)</f>
        <v>0</v>
      </c>
      <c r="AE60" s="80" t="n">
        <f aca="false">IF(27&lt;$C$12,0,$K$12)</f>
        <v>0</v>
      </c>
      <c r="AF60" s="80" t="n">
        <f aca="false">IF(28&lt;$C$12,0,$K$12)</f>
        <v>0</v>
      </c>
      <c r="AG60" s="80" t="n">
        <f aca="false">IF(29&lt;$C$12,0,$K$12)</f>
        <v>0</v>
      </c>
      <c r="AH60" s="80" t="n">
        <f aca="false">IF(30&lt;$C$12,0,$K$12)</f>
        <v>0</v>
      </c>
      <c r="AI60" s="80" t="n">
        <f aca="false">IF(31&lt;$C$12,0,$K$12)</f>
        <v>0</v>
      </c>
      <c r="AJ60" s="80" t="n">
        <f aca="false">IF(32&lt;$C$12,0,$K$12)</f>
        <v>0</v>
      </c>
      <c r="AK60" s="80" t="n">
        <f aca="false">IF(33&lt;$C$12,0,$K$12)</f>
        <v>0</v>
      </c>
      <c r="AL60" s="80" t="n">
        <f aca="false">IF(34&lt;$C$12,0,$K$12)</f>
        <v>0</v>
      </c>
      <c r="AM60" s="80" t="n">
        <f aca="false">IF(35&lt;$C$12,0,$K$12)</f>
        <v>0</v>
      </c>
      <c r="AN60" s="80" t="n">
        <f aca="false">IF(36&lt;$C$12,0,$K$12)</f>
        <v>0</v>
      </c>
      <c r="AO60" s="79" t="n">
        <f aca="false">BA60</f>
        <v>0</v>
      </c>
      <c r="AP60" s="80" t="n">
        <f aca="false">IF(37&lt;$C$12,0,$L$12)</f>
        <v>0</v>
      </c>
      <c r="AQ60" s="80" t="n">
        <f aca="false">IF(38&lt;$C$12,0,$L$12)</f>
        <v>0</v>
      </c>
      <c r="AR60" s="80" t="n">
        <f aca="false">IF(39&lt;$C$12,0,$L$12)</f>
        <v>0</v>
      </c>
      <c r="AS60" s="80" t="n">
        <f aca="false">IF(40&lt;$C$12,0,$L$12)</f>
        <v>0</v>
      </c>
      <c r="AT60" s="80" t="n">
        <f aca="false">IF(41&lt;$C$12,0,$L$12)</f>
        <v>0</v>
      </c>
      <c r="AU60" s="80" t="n">
        <f aca="false">IF(42&lt;$C$12,0,$L$12)</f>
        <v>0</v>
      </c>
      <c r="AV60" s="80" t="n">
        <f aca="false">IF(43&lt;$C$12,0,$L$12)</f>
        <v>0</v>
      </c>
      <c r="AW60" s="80" t="n">
        <f aca="false">IF(44&lt;$C$12,0,$L$12)</f>
        <v>0</v>
      </c>
      <c r="AX60" s="80" t="n">
        <f aca="false">IF(45&lt;$C$12,0,$L$12)</f>
        <v>0</v>
      </c>
      <c r="AY60" s="80" t="n">
        <f aca="false">IF(46&lt;$C$12,0,$L$12)</f>
        <v>0</v>
      </c>
      <c r="AZ60" s="80" t="n">
        <f aca="false">IF(47&lt;$C$12,0,$L$12)</f>
        <v>0</v>
      </c>
      <c r="BA60" s="80" t="n">
        <f aca="false">IF(48&lt;$C$12,0,$L$12)</f>
        <v>0</v>
      </c>
      <c r="BB60" s="79" t="n">
        <f aca="false">BN60</f>
        <v>1</v>
      </c>
      <c r="BC60" s="80" t="n">
        <f aca="false">IF(49&lt;$C$12,0,$M$12)</f>
        <v>1</v>
      </c>
      <c r="BD60" s="80" t="n">
        <f aca="false">IF(50&lt;$C$12,0,$M$12)</f>
        <v>1</v>
      </c>
      <c r="BE60" s="80" t="n">
        <f aca="false">IF(51&lt;$C$12,0,$M$12)</f>
        <v>1</v>
      </c>
      <c r="BF60" s="80" t="n">
        <f aca="false">IF(52&lt;$C$12,0,$M$12)</f>
        <v>1</v>
      </c>
      <c r="BG60" s="80" t="n">
        <f aca="false">IF(53&lt;$C$12,0,$M$12)</f>
        <v>1</v>
      </c>
      <c r="BH60" s="80" t="n">
        <f aca="false">IF(54&lt;$C$12,0,$M$12)</f>
        <v>1</v>
      </c>
      <c r="BI60" s="80" t="n">
        <f aca="false">IF(55&lt;$C$12,0,$M$12)</f>
        <v>1</v>
      </c>
      <c r="BJ60" s="80" t="n">
        <f aca="false">IF(56&lt;$C$12,0,$M$12)</f>
        <v>1</v>
      </c>
      <c r="BK60" s="80" t="n">
        <f aca="false">IF(57&lt;$C$12,0,$M$12)</f>
        <v>1</v>
      </c>
      <c r="BL60" s="80" t="n">
        <f aca="false">IF(58&lt;$C$12,0,$M$12)</f>
        <v>1</v>
      </c>
      <c r="BM60" s="80" t="n">
        <f aca="false">IF(59&lt;$C$12,0,$M$12)</f>
        <v>1</v>
      </c>
      <c r="BN60" s="80" t="n">
        <f aca="false">IF(60&lt;$C$12,0,$M$12)</f>
        <v>1</v>
      </c>
    </row>
    <row r="61" customFormat="false" ht="15" hidden="false" customHeight="false" outlineLevel="0" collapsed="false">
      <c r="A61" s="12" t="s">
        <v>765</v>
      </c>
      <c r="B61" s="79" t="n">
        <f aca="false">N61</f>
        <v>1</v>
      </c>
      <c r="C61" s="80" t="n">
        <f aca="false">IF(1&lt;$C$13,0,$I$13)</f>
        <v>1</v>
      </c>
      <c r="D61" s="80" t="n">
        <f aca="false">IF(2&lt;$C$13,0,$I$13)</f>
        <v>1</v>
      </c>
      <c r="E61" s="80" t="n">
        <f aca="false">IF(3&lt;$C$13,0,$I$13)</f>
        <v>1</v>
      </c>
      <c r="F61" s="80" t="n">
        <f aca="false">IF(4&lt;$C$13,0,$I$13)</f>
        <v>1</v>
      </c>
      <c r="G61" s="80" t="n">
        <f aca="false">IF(5&lt;$C$13,0,$I$13)</f>
        <v>1</v>
      </c>
      <c r="H61" s="80" t="n">
        <f aca="false">IF(6&lt;$C$13,0,$I$13)</f>
        <v>1</v>
      </c>
      <c r="I61" s="80" t="n">
        <f aca="false">IF(7&lt;$C$13,0,$I$13)</f>
        <v>1</v>
      </c>
      <c r="J61" s="80" t="n">
        <f aca="false">IF(8&lt;$C$13,0,$I$13)</f>
        <v>1</v>
      </c>
      <c r="K61" s="80" t="n">
        <f aca="false">IF(9&lt;$C$13,0,$I$13)</f>
        <v>1</v>
      </c>
      <c r="L61" s="80" t="n">
        <f aca="false">IF(10&lt;$C$13,0,$I$13)</f>
        <v>1</v>
      </c>
      <c r="M61" s="80" t="n">
        <f aca="false">IF(11&lt;$C$13,0,$I$13)</f>
        <v>1</v>
      </c>
      <c r="N61" s="80" t="n">
        <f aca="false">IF(12&lt;$C$13,0,$I$13)</f>
        <v>1</v>
      </c>
      <c r="O61" s="79" t="n">
        <f aca="false">AA61</f>
        <v>1</v>
      </c>
      <c r="P61" s="80" t="n">
        <f aca="false">IF(13&lt;$C$13,0,$J$13)</f>
        <v>1</v>
      </c>
      <c r="Q61" s="80" t="n">
        <f aca="false">IF(14&lt;$C$13,0,$J$13)</f>
        <v>1</v>
      </c>
      <c r="R61" s="80" t="n">
        <f aca="false">IF(15&lt;$C$13,0,$J$13)</f>
        <v>1</v>
      </c>
      <c r="S61" s="80" t="n">
        <f aca="false">IF(16&lt;$C$13,0,$J$13)</f>
        <v>1</v>
      </c>
      <c r="T61" s="80" t="n">
        <f aca="false">IF(17&lt;$C$13,0,$J$13)</f>
        <v>1</v>
      </c>
      <c r="U61" s="80" t="n">
        <f aca="false">IF(18&lt;$C$13,0,$J$13)</f>
        <v>1</v>
      </c>
      <c r="V61" s="80" t="n">
        <f aca="false">IF(19&lt;$C$13,0,$J$13)</f>
        <v>1</v>
      </c>
      <c r="W61" s="80" t="n">
        <f aca="false">IF(20&lt;$C$13,0,$J$13)</f>
        <v>1</v>
      </c>
      <c r="X61" s="80" t="n">
        <f aca="false">IF(21&lt;$C$13,0,$J$13)</f>
        <v>1</v>
      </c>
      <c r="Y61" s="80" t="n">
        <f aca="false">IF(22&lt;$C$13,0,$J$13)</f>
        <v>1</v>
      </c>
      <c r="Z61" s="80" t="n">
        <f aca="false">IF(23&lt;$C$13,0,$J$13)</f>
        <v>1</v>
      </c>
      <c r="AA61" s="80" t="n">
        <f aca="false">IF(24&lt;$C$13,0,$J$13)</f>
        <v>1</v>
      </c>
      <c r="AB61" s="79" t="n">
        <f aca="false">AN61</f>
        <v>1</v>
      </c>
      <c r="AC61" s="80" t="n">
        <f aca="false">IF(25&lt;$C$13,0,$K$13)</f>
        <v>1</v>
      </c>
      <c r="AD61" s="80" t="n">
        <f aca="false">IF(26&lt;$C$13,0,$K$13)</f>
        <v>1</v>
      </c>
      <c r="AE61" s="80" t="n">
        <f aca="false">IF(27&lt;$C$13,0,$K$13)</f>
        <v>1</v>
      </c>
      <c r="AF61" s="80" t="n">
        <f aca="false">IF(28&lt;$C$13,0,$K$13)</f>
        <v>1</v>
      </c>
      <c r="AG61" s="80" t="n">
        <f aca="false">IF(29&lt;$C$13,0,$K$13)</f>
        <v>1</v>
      </c>
      <c r="AH61" s="80" t="n">
        <f aca="false">IF(30&lt;$C$13,0,$K$13)</f>
        <v>1</v>
      </c>
      <c r="AI61" s="80" t="n">
        <f aca="false">IF(31&lt;$C$13,0,$K$13)</f>
        <v>1</v>
      </c>
      <c r="AJ61" s="80" t="n">
        <f aca="false">IF(32&lt;$C$13,0,$K$13)</f>
        <v>1</v>
      </c>
      <c r="AK61" s="80" t="n">
        <f aca="false">IF(33&lt;$C$13,0,$K$13)</f>
        <v>1</v>
      </c>
      <c r="AL61" s="80" t="n">
        <f aca="false">IF(34&lt;$C$13,0,$K$13)</f>
        <v>1</v>
      </c>
      <c r="AM61" s="80" t="n">
        <f aca="false">IF(35&lt;$C$13,0,$K$13)</f>
        <v>1</v>
      </c>
      <c r="AN61" s="80" t="n">
        <f aca="false">IF(36&lt;$C$13,0,$K$13)</f>
        <v>1</v>
      </c>
      <c r="AO61" s="79" t="n">
        <f aca="false">BA61</f>
        <v>1</v>
      </c>
      <c r="AP61" s="80" t="n">
        <f aca="false">IF(37&lt;$C$13,0,$L$13)</f>
        <v>1</v>
      </c>
      <c r="AQ61" s="80" t="n">
        <f aca="false">IF(38&lt;$C$13,0,$L$13)</f>
        <v>1</v>
      </c>
      <c r="AR61" s="80" t="n">
        <f aca="false">IF(39&lt;$C$13,0,$L$13)</f>
        <v>1</v>
      </c>
      <c r="AS61" s="80" t="n">
        <f aca="false">IF(40&lt;$C$13,0,$L$13)</f>
        <v>1</v>
      </c>
      <c r="AT61" s="80" t="n">
        <f aca="false">IF(41&lt;$C$13,0,$L$13)</f>
        <v>1</v>
      </c>
      <c r="AU61" s="80" t="n">
        <f aca="false">IF(42&lt;$C$13,0,$L$13)</f>
        <v>1</v>
      </c>
      <c r="AV61" s="80" t="n">
        <f aca="false">IF(43&lt;$C$13,0,$L$13)</f>
        <v>1</v>
      </c>
      <c r="AW61" s="80" t="n">
        <f aca="false">IF(44&lt;$C$13,0,$L$13)</f>
        <v>1</v>
      </c>
      <c r="AX61" s="80" t="n">
        <f aca="false">IF(45&lt;$C$13,0,$L$13)</f>
        <v>1</v>
      </c>
      <c r="AY61" s="80" t="n">
        <f aca="false">IF(46&lt;$C$13,0,$L$13)</f>
        <v>1</v>
      </c>
      <c r="AZ61" s="80" t="n">
        <f aca="false">IF(47&lt;$C$13,0,$L$13)</f>
        <v>1</v>
      </c>
      <c r="BA61" s="80" t="n">
        <f aca="false">IF(48&lt;$C$13,0,$L$13)</f>
        <v>1</v>
      </c>
      <c r="BB61" s="79" t="n">
        <f aca="false">BN61</f>
        <v>1</v>
      </c>
      <c r="BC61" s="80" t="n">
        <f aca="false">IF(49&lt;$C$13,0,$M$13)</f>
        <v>1</v>
      </c>
      <c r="BD61" s="80" t="n">
        <f aca="false">IF(50&lt;$C$13,0,$M$13)</f>
        <v>1</v>
      </c>
      <c r="BE61" s="80" t="n">
        <f aca="false">IF(51&lt;$C$13,0,$M$13)</f>
        <v>1</v>
      </c>
      <c r="BF61" s="80" t="n">
        <f aca="false">IF(52&lt;$C$13,0,$M$13)</f>
        <v>1</v>
      </c>
      <c r="BG61" s="80" t="n">
        <f aca="false">IF(53&lt;$C$13,0,$M$13)</f>
        <v>1</v>
      </c>
      <c r="BH61" s="80" t="n">
        <f aca="false">IF(54&lt;$C$13,0,$M$13)</f>
        <v>1</v>
      </c>
      <c r="BI61" s="80" t="n">
        <f aca="false">IF(55&lt;$C$13,0,$M$13)</f>
        <v>1</v>
      </c>
      <c r="BJ61" s="80" t="n">
        <f aca="false">IF(56&lt;$C$13,0,$M$13)</f>
        <v>1</v>
      </c>
      <c r="BK61" s="80" t="n">
        <f aca="false">IF(57&lt;$C$13,0,$M$13)</f>
        <v>1</v>
      </c>
      <c r="BL61" s="80" t="n">
        <f aca="false">IF(58&lt;$C$13,0,$M$13)</f>
        <v>1</v>
      </c>
      <c r="BM61" s="80" t="n">
        <f aca="false">IF(59&lt;$C$13,0,$M$13)</f>
        <v>1</v>
      </c>
      <c r="BN61" s="80" t="n">
        <f aca="false">IF(60&lt;$C$13,0,$M$13)</f>
        <v>1</v>
      </c>
    </row>
    <row r="62" customFormat="false" ht="15" hidden="false" customHeight="false" outlineLevel="0" collapsed="false">
      <c r="A62" s="12" t="s">
        <v>766</v>
      </c>
      <c r="B62" s="79" t="n">
        <f aca="false">N62</f>
        <v>0</v>
      </c>
      <c r="C62" s="80" t="n">
        <f aca="false">IF(1&lt;$C$14,0,$I$14)</f>
        <v>0</v>
      </c>
      <c r="D62" s="80" t="n">
        <f aca="false">IF(2&lt;$C$14,0,$I$14)</f>
        <v>0</v>
      </c>
      <c r="E62" s="80" t="n">
        <f aca="false">IF(3&lt;$C$14,0,$I$14)</f>
        <v>0</v>
      </c>
      <c r="F62" s="80" t="n">
        <f aca="false">IF(4&lt;$C$14,0,$I$14)</f>
        <v>0</v>
      </c>
      <c r="G62" s="80" t="n">
        <f aca="false">IF(5&lt;$C$14,0,$I$14)</f>
        <v>0</v>
      </c>
      <c r="H62" s="80" t="n">
        <f aca="false">IF(6&lt;$C$14,0,$I$14)</f>
        <v>0</v>
      </c>
      <c r="I62" s="80" t="n">
        <f aca="false">IF(7&lt;$C$14,0,$I$14)</f>
        <v>0</v>
      </c>
      <c r="J62" s="80" t="n">
        <f aca="false">IF(8&lt;$C$14,0,$I$14)</f>
        <v>0</v>
      </c>
      <c r="K62" s="80" t="n">
        <f aca="false">IF(9&lt;$C$14,0,$I$14)</f>
        <v>0</v>
      </c>
      <c r="L62" s="80" t="n">
        <f aca="false">IF(10&lt;$C$14,0,$I$14)</f>
        <v>0</v>
      </c>
      <c r="M62" s="80" t="n">
        <f aca="false">IF(11&lt;$C$14,0,$I$14)</f>
        <v>0</v>
      </c>
      <c r="N62" s="80" t="n">
        <f aca="false">IF(12&lt;$C$14,0,$I$14)</f>
        <v>0</v>
      </c>
      <c r="O62" s="79" t="n">
        <f aca="false">AA62</f>
        <v>0</v>
      </c>
      <c r="P62" s="80" t="n">
        <f aca="false">IF(13&lt;$C$14,0,$J$14)</f>
        <v>0</v>
      </c>
      <c r="Q62" s="80" t="n">
        <f aca="false">IF(14&lt;$C$14,0,$J$14)</f>
        <v>0</v>
      </c>
      <c r="R62" s="80" t="n">
        <f aca="false">IF(15&lt;$C$14,0,$J$14)</f>
        <v>0</v>
      </c>
      <c r="S62" s="80" t="n">
        <f aca="false">IF(16&lt;$C$14,0,$J$14)</f>
        <v>0</v>
      </c>
      <c r="T62" s="80" t="n">
        <f aca="false">IF(17&lt;$C$14,0,$J$14)</f>
        <v>0</v>
      </c>
      <c r="U62" s="80" t="n">
        <f aca="false">IF(18&lt;$C$14,0,$J$14)</f>
        <v>0</v>
      </c>
      <c r="V62" s="80" t="n">
        <f aca="false">IF(19&lt;$C$14,0,$J$14)</f>
        <v>0</v>
      </c>
      <c r="W62" s="80" t="n">
        <f aca="false">IF(20&lt;$C$14,0,$J$14)</f>
        <v>0</v>
      </c>
      <c r="X62" s="80" t="n">
        <f aca="false">IF(21&lt;$C$14,0,$J$14)</f>
        <v>0</v>
      </c>
      <c r="Y62" s="80" t="n">
        <f aca="false">IF(22&lt;$C$14,0,$J$14)</f>
        <v>0</v>
      </c>
      <c r="Z62" s="80" t="n">
        <f aca="false">IF(23&lt;$C$14,0,$J$14)</f>
        <v>0</v>
      </c>
      <c r="AA62" s="80" t="n">
        <f aca="false">IF(24&lt;$C$14,0,$J$14)</f>
        <v>0</v>
      </c>
      <c r="AB62" s="79" t="n">
        <f aca="false">AN62</f>
        <v>1</v>
      </c>
      <c r="AC62" s="80" t="n">
        <f aca="false">IF(25&lt;$C$14,0,$K$14)</f>
        <v>1</v>
      </c>
      <c r="AD62" s="80" t="n">
        <f aca="false">IF(26&lt;$C$14,0,$K$14)</f>
        <v>1</v>
      </c>
      <c r="AE62" s="80" t="n">
        <f aca="false">IF(27&lt;$C$14,0,$K$14)</f>
        <v>1</v>
      </c>
      <c r="AF62" s="80" t="n">
        <f aca="false">IF(28&lt;$C$14,0,$K$14)</f>
        <v>1</v>
      </c>
      <c r="AG62" s="80" t="n">
        <f aca="false">IF(29&lt;$C$14,0,$K$14)</f>
        <v>1</v>
      </c>
      <c r="AH62" s="80" t="n">
        <f aca="false">IF(30&lt;$C$14,0,$K$14)</f>
        <v>1</v>
      </c>
      <c r="AI62" s="80" t="n">
        <f aca="false">IF(31&lt;$C$14,0,$K$14)</f>
        <v>1</v>
      </c>
      <c r="AJ62" s="80" t="n">
        <f aca="false">IF(32&lt;$C$14,0,$K$14)</f>
        <v>1</v>
      </c>
      <c r="AK62" s="80" t="n">
        <f aca="false">IF(33&lt;$C$14,0,$K$14)</f>
        <v>1</v>
      </c>
      <c r="AL62" s="80" t="n">
        <f aca="false">IF(34&lt;$C$14,0,$K$14)</f>
        <v>1</v>
      </c>
      <c r="AM62" s="80" t="n">
        <f aca="false">IF(35&lt;$C$14,0,$K$14)</f>
        <v>1</v>
      </c>
      <c r="AN62" s="80" t="n">
        <f aca="false">IF(36&lt;$C$14,0,$K$14)</f>
        <v>1</v>
      </c>
      <c r="AO62" s="79" t="n">
        <f aca="false">BA62</f>
        <v>1</v>
      </c>
      <c r="AP62" s="80" t="n">
        <f aca="false">IF(37&lt;$C$14,0,$L$14)</f>
        <v>1</v>
      </c>
      <c r="AQ62" s="80" t="n">
        <f aca="false">IF(38&lt;$C$14,0,$L$14)</f>
        <v>1</v>
      </c>
      <c r="AR62" s="80" t="n">
        <f aca="false">IF(39&lt;$C$14,0,$L$14)</f>
        <v>1</v>
      </c>
      <c r="AS62" s="80" t="n">
        <f aca="false">IF(40&lt;$C$14,0,$L$14)</f>
        <v>1</v>
      </c>
      <c r="AT62" s="80" t="n">
        <f aca="false">IF(41&lt;$C$14,0,$L$14)</f>
        <v>1</v>
      </c>
      <c r="AU62" s="80" t="n">
        <f aca="false">IF(42&lt;$C$14,0,$L$14)</f>
        <v>1</v>
      </c>
      <c r="AV62" s="80" t="n">
        <f aca="false">IF(43&lt;$C$14,0,$L$14)</f>
        <v>1</v>
      </c>
      <c r="AW62" s="80" t="n">
        <f aca="false">IF(44&lt;$C$14,0,$L$14)</f>
        <v>1</v>
      </c>
      <c r="AX62" s="80" t="n">
        <f aca="false">IF(45&lt;$C$14,0,$L$14)</f>
        <v>1</v>
      </c>
      <c r="AY62" s="80" t="n">
        <f aca="false">IF(46&lt;$C$14,0,$L$14)</f>
        <v>1</v>
      </c>
      <c r="AZ62" s="80" t="n">
        <f aca="false">IF(47&lt;$C$14,0,$L$14)</f>
        <v>1</v>
      </c>
      <c r="BA62" s="80" t="n">
        <f aca="false">IF(48&lt;$C$14,0,$L$14)</f>
        <v>1</v>
      </c>
      <c r="BB62" s="79" t="n">
        <f aca="false">BN62</f>
        <v>1</v>
      </c>
      <c r="BC62" s="80" t="n">
        <f aca="false">IF(49&lt;$C$14,0,$M$14)</f>
        <v>1</v>
      </c>
      <c r="BD62" s="80" t="n">
        <f aca="false">IF(50&lt;$C$14,0,$M$14)</f>
        <v>1</v>
      </c>
      <c r="BE62" s="80" t="n">
        <f aca="false">IF(51&lt;$C$14,0,$M$14)</f>
        <v>1</v>
      </c>
      <c r="BF62" s="80" t="n">
        <f aca="false">IF(52&lt;$C$14,0,$M$14)</f>
        <v>1</v>
      </c>
      <c r="BG62" s="80" t="n">
        <f aca="false">IF(53&lt;$C$14,0,$M$14)</f>
        <v>1</v>
      </c>
      <c r="BH62" s="80" t="n">
        <f aca="false">IF(54&lt;$C$14,0,$M$14)</f>
        <v>1</v>
      </c>
      <c r="BI62" s="80" t="n">
        <f aca="false">IF(55&lt;$C$14,0,$M$14)</f>
        <v>1</v>
      </c>
      <c r="BJ62" s="80" t="n">
        <f aca="false">IF(56&lt;$C$14,0,$M$14)</f>
        <v>1</v>
      </c>
      <c r="BK62" s="80" t="n">
        <f aca="false">IF(57&lt;$C$14,0,$M$14)</f>
        <v>1</v>
      </c>
      <c r="BL62" s="80" t="n">
        <f aca="false">IF(58&lt;$C$14,0,$M$14)</f>
        <v>1</v>
      </c>
      <c r="BM62" s="80" t="n">
        <f aca="false">IF(59&lt;$C$14,0,$M$14)</f>
        <v>1</v>
      </c>
      <c r="BN62" s="80" t="n">
        <f aca="false">IF(60&lt;$C$14,0,$M$14)</f>
        <v>1</v>
      </c>
    </row>
    <row r="63" customFormat="false" ht="15" hidden="false" customHeight="false" outlineLevel="0" collapsed="false">
      <c r="A63" s="12" t="s">
        <v>767</v>
      </c>
      <c r="B63" s="79" t="n">
        <f aca="false">N63</f>
        <v>0</v>
      </c>
      <c r="C63" s="80" t="n">
        <f aca="false">IF(1&lt;$C$15,0,$I$15)</f>
        <v>0</v>
      </c>
      <c r="D63" s="80" t="n">
        <f aca="false">IF(2&lt;$C$15,0,$I$15)</f>
        <v>0</v>
      </c>
      <c r="E63" s="80" t="n">
        <f aca="false">IF(3&lt;$C$15,0,$I$15)</f>
        <v>0</v>
      </c>
      <c r="F63" s="80" t="n">
        <f aca="false">IF(4&lt;$C$15,0,$I$15)</f>
        <v>0</v>
      </c>
      <c r="G63" s="80" t="n">
        <f aca="false">IF(5&lt;$C$15,0,$I$15)</f>
        <v>0</v>
      </c>
      <c r="H63" s="80" t="n">
        <f aca="false">IF(6&lt;$C$15,0,$I$15)</f>
        <v>0</v>
      </c>
      <c r="I63" s="80" t="n">
        <f aca="false">IF(7&lt;$C$15,0,$I$15)</f>
        <v>0</v>
      </c>
      <c r="J63" s="80" t="n">
        <f aca="false">IF(8&lt;$C$15,0,$I$15)</f>
        <v>0</v>
      </c>
      <c r="K63" s="80" t="n">
        <f aca="false">IF(9&lt;$C$15,0,$I$15)</f>
        <v>0</v>
      </c>
      <c r="L63" s="80" t="n">
        <f aca="false">IF(10&lt;$C$15,0,$I$15)</f>
        <v>0</v>
      </c>
      <c r="M63" s="80" t="n">
        <f aca="false">IF(11&lt;$C$15,0,$I$15)</f>
        <v>0</v>
      </c>
      <c r="N63" s="80" t="n">
        <f aca="false">IF(12&lt;$C$15,0,$I$15)</f>
        <v>0</v>
      </c>
      <c r="O63" s="79" t="n">
        <f aca="false">AA63</f>
        <v>0</v>
      </c>
      <c r="P63" s="80" t="n">
        <f aca="false">IF(13&lt;$C$15,0,$J$15)</f>
        <v>0</v>
      </c>
      <c r="Q63" s="80" t="n">
        <f aca="false">IF(14&lt;$C$15,0,$J$15)</f>
        <v>0</v>
      </c>
      <c r="R63" s="80" t="n">
        <f aca="false">IF(15&lt;$C$15,0,$J$15)</f>
        <v>0</v>
      </c>
      <c r="S63" s="80" t="n">
        <f aca="false">IF(16&lt;$C$15,0,$J$15)</f>
        <v>0</v>
      </c>
      <c r="T63" s="80" t="n">
        <f aca="false">IF(17&lt;$C$15,0,$J$15)</f>
        <v>0</v>
      </c>
      <c r="U63" s="80" t="n">
        <f aca="false">IF(18&lt;$C$15,0,$J$15)</f>
        <v>0</v>
      </c>
      <c r="V63" s="80" t="n">
        <f aca="false">IF(19&lt;$C$15,0,$J$15)</f>
        <v>0</v>
      </c>
      <c r="W63" s="80" t="n">
        <f aca="false">IF(20&lt;$C$15,0,$J$15)</f>
        <v>0</v>
      </c>
      <c r="X63" s="80" t="n">
        <f aca="false">IF(21&lt;$C$15,0,$J$15)</f>
        <v>0</v>
      </c>
      <c r="Y63" s="80" t="n">
        <f aca="false">IF(22&lt;$C$15,0,$J$15)</f>
        <v>0</v>
      </c>
      <c r="Z63" s="80" t="n">
        <f aca="false">IF(23&lt;$C$15,0,$J$15)</f>
        <v>0</v>
      </c>
      <c r="AA63" s="80" t="n">
        <f aca="false">IF(24&lt;$C$15,0,$J$15)</f>
        <v>0</v>
      </c>
      <c r="AB63" s="79" t="n">
        <f aca="false">AN63</f>
        <v>1</v>
      </c>
      <c r="AC63" s="80" t="n">
        <f aca="false">IF(25&lt;$C$15,0,$K$15)</f>
        <v>1</v>
      </c>
      <c r="AD63" s="80" t="n">
        <f aca="false">IF(26&lt;$C$15,0,$K$15)</f>
        <v>1</v>
      </c>
      <c r="AE63" s="80" t="n">
        <f aca="false">IF(27&lt;$C$15,0,$K$15)</f>
        <v>1</v>
      </c>
      <c r="AF63" s="80" t="n">
        <f aca="false">IF(28&lt;$C$15,0,$K$15)</f>
        <v>1</v>
      </c>
      <c r="AG63" s="80" t="n">
        <f aca="false">IF(29&lt;$C$15,0,$K$15)</f>
        <v>1</v>
      </c>
      <c r="AH63" s="80" t="n">
        <f aca="false">IF(30&lt;$C$15,0,$K$15)</f>
        <v>1</v>
      </c>
      <c r="AI63" s="80" t="n">
        <f aca="false">IF(31&lt;$C$15,0,$K$15)</f>
        <v>1</v>
      </c>
      <c r="AJ63" s="80" t="n">
        <f aca="false">IF(32&lt;$C$15,0,$K$15)</f>
        <v>1</v>
      </c>
      <c r="AK63" s="80" t="n">
        <f aca="false">IF(33&lt;$C$15,0,$K$15)</f>
        <v>1</v>
      </c>
      <c r="AL63" s="80" t="n">
        <f aca="false">IF(34&lt;$C$15,0,$K$15)</f>
        <v>1</v>
      </c>
      <c r="AM63" s="80" t="n">
        <f aca="false">IF(35&lt;$C$15,0,$K$15)</f>
        <v>1</v>
      </c>
      <c r="AN63" s="80" t="n">
        <f aca="false">IF(36&lt;$C$15,0,$K$15)</f>
        <v>1</v>
      </c>
      <c r="AO63" s="79" t="n">
        <f aca="false">BA63</f>
        <v>2</v>
      </c>
      <c r="AP63" s="80" t="n">
        <f aca="false">IF(37&lt;$C$15,0,$L$15)</f>
        <v>2</v>
      </c>
      <c r="AQ63" s="80" t="n">
        <f aca="false">IF(38&lt;$C$15,0,$L$15)</f>
        <v>2</v>
      </c>
      <c r="AR63" s="80" t="n">
        <f aca="false">IF(39&lt;$C$15,0,$L$15)</f>
        <v>2</v>
      </c>
      <c r="AS63" s="80" t="n">
        <f aca="false">IF(40&lt;$C$15,0,$L$15)</f>
        <v>2</v>
      </c>
      <c r="AT63" s="80" t="n">
        <f aca="false">IF(41&lt;$C$15,0,$L$15)</f>
        <v>2</v>
      </c>
      <c r="AU63" s="80" t="n">
        <f aca="false">IF(42&lt;$C$15,0,$L$15)</f>
        <v>2</v>
      </c>
      <c r="AV63" s="80" t="n">
        <f aca="false">IF(43&lt;$C$15,0,$L$15)</f>
        <v>2</v>
      </c>
      <c r="AW63" s="80" t="n">
        <f aca="false">IF(44&lt;$C$15,0,$L$15)</f>
        <v>2</v>
      </c>
      <c r="AX63" s="80" t="n">
        <f aca="false">IF(45&lt;$C$15,0,$L$15)</f>
        <v>2</v>
      </c>
      <c r="AY63" s="80" t="n">
        <f aca="false">IF(46&lt;$C$15,0,$L$15)</f>
        <v>2</v>
      </c>
      <c r="AZ63" s="80" t="n">
        <f aca="false">IF(47&lt;$C$15,0,$L$15)</f>
        <v>2</v>
      </c>
      <c r="BA63" s="80" t="n">
        <f aca="false">IF(48&lt;$C$15,0,$L$15)</f>
        <v>2</v>
      </c>
      <c r="BB63" s="79" t="n">
        <f aca="false">BN63</f>
        <v>2</v>
      </c>
      <c r="BC63" s="80" t="n">
        <f aca="false">IF(49&lt;$C$15,0,$M$15)</f>
        <v>2</v>
      </c>
      <c r="BD63" s="80" t="n">
        <f aca="false">IF(50&lt;$C$15,0,$M$15)</f>
        <v>2</v>
      </c>
      <c r="BE63" s="80" t="n">
        <f aca="false">IF(51&lt;$C$15,0,$M$15)</f>
        <v>2</v>
      </c>
      <c r="BF63" s="80" t="n">
        <f aca="false">IF(52&lt;$C$15,0,$M$15)</f>
        <v>2</v>
      </c>
      <c r="BG63" s="80" t="n">
        <f aca="false">IF(53&lt;$C$15,0,$M$15)</f>
        <v>2</v>
      </c>
      <c r="BH63" s="80" t="n">
        <f aca="false">IF(54&lt;$C$15,0,$M$15)</f>
        <v>2</v>
      </c>
      <c r="BI63" s="80" t="n">
        <f aca="false">IF(55&lt;$C$15,0,$M$15)</f>
        <v>2</v>
      </c>
      <c r="BJ63" s="80" t="n">
        <f aca="false">IF(56&lt;$C$15,0,$M$15)</f>
        <v>2</v>
      </c>
      <c r="BK63" s="80" t="n">
        <f aca="false">IF(57&lt;$C$15,0,$M$15)</f>
        <v>2</v>
      </c>
      <c r="BL63" s="80" t="n">
        <f aca="false">IF(58&lt;$C$15,0,$M$15)</f>
        <v>2</v>
      </c>
      <c r="BM63" s="80" t="n">
        <f aca="false">IF(59&lt;$C$15,0,$M$15)</f>
        <v>2</v>
      </c>
      <c r="BN63" s="80" t="n">
        <f aca="false">IF(60&lt;$C$15,0,$M$15)</f>
        <v>2</v>
      </c>
    </row>
    <row r="64" customFormat="false" ht="15" hidden="false" customHeight="false" outlineLevel="0" collapsed="false">
      <c r="A64" s="12" t="s">
        <v>768</v>
      </c>
      <c r="B64" s="79" t="n">
        <f aca="false">N64</f>
        <v>0</v>
      </c>
      <c r="C64" s="80" t="n">
        <f aca="false">IF(1&lt;$C$16,0,$I$16)</f>
        <v>0</v>
      </c>
      <c r="D64" s="80" t="n">
        <f aca="false">IF(2&lt;$C$16,0,$I$16)</f>
        <v>0</v>
      </c>
      <c r="E64" s="80" t="n">
        <f aca="false">IF(3&lt;$C$16,0,$I$16)</f>
        <v>0</v>
      </c>
      <c r="F64" s="80" t="n">
        <f aca="false">IF(4&lt;$C$16,0,$I$16)</f>
        <v>0</v>
      </c>
      <c r="G64" s="80" t="n">
        <f aca="false">IF(5&lt;$C$16,0,$I$16)</f>
        <v>0</v>
      </c>
      <c r="H64" s="80" t="n">
        <f aca="false">IF(6&lt;$C$16,0,$I$16)</f>
        <v>0</v>
      </c>
      <c r="I64" s="80" t="n">
        <f aca="false">IF(7&lt;$C$16,0,$I$16)</f>
        <v>0</v>
      </c>
      <c r="J64" s="80" t="n">
        <f aca="false">IF(8&lt;$C$16,0,$I$16)</f>
        <v>0</v>
      </c>
      <c r="K64" s="80" t="n">
        <f aca="false">IF(9&lt;$C$16,0,$I$16)</f>
        <v>0</v>
      </c>
      <c r="L64" s="80" t="n">
        <f aca="false">IF(10&lt;$C$16,0,$I$16)</f>
        <v>0</v>
      </c>
      <c r="M64" s="80" t="n">
        <f aca="false">IF(11&lt;$C$16,0,$I$16)</f>
        <v>0</v>
      </c>
      <c r="N64" s="80" t="n">
        <f aca="false">IF(12&lt;$C$16,0,$I$16)</f>
        <v>0</v>
      </c>
      <c r="O64" s="79" t="n">
        <f aca="false">AA64</f>
        <v>0</v>
      </c>
      <c r="P64" s="80" t="n">
        <f aca="false">IF(13&lt;$C$16,0,$J$16)</f>
        <v>0</v>
      </c>
      <c r="Q64" s="80" t="n">
        <f aca="false">IF(14&lt;$C$16,0,$J$16)</f>
        <v>0</v>
      </c>
      <c r="R64" s="80" t="n">
        <f aca="false">IF(15&lt;$C$16,0,$J$16)</f>
        <v>0</v>
      </c>
      <c r="S64" s="80" t="n">
        <f aca="false">IF(16&lt;$C$16,0,$J$16)</f>
        <v>0</v>
      </c>
      <c r="T64" s="80" t="n">
        <f aca="false">IF(17&lt;$C$16,0,$J$16)</f>
        <v>0</v>
      </c>
      <c r="U64" s="80" t="n">
        <f aca="false">IF(18&lt;$C$16,0,$J$16)</f>
        <v>0</v>
      </c>
      <c r="V64" s="80" t="n">
        <f aca="false">IF(19&lt;$C$16,0,$J$16)</f>
        <v>0</v>
      </c>
      <c r="W64" s="80" t="n">
        <f aca="false">IF(20&lt;$C$16,0,$J$16)</f>
        <v>0</v>
      </c>
      <c r="X64" s="80" t="n">
        <f aca="false">IF(21&lt;$C$16,0,$J$16)</f>
        <v>0</v>
      </c>
      <c r="Y64" s="80" t="n">
        <f aca="false">IF(22&lt;$C$16,0,$J$16)</f>
        <v>0</v>
      </c>
      <c r="Z64" s="80" t="n">
        <f aca="false">IF(23&lt;$C$16,0,$J$16)</f>
        <v>0</v>
      </c>
      <c r="AA64" s="80" t="n">
        <f aca="false">IF(24&lt;$C$16,0,$J$16)</f>
        <v>0</v>
      </c>
      <c r="AB64" s="79" t="n">
        <f aca="false">AN64</f>
        <v>0</v>
      </c>
      <c r="AC64" s="80" t="n">
        <f aca="false">IF(25&lt;$C$16,0,$K$16)</f>
        <v>0</v>
      </c>
      <c r="AD64" s="80" t="n">
        <f aca="false">IF(26&lt;$C$16,0,$K$16)</f>
        <v>0</v>
      </c>
      <c r="AE64" s="80" t="n">
        <f aca="false">IF(27&lt;$C$16,0,$K$16)</f>
        <v>0</v>
      </c>
      <c r="AF64" s="80" t="n">
        <f aca="false">IF(28&lt;$C$16,0,$K$16)</f>
        <v>0</v>
      </c>
      <c r="AG64" s="80" t="n">
        <f aca="false">IF(29&lt;$C$16,0,$K$16)</f>
        <v>0</v>
      </c>
      <c r="AH64" s="80" t="n">
        <f aca="false">IF(30&lt;$C$16,0,$K$16)</f>
        <v>0</v>
      </c>
      <c r="AI64" s="80" t="n">
        <f aca="false">IF(31&lt;$C$16,0,$K$16)</f>
        <v>0</v>
      </c>
      <c r="AJ64" s="80" t="n">
        <f aca="false">IF(32&lt;$C$16,0,$K$16)</f>
        <v>0</v>
      </c>
      <c r="AK64" s="80" t="n">
        <f aca="false">IF(33&lt;$C$16,0,$K$16)</f>
        <v>0</v>
      </c>
      <c r="AL64" s="80" t="n">
        <f aca="false">IF(34&lt;$C$16,0,$K$16)</f>
        <v>0</v>
      </c>
      <c r="AM64" s="80" t="n">
        <f aca="false">IF(35&lt;$C$16,0,$K$16)</f>
        <v>0</v>
      </c>
      <c r="AN64" s="80" t="n">
        <f aca="false">IF(36&lt;$C$16,0,$K$16)</f>
        <v>0</v>
      </c>
      <c r="AO64" s="79" t="n">
        <f aca="false">BA64</f>
        <v>0</v>
      </c>
      <c r="AP64" s="80" t="n">
        <f aca="false">IF(37&lt;$C$16,0,$L$16)</f>
        <v>0</v>
      </c>
      <c r="AQ64" s="80" t="n">
        <f aca="false">IF(38&lt;$C$16,0,$L$16)</f>
        <v>0</v>
      </c>
      <c r="AR64" s="80" t="n">
        <f aca="false">IF(39&lt;$C$16,0,$L$16)</f>
        <v>0</v>
      </c>
      <c r="AS64" s="80" t="n">
        <f aca="false">IF(40&lt;$C$16,0,$L$16)</f>
        <v>0</v>
      </c>
      <c r="AT64" s="80" t="n">
        <f aca="false">IF(41&lt;$C$16,0,$L$16)</f>
        <v>0</v>
      </c>
      <c r="AU64" s="80" t="n">
        <f aca="false">IF(42&lt;$C$16,0,$L$16)</f>
        <v>0</v>
      </c>
      <c r="AV64" s="80" t="n">
        <f aca="false">IF(43&lt;$C$16,0,$L$16)</f>
        <v>0</v>
      </c>
      <c r="AW64" s="80" t="n">
        <f aca="false">IF(44&lt;$C$16,0,$L$16)</f>
        <v>0</v>
      </c>
      <c r="AX64" s="80" t="n">
        <f aca="false">IF(45&lt;$C$16,0,$L$16)</f>
        <v>0</v>
      </c>
      <c r="AY64" s="80" t="n">
        <f aca="false">IF(46&lt;$C$16,0,$L$16)</f>
        <v>0</v>
      </c>
      <c r="AZ64" s="80" t="n">
        <f aca="false">IF(47&lt;$C$16,0,$L$16)</f>
        <v>0</v>
      </c>
      <c r="BA64" s="80" t="n">
        <f aca="false">IF(48&lt;$C$16,0,$L$16)</f>
        <v>0</v>
      </c>
      <c r="BB64" s="79" t="n">
        <f aca="false">BN64</f>
        <v>1</v>
      </c>
      <c r="BC64" s="80" t="n">
        <f aca="false">IF(49&lt;$C$16,0,$M$16)</f>
        <v>1</v>
      </c>
      <c r="BD64" s="80" t="n">
        <f aca="false">IF(50&lt;$C$16,0,$M$16)</f>
        <v>1</v>
      </c>
      <c r="BE64" s="80" t="n">
        <f aca="false">IF(51&lt;$C$16,0,$M$16)</f>
        <v>1</v>
      </c>
      <c r="BF64" s="80" t="n">
        <f aca="false">IF(52&lt;$C$16,0,$M$16)</f>
        <v>1</v>
      </c>
      <c r="BG64" s="80" t="n">
        <f aca="false">IF(53&lt;$C$16,0,$M$16)</f>
        <v>1</v>
      </c>
      <c r="BH64" s="80" t="n">
        <f aca="false">IF(54&lt;$C$16,0,$M$16)</f>
        <v>1</v>
      </c>
      <c r="BI64" s="80" t="n">
        <f aca="false">IF(55&lt;$C$16,0,$M$16)</f>
        <v>1</v>
      </c>
      <c r="BJ64" s="80" t="n">
        <f aca="false">IF(56&lt;$C$16,0,$M$16)</f>
        <v>1</v>
      </c>
      <c r="BK64" s="80" t="n">
        <f aca="false">IF(57&lt;$C$16,0,$M$16)</f>
        <v>1</v>
      </c>
      <c r="BL64" s="80" t="n">
        <f aca="false">IF(58&lt;$C$16,0,$M$16)</f>
        <v>1</v>
      </c>
      <c r="BM64" s="80" t="n">
        <f aca="false">IF(59&lt;$C$16,0,$M$16)</f>
        <v>1</v>
      </c>
      <c r="BN64" s="80" t="n">
        <f aca="false">IF(60&lt;$C$16,0,$M$16)</f>
        <v>1</v>
      </c>
    </row>
    <row r="65" customFormat="false" ht="15" hidden="false" customHeight="false" outlineLevel="0" collapsed="false">
      <c r="A65" s="12" t="s">
        <v>769</v>
      </c>
      <c r="B65" s="79" t="n">
        <f aca="false">N65</f>
        <v>0</v>
      </c>
      <c r="C65" s="80" t="n">
        <f aca="false">IF(1&lt;$C$17,0,$I$17)</f>
        <v>0</v>
      </c>
      <c r="D65" s="80" t="n">
        <f aca="false">IF(2&lt;$C$17,0,$I$17)</f>
        <v>0</v>
      </c>
      <c r="E65" s="80" t="n">
        <f aca="false">IF(3&lt;$C$17,0,$I$17)</f>
        <v>0</v>
      </c>
      <c r="F65" s="80" t="n">
        <f aca="false">IF(4&lt;$C$17,0,$I$17)</f>
        <v>0</v>
      </c>
      <c r="G65" s="80" t="n">
        <f aca="false">IF(5&lt;$C$17,0,$I$17)</f>
        <v>0</v>
      </c>
      <c r="H65" s="80" t="n">
        <f aca="false">IF(6&lt;$C$17,0,$I$17)</f>
        <v>0</v>
      </c>
      <c r="I65" s="80" t="n">
        <f aca="false">IF(7&lt;$C$17,0,$I$17)</f>
        <v>0</v>
      </c>
      <c r="J65" s="80" t="n">
        <f aca="false">IF(8&lt;$C$17,0,$I$17)</f>
        <v>0</v>
      </c>
      <c r="K65" s="80" t="n">
        <f aca="false">IF(9&lt;$C$17,0,$I$17)</f>
        <v>0</v>
      </c>
      <c r="L65" s="80" t="n">
        <f aca="false">IF(10&lt;$C$17,0,$I$17)</f>
        <v>0</v>
      </c>
      <c r="M65" s="80" t="n">
        <f aca="false">IF(11&lt;$C$17,0,$I$17)</f>
        <v>0</v>
      </c>
      <c r="N65" s="80" t="n">
        <f aca="false">IF(12&lt;$C$17,0,$I$17)</f>
        <v>0</v>
      </c>
      <c r="O65" s="79" t="n">
        <f aca="false">AA65</f>
        <v>1</v>
      </c>
      <c r="P65" s="80" t="n">
        <f aca="false">IF(13&lt;$C$17,0,$J$17)</f>
        <v>1</v>
      </c>
      <c r="Q65" s="80" t="n">
        <f aca="false">IF(14&lt;$C$17,0,$J$17)</f>
        <v>1</v>
      </c>
      <c r="R65" s="80" t="n">
        <f aca="false">IF(15&lt;$C$17,0,$J$17)</f>
        <v>1</v>
      </c>
      <c r="S65" s="80" t="n">
        <f aca="false">IF(16&lt;$C$17,0,$J$17)</f>
        <v>1</v>
      </c>
      <c r="T65" s="80" t="n">
        <f aca="false">IF(17&lt;$C$17,0,$J$17)</f>
        <v>1</v>
      </c>
      <c r="U65" s="80" t="n">
        <f aca="false">IF(18&lt;$C$17,0,$J$17)</f>
        <v>1</v>
      </c>
      <c r="V65" s="80" t="n">
        <f aca="false">IF(19&lt;$C$17,0,$J$17)</f>
        <v>1</v>
      </c>
      <c r="W65" s="80" t="n">
        <f aca="false">IF(20&lt;$C$17,0,$J$17)</f>
        <v>1</v>
      </c>
      <c r="X65" s="80" t="n">
        <f aca="false">IF(21&lt;$C$17,0,$J$17)</f>
        <v>1</v>
      </c>
      <c r="Y65" s="80" t="n">
        <f aca="false">IF(22&lt;$C$17,0,$J$17)</f>
        <v>1</v>
      </c>
      <c r="Z65" s="80" t="n">
        <f aca="false">IF(23&lt;$C$17,0,$J$17)</f>
        <v>1</v>
      </c>
      <c r="AA65" s="80" t="n">
        <f aca="false">IF(24&lt;$C$17,0,$J$17)</f>
        <v>1</v>
      </c>
      <c r="AB65" s="79" t="n">
        <f aca="false">AN65</f>
        <v>1</v>
      </c>
      <c r="AC65" s="80" t="n">
        <f aca="false">IF(25&lt;$C$17,0,$K$17)</f>
        <v>1</v>
      </c>
      <c r="AD65" s="80" t="n">
        <f aca="false">IF(26&lt;$C$17,0,$K$17)</f>
        <v>1</v>
      </c>
      <c r="AE65" s="80" t="n">
        <f aca="false">IF(27&lt;$C$17,0,$K$17)</f>
        <v>1</v>
      </c>
      <c r="AF65" s="80" t="n">
        <f aca="false">IF(28&lt;$C$17,0,$K$17)</f>
        <v>1</v>
      </c>
      <c r="AG65" s="80" t="n">
        <f aca="false">IF(29&lt;$C$17,0,$K$17)</f>
        <v>1</v>
      </c>
      <c r="AH65" s="80" t="n">
        <f aca="false">IF(30&lt;$C$17,0,$K$17)</f>
        <v>1</v>
      </c>
      <c r="AI65" s="80" t="n">
        <f aca="false">IF(31&lt;$C$17,0,$K$17)</f>
        <v>1</v>
      </c>
      <c r="AJ65" s="80" t="n">
        <f aca="false">IF(32&lt;$C$17,0,$K$17)</f>
        <v>1</v>
      </c>
      <c r="AK65" s="80" t="n">
        <f aca="false">IF(33&lt;$C$17,0,$K$17)</f>
        <v>1</v>
      </c>
      <c r="AL65" s="80" t="n">
        <f aca="false">IF(34&lt;$C$17,0,$K$17)</f>
        <v>1</v>
      </c>
      <c r="AM65" s="80" t="n">
        <f aca="false">IF(35&lt;$C$17,0,$K$17)</f>
        <v>1</v>
      </c>
      <c r="AN65" s="80" t="n">
        <f aca="false">IF(36&lt;$C$17,0,$K$17)</f>
        <v>1</v>
      </c>
      <c r="AO65" s="79" t="n">
        <f aca="false">BA65</f>
        <v>1</v>
      </c>
      <c r="AP65" s="80" t="n">
        <f aca="false">IF(37&lt;$C$17,0,$L$17)</f>
        <v>1</v>
      </c>
      <c r="AQ65" s="80" t="n">
        <f aca="false">IF(38&lt;$C$17,0,$L$17)</f>
        <v>1</v>
      </c>
      <c r="AR65" s="80" t="n">
        <f aca="false">IF(39&lt;$C$17,0,$L$17)</f>
        <v>1</v>
      </c>
      <c r="AS65" s="80" t="n">
        <f aca="false">IF(40&lt;$C$17,0,$L$17)</f>
        <v>1</v>
      </c>
      <c r="AT65" s="80" t="n">
        <f aca="false">IF(41&lt;$C$17,0,$L$17)</f>
        <v>1</v>
      </c>
      <c r="AU65" s="80" t="n">
        <f aca="false">IF(42&lt;$C$17,0,$L$17)</f>
        <v>1</v>
      </c>
      <c r="AV65" s="80" t="n">
        <f aca="false">IF(43&lt;$C$17,0,$L$17)</f>
        <v>1</v>
      </c>
      <c r="AW65" s="80" t="n">
        <f aca="false">IF(44&lt;$C$17,0,$L$17)</f>
        <v>1</v>
      </c>
      <c r="AX65" s="80" t="n">
        <f aca="false">IF(45&lt;$C$17,0,$L$17)</f>
        <v>1</v>
      </c>
      <c r="AY65" s="80" t="n">
        <f aca="false">IF(46&lt;$C$17,0,$L$17)</f>
        <v>1</v>
      </c>
      <c r="AZ65" s="80" t="n">
        <f aca="false">IF(47&lt;$C$17,0,$L$17)</f>
        <v>1</v>
      </c>
      <c r="BA65" s="80" t="n">
        <f aca="false">IF(48&lt;$C$17,0,$L$17)</f>
        <v>1</v>
      </c>
      <c r="BB65" s="79" t="n">
        <f aca="false">BN65</f>
        <v>1</v>
      </c>
      <c r="BC65" s="80" t="n">
        <f aca="false">IF(49&lt;$C$17,0,$M$17)</f>
        <v>1</v>
      </c>
      <c r="BD65" s="80" t="n">
        <f aca="false">IF(50&lt;$C$17,0,$M$17)</f>
        <v>1</v>
      </c>
      <c r="BE65" s="80" t="n">
        <f aca="false">IF(51&lt;$C$17,0,$M$17)</f>
        <v>1</v>
      </c>
      <c r="BF65" s="80" t="n">
        <f aca="false">IF(52&lt;$C$17,0,$M$17)</f>
        <v>1</v>
      </c>
      <c r="BG65" s="80" t="n">
        <f aca="false">IF(53&lt;$C$17,0,$M$17)</f>
        <v>1</v>
      </c>
      <c r="BH65" s="80" t="n">
        <f aca="false">IF(54&lt;$C$17,0,$M$17)</f>
        <v>1</v>
      </c>
      <c r="BI65" s="80" t="n">
        <f aca="false">IF(55&lt;$C$17,0,$M$17)</f>
        <v>1</v>
      </c>
      <c r="BJ65" s="80" t="n">
        <f aca="false">IF(56&lt;$C$17,0,$M$17)</f>
        <v>1</v>
      </c>
      <c r="BK65" s="80" t="n">
        <f aca="false">IF(57&lt;$C$17,0,$M$17)</f>
        <v>1</v>
      </c>
      <c r="BL65" s="80" t="n">
        <f aca="false">IF(58&lt;$C$17,0,$M$17)</f>
        <v>1</v>
      </c>
      <c r="BM65" s="80" t="n">
        <f aca="false">IF(59&lt;$C$17,0,$M$17)</f>
        <v>1</v>
      </c>
      <c r="BN65" s="80" t="n">
        <f aca="false">IF(60&lt;$C$17,0,$M$17)</f>
        <v>1</v>
      </c>
    </row>
    <row r="66" customFormat="false" ht="15" hidden="false" customHeight="false" outlineLevel="0" collapsed="false">
      <c r="A66" s="12" t="s">
        <v>770</v>
      </c>
      <c r="B66" s="79" t="n">
        <f aca="false">N66</f>
        <v>0</v>
      </c>
      <c r="C66" s="80" t="n">
        <f aca="false">IF(1&lt;$C$18,0,$I$18)</f>
        <v>0</v>
      </c>
      <c r="D66" s="80" t="n">
        <f aca="false">IF(2&lt;$C$18,0,$I$18)</f>
        <v>0</v>
      </c>
      <c r="E66" s="80" t="n">
        <f aca="false">IF(3&lt;$C$18,0,$I$18)</f>
        <v>0</v>
      </c>
      <c r="F66" s="80" t="n">
        <f aca="false">IF(4&lt;$C$18,0,$I$18)</f>
        <v>0</v>
      </c>
      <c r="G66" s="80" t="n">
        <f aca="false">IF(5&lt;$C$18,0,$I$18)</f>
        <v>0</v>
      </c>
      <c r="H66" s="80" t="n">
        <f aca="false">IF(6&lt;$C$18,0,$I$18)</f>
        <v>0</v>
      </c>
      <c r="I66" s="80" t="n">
        <f aca="false">IF(7&lt;$C$18,0,$I$18)</f>
        <v>0</v>
      </c>
      <c r="J66" s="80" t="n">
        <f aca="false">IF(8&lt;$C$18,0,$I$18)</f>
        <v>0</v>
      </c>
      <c r="K66" s="80" t="n">
        <f aca="false">IF(9&lt;$C$18,0,$I$18)</f>
        <v>0</v>
      </c>
      <c r="L66" s="80" t="n">
        <f aca="false">IF(10&lt;$C$18,0,$I$18)</f>
        <v>0</v>
      </c>
      <c r="M66" s="80" t="n">
        <f aca="false">IF(11&lt;$C$18,0,$I$18)</f>
        <v>0</v>
      </c>
      <c r="N66" s="80" t="n">
        <f aca="false">IF(12&lt;$C$18,0,$I$18)</f>
        <v>0</v>
      </c>
      <c r="O66" s="79" t="n">
        <f aca="false">AA66</f>
        <v>0</v>
      </c>
      <c r="P66" s="80" t="n">
        <f aca="false">IF(13&lt;$C$18,0,$J$18)</f>
        <v>0</v>
      </c>
      <c r="Q66" s="80" t="n">
        <f aca="false">IF(14&lt;$C$18,0,$J$18)</f>
        <v>0</v>
      </c>
      <c r="R66" s="80" t="n">
        <f aca="false">IF(15&lt;$C$18,0,$J$18)</f>
        <v>0</v>
      </c>
      <c r="S66" s="80" t="n">
        <f aca="false">IF(16&lt;$C$18,0,$J$18)</f>
        <v>0</v>
      </c>
      <c r="T66" s="80" t="n">
        <f aca="false">IF(17&lt;$C$18,0,$J$18)</f>
        <v>0</v>
      </c>
      <c r="U66" s="80" t="n">
        <f aca="false">IF(18&lt;$C$18,0,$J$18)</f>
        <v>0</v>
      </c>
      <c r="V66" s="80" t="n">
        <f aca="false">IF(19&lt;$C$18,0,$J$18)</f>
        <v>0</v>
      </c>
      <c r="W66" s="80" t="n">
        <f aca="false">IF(20&lt;$C$18,0,$J$18)</f>
        <v>0</v>
      </c>
      <c r="X66" s="80" t="n">
        <f aca="false">IF(21&lt;$C$18,0,$J$18)</f>
        <v>0</v>
      </c>
      <c r="Y66" s="80" t="n">
        <f aca="false">IF(22&lt;$C$18,0,$J$18)</f>
        <v>0</v>
      </c>
      <c r="Z66" s="80" t="n">
        <f aca="false">IF(23&lt;$C$18,0,$J$18)</f>
        <v>0</v>
      </c>
      <c r="AA66" s="80" t="n">
        <f aca="false">IF(24&lt;$C$18,0,$J$18)</f>
        <v>0</v>
      </c>
      <c r="AB66" s="79" t="n">
        <f aca="false">AN66</f>
        <v>1</v>
      </c>
      <c r="AC66" s="80" t="n">
        <f aca="false">IF(25&lt;$C$18,0,$K$18)</f>
        <v>1</v>
      </c>
      <c r="AD66" s="80" t="n">
        <f aca="false">IF(26&lt;$C$18,0,$K$18)</f>
        <v>1</v>
      </c>
      <c r="AE66" s="80" t="n">
        <f aca="false">IF(27&lt;$C$18,0,$K$18)</f>
        <v>1</v>
      </c>
      <c r="AF66" s="80" t="n">
        <f aca="false">IF(28&lt;$C$18,0,$K$18)</f>
        <v>1</v>
      </c>
      <c r="AG66" s="80" t="n">
        <f aca="false">IF(29&lt;$C$18,0,$K$18)</f>
        <v>1</v>
      </c>
      <c r="AH66" s="80" t="n">
        <f aca="false">IF(30&lt;$C$18,0,$K$18)</f>
        <v>1</v>
      </c>
      <c r="AI66" s="80" t="n">
        <f aca="false">IF(31&lt;$C$18,0,$K$18)</f>
        <v>1</v>
      </c>
      <c r="AJ66" s="80" t="n">
        <f aca="false">IF(32&lt;$C$18,0,$K$18)</f>
        <v>1</v>
      </c>
      <c r="AK66" s="80" t="n">
        <f aca="false">IF(33&lt;$C$18,0,$K$18)</f>
        <v>1</v>
      </c>
      <c r="AL66" s="80" t="n">
        <f aca="false">IF(34&lt;$C$18,0,$K$18)</f>
        <v>1</v>
      </c>
      <c r="AM66" s="80" t="n">
        <f aca="false">IF(35&lt;$C$18,0,$K$18)</f>
        <v>1</v>
      </c>
      <c r="AN66" s="80" t="n">
        <f aca="false">IF(36&lt;$C$18,0,$K$18)</f>
        <v>1</v>
      </c>
      <c r="AO66" s="79" t="n">
        <f aca="false">BA66</f>
        <v>1</v>
      </c>
      <c r="AP66" s="80" t="n">
        <f aca="false">IF(37&lt;$C$18,0,$L$18)</f>
        <v>1</v>
      </c>
      <c r="AQ66" s="80" t="n">
        <f aca="false">IF(38&lt;$C$18,0,$L$18)</f>
        <v>1</v>
      </c>
      <c r="AR66" s="80" t="n">
        <f aca="false">IF(39&lt;$C$18,0,$L$18)</f>
        <v>1</v>
      </c>
      <c r="AS66" s="80" t="n">
        <f aca="false">IF(40&lt;$C$18,0,$L$18)</f>
        <v>1</v>
      </c>
      <c r="AT66" s="80" t="n">
        <f aca="false">IF(41&lt;$C$18,0,$L$18)</f>
        <v>1</v>
      </c>
      <c r="AU66" s="80" t="n">
        <f aca="false">IF(42&lt;$C$18,0,$L$18)</f>
        <v>1</v>
      </c>
      <c r="AV66" s="80" t="n">
        <f aca="false">IF(43&lt;$C$18,0,$L$18)</f>
        <v>1</v>
      </c>
      <c r="AW66" s="80" t="n">
        <f aca="false">IF(44&lt;$C$18,0,$L$18)</f>
        <v>1</v>
      </c>
      <c r="AX66" s="80" t="n">
        <f aca="false">IF(45&lt;$C$18,0,$L$18)</f>
        <v>1</v>
      </c>
      <c r="AY66" s="80" t="n">
        <f aca="false">IF(46&lt;$C$18,0,$L$18)</f>
        <v>1</v>
      </c>
      <c r="AZ66" s="80" t="n">
        <f aca="false">IF(47&lt;$C$18,0,$L$18)</f>
        <v>1</v>
      </c>
      <c r="BA66" s="80" t="n">
        <f aca="false">IF(48&lt;$C$18,0,$L$18)</f>
        <v>1</v>
      </c>
      <c r="BB66" s="79" t="n">
        <f aca="false">BN66</f>
        <v>1</v>
      </c>
      <c r="BC66" s="80" t="n">
        <f aca="false">IF(49&lt;$C$18,0,$M$18)</f>
        <v>1</v>
      </c>
      <c r="BD66" s="80" t="n">
        <f aca="false">IF(50&lt;$C$18,0,$M$18)</f>
        <v>1</v>
      </c>
      <c r="BE66" s="80" t="n">
        <f aca="false">IF(51&lt;$C$18,0,$M$18)</f>
        <v>1</v>
      </c>
      <c r="BF66" s="80" t="n">
        <f aca="false">IF(52&lt;$C$18,0,$M$18)</f>
        <v>1</v>
      </c>
      <c r="BG66" s="80" t="n">
        <f aca="false">IF(53&lt;$C$18,0,$M$18)</f>
        <v>1</v>
      </c>
      <c r="BH66" s="80" t="n">
        <f aca="false">IF(54&lt;$C$18,0,$M$18)</f>
        <v>1</v>
      </c>
      <c r="BI66" s="80" t="n">
        <f aca="false">IF(55&lt;$C$18,0,$M$18)</f>
        <v>1</v>
      </c>
      <c r="BJ66" s="80" t="n">
        <f aca="false">IF(56&lt;$C$18,0,$M$18)</f>
        <v>1</v>
      </c>
      <c r="BK66" s="80" t="n">
        <f aca="false">IF(57&lt;$C$18,0,$M$18)</f>
        <v>1</v>
      </c>
      <c r="BL66" s="80" t="n">
        <f aca="false">IF(58&lt;$C$18,0,$M$18)</f>
        <v>1</v>
      </c>
      <c r="BM66" s="80" t="n">
        <f aca="false">IF(59&lt;$C$18,0,$M$18)</f>
        <v>1</v>
      </c>
      <c r="BN66" s="80" t="n">
        <f aca="false">IF(60&lt;$C$18,0,$M$18)</f>
        <v>1</v>
      </c>
    </row>
    <row r="67" customFormat="false" ht="15" hidden="false" customHeight="false" outlineLevel="0" collapsed="false">
      <c r="A67" s="12" t="s">
        <v>771</v>
      </c>
      <c r="B67" s="79" t="n">
        <f aca="false">N67</f>
        <v>0</v>
      </c>
      <c r="C67" s="80" t="n">
        <f aca="false">IF(1&lt;$C$19,0,$I$19)</f>
        <v>0</v>
      </c>
      <c r="D67" s="80" t="n">
        <f aca="false">IF(2&lt;$C$19,0,$I$19)</f>
        <v>0</v>
      </c>
      <c r="E67" s="80" t="n">
        <f aca="false">IF(3&lt;$C$19,0,$I$19)</f>
        <v>0</v>
      </c>
      <c r="F67" s="80" t="n">
        <f aca="false">IF(4&lt;$C$19,0,$I$19)</f>
        <v>0</v>
      </c>
      <c r="G67" s="80" t="n">
        <f aca="false">IF(5&lt;$C$19,0,$I$19)</f>
        <v>0</v>
      </c>
      <c r="H67" s="80" t="n">
        <f aca="false">IF(6&lt;$C$19,0,$I$19)</f>
        <v>0</v>
      </c>
      <c r="I67" s="80" t="n">
        <f aca="false">IF(7&lt;$C$19,0,$I$19)</f>
        <v>0</v>
      </c>
      <c r="J67" s="80" t="n">
        <f aca="false">IF(8&lt;$C$19,0,$I$19)</f>
        <v>0</v>
      </c>
      <c r="K67" s="80" t="n">
        <f aca="false">IF(9&lt;$C$19,0,$I$19)</f>
        <v>0</v>
      </c>
      <c r="L67" s="80" t="n">
        <f aca="false">IF(10&lt;$C$19,0,$I$19)</f>
        <v>0</v>
      </c>
      <c r="M67" s="80" t="n">
        <f aca="false">IF(11&lt;$C$19,0,$I$19)</f>
        <v>0</v>
      </c>
      <c r="N67" s="80" t="n">
        <f aca="false">IF(12&lt;$C$19,0,$I$19)</f>
        <v>0</v>
      </c>
      <c r="O67" s="79" t="n">
        <f aca="false">AA67</f>
        <v>0</v>
      </c>
      <c r="P67" s="80" t="n">
        <f aca="false">IF(13&lt;$C$19,0,$J$19)</f>
        <v>0</v>
      </c>
      <c r="Q67" s="80" t="n">
        <f aca="false">IF(14&lt;$C$19,0,$J$19)</f>
        <v>0</v>
      </c>
      <c r="R67" s="80" t="n">
        <f aca="false">IF(15&lt;$C$19,0,$J$19)</f>
        <v>0</v>
      </c>
      <c r="S67" s="80" t="n">
        <f aca="false">IF(16&lt;$C$19,0,$J$19)</f>
        <v>0</v>
      </c>
      <c r="T67" s="80" t="n">
        <f aca="false">IF(17&lt;$C$19,0,$J$19)</f>
        <v>0</v>
      </c>
      <c r="U67" s="80" t="n">
        <f aca="false">IF(18&lt;$C$19,0,$J$19)</f>
        <v>0</v>
      </c>
      <c r="V67" s="80" t="n">
        <f aca="false">IF(19&lt;$C$19,0,$J$19)</f>
        <v>0</v>
      </c>
      <c r="W67" s="80" t="n">
        <f aca="false">IF(20&lt;$C$19,0,$J$19)</f>
        <v>0</v>
      </c>
      <c r="X67" s="80" t="n">
        <f aca="false">IF(21&lt;$C$19,0,$J$19)</f>
        <v>0</v>
      </c>
      <c r="Y67" s="80" t="n">
        <f aca="false">IF(22&lt;$C$19,0,$J$19)</f>
        <v>0</v>
      </c>
      <c r="Z67" s="80" t="n">
        <f aca="false">IF(23&lt;$C$19,0,$J$19)</f>
        <v>0</v>
      </c>
      <c r="AA67" s="80" t="n">
        <f aca="false">IF(24&lt;$C$19,0,$J$19)</f>
        <v>0</v>
      </c>
      <c r="AB67" s="79" t="n">
        <f aca="false">AN67</f>
        <v>1</v>
      </c>
      <c r="AC67" s="80" t="n">
        <f aca="false">IF(25&lt;$C$19,0,$K$19)</f>
        <v>1</v>
      </c>
      <c r="AD67" s="80" t="n">
        <f aca="false">IF(26&lt;$C$19,0,$K$19)</f>
        <v>1</v>
      </c>
      <c r="AE67" s="80" t="n">
        <f aca="false">IF(27&lt;$C$19,0,$K$19)</f>
        <v>1</v>
      </c>
      <c r="AF67" s="80" t="n">
        <f aca="false">IF(28&lt;$C$19,0,$K$19)</f>
        <v>1</v>
      </c>
      <c r="AG67" s="80" t="n">
        <f aca="false">IF(29&lt;$C$19,0,$K$19)</f>
        <v>1</v>
      </c>
      <c r="AH67" s="80" t="n">
        <f aca="false">IF(30&lt;$C$19,0,$K$19)</f>
        <v>1</v>
      </c>
      <c r="AI67" s="80" t="n">
        <f aca="false">IF(31&lt;$C$19,0,$K$19)</f>
        <v>1</v>
      </c>
      <c r="AJ67" s="80" t="n">
        <f aca="false">IF(32&lt;$C$19,0,$K$19)</f>
        <v>1</v>
      </c>
      <c r="AK67" s="80" t="n">
        <f aca="false">IF(33&lt;$C$19,0,$K$19)</f>
        <v>1</v>
      </c>
      <c r="AL67" s="80" t="n">
        <f aca="false">IF(34&lt;$C$19,0,$K$19)</f>
        <v>1</v>
      </c>
      <c r="AM67" s="80" t="n">
        <f aca="false">IF(35&lt;$C$19,0,$K$19)</f>
        <v>1</v>
      </c>
      <c r="AN67" s="80" t="n">
        <f aca="false">IF(36&lt;$C$19,0,$K$19)</f>
        <v>1</v>
      </c>
      <c r="AO67" s="79" t="n">
        <f aca="false">BA67</f>
        <v>1</v>
      </c>
      <c r="AP67" s="80" t="n">
        <f aca="false">IF(37&lt;$C$19,0,$L$19)</f>
        <v>1</v>
      </c>
      <c r="AQ67" s="80" t="n">
        <f aca="false">IF(38&lt;$C$19,0,$L$19)</f>
        <v>1</v>
      </c>
      <c r="AR67" s="80" t="n">
        <f aca="false">IF(39&lt;$C$19,0,$L$19)</f>
        <v>1</v>
      </c>
      <c r="AS67" s="80" t="n">
        <f aca="false">IF(40&lt;$C$19,0,$L$19)</f>
        <v>1</v>
      </c>
      <c r="AT67" s="80" t="n">
        <f aca="false">IF(41&lt;$C$19,0,$L$19)</f>
        <v>1</v>
      </c>
      <c r="AU67" s="80" t="n">
        <f aca="false">IF(42&lt;$C$19,0,$L$19)</f>
        <v>1</v>
      </c>
      <c r="AV67" s="80" t="n">
        <f aca="false">IF(43&lt;$C$19,0,$L$19)</f>
        <v>1</v>
      </c>
      <c r="AW67" s="80" t="n">
        <f aca="false">IF(44&lt;$C$19,0,$L$19)</f>
        <v>1</v>
      </c>
      <c r="AX67" s="80" t="n">
        <f aca="false">IF(45&lt;$C$19,0,$L$19)</f>
        <v>1</v>
      </c>
      <c r="AY67" s="80" t="n">
        <f aca="false">IF(46&lt;$C$19,0,$L$19)</f>
        <v>1</v>
      </c>
      <c r="AZ67" s="80" t="n">
        <f aca="false">IF(47&lt;$C$19,0,$L$19)</f>
        <v>1</v>
      </c>
      <c r="BA67" s="80" t="n">
        <f aca="false">IF(48&lt;$C$19,0,$L$19)</f>
        <v>1</v>
      </c>
      <c r="BB67" s="79" t="n">
        <f aca="false">BN67</f>
        <v>1</v>
      </c>
      <c r="BC67" s="80" t="n">
        <f aca="false">IF(49&lt;$C$19,0,$M$19)</f>
        <v>1</v>
      </c>
      <c r="BD67" s="80" t="n">
        <f aca="false">IF(50&lt;$C$19,0,$M$19)</f>
        <v>1</v>
      </c>
      <c r="BE67" s="80" t="n">
        <f aca="false">IF(51&lt;$C$19,0,$M$19)</f>
        <v>1</v>
      </c>
      <c r="BF67" s="80" t="n">
        <f aca="false">IF(52&lt;$C$19,0,$M$19)</f>
        <v>1</v>
      </c>
      <c r="BG67" s="80" t="n">
        <f aca="false">IF(53&lt;$C$19,0,$M$19)</f>
        <v>1</v>
      </c>
      <c r="BH67" s="80" t="n">
        <f aca="false">IF(54&lt;$C$19,0,$M$19)</f>
        <v>1</v>
      </c>
      <c r="BI67" s="80" t="n">
        <f aca="false">IF(55&lt;$C$19,0,$M$19)</f>
        <v>1</v>
      </c>
      <c r="BJ67" s="80" t="n">
        <f aca="false">IF(56&lt;$C$19,0,$M$19)</f>
        <v>1</v>
      </c>
      <c r="BK67" s="80" t="n">
        <f aca="false">IF(57&lt;$C$19,0,$M$19)</f>
        <v>1</v>
      </c>
      <c r="BL67" s="80" t="n">
        <f aca="false">IF(58&lt;$C$19,0,$M$19)</f>
        <v>1</v>
      </c>
      <c r="BM67" s="80" t="n">
        <f aca="false">IF(59&lt;$C$19,0,$M$19)</f>
        <v>1</v>
      </c>
      <c r="BN67" s="80" t="n">
        <f aca="false">IF(60&lt;$C$19,0,$M$19)</f>
        <v>1</v>
      </c>
    </row>
    <row r="68" customFormat="false" ht="15" hidden="false" customHeight="false" outlineLevel="0" collapsed="false">
      <c r="A68" s="12" t="s">
        <v>772</v>
      </c>
      <c r="B68" s="79" t="n">
        <f aca="false">N68</f>
        <v>0</v>
      </c>
      <c r="C68" s="80" t="n">
        <f aca="false">IF(1&lt;$C$20,0,$I$20)</f>
        <v>0</v>
      </c>
      <c r="D68" s="80" t="n">
        <f aca="false">IF(2&lt;$C$20,0,$I$20)</f>
        <v>0</v>
      </c>
      <c r="E68" s="80" t="n">
        <f aca="false">IF(3&lt;$C$20,0,$I$20)</f>
        <v>0</v>
      </c>
      <c r="F68" s="80" t="n">
        <f aca="false">IF(4&lt;$C$20,0,$I$20)</f>
        <v>0</v>
      </c>
      <c r="G68" s="80" t="n">
        <f aca="false">IF(5&lt;$C$20,0,$I$20)</f>
        <v>0</v>
      </c>
      <c r="H68" s="80" t="n">
        <f aca="false">IF(6&lt;$C$20,0,$I$20)</f>
        <v>0</v>
      </c>
      <c r="I68" s="80" t="n">
        <f aca="false">IF(7&lt;$C$20,0,$I$20)</f>
        <v>0</v>
      </c>
      <c r="J68" s="80" t="n">
        <f aca="false">IF(8&lt;$C$20,0,$I$20)</f>
        <v>0</v>
      </c>
      <c r="K68" s="80" t="n">
        <f aca="false">IF(9&lt;$C$20,0,$I$20)</f>
        <v>0</v>
      </c>
      <c r="L68" s="80" t="n">
        <f aca="false">IF(10&lt;$C$20,0,$I$20)</f>
        <v>0</v>
      </c>
      <c r="M68" s="80" t="n">
        <f aca="false">IF(11&lt;$C$20,0,$I$20)</f>
        <v>0</v>
      </c>
      <c r="N68" s="80" t="n">
        <f aca="false">IF(12&lt;$C$20,0,$I$20)</f>
        <v>0</v>
      </c>
      <c r="O68" s="79" t="n">
        <f aca="false">AA68</f>
        <v>0</v>
      </c>
      <c r="P68" s="80" t="n">
        <f aca="false">IF(13&lt;$C$20,0,$J$20)</f>
        <v>0</v>
      </c>
      <c r="Q68" s="80" t="n">
        <f aca="false">IF(14&lt;$C$20,0,$J$20)</f>
        <v>0</v>
      </c>
      <c r="R68" s="80" t="n">
        <f aca="false">IF(15&lt;$C$20,0,$J$20)</f>
        <v>0</v>
      </c>
      <c r="S68" s="80" t="n">
        <f aca="false">IF(16&lt;$C$20,0,$J$20)</f>
        <v>0</v>
      </c>
      <c r="T68" s="80" t="n">
        <f aca="false">IF(17&lt;$C$20,0,$J$20)</f>
        <v>0</v>
      </c>
      <c r="U68" s="80" t="n">
        <f aca="false">IF(18&lt;$C$20,0,$J$20)</f>
        <v>0</v>
      </c>
      <c r="V68" s="80" t="n">
        <f aca="false">IF(19&lt;$C$20,0,$J$20)</f>
        <v>0</v>
      </c>
      <c r="W68" s="80" t="n">
        <f aca="false">IF(20&lt;$C$20,0,$J$20)</f>
        <v>0</v>
      </c>
      <c r="X68" s="80" t="n">
        <f aca="false">IF(21&lt;$C$20,0,$J$20)</f>
        <v>0</v>
      </c>
      <c r="Y68" s="80" t="n">
        <f aca="false">IF(22&lt;$C$20,0,$J$20)</f>
        <v>0</v>
      </c>
      <c r="Z68" s="80" t="n">
        <f aca="false">IF(23&lt;$C$20,0,$J$20)</f>
        <v>0</v>
      </c>
      <c r="AA68" s="80" t="n">
        <f aca="false">IF(24&lt;$C$20,0,$J$20)</f>
        <v>0</v>
      </c>
      <c r="AB68" s="79" t="n">
        <f aca="false">AN68</f>
        <v>1</v>
      </c>
      <c r="AC68" s="80" t="n">
        <f aca="false">IF(25&lt;$C$20,0,$K$20)</f>
        <v>1</v>
      </c>
      <c r="AD68" s="80" t="n">
        <f aca="false">IF(26&lt;$C$20,0,$K$20)</f>
        <v>1</v>
      </c>
      <c r="AE68" s="80" t="n">
        <f aca="false">IF(27&lt;$C$20,0,$K$20)</f>
        <v>1</v>
      </c>
      <c r="AF68" s="80" t="n">
        <f aca="false">IF(28&lt;$C$20,0,$K$20)</f>
        <v>1</v>
      </c>
      <c r="AG68" s="80" t="n">
        <f aca="false">IF(29&lt;$C$20,0,$K$20)</f>
        <v>1</v>
      </c>
      <c r="AH68" s="80" t="n">
        <f aca="false">IF(30&lt;$C$20,0,$K$20)</f>
        <v>1</v>
      </c>
      <c r="AI68" s="80" t="n">
        <f aca="false">IF(31&lt;$C$20,0,$K$20)</f>
        <v>1</v>
      </c>
      <c r="AJ68" s="80" t="n">
        <f aca="false">IF(32&lt;$C$20,0,$K$20)</f>
        <v>1</v>
      </c>
      <c r="AK68" s="80" t="n">
        <f aca="false">IF(33&lt;$C$20,0,$K$20)</f>
        <v>1</v>
      </c>
      <c r="AL68" s="80" t="n">
        <f aca="false">IF(34&lt;$C$20,0,$K$20)</f>
        <v>1</v>
      </c>
      <c r="AM68" s="80" t="n">
        <f aca="false">IF(35&lt;$C$20,0,$K$20)</f>
        <v>1</v>
      </c>
      <c r="AN68" s="80" t="n">
        <f aca="false">IF(36&lt;$C$20,0,$K$20)</f>
        <v>1</v>
      </c>
      <c r="AO68" s="79" t="n">
        <f aca="false">BA68</f>
        <v>1</v>
      </c>
      <c r="AP68" s="80" t="n">
        <f aca="false">IF(37&lt;$C$20,0,$L$20)</f>
        <v>1</v>
      </c>
      <c r="AQ68" s="80" t="n">
        <f aca="false">IF(38&lt;$C$20,0,$L$20)</f>
        <v>1</v>
      </c>
      <c r="AR68" s="80" t="n">
        <f aca="false">IF(39&lt;$C$20,0,$L$20)</f>
        <v>1</v>
      </c>
      <c r="AS68" s="80" t="n">
        <f aca="false">IF(40&lt;$C$20,0,$L$20)</f>
        <v>1</v>
      </c>
      <c r="AT68" s="80" t="n">
        <f aca="false">IF(41&lt;$C$20,0,$L$20)</f>
        <v>1</v>
      </c>
      <c r="AU68" s="80" t="n">
        <f aca="false">IF(42&lt;$C$20,0,$L$20)</f>
        <v>1</v>
      </c>
      <c r="AV68" s="80" t="n">
        <f aca="false">IF(43&lt;$C$20,0,$L$20)</f>
        <v>1</v>
      </c>
      <c r="AW68" s="80" t="n">
        <f aca="false">IF(44&lt;$C$20,0,$L$20)</f>
        <v>1</v>
      </c>
      <c r="AX68" s="80" t="n">
        <f aca="false">IF(45&lt;$C$20,0,$L$20)</f>
        <v>1</v>
      </c>
      <c r="AY68" s="80" t="n">
        <f aca="false">IF(46&lt;$C$20,0,$L$20)</f>
        <v>1</v>
      </c>
      <c r="AZ68" s="80" t="n">
        <f aca="false">IF(47&lt;$C$20,0,$L$20)</f>
        <v>1</v>
      </c>
      <c r="BA68" s="80" t="n">
        <f aca="false">IF(48&lt;$C$20,0,$L$20)</f>
        <v>1</v>
      </c>
      <c r="BB68" s="79" t="n">
        <f aca="false">BN68</f>
        <v>1</v>
      </c>
      <c r="BC68" s="80" t="n">
        <f aca="false">IF(49&lt;$C$20,0,$M$20)</f>
        <v>1</v>
      </c>
      <c r="BD68" s="80" t="n">
        <f aca="false">IF(50&lt;$C$20,0,$M$20)</f>
        <v>1</v>
      </c>
      <c r="BE68" s="80" t="n">
        <f aca="false">IF(51&lt;$C$20,0,$M$20)</f>
        <v>1</v>
      </c>
      <c r="BF68" s="80" t="n">
        <f aca="false">IF(52&lt;$C$20,0,$M$20)</f>
        <v>1</v>
      </c>
      <c r="BG68" s="80" t="n">
        <f aca="false">IF(53&lt;$C$20,0,$M$20)</f>
        <v>1</v>
      </c>
      <c r="BH68" s="80" t="n">
        <f aca="false">IF(54&lt;$C$20,0,$M$20)</f>
        <v>1</v>
      </c>
      <c r="BI68" s="80" t="n">
        <f aca="false">IF(55&lt;$C$20,0,$M$20)</f>
        <v>1</v>
      </c>
      <c r="BJ68" s="80" t="n">
        <f aca="false">IF(56&lt;$C$20,0,$M$20)</f>
        <v>1</v>
      </c>
      <c r="BK68" s="80" t="n">
        <f aca="false">IF(57&lt;$C$20,0,$M$20)</f>
        <v>1</v>
      </c>
      <c r="BL68" s="80" t="n">
        <f aca="false">IF(58&lt;$C$20,0,$M$20)</f>
        <v>1</v>
      </c>
      <c r="BM68" s="80" t="n">
        <f aca="false">IF(59&lt;$C$20,0,$M$20)</f>
        <v>1</v>
      </c>
      <c r="BN68" s="80" t="n">
        <f aca="false">IF(60&lt;$C$20,0,$M$20)</f>
        <v>1</v>
      </c>
    </row>
    <row r="69" customFormat="false" ht="15" hidden="false" customHeight="false" outlineLevel="0" collapsed="false">
      <c r="A69" s="12" t="s">
        <v>773</v>
      </c>
      <c r="B69" s="79" t="n">
        <f aca="false">N69</f>
        <v>0</v>
      </c>
      <c r="C69" s="80" t="n">
        <f aca="false">IF(1&lt;$C$21,0,$I$21)</f>
        <v>0</v>
      </c>
      <c r="D69" s="80" t="n">
        <f aca="false">IF(2&lt;$C$21,0,$I$21)</f>
        <v>0</v>
      </c>
      <c r="E69" s="80" t="n">
        <f aca="false">IF(3&lt;$C$21,0,$I$21)</f>
        <v>0</v>
      </c>
      <c r="F69" s="80" t="n">
        <f aca="false">IF(4&lt;$C$21,0,$I$21)</f>
        <v>0</v>
      </c>
      <c r="G69" s="80" t="n">
        <f aca="false">IF(5&lt;$C$21,0,$I$21)</f>
        <v>0</v>
      </c>
      <c r="H69" s="80" t="n">
        <f aca="false">IF(6&lt;$C$21,0,$I$21)</f>
        <v>0</v>
      </c>
      <c r="I69" s="80" t="n">
        <f aca="false">IF(7&lt;$C$21,0,$I$21)</f>
        <v>0</v>
      </c>
      <c r="J69" s="80" t="n">
        <f aca="false">IF(8&lt;$C$21,0,$I$21)</f>
        <v>0</v>
      </c>
      <c r="K69" s="80" t="n">
        <f aca="false">IF(9&lt;$C$21,0,$I$21)</f>
        <v>0</v>
      </c>
      <c r="L69" s="80" t="n">
        <f aca="false">IF(10&lt;$C$21,0,$I$21)</f>
        <v>0</v>
      </c>
      <c r="M69" s="80" t="n">
        <f aca="false">IF(11&lt;$C$21,0,$I$21)</f>
        <v>0</v>
      </c>
      <c r="N69" s="80" t="n">
        <f aca="false">IF(12&lt;$C$21,0,$I$21)</f>
        <v>0</v>
      </c>
      <c r="O69" s="79" t="n">
        <f aca="false">AA69</f>
        <v>0</v>
      </c>
      <c r="P69" s="80" t="n">
        <f aca="false">IF(13&lt;$C$21,0,$J$21)</f>
        <v>0</v>
      </c>
      <c r="Q69" s="80" t="n">
        <f aca="false">IF(14&lt;$C$21,0,$J$21)</f>
        <v>0</v>
      </c>
      <c r="R69" s="80" t="n">
        <f aca="false">IF(15&lt;$C$21,0,$J$21)</f>
        <v>0</v>
      </c>
      <c r="S69" s="80" t="n">
        <f aca="false">IF(16&lt;$C$21,0,$J$21)</f>
        <v>0</v>
      </c>
      <c r="T69" s="80" t="n">
        <f aca="false">IF(17&lt;$C$21,0,$J$21)</f>
        <v>0</v>
      </c>
      <c r="U69" s="80" t="n">
        <f aca="false">IF(18&lt;$C$21,0,$J$21)</f>
        <v>0</v>
      </c>
      <c r="V69" s="80" t="n">
        <f aca="false">IF(19&lt;$C$21,0,$J$21)</f>
        <v>0</v>
      </c>
      <c r="W69" s="80" t="n">
        <f aca="false">IF(20&lt;$C$21,0,$J$21)</f>
        <v>0</v>
      </c>
      <c r="X69" s="80" t="n">
        <f aca="false">IF(21&lt;$C$21,0,$J$21)</f>
        <v>0</v>
      </c>
      <c r="Y69" s="80" t="n">
        <f aca="false">IF(22&lt;$C$21,0,$J$21)</f>
        <v>0</v>
      </c>
      <c r="Z69" s="80" t="n">
        <f aca="false">IF(23&lt;$C$21,0,$J$21)</f>
        <v>0</v>
      </c>
      <c r="AA69" s="80" t="n">
        <f aca="false">IF(24&lt;$C$21,0,$J$21)</f>
        <v>0</v>
      </c>
      <c r="AB69" s="79" t="n">
        <f aca="false">AN69</f>
        <v>0</v>
      </c>
      <c r="AC69" s="80" t="n">
        <f aca="false">IF(25&lt;$C$21,0,$K$21)</f>
        <v>0</v>
      </c>
      <c r="AD69" s="80" t="n">
        <f aca="false">IF(26&lt;$C$21,0,$K$21)</f>
        <v>0</v>
      </c>
      <c r="AE69" s="80" t="n">
        <f aca="false">IF(27&lt;$C$21,0,$K$21)</f>
        <v>0</v>
      </c>
      <c r="AF69" s="80" t="n">
        <f aca="false">IF(28&lt;$C$21,0,$K$21)</f>
        <v>0</v>
      </c>
      <c r="AG69" s="80" t="n">
        <f aca="false">IF(29&lt;$C$21,0,$K$21)</f>
        <v>0</v>
      </c>
      <c r="AH69" s="80" t="n">
        <f aca="false">IF(30&lt;$C$21,0,$K$21)</f>
        <v>0</v>
      </c>
      <c r="AI69" s="80" t="n">
        <f aca="false">IF(31&lt;$C$21,0,$K$21)</f>
        <v>0</v>
      </c>
      <c r="AJ69" s="80" t="n">
        <f aca="false">IF(32&lt;$C$21,0,$K$21)</f>
        <v>0</v>
      </c>
      <c r="AK69" s="80" t="n">
        <f aca="false">IF(33&lt;$C$21,0,$K$21)</f>
        <v>0</v>
      </c>
      <c r="AL69" s="80" t="n">
        <f aca="false">IF(34&lt;$C$21,0,$K$21)</f>
        <v>0</v>
      </c>
      <c r="AM69" s="80" t="n">
        <f aca="false">IF(35&lt;$C$21,0,$K$21)</f>
        <v>0</v>
      </c>
      <c r="AN69" s="80" t="n">
        <f aca="false">IF(36&lt;$C$21,0,$K$21)</f>
        <v>0</v>
      </c>
      <c r="AO69" s="79" t="n">
        <f aca="false">BA69</f>
        <v>1</v>
      </c>
      <c r="AP69" s="80" t="n">
        <f aca="false">IF(37&lt;$C$21,0,$L$21)</f>
        <v>1</v>
      </c>
      <c r="AQ69" s="80" t="n">
        <f aca="false">IF(38&lt;$C$21,0,$L$21)</f>
        <v>1</v>
      </c>
      <c r="AR69" s="80" t="n">
        <f aca="false">IF(39&lt;$C$21,0,$L$21)</f>
        <v>1</v>
      </c>
      <c r="AS69" s="80" t="n">
        <f aca="false">IF(40&lt;$C$21,0,$L$21)</f>
        <v>1</v>
      </c>
      <c r="AT69" s="80" t="n">
        <f aca="false">IF(41&lt;$C$21,0,$L$21)</f>
        <v>1</v>
      </c>
      <c r="AU69" s="80" t="n">
        <f aca="false">IF(42&lt;$C$21,0,$L$21)</f>
        <v>1</v>
      </c>
      <c r="AV69" s="80" t="n">
        <f aca="false">IF(43&lt;$C$21,0,$L$21)</f>
        <v>1</v>
      </c>
      <c r="AW69" s="80" t="n">
        <f aca="false">IF(44&lt;$C$21,0,$L$21)</f>
        <v>1</v>
      </c>
      <c r="AX69" s="80" t="n">
        <f aca="false">IF(45&lt;$C$21,0,$L$21)</f>
        <v>1</v>
      </c>
      <c r="AY69" s="80" t="n">
        <f aca="false">IF(46&lt;$C$21,0,$L$21)</f>
        <v>1</v>
      </c>
      <c r="AZ69" s="80" t="n">
        <f aca="false">IF(47&lt;$C$21,0,$L$21)</f>
        <v>1</v>
      </c>
      <c r="BA69" s="80" t="n">
        <f aca="false">IF(48&lt;$C$21,0,$L$21)</f>
        <v>1</v>
      </c>
      <c r="BB69" s="79" t="n">
        <f aca="false">BN69</f>
        <v>1</v>
      </c>
      <c r="BC69" s="80" t="n">
        <f aca="false">IF(49&lt;$C$21,0,$M$21)</f>
        <v>1</v>
      </c>
      <c r="BD69" s="80" t="n">
        <f aca="false">IF(50&lt;$C$21,0,$M$21)</f>
        <v>1</v>
      </c>
      <c r="BE69" s="80" t="n">
        <f aca="false">IF(51&lt;$C$21,0,$M$21)</f>
        <v>1</v>
      </c>
      <c r="BF69" s="80" t="n">
        <f aca="false">IF(52&lt;$C$21,0,$M$21)</f>
        <v>1</v>
      </c>
      <c r="BG69" s="80" t="n">
        <f aca="false">IF(53&lt;$C$21,0,$M$21)</f>
        <v>1</v>
      </c>
      <c r="BH69" s="80" t="n">
        <f aca="false">IF(54&lt;$C$21,0,$M$21)</f>
        <v>1</v>
      </c>
      <c r="BI69" s="80" t="n">
        <f aca="false">IF(55&lt;$C$21,0,$M$21)</f>
        <v>1</v>
      </c>
      <c r="BJ69" s="80" t="n">
        <f aca="false">IF(56&lt;$C$21,0,$M$21)</f>
        <v>1</v>
      </c>
      <c r="BK69" s="80" t="n">
        <f aca="false">IF(57&lt;$C$21,0,$M$21)</f>
        <v>1</v>
      </c>
      <c r="BL69" s="80" t="n">
        <f aca="false">IF(58&lt;$C$21,0,$M$21)</f>
        <v>1</v>
      </c>
      <c r="BM69" s="80" t="n">
        <f aca="false">IF(59&lt;$C$21,0,$M$21)</f>
        <v>1</v>
      </c>
      <c r="BN69" s="80" t="n">
        <f aca="false">IF(60&lt;$C$21,0,$M$21)</f>
        <v>1</v>
      </c>
    </row>
    <row r="70" customFormat="false" ht="15" hidden="false" customHeight="false" outlineLevel="0" collapsed="false">
      <c r="A70" s="12" t="s">
        <v>774</v>
      </c>
      <c r="B70" s="79" t="n">
        <f aca="false">N70</f>
        <v>0</v>
      </c>
      <c r="C70" s="80" t="n">
        <f aca="false">IF(1&lt;$C$22,0,$I$22)</f>
        <v>0</v>
      </c>
      <c r="D70" s="80" t="n">
        <f aca="false">IF(2&lt;$C$22,0,$I$22)</f>
        <v>0</v>
      </c>
      <c r="E70" s="80" t="n">
        <f aca="false">IF(3&lt;$C$22,0,$I$22)</f>
        <v>0</v>
      </c>
      <c r="F70" s="80" t="n">
        <f aca="false">IF(4&lt;$C$22,0,$I$22)</f>
        <v>0</v>
      </c>
      <c r="G70" s="80" t="n">
        <f aca="false">IF(5&lt;$C$22,0,$I$22)</f>
        <v>0</v>
      </c>
      <c r="H70" s="80" t="n">
        <f aca="false">IF(6&lt;$C$22,0,$I$22)</f>
        <v>0</v>
      </c>
      <c r="I70" s="80" t="n">
        <f aca="false">IF(7&lt;$C$22,0,$I$22)</f>
        <v>0</v>
      </c>
      <c r="J70" s="80" t="n">
        <f aca="false">IF(8&lt;$C$22,0,$I$22)</f>
        <v>0</v>
      </c>
      <c r="K70" s="80" t="n">
        <f aca="false">IF(9&lt;$C$22,0,$I$22)</f>
        <v>0</v>
      </c>
      <c r="L70" s="80" t="n">
        <f aca="false">IF(10&lt;$C$22,0,$I$22)</f>
        <v>0</v>
      </c>
      <c r="M70" s="80" t="n">
        <f aca="false">IF(11&lt;$C$22,0,$I$22)</f>
        <v>0</v>
      </c>
      <c r="N70" s="80" t="n">
        <f aca="false">IF(12&lt;$C$22,0,$I$22)</f>
        <v>0</v>
      </c>
      <c r="O70" s="79" t="n">
        <f aca="false">AA70</f>
        <v>0</v>
      </c>
      <c r="P70" s="80" t="n">
        <f aca="false">IF(13&lt;$C$22,0,$J$22)</f>
        <v>0</v>
      </c>
      <c r="Q70" s="80" t="n">
        <f aca="false">IF(14&lt;$C$22,0,$J$22)</f>
        <v>0</v>
      </c>
      <c r="R70" s="80" t="n">
        <f aca="false">IF(15&lt;$C$22,0,$J$22)</f>
        <v>0</v>
      </c>
      <c r="S70" s="80" t="n">
        <f aca="false">IF(16&lt;$C$22,0,$J$22)</f>
        <v>0</v>
      </c>
      <c r="T70" s="80" t="n">
        <f aca="false">IF(17&lt;$C$22,0,$J$22)</f>
        <v>0</v>
      </c>
      <c r="U70" s="80" t="n">
        <f aca="false">IF(18&lt;$C$22,0,$J$22)</f>
        <v>0</v>
      </c>
      <c r="V70" s="80" t="n">
        <f aca="false">IF(19&lt;$C$22,0,$J$22)</f>
        <v>0</v>
      </c>
      <c r="W70" s="80" t="n">
        <f aca="false">IF(20&lt;$C$22,0,$J$22)</f>
        <v>0</v>
      </c>
      <c r="X70" s="80" t="n">
        <f aca="false">IF(21&lt;$C$22,0,$J$22)</f>
        <v>0</v>
      </c>
      <c r="Y70" s="80" t="n">
        <f aca="false">IF(22&lt;$C$22,0,$J$22)</f>
        <v>0</v>
      </c>
      <c r="Z70" s="80" t="n">
        <f aca="false">IF(23&lt;$C$22,0,$J$22)</f>
        <v>0</v>
      </c>
      <c r="AA70" s="80" t="n">
        <f aca="false">IF(24&lt;$C$22,0,$J$22)</f>
        <v>0</v>
      </c>
      <c r="AB70" s="79" t="n">
        <f aca="false">AN70</f>
        <v>0</v>
      </c>
      <c r="AC70" s="80" t="n">
        <f aca="false">IF(25&lt;$C$22,0,$K$22)</f>
        <v>0</v>
      </c>
      <c r="AD70" s="80" t="n">
        <f aca="false">IF(26&lt;$C$22,0,$K$22)</f>
        <v>0</v>
      </c>
      <c r="AE70" s="80" t="n">
        <f aca="false">IF(27&lt;$C$22,0,$K$22)</f>
        <v>0</v>
      </c>
      <c r="AF70" s="80" t="n">
        <f aca="false">IF(28&lt;$C$22,0,$K$22)</f>
        <v>0</v>
      </c>
      <c r="AG70" s="80" t="n">
        <f aca="false">IF(29&lt;$C$22,0,$K$22)</f>
        <v>0</v>
      </c>
      <c r="AH70" s="80" t="n">
        <f aca="false">IF(30&lt;$C$22,0,$K$22)</f>
        <v>0</v>
      </c>
      <c r="AI70" s="80" t="n">
        <f aca="false">IF(31&lt;$C$22,0,$K$22)</f>
        <v>0</v>
      </c>
      <c r="AJ70" s="80" t="n">
        <f aca="false">IF(32&lt;$C$22,0,$K$22)</f>
        <v>0</v>
      </c>
      <c r="AK70" s="80" t="n">
        <f aca="false">IF(33&lt;$C$22,0,$K$22)</f>
        <v>0</v>
      </c>
      <c r="AL70" s="80" t="n">
        <f aca="false">IF(34&lt;$C$22,0,$K$22)</f>
        <v>0</v>
      </c>
      <c r="AM70" s="80" t="n">
        <f aca="false">IF(35&lt;$C$22,0,$K$22)</f>
        <v>0</v>
      </c>
      <c r="AN70" s="80" t="n">
        <f aca="false">IF(36&lt;$C$22,0,$K$22)</f>
        <v>0</v>
      </c>
      <c r="AO70" s="79" t="n">
        <f aca="false">BA70</f>
        <v>0</v>
      </c>
      <c r="AP70" s="80" t="n">
        <f aca="false">IF(37&lt;$C$22,0,$L$22)</f>
        <v>0</v>
      </c>
      <c r="AQ70" s="80" t="n">
        <f aca="false">IF(38&lt;$C$22,0,$L$22)</f>
        <v>0</v>
      </c>
      <c r="AR70" s="80" t="n">
        <f aca="false">IF(39&lt;$C$22,0,$L$22)</f>
        <v>0</v>
      </c>
      <c r="AS70" s="80" t="n">
        <f aca="false">IF(40&lt;$C$22,0,$L$22)</f>
        <v>0</v>
      </c>
      <c r="AT70" s="80" t="n">
        <f aca="false">IF(41&lt;$C$22,0,$L$22)</f>
        <v>0</v>
      </c>
      <c r="AU70" s="80" t="n">
        <f aca="false">IF(42&lt;$C$22,0,$L$22)</f>
        <v>0</v>
      </c>
      <c r="AV70" s="80" t="n">
        <f aca="false">IF(43&lt;$C$22,0,$L$22)</f>
        <v>0</v>
      </c>
      <c r="AW70" s="80" t="n">
        <f aca="false">IF(44&lt;$C$22,0,$L$22)</f>
        <v>0</v>
      </c>
      <c r="AX70" s="80" t="n">
        <f aca="false">IF(45&lt;$C$22,0,$L$22)</f>
        <v>0</v>
      </c>
      <c r="AY70" s="80" t="n">
        <f aca="false">IF(46&lt;$C$22,0,$L$22)</f>
        <v>0</v>
      </c>
      <c r="AZ70" s="80" t="n">
        <f aca="false">IF(47&lt;$C$22,0,$L$22)</f>
        <v>0</v>
      </c>
      <c r="BA70" s="80" t="n">
        <f aca="false">IF(48&lt;$C$22,0,$L$22)</f>
        <v>0</v>
      </c>
      <c r="BB70" s="79" t="n">
        <f aca="false">BN70</f>
        <v>1</v>
      </c>
      <c r="BC70" s="80" t="n">
        <f aca="false">IF(49&lt;$C$22,0,$M$22)</f>
        <v>1</v>
      </c>
      <c r="BD70" s="80" t="n">
        <f aca="false">IF(50&lt;$C$22,0,$M$22)</f>
        <v>1</v>
      </c>
      <c r="BE70" s="80" t="n">
        <f aca="false">IF(51&lt;$C$22,0,$M$22)</f>
        <v>1</v>
      </c>
      <c r="BF70" s="80" t="n">
        <f aca="false">IF(52&lt;$C$22,0,$M$22)</f>
        <v>1</v>
      </c>
      <c r="BG70" s="80" t="n">
        <f aca="false">IF(53&lt;$C$22,0,$M$22)</f>
        <v>1</v>
      </c>
      <c r="BH70" s="80" t="n">
        <f aca="false">IF(54&lt;$C$22,0,$M$22)</f>
        <v>1</v>
      </c>
      <c r="BI70" s="80" t="n">
        <f aca="false">IF(55&lt;$C$22,0,$M$22)</f>
        <v>1</v>
      </c>
      <c r="BJ70" s="80" t="n">
        <f aca="false">IF(56&lt;$C$22,0,$M$22)</f>
        <v>1</v>
      </c>
      <c r="BK70" s="80" t="n">
        <f aca="false">IF(57&lt;$C$22,0,$M$22)</f>
        <v>1</v>
      </c>
      <c r="BL70" s="80" t="n">
        <f aca="false">IF(58&lt;$C$22,0,$M$22)</f>
        <v>1</v>
      </c>
      <c r="BM70" s="80" t="n">
        <f aca="false">IF(59&lt;$C$22,0,$M$22)</f>
        <v>1</v>
      </c>
      <c r="BN70" s="80" t="n">
        <f aca="false">IF(60&lt;$C$22,0,$M$22)</f>
        <v>1</v>
      </c>
    </row>
    <row r="71" customFormat="false" ht="15" hidden="false" customHeight="false" outlineLevel="0" collapsed="false">
      <c r="A71" s="12" t="s">
        <v>775</v>
      </c>
      <c r="B71" s="79" t="n">
        <f aca="false">N71</f>
        <v>0</v>
      </c>
      <c r="C71" s="80" t="n">
        <f aca="false">IF(1&lt;$C$23,0,$I$23)</f>
        <v>0</v>
      </c>
      <c r="D71" s="80" t="n">
        <f aca="false">IF(2&lt;$C$23,0,$I$23)</f>
        <v>0</v>
      </c>
      <c r="E71" s="80" t="n">
        <f aca="false">IF(3&lt;$C$23,0,$I$23)</f>
        <v>0</v>
      </c>
      <c r="F71" s="80" t="n">
        <f aca="false">IF(4&lt;$C$23,0,$I$23)</f>
        <v>0</v>
      </c>
      <c r="G71" s="80" t="n">
        <f aca="false">IF(5&lt;$C$23,0,$I$23)</f>
        <v>0</v>
      </c>
      <c r="H71" s="80" t="n">
        <f aca="false">IF(6&lt;$C$23,0,$I$23)</f>
        <v>0</v>
      </c>
      <c r="I71" s="80" t="n">
        <f aca="false">IF(7&lt;$C$23,0,$I$23)</f>
        <v>0</v>
      </c>
      <c r="J71" s="80" t="n">
        <f aca="false">IF(8&lt;$C$23,0,$I$23)</f>
        <v>0</v>
      </c>
      <c r="K71" s="80" t="n">
        <f aca="false">IF(9&lt;$C$23,0,$I$23)</f>
        <v>0</v>
      </c>
      <c r="L71" s="80" t="n">
        <f aca="false">IF(10&lt;$C$23,0,$I$23)</f>
        <v>0</v>
      </c>
      <c r="M71" s="80" t="n">
        <f aca="false">IF(11&lt;$C$23,0,$I$23)</f>
        <v>0</v>
      </c>
      <c r="N71" s="80" t="n">
        <f aca="false">IF(12&lt;$C$23,0,$I$23)</f>
        <v>0</v>
      </c>
      <c r="O71" s="79" t="n">
        <f aca="false">AA71</f>
        <v>1</v>
      </c>
      <c r="P71" s="80" t="n">
        <f aca="false">IF(13&lt;$C$23,0,$J$23)</f>
        <v>1</v>
      </c>
      <c r="Q71" s="80" t="n">
        <f aca="false">IF(14&lt;$C$23,0,$J$23)</f>
        <v>1</v>
      </c>
      <c r="R71" s="80" t="n">
        <f aca="false">IF(15&lt;$C$23,0,$J$23)</f>
        <v>1</v>
      </c>
      <c r="S71" s="80" t="n">
        <f aca="false">IF(16&lt;$C$23,0,$J$23)</f>
        <v>1</v>
      </c>
      <c r="T71" s="80" t="n">
        <f aca="false">IF(17&lt;$C$23,0,$J$23)</f>
        <v>1</v>
      </c>
      <c r="U71" s="80" t="n">
        <f aca="false">IF(18&lt;$C$23,0,$J$23)</f>
        <v>1</v>
      </c>
      <c r="V71" s="80" t="n">
        <f aca="false">IF(19&lt;$C$23,0,$J$23)</f>
        <v>1</v>
      </c>
      <c r="W71" s="80" t="n">
        <f aca="false">IF(20&lt;$C$23,0,$J$23)</f>
        <v>1</v>
      </c>
      <c r="X71" s="80" t="n">
        <f aca="false">IF(21&lt;$C$23,0,$J$23)</f>
        <v>1</v>
      </c>
      <c r="Y71" s="80" t="n">
        <f aca="false">IF(22&lt;$C$23,0,$J$23)</f>
        <v>1</v>
      </c>
      <c r="Z71" s="80" t="n">
        <f aca="false">IF(23&lt;$C$23,0,$J$23)</f>
        <v>1</v>
      </c>
      <c r="AA71" s="80" t="n">
        <f aca="false">IF(24&lt;$C$23,0,$J$23)</f>
        <v>1</v>
      </c>
      <c r="AB71" s="79" t="n">
        <f aca="false">AN71</f>
        <v>1</v>
      </c>
      <c r="AC71" s="80" t="n">
        <f aca="false">IF(25&lt;$C$23,0,$K$23)</f>
        <v>1</v>
      </c>
      <c r="AD71" s="80" t="n">
        <f aca="false">IF(26&lt;$C$23,0,$K$23)</f>
        <v>1</v>
      </c>
      <c r="AE71" s="80" t="n">
        <f aca="false">IF(27&lt;$C$23,0,$K$23)</f>
        <v>1</v>
      </c>
      <c r="AF71" s="80" t="n">
        <f aca="false">IF(28&lt;$C$23,0,$K$23)</f>
        <v>1</v>
      </c>
      <c r="AG71" s="80" t="n">
        <f aca="false">IF(29&lt;$C$23,0,$K$23)</f>
        <v>1</v>
      </c>
      <c r="AH71" s="80" t="n">
        <f aca="false">IF(30&lt;$C$23,0,$K$23)</f>
        <v>1</v>
      </c>
      <c r="AI71" s="80" t="n">
        <f aca="false">IF(31&lt;$C$23,0,$K$23)</f>
        <v>1</v>
      </c>
      <c r="AJ71" s="80" t="n">
        <f aca="false">IF(32&lt;$C$23,0,$K$23)</f>
        <v>1</v>
      </c>
      <c r="AK71" s="80" t="n">
        <f aca="false">IF(33&lt;$C$23,0,$K$23)</f>
        <v>1</v>
      </c>
      <c r="AL71" s="80" t="n">
        <f aca="false">IF(34&lt;$C$23,0,$K$23)</f>
        <v>1</v>
      </c>
      <c r="AM71" s="80" t="n">
        <f aca="false">IF(35&lt;$C$23,0,$K$23)</f>
        <v>1</v>
      </c>
      <c r="AN71" s="80" t="n">
        <f aca="false">IF(36&lt;$C$23,0,$K$23)</f>
        <v>1</v>
      </c>
      <c r="AO71" s="79" t="n">
        <f aca="false">BA71</f>
        <v>1</v>
      </c>
      <c r="AP71" s="80" t="n">
        <f aca="false">IF(37&lt;$C$23,0,$L$23)</f>
        <v>1</v>
      </c>
      <c r="AQ71" s="80" t="n">
        <f aca="false">IF(38&lt;$C$23,0,$L$23)</f>
        <v>1</v>
      </c>
      <c r="AR71" s="80" t="n">
        <f aca="false">IF(39&lt;$C$23,0,$L$23)</f>
        <v>1</v>
      </c>
      <c r="AS71" s="80" t="n">
        <f aca="false">IF(40&lt;$C$23,0,$L$23)</f>
        <v>1</v>
      </c>
      <c r="AT71" s="80" t="n">
        <f aca="false">IF(41&lt;$C$23,0,$L$23)</f>
        <v>1</v>
      </c>
      <c r="AU71" s="80" t="n">
        <f aca="false">IF(42&lt;$C$23,0,$L$23)</f>
        <v>1</v>
      </c>
      <c r="AV71" s="80" t="n">
        <f aca="false">IF(43&lt;$C$23,0,$L$23)</f>
        <v>1</v>
      </c>
      <c r="AW71" s="80" t="n">
        <f aca="false">IF(44&lt;$C$23,0,$L$23)</f>
        <v>1</v>
      </c>
      <c r="AX71" s="80" t="n">
        <f aca="false">IF(45&lt;$C$23,0,$L$23)</f>
        <v>1</v>
      </c>
      <c r="AY71" s="80" t="n">
        <f aca="false">IF(46&lt;$C$23,0,$L$23)</f>
        <v>1</v>
      </c>
      <c r="AZ71" s="80" t="n">
        <f aca="false">IF(47&lt;$C$23,0,$L$23)</f>
        <v>1</v>
      </c>
      <c r="BA71" s="80" t="n">
        <f aca="false">IF(48&lt;$C$23,0,$L$23)</f>
        <v>1</v>
      </c>
      <c r="BB71" s="79" t="n">
        <f aca="false">BN71</f>
        <v>1</v>
      </c>
      <c r="BC71" s="80" t="n">
        <f aca="false">IF(49&lt;$C$23,0,$M$23)</f>
        <v>1</v>
      </c>
      <c r="BD71" s="80" t="n">
        <f aca="false">IF(50&lt;$C$23,0,$M$23)</f>
        <v>1</v>
      </c>
      <c r="BE71" s="80" t="n">
        <f aca="false">IF(51&lt;$C$23,0,$M$23)</f>
        <v>1</v>
      </c>
      <c r="BF71" s="80" t="n">
        <f aca="false">IF(52&lt;$C$23,0,$M$23)</f>
        <v>1</v>
      </c>
      <c r="BG71" s="80" t="n">
        <f aca="false">IF(53&lt;$C$23,0,$M$23)</f>
        <v>1</v>
      </c>
      <c r="BH71" s="80" t="n">
        <f aca="false">IF(54&lt;$C$23,0,$M$23)</f>
        <v>1</v>
      </c>
      <c r="BI71" s="80" t="n">
        <f aca="false">IF(55&lt;$C$23,0,$M$23)</f>
        <v>1</v>
      </c>
      <c r="BJ71" s="80" t="n">
        <f aca="false">IF(56&lt;$C$23,0,$M$23)</f>
        <v>1</v>
      </c>
      <c r="BK71" s="80" t="n">
        <f aca="false">IF(57&lt;$C$23,0,$M$23)</f>
        <v>1</v>
      </c>
      <c r="BL71" s="80" t="n">
        <f aca="false">IF(58&lt;$C$23,0,$M$23)</f>
        <v>1</v>
      </c>
      <c r="BM71" s="80" t="n">
        <f aca="false">IF(59&lt;$C$23,0,$M$23)</f>
        <v>1</v>
      </c>
      <c r="BN71" s="80" t="n">
        <f aca="false">IF(60&lt;$C$23,0,$M$23)</f>
        <v>1</v>
      </c>
    </row>
    <row r="72" customFormat="false" ht="15" hidden="false" customHeight="false" outlineLevel="0" collapsed="false">
      <c r="A72" s="12" t="s">
        <v>776</v>
      </c>
      <c r="B72" s="79" t="n">
        <f aca="false">N72</f>
        <v>0</v>
      </c>
      <c r="C72" s="80" t="n">
        <f aca="false">IF(1&lt;$C$24,0,$I$24)</f>
        <v>0</v>
      </c>
      <c r="D72" s="80" t="n">
        <f aca="false">IF(2&lt;$C$24,0,$I$24)</f>
        <v>0</v>
      </c>
      <c r="E72" s="80" t="n">
        <f aca="false">IF(3&lt;$C$24,0,$I$24)</f>
        <v>0</v>
      </c>
      <c r="F72" s="80" t="n">
        <f aca="false">IF(4&lt;$C$24,0,$I$24)</f>
        <v>0</v>
      </c>
      <c r="G72" s="80" t="n">
        <f aca="false">IF(5&lt;$C$24,0,$I$24)</f>
        <v>0</v>
      </c>
      <c r="H72" s="80" t="n">
        <f aca="false">IF(6&lt;$C$24,0,$I$24)</f>
        <v>0</v>
      </c>
      <c r="I72" s="80" t="n">
        <f aca="false">IF(7&lt;$C$24,0,$I$24)</f>
        <v>0</v>
      </c>
      <c r="J72" s="80" t="n">
        <f aca="false">IF(8&lt;$C$24,0,$I$24)</f>
        <v>0</v>
      </c>
      <c r="K72" s="80" t="n">
        <f aca="false">IF(9&lt;$C$24,0,$I$24)</f>
        <v>0</v>
      </c>
      <c r="L72" s="80" t="n">
        <f aca="false">IF(10&lt;$C$24,0,$I$24)</f>
        <v>0</v>
      </c>
      <c r="M72" s="80" t="n">
        <f aca="false">IF(11&lt;$C$24,0,$I$24)</f>
        <v>0</v>
      </c>
      <c r="N72" s="80" t="n">
        <f aca="false">IF(12&lt;$C$24,0,$I$24)</f>
        <v>0</v>
      </c>
      <c r="O72" s="79" t="n">
        <f aca="false">AA72</f>
        <v>0</v>
      </c>
      <c r="P72" s="80" t="n">
        <f aca="false">IF(13&lt;$C$24,0,$J$24)</f>
        <v>0</v>
      </c>
      <c r="Q72" s="80" t="n">
        <f aca="false">IF(14&lt;$C$24,0,$J$24)</f>
        <v>0</v>
      </c>
      <c r="R72" s="80" t="n">
        <f aca="false">IF(15&lt;$C$24,0,$J$24)</f>
        <v>0</v>
      </c>
      <c r="S72" s="80" t="n">
        <f aca="false">IF(16&lt;$C$24,0,$J$24)</f>
        <v>0</v>
      </c>
      <c r="T72" s="80" t="n">
        <f aca="false">IF(17&lt;$C$24,0,$J$24)</f>
        <v>0</v>
      </c>
      <c r="U72" s="80" t="n">
        <f aca="false">IF(18&lt;$C$24,0,$J$24)</f>
        <v>0</v>
      </c>
      <c r="V72" s="80" t="n">
        <f aca="false">IF(19&lt;$C$24,0,$J$24)</f>
        <v>0</v>
      </c>
      <c r="W72" s="80" t="n">
        <f aca="false">IF(20&lt;$C$24,0,$J$24)</f>
        <v>0</v>
      </c>
      <c r="X72" s="80" t="n">
        <f aca="false">IF(21&lt;$C$24,0,$J$24)</f>
        <v>0</v>
      </c>
      <c r="Y72" s="80" t="n">
        <f aca="false">IF(22&lt;$C$24,0,$J$24)</f>
        <v>0</v>
      </c>
      <c r="Z72" s="80" t="n">
        <f aca="false">IF(23&lt;$C$24,0,$J$24)</f>
        <v>0</v>
      </c>
      <c r="AA72" s="80" t="n">
        <f aca="false">IF(24&lt;$C$24,0,$J$24)</f>
        <v>0</v>
      </c>
      <c r="AB72" s="79" t="n">
        <f aca="false">AN72</f>
        <v>0</v>
      </c>
      <c r="AC72" s="80" t="n">
        <f aca="false">IF(25&lt;$C$24,0,$K$24)</f>
        <v>0</v>
      </c>
      <c r="AD72" s="80" t="n">
        <f aca="false">IF(26&lt;$C$24,0,$K$24)</f>
        <v>0</v>
      </c>
      <c r="AE72" s="80" t="n">
        <f aca="false">IF(27&lt;$C$24,0,$K$24)</f>
        <v>0</v>
      </c>
      <c r="AF72" s="80" t="n">
        <f aca="false">IF(28&lt;$C$24,0,$K$24)</f>
        <v>0</v>
      </c>
      <c r="AG72" s="80" t="n">
        <f aca="false">IF(29&lt;$C$24,0,$K$24)</f>
        <v>0</v>
      </c>
      <c r="AH72" s="80" t="n">
        <f aca="false">IF(30&lt;$C$24,0,$K$24)</f>
        <v>0</v>
      </c>
      <c r="AI72" s="80" t="n">
        <f aca="false">IF(31&lt;$C$24,0,$K$24)</f>
        <v>0</v>
      </c>
      <c r="AJ72" s="80" t="n">
        <f aca="false">IF(32&lt;$C$24,0,$K$24)</f>
        <v>0</v>
      </c>
      <c r="AK72" s="80" t="n">
        <f aca="false">IF(33&lt;$C$24,0,$K$24)</f>
        <v>0</v>
      </c>
      <c r="AL72" s="80" t="n">
        <f aca="false">IF(34&lt;$C$24,0,$K$24)</f>
        <v>0</v>
      </c>
      <c r="AM72" s="80" t="n">
        <f aca="false">IF(35&lt;$C$24,0,$K$24)</f>
        <v>0</v>
      </c>
      <c r="AN72" s="80" t="n">
        <f aca="false">IF(36&lt;$C$24,0,$K$24)</f>
        <v>0</v>
      </c>
      <c r="AO72" s="79" t="n">
        <f aca="false">BA72</f>
        <v>0</v>
      </c>
      <c r="AP72" s="80" t="n">
        <f aca="false">IF(37&lt;$C$24,0,$L$24)</f>
        <v>0</v>
      </c>
      <c r="AQ72" s="80" t="n">
        <f aca="false">IF(38&lt;$C$24,0,$L$24)</f>
        <v>0</v>
      </c>
      <c r="AR72" s="80" t="n">
        <f aca="false">IF(39&lt;$C$24,0,$L$24)</f>
        <v>0</v>
      </c>
      <c r="AS72" s="80" t="n">
        <f aca="false">IF(40&lt;$C$24,0,$L$24)</f>
        <v>0</v>
      </c>
      <c r="AT72" s="80" t="n">
        <f aca="false">IF(41&lt;$C$24,0,$L$24)</f>
        <v>0</v>
      </c>
      <c r="AU72" s="80" t="n">
        <f aca="false">IF(42&lt;$C$24,0,$L$24)</f>
        <v>0</v>
      </c>
      <c r="AV72" s="80" t="n">
        <f aca="false">IF(43&lt;$C$24,0,$L$24)</f>
        <v>0</v>
      </c>
      <c r="AW72" s="80" t="n">
        <f aca="false">IF(44&lt;$C$24,0,$L$24)</f>
        <v>0</v>
      </c>
      <c r="AX72" s="80" t="n">
        <f aca="false">IF(45&lt;$C$24,0,$L$24)</f>
        <v>0</v>
      </c>
      <c r="AY72" s="80" t="n">
        <f aca="false">IF(46&lt;$C$24,0,$L$24)</f>
        <v>0</v>
      </c>
      <c r="AZ72" s="80" t="n">
        <f aca="false">IF(47&lt;$C$24,0,$L$24)</f>
        <v>0</v>
      </c>
      <c r="BA72" s="80" t="n">
        <f aca="false">IF(48&lt;$C$24,0,$L$24)</f>
        <v>0</v>
      </c>
      <c r="BB72" s="79" t="n">
        <f aca="false">BN72</f>
        <v>1</v>
      </c>
      <c r="BC72" s="80" t="n">
        <f aca="false">IF(49&lt;$C$24,0,$M$24)</f>
        <v>1</v>
      </c>
      <c r="BD72" s="80" t="n">
        <f aca="false">IF(50&lt;$C$24,0,$M$24)</f>
        <v>1</v>
      </c>
      <c r="BE72" s="80" t="n">
        <f aca="false">IF(51&lt;$C$24,0,$M$24)</f>
        <v>1</v>
      </c>
      <c r="BF72" s="80" t="n">
        <f aca="false">IF(52&lt;$C$24,0,$M$24)</f>
        <v>1</v>
      </c>
      <c r="BG72" s="80" t="n">
        <f aca="false">IF(53&lt;$C$24,0,$M$24)</f>
        <v>1</v>
      </c>
      <c r="BH72" s="80" t="n">
        <f aca="false">IF(54&lt;$C$24,0,$M$24)</f>
        <v>1</v>
      </c>
      <c r="BI72" s="80" t="n">
        <f aca="false">IF(55&lt;$C$24,0,$M$24)</f>
        <v>1</v>
      </c>
      <c r="BJ72" s="80" t="n">
        <f aca="false">IF(56&lt;$C$24,0,$M$24)</f>
        <v>1</v>
      </c>
      <c r="BK72" s="80" t="n">
        <f aca="false">IF(57&lt;$C$24,0,$M$24)</f>
        <v>1</v>
      </c>
      <c r="BL72" s="80" t="n">
        <f aca="false">IF(58&lt;$C$24,0,$M$24)</f>
        <v>1</v>
      </c>
      <c r="BM72" s="80" t="n">
        <f aca="false">IF(59&lt;$C$24,0,$M$24)</f>
        <v>1</v>
      </c>
      <c r="BN72" s="80" t="n">
        <f aca="false">IF(60&lt;$C$24,0,$M$24)</f>
        <v>1</v>
      </c>
    </row>
    <row r="73" customFormat="false" ht="15" hidden="false" customHeight="false" outlineLevel="0" collapsed="false">
      <c r="A73" s="70" t="s">
        <v>785</v>
      </c>
      <c r="B73" s="79" t="n">
        <f aca="false">N73</f>
        <v>4</v>
      </c>
      <c r="C73" s="87" t="n">
        <f aca="false">SUM(C55:C72)</f>
        <v>4</v>
      </c>
      <c r="D73" s="87" t="n">
        <f aca="false">SUM(D55:D72)</f>
        <v>4</v>
      </c>
      <c r="E73" s="87" t="n">
        <f aca="false">SUM(E55:E72)</f>
        <v>4</v>
      </c>
      <c r="F73" s="87" t="n">
        <f aca="false">SUM(F55:F72)</f>
        <v>4</v>
      </c>
      <c r="G73" s="87" t="n">
        <f aca="false">SUM(G55:G72)</f>
        <v>4</v>
      </c>
      <c r="H73" s="87" t="n">
        <f aca="false">SUM(H55:H72)</f>
        <v>4</v>
      </c>
      <c r="I73" s="87" t="n">
        <f aca="false">SUM(I55:I72)</f>
        <v>4</v>
      </c>
      <c r="J73" s="87" t="n">
        <f aca="false">SUM(J55:J72)</f>
        <v>4</v>
      </c>
      <c r="K73" s="87" t="n">
        <f aca="false">SUM(K55:K72)</f>
        <v>4</v>
      </c>
      <c r="L73" s="87" t="n">
        <f aca="false">SUM(L55:L72)</f>
        <v>4</v>
      </c>
      <c r="M73" s="87" t="n">
        <f aca="false">SUM(M55:M72)</f>
        <v>4</v>
      </c>
      <c r="N73" s="87" t="n">
        <f aca="false">SUM(N55:N72)</f>
        <v>4</v>
      </c>
      <c r="O73" s="79" t="n">
        <f aca="false">AA73</f>
        <v>7</v>
      </c>
      <c r="P73" s="87" t="n">
        <f aca="false">SUM(P55:P72)</f>
        <v>7</v>
      </c>
      <c r="Q73" s="87" t="n">
        <f aca="false">SUM(Q55:Q72)</f>
        <v>7</v>
      </c>
      <c r="R73" s="87" t="n">
        <f aca="false">SUM(R55:R72)</f>
        <v>7</v>
      </c>
      <c r="S73" s="87" t="n">
        <f aca="false">SUM(S55:S72)</f>
        <v>7</v>
      </c>
      <c r="T73" s="87" t="n">
        <f aca="false">SUM(T55:T72)</f>
        <v>7</v>
      </c>
      <c r="U73" s="87" t="n">
        <f aca="false">SUM(U55:U72)</f>
        <v>7</v>
      </c>
      <c r="V73" s="87" t="n">
        <f aca="false">SUM(V55:V72)</f>
        <v>7</v>
      </c>
      <c r="W73" s="87" t="n">
        <f aca="false">SUM(W55:W72)</f>
        <v>7</v>
      </c>
      <c r="X73" s="87" t="n">
        <f aca="false">SUM(X55:X72)</f>
        <v>7</v>
      </c>
      <c r="Y73" s="87" t="n">
        <f aca="false">SUM(Y55:Y72)</f>
        <v>7</v>
      </c>
      <c r="Z73" s="87" t="n">
        <f aca="false">SUM(Z55:Z72)</f>
        <v>7</v>
      </c>
      <c r="AA73" s="87" t="n">
        <f aca="false">SUM(AA55:AA72)</f>
        <v>7</v>
      </c>
      <c r="AB73" s="79" t="n">
        <f aca="false">AN73</f>
        <v>12</v>
      </c>
      <c r="AC73" s="87" t="n">
        <f aca="false">SUM(AC55:AC72)</f>
        <v>12</v>
      </c>
      <c r="AD73" s="87" t="n">
        <f aca="false">SUM(AD55:AD72)</f>
        <v>12</v>
      </c>
      <c r="AE73" s="87" t="n">
        <f aca="false">SUM(AE55:AE72)</f>
        <v>12</v>
      </c>
      <c r="AF73" s="87" t="n">
        <f aca="false">SUM(AF55:AF72)</f>
        <v>12</v>
      </c>
      <c r="AG73" s="87" t="n">
        <f aca="false">SUM(AG55:AG72)</f>
        <v>12</v>
      </c>
      <c r="AH73" s="87" t="n">
        <f aca="false">SUM(AH55:AH72)</f>
        <v>12</v>
      </c>
      <c r="AI73" s="87" t="n">
        <f aca="false">SUM(AI55:AI72)</f>
        <v>12</v>
      </c>
      <c r="AJ73" s="87" t="n">
        <f aca="false">SUM(AJ55:AJ72)</f>
        <v>12</v>
      </c>
      <c r="AK73" s="87" t="n">
        <f aca="false">SUM(AK55:AK72)</f>
        <v>12</v>
      </c>
      <c r="AL73" s="87" t="n">
        <f aca="false">SUM(AL55:AL72)</f>
        <v>12</v>
      </c>
      <c r="AM73" s="87" t="n">
        <f aca="false">SUM(AM55:AM72)</f>
        <v>12</v>
      </c>
      <c r="AN73" s="87" t="n">
        <f aca="false">SUM(AN55:AN72)</f>
        <v>12</v>
      </c>
      <c r="AO73" s="79" t="n">
        <f aca="false">BA73</f>
        <v>16</v>
      </c>
      <c r="AP73" s="87" t="n">
        <f aca="false">SUM(AP55:AP72)</f>
        <v>16</v>
      </c>
      <c r="AQ73" s="87" t="n">
        <f aca="false">SUM(AQ55:AQ72)</f>
        <v>16</v>
      </c>
      <c r="AR73" s="87" t="n">
        <f aca="false">SUM(AR55:AR72)</f>
        <v>16</v>
      </c>
      <c r="AS73" s="87" t="n">
        <f aca="false">SUM(AS55:AS72)</f>
        <v>16</v>
      </c>
      <c r="AT73" s="87" t="n">
        <f aca="false">SUM(AT55:AT72)</f>
        <v>16</v>
      </c>
      <c r="AU73" s="87" t="n">
        <f aca="false">SUM(AU55:AU72)</f>
        <v>16</v>
      </c>
      <c r="AV73" s="87" t="n">
        <f aca="false">SUM(AV55:AV72)</f>
        <v>16</v>
      </c>
      <c r="AW73" s="87" t="n">
        <f aca="false">SUM(AW55:AW72)</f>
        <v>16</v>
      </c>
      <c r="AX73" s="87" t="n">
        <f aca="false">SUM(AX55:AX72)</f>
        <v>16</v>
      </c>
      <c r="AY73" s="87" t="n">
        <f aca="false">SUM(AY55:AY72)</f>
        <v>16</v>
      </c>
      <c r="AZ73" s="87" t="n">
        <f aca="false">SUM(AZ55:AZ72)</f>
        <v>16</v>
      </c>
      <c r="BA73" s="87" t="n">
        <f aca="false">SUM(BA55:BA72)</f>
        <v>16</v>
      </c>
      <c r="BB73" s="79" t="n">
        <f aca="false">BN73</f>
        <v>20</v>
      </c>
      <c r="BC73" s="87" t="n">
        <f aca="false">SUM(BC55:BC72)</f>
        <v>20</v>
      </c>
      <c r="BD73" s="87" t="n">
        <f aca="false">SUM(BD55:BD72)</f>
        <v>20</v>
      </c>
      <c r="BE73" s="87" t="n">
        <f aca="false">SUM(BE55:BE72)</f>
        <v>20</v>
      </c>
      <c r="BF73" s="87" t="n">
        <f aca="false">SUM(BF55:BF72)</f>
        <v>20</v>
      </c>
      <c r="BG73" s="87" t="n">
        <f aca="false">SUM(BG55:BG72)</f>
        <v>20</v>
      </c>
      <c r="BH73" s="87" t="n">
        <f aca="false">SUM(BH55:BH72)</f>
        <v>20</v>
      </c>
      <c r="BI73" s="87" t="n">
        <f aca="false">SUM(BI55:BI72)</f>
        <v>20</v>
      </c>
      <c r="BJ73" s="87" t="n">
        <f aca="false">SUM(BJ55:BJ72)</f>
        <v>20</v>
      </c>
      <c r="BK73" s="87" t="n">
        <f aca="false">SUM(BK55:BK72)</f>
        <v>20</v>
      </c>
      <c r="BL73" s="87" t="n">
        <f aca="false">SUM(BL55:BL72)</f>
        <v>20</v>
      </c>
      <c r="BM73" s="87" t="n">
        <f aca="false">SUM(BM55:BM72)</f>
        <v>20</v>
      </c>
      <c r="BN73" s="87" t="n">
        <f aca="false">SUM(BN55:BN72)</f>
        <v>20</v>
      </c>
    </row>
    <row r="74" customFormat="false" ht="15" hidden="false" customHeight="false" outlineLevel="0" collapsed="false">
      <c r="A74" s="18" t="s">
        <v>786</v>
      </c>
      <c r="B74" s="79" t="n">
        <f aca="false">SUM(C74:N74)</f>
        <v>4</v>
      </c>
      <c r="C74" s="83" t="n">
        <f aca="false">C73</f>
        <v>4</v>
      </c>
      <c r="D74" s="83" t="n">
        <f aca="false">MAX(0,D73-C73)</f>
        <v>0</v>
      </c>
      <c r="E74" s="83" t="n">
        <f aca="false">MAX(0,E73-D73)</f>
        <v>0</v>
      </c>
      <c r="F74" s="83" t="n">
        <f aca="false">MAX(0,F73-E73)</f>
        <v>0</v>
      </c>
      <c r="G74" s="83" t="n">
        <f aca="false">MAX(0,G73-F73)</f>
        <v>0</v>
      </c>
      <c r="H74" s="83" t="n">
        <f aca="false">MAX(0,H73-G73)</f>
        <v>0</v>
      </c>
      <c r="I74" s="83" t="n">
        <f aca="false">MAX(0,I73-H73)</f>
        <v>0</v>
      </c>
      <c r="J74" s="83" t="n">
        <f aca="false">MAX(0,J73-I73)</f>
        <v>0</v>
      </c>
      <c r="K74" s="83" t="n">
        <f aca="false">MAX(0,K73-J73)</f>
        <v>0</v>
      </c>
      <c r="L74" s="83" t="n">
        <f aca="false">MAX(0,L73-K73)</f>
        <v>0</v>
      </c>
      <c r="M74" s="83" t="n">
        <f aca="false">MAX(0,M73-L73)</f>
        <v>0</v>
      </c>
      <c r="N74" s="83" t="n">
        <f aca="false">MAX(0,N73-M73)</f>
        <v>0</v>
      </c>
      <c r="O74" s="79" t="n">
        <f aca="false">SUM(P74:AA74)</f>
        <v>3</v>
      </c>
      <c r="P74" s="83" t="n">
        <f aca="false">MAX(0,P73-N73)</f>
        <v>3</v>
      </c>
      <c r="Q74" s="83" t="n">
        <f aca="false">MAX(0,Q73-P73)</f>
        <v>0</v>
      </c>
      <c r="R74" s="83" t="n">
        <f aca="false">MAX(0,R73-Q73)</f>
        <v>0</v>
      </c>
      <c r="S74" s="83" t="n">
        <f aca="false">MAX(0,S73-R73)</f>
        <v>0</v>
      </c>
      <c r="T74" s="83" t="n">
        <f aca="false">MAX(0,T73-S73)</f>
        <v>0</v>
      </c>
      <c r="U74" s="83" t="n">
        <f aca="false">MAX(0,U73-T73)</f>
        <v>0</v>
      </c>
      <c r="V74" s="83" t="n">
        <f aca="false">MAX(0,V73-U73)</f>
        <v>0</v>
      </c>
      <c r="W74" s="83" t="n">
        <f aca="false">MAX(0,W73-V73)</f>
        <v>0</v>
      </c>
      <c r="X74" s="83" t="n">
        <f aca="false">MAX(0,X73-W73)</f>
        <v>0</v>
      </c>
      <c r="Y74" s="83" t="n">
        <f aca="false">MAX(0,Y73-X73)</f>
        <v>0</v>
      </c>
      <c r="Z74" s="83" t="n">
        <f aca="false">MAX(0,Z73-Y73)</f>
        <v>0</v>
      </c>
      <c r="AA74" s="83" t="n">
        <f aca="false">MAX(0,AA73-Z73)</f>
        <v>0</v>
      </c>
      <c r="AB74" s="79" t="n">
        <f aca="false">SUM(AC74:AN74)</f>
        <v>5</v>
      </c>
      <c r="AC74" s="83" t="n">
        <f aca="false">MAX(0,AC73-AA73)</f>
        <v>5</v>
      </c>
      <c r="AD74" s="83" t="n">
        <f aca="false">MAX(0,AD73-AC73)</f>
        <v>0</v>
      </c>
      <c r="AE74" s="83" t="n">
        <f aca="false">MAX(0,AE73-AD73)</f>
        <v>0</v>
      </c>
      <c r="AF74" s="83" t="n">
        <f aca="false">MAX(0,AF73-AE73)</f>
        <v>0</v>
      </c>
      <c r="AG74" s="83" t="n">
        <f aca="false">MAX(0,AG73-AF73)</f>
        <v>0</v>
      </c>
      <c r="AH74" s="83" t="n">
        <f aca="false">MAX(0,AH73-AG73)</f>
        <v>0</v>
      </c>
      <c r="AI74" s="83" t="n">
        <f aca="false">MAX(0,AI73-AH73)</f>
        <v>0</v>
      </c>
      <c r="AJ74" s="83" t="n">
        <f aca="false">MAX(0,AJ73-AI73)</f>
        <v>0</v>
      </c>
      <c r="AK74" s="83" t="n">
        <f aca="false">MAX(0,AK73-AJ73)</f>
        <v>0</v>
      </c>
      <c r="AL74" s="83" t="n">
        <f aca="false">MAX(0,AL73-AK73)</f>
        <v>0</v>
      </c>
      <c r="AM74" s="83" t="n">
        <f aca="false">MAX(0,AM73-AL73)</f>
        <v>0</v>
      </c>
      <c r="AN74" s="83" t="n">
        <f aca="false">MAX(0,AN73-AM73)</f>
        <v>0</v>
      </c>
      <c r="AO74" s="79" t="n">
        <f aca="false">SUM(AP74:BA74)</f>
        <v>4</v>
      </c>
      <c r="AP74" s="83" t="n">
        <f aca="false">MAX(0,AP73-AN73)</f>
        <v>4</v>
      </c>
      <c r="AQ74" s="83" t="n">
        <f aca="false">MAX(0,AQ73-AP73)</f>
        <v>0</v>
      </c>
      <c r="AR74" s="83" t="n">
        <f aca="false">MAX(0,AR73-AQ73)</f>
        <v>0</v>
      </c>
      <c r="AS74" s="83" t="n">
        <f aca="false">MAX(0,AS73-AR73)</f>
        <v>0</v>
      </c>
      <c r="AT74" s="83" t="n">
        <f aca="false">MAX(0,AT73-AS73)</f>
        <v>0</v>
      </c>
      <c r="AU74" s="83" t="n">
        <f aca="false">MAX(0,AU73-AT73)</f>
        <v>0</v>
      </c>
      <c r="AV74" s="83" t="n">
        <f aca="false">MAX(0,AV73-AU73)</f>
        <v>0</v>
      </c>
      <c r="AW74" s="83" t="n">
        <f aca="false">MAX(0,AW73-AV73)</f>
        <v>0</v>
      </c>
      <c r="AX74" s="83" t="n">
        <f aca="false">MAX(0,AX73-AW73)</f>
        <v>0</v>
      </c>
      <c r="AY74" s="83" t="n">
        <f aca="false">MAX(0,AY73-AX73)</f>
        <v>0</v>
      </c>
      <c r="AZ74" s="83" t="n">
        <f aca="false">MAX(0,AZ73-AY73)</f>
        <v>0</v>
      </c>
      <c r="BA74" s="83" t="n">
        <f aca="false">MAX(0,BA73-AZ73)</f>
        <v>0</v>
      </c>
      <c r="BB74" s="79" t="n">
        <f aca="false">SUM(BC74:BN74)</f>
        <v>4</v>
      </c>
      <c r="BC74" s="83" t="n">
        <f aca="false">MAX(0,BC73-BA73)</f>
        <v>4</v>
      </c>
      <c r="BD74" s="83" t="n">
        <f aca="false">MAX(0,BD73-BC73)</f>
        <v>0</v>
      </c>
      <c r="BE74" s="83" t="n">
        <f aca="false">MAX(0,BE73-BD73)</f>
        <v>0</v>
      </c>
      <c r="BF74" s="83" t="n">
        <f aca="false">MAX(0,BF73-BE73)</f>
        <v>0</v>
      </c>
      <c r="BG74" s="83" t="n">
        <f aca="false">MAX(0,BG73-BF73)</f>
        <v>0</v>
      </c>
      <c r="BH74" s="83" t="n">
        <f aca="false">MAX(0,BH73-BG73)</f>
        <v>0</v>
      </c>
      <c r="BI74" s="83" t="n">
        <f aca="false">MAX(0,BI73-BH73)</f>
        <v>0</v>
      </c>
      <c r="BJ74" s="83" t="n">
        <f aca="false">MAX(0,BJ73-BI73)</f>
        <v>0</v>
      </c>
      <c r="BK74" s="83" t="n">
        <f aca="false">MAX(0,BK73-BJ73)</f>
        <v>0</v>
      </c>
      <c r="BL74" s="83" t="n">
        <f aca="false">MAX(0,BL73-BK73)</f>
        <v>0</v>
      </c>
      <c r="BM74" s="83" t="n">
        <f aca="false">MAX(0,BM73-BL73)</f>
        <v>0</v>
      </c>
      <c r="BN74" s="83" t="n">
        <f aca="false">MAX(0,BN73-BM73)</f>
        <v>0</v>
      </c>
    </row>
    <row r="75" customFormat="false" ht="15" hidden="false" customHeight="false" outlineLevel="0" collapsed="false">
      <c r="A75" s="18" t="s">
        <v>787</v>
      </c>
      <c r="B75" s="65" t="n">
        <f aca="false">SUM(C75:N75)</f>
        <v>0</v>
      </c>
      <c r="C75" s="78" t="n">
        <f aca="false">C43+C44+C45+C46+C47+C48</f>
        <v>0</v>
      </c>
      <c r="D75" s="78" t="n">
        <f aca="false">D43+D44+D45+D46+D47+D48</f>
        <v>0</v>
      </c>
      <c r="E75" s="78" t="n">
        <f aca="false">E43+E44+E45+E46+E47+E48</f>
        <v>0</v>
      </c>
      <c r="F75" s="78" t="n">
        <f aca="false">F43+F44+F45+F46+F47+F48</f>
        <v>0</v>
      </c>
      <c r="G75" s="78" t="n">
        <f aca="false">G43+G44+G45+G46+G47+G48</f>
        <v>0</v>
      </c>
      <c r="H75" s="78" t="n">
        <f aca="false">H43+H44+H45+H46+H47+H48</f>
        <v>0</v>
      </c>
      <c r="I75" s="78" t="n">
        <f aca="false">I43+I44+I45+I46+I47+I48</f>
        <v>0</v>
      </c>
      <c r="J75" s="78" t="n">
        <f aca="false">J43+J44+J45+J46+J47+J48</f>
        <v>0</v>
      </c>
      <c r="K75" s="78" t="n">
        <f aca="false">K43+K44+K45+K46+K47+K48</f>
        <v>0</v>
      </c>
      <c r="L75" s="78" t="n">
        <f aca="false">L43+L44+L45+L46+L47+L48</f>
        <v>0</v>
      </c>
      <c r="M75" s="78" t="n">
        <f aca="false">M43+M44+M45+M46+M47+M48</f>
        <v>0</v>
      </c>
      <c r="N75" s="78" t="n">
        <f aca="false">N43+N44+N45+N46+N47+N48</f>
        <v>0</v>
      </c>
      <c r="O75" s="65" t="n">
        <f aca="false">SUM(P75:AA75)</f>
        <v>22176</v>
      </c>
      <c r="P75" s="78" t="n">
        <f aca="false">P43+P44+P45+P46+P47+P48</f>
        <v>1848</v>
      </c>
      <c r="Q75" s="78" t="n">
        <f aca="false">Q43+Q44+Q45+Q46+Q47+Q48</f>
        <v>1848</v>
      </c>
      <c r="R75" s="78" t="n">
        <f aca="false">R43+R44+R45+R46+R47+R48</f>
        <v>1848</v>
      </c>
      <c r="S75" s="78" t="n">
        <f aca="false">S43+S44+S45+S46+S47+S48</f>
        <v>1848</v>
      </c>
      <c r="T75" s="78" t="n">
        <f aca="false">T43+T44+T45+T46+T47+T48</f>
        <v>1848</v>
      </c>
      <c r="U75" s="78" t="n">
        <f aca="false">U43+U44+U45+U46+U47+U48</f>
        <v>1848</v>
      </c>
      <c r="V75" s="78" t="n">
        <f aca="false">V43+V44+V45+V46+V47+V48</f>
        <v>1848</v>
      </c>
      <c r="W75" s="78" t="n">
        <f aca="false">W43+W44+W45+W46+W47+W48</f>
        <v>1848</v>
      </c>
      <c r="X75" s="78" t="n">
        <f aca="false">X43+X44+X45+X46+X47+X48</f>
        <v>1848</v>
      </c>
      <c r="Y75" s="78" t="n">
        <f aca="false">Y43+Y44+Y45+Y46+Y47+Y48</f>
        <v>1848</v>
      </c>
      <c r="Z75" s="78" t="n">
        <f aca="false">Z43+Z44+Z45+Z46+Z47+Z48</f>
        <v>1848</v>
      </c>
      <c r="AA75" s="78" t="n">
        <f aca="false">AA43+AA44+AA45+AA46+AA47+AA48</f>
        <v>1848</v>
      </c>
      <c r="AB75" s="65" t="n">
        <f aca="false">SUM(AC75:AN75)</f>
        <v>152460</v>
      </c>
      <c r="AC75" s="78" t="n">
        <f aca="false">AC43+AC44+AC45+AC46+AC47+AC48</f>
        <v>12705</v>
      </c>
      <c r="AD75" s="78" t="n">
        <f aca="false">AD43+AD44+AD45+AD46+AD47+AD48</f>
        <v>12705</v>
      </c>
      <c r="AE75" s="78" t="n">
        <f aca="false">AE43+AE44+AE45+AE46+AE47+AE48</f>
        <v>12705</v>
      </c>
      <c r="AF75" s="78" t="n">
        <f aca="false">AF43+AF44+AF45+AF46+AF47+AF48</f>
        <v>12705</v>
      </c>
      <c r="AG75" s="78" t="n">
        <f aca="false">AG43+AG44+AG45+AG46+AG47+AG48</f>
        <v>12705</v>
      </c>
      <c r="AH75" s="78" t="n">
        <f aca="false">AH43+AH44+AH45+AH46+AH47+AH48</f>
        <v>12705</v>
      </c>
      <c r="AI75" s="78" t="n">
        <f aca="false">AI43+AI44+AI45+AI46+AI47+AI48</f>
        <v>12705</v>
      </c>
      <c r="AJ75" s="78" t="n">
        <f aca="false">AJ43+AJ44+AJ45+AJ46+AJ47+AJ48</f>
        <v>12705</v>
      </c>
      <c r="AK75" s="78" t="n">
        <f aca="false">AK43+AK44+AK45+AK46+AK47+AK48</f>
        <v>12705</v>
      </c>
      <c r="AL75" s="78" t="n">
        <f aca="false">AL43+AL44+AL45+AL46+AL47+AL48</f>
        <v>12705</v>
      </c>
      <c r="AM75" s="78" t="n">
        <f aca="false">AM43+AM44+AM45+AM46+AM47+AM48</f>
        <v>12705</v>
      </c>
      <c r="AN75" s="78" t="n">
        <f aca="false">AN43+AN44+AN45+AN46+AN47+AN48</f>
        <v>12705</v>
      </c>
      <c r="AO75" s="65" t="n">
        <f aca="false">SUM(AP75:BA75)</f>
        <v>189189</v>
      </c>
      <c r="AP75" s="78" t="n">
        <f aca="false">AP43+AP44+AP45+AP46+AP47+AP48</f>
        <v>15765.75</v>
      </c>
      <c r="AQ75" s="78" t="n">
        <f aca="false">AQ43+AQ44+AQ45+AQ46+AQ47+AQ48</f>
        <v>15765.75</v>
      </c>
      <c r="AR75" s="78" t="n">
        <f aca="false">AR43+AR44+AR45+AR46+AR47+AR48</f>
        <v>15765.75</v>
      </c>
      <c r="AS75" s="78" t="n">
        <f aca="false">AS43+AS44+AS45+AS46+AS47+AS48</f>
        <v>15765.75</v>
      </c>
      <c r="AT75" s="78" t="n">
        <f aca="false">AT43+AT44+AT45+AT46+AT47+AT48</f>
        <v>15765.75</v>
      </c>
      <c r="AU75" s="78" t="n">
        <f aca="false">AU43+AU44+AU45+AU46+AU47+AU48</f>
        <v>15765.75</v>
      </c>
      <c r="AV75" s="78" t="n">
        <f aca="false">AV43+AV44+AV45+AV46+AV47+AV48</f>
        <v>15765.75</v>
      </c>
      <c r="AW75" s="78" t="n">
        <f aca="false">AW43+AW44+AW45+AW46+AW47+AW48</f>
        <v>15765.75</v>
      </c>
      <c r="AX75" s="78" t="n">
        <f aca="false">AX43+AX44+AX45+AX46+AX47+AX48</f>
        <v>15765.75</v>
      </c>
      <c r="AY75" s="78" t="n">
        <f aca="false">AY43+AY44+AY45+AY46+AY47+AY48</f>
        <v>15765.75</v>
      </c>
      <c r="AZ75" s="78" t="n">
        <f aca="false">AZ43+AZ44+AZ45+AZ46+AZ47+AZ48</f>
        <v>15765.75</v>
      </c>
      <c r="BA75" s="78" t="n">
        <f aca="false">BA43+BA44+BA45+BA46+BA47+BA48</f>
        <v>15765.75</v>
      </c>
      <c r="BB75" s="65" t="n">
        <f aca="false">SUM(BC75:BN75)</f>
        <v>218988</v>
      </c>
      <c r="BC75" s="78" t="n">
        <f aca="false">BC43+BC44+BC45+BC46+BC47+BC48</f>
        <v>18249</v>
      </c>
      <c r="BD75" s="78" t="n">
        <f aca="false">BD43+BD44+BD45+BD46+BD47+BD48</f>
        <v>18249</v>
      </c>
      <c r="BE75" s="78" t="n">
        <f aca="false">BE43+BE44+BE45+BE46+BE47+BE48</f>
        <v>18249</v>
      </c>
      <c r="BF75" s="78" t="n">
        <f aca="false">BF43+BF44+BF45+BF46+BF47+BF48</f>
        <v>18249</v>
      </c>
      <c r="BG75" s="78" t="n">
        <f aca="false">BG43+BG44+BG45+BG46+BG47+BG48</f>
        <v>18249</v>
      </c>
      <c r="BH75" s="78" t="n">
        <f aca="false">BH43+BH44+BH45+BH46+BH47+BH48</f>
        <v>18249</v>
      </c>
      <c r="BI75" s="78" t="n">
        <f aca="false">BI43+BI44+BI45+BI46+BI47+BI48</f>
        <v>18249</v>
      </c>
      <c r="BJ75" s="78" t="n">
        <f aca="false">BJ43+BJ44+BJ45+BJ46+BJ47+BJ48</f>
        <v>18249</v>
      </c>
      <c r="BK75" s="78" t="n">
        <f aca="false">BK43+BK44+BK45+BK46+BK47+BK48</f>
        <v>18249</v>
      </c>
      <c r="BL75" s="78" t="n">
        <f aca="false">BL43+BL44+BL45+BL46+BL47+BL48</f>
        <v>18249</v>
      </c>
      <c r="BM75" s="78" t="n">
        <f aca="false">BM43+BM44+BM45+BM46+BM47+BM48</f>
        <v>18249</v>
      </c>
      <c r="BN75" s="78" t="n">
        <f aca="false">BN43+BN44+BN45+BN46+BN47+BN48</f>
        <v>18249</v>
      </c>
    </row>
    <row r="76" customFormat="false" ht="15" hidden="false" customHeight="false" outlineLevel="0" collapsed="false">
      <c r="A76" s="12" t="s">
        <v>788</v>
      </c>
      <c r="B76" s="79" t="n">
        <f aca="false">N76</f>
        <v>0</v>
      </c>
      <c r="C76" s="80" t="n">
        <f aca="false">IF(1&lt;$C$17,0,$I$17)+IF(1&lt;$C$18,0,$I$18)+IF(1&lt;$C$19,0,$I$19)+IF(1&lt;$C$20,0,$I$20)+IF(1&lt;$C$21,0,$I$21)+IF(1&lt;$C$22,0,$I$22)</f>
        <v>0</v>
      </c>
      <c r="D76" s="80" t="n">
        <f aca="false">IF(2&lt;$C$17,0,$I$17)+IF(2&lt;$C$18,0,$I$18)+IF(2&lt;$C$19,0,$I$19)+IF(2&lt;$C$20,0,$I$20)+IF(2&lt;$C$21,0,$I$21)+IF(2&lt;$C$22,0,$I$22)</f>
        <v>0</v>
      </c>
      <c r="E76" s="80" t="n">
        <f aca="false">IF(3&lt;$C$17,0,$I$17)+IF(3&lt;$C$18,0,$I$18)+IF(3&lt;$C$19,0,$I$19)+IF(3&lt;$C$20,0,$I$20)+IF(3&lt;$C$21,0,$I$21)+IF(3&lt;$C$22,0,$I$22)</f>
        <v>0</v>
      </c>
      <c r="F76" s="80" t="n">
        <f aca="false">IF(4&lt;$C$17,0,$I$17)+IF(4&lt;$C$18,0,$I$18)+IF(4&lt;$C$19,0,$I$19)+IF(4&lt;$C$20,0,$I$20)+IF(4&lt;$C$21,0,$I$21)+IF(4&lt;$C$22,0,$I$22)</f>
        <v>0</v>
      </c>
      <c r="G76" s="80" t="n">
        <f aca="false">IF(5&lt;$C$17,0,$I$17)+IF(5&lt;$C$18,0,$I$18)+IF(5&lt;$C$19,0,$I$19)+IF(5&lt;$C$20,0,$I$20)+IF(5&lt;$C$21,0,$I$21)+IF(5&lt;$C$22,0,$I$22)</f>
        <v>0</v>
      </c>
      <c r="H76" s="80" t="n">
        <f aca="false">IF(6&lt;$C$17,0,$I$17)+IF(6&lt;$C$18,0,$I$18)+IF(6&lt;$C$19,0,$I$19)+IF(6&lt;$C$20,0,$I$20)+IF(6&lt;$C$21,0,$I$21)+IF(6&lt;$C$22,0,$I$22)</f>
        <v>0</v>
      </c>
      <c r="I76" s="80" t="n">
        <f aca="false">IF(7&lt;$C$17,0,$I$17)+IF(7&lt;$C$18,0,$I$18)+IF(7&lt;$C$19,0,$I$19)+IF(7&lt;$C$20,0,$I$20)+IF(7&lt;$C$21,0,$I$21)+IF(7&lt;$C$22,0,$I$22)</f>
        <v>0</v>
      </c>
      <c r="J76" s="80" t="n">
        <f aca="false">IF(8&lt;$C$17,0,$I$17)+IF(8&lt;$C$18,0,$I$18)+IF(8&lt;$C$19,0,$I$19)+IF(8&lt;$C$20,0,$I$20)+IF(8&lt;$C$21,0,$I$21)+IF(8&lt;$C$22,0,$I$22)</f>
        <v>0</v>
      </c>
      <c r="K76" s="80" t="n">
        <f aca="false">IF(9&lt;$C$17,0,$I$17)+IF(9&lt;$C$18,0,$I$18)+IF(9&lt;$C$19,0,$I$19)+IF(9&lt;$C$20,0,$I$20)+IF(9&lt;$C$21,0,$I$21)+IF(9&lt;$C$22,0,$I$22)</f>
        <v>0</v>
      </c>
      <c r="L76" s="80" t="n">
        <f aca="false">IF(10&lt;$C$17,0,$I$17)+IF(10&lt;$C$18,0,$I$18)+IF(10&lt;$C$19,0,$I$19)+IF(10&lt;$C$20,0,$I$20)+IF(10&lt;$C$21,0,$I$21)+IF(10&lt;$C$22,0,$I$22)</f>
        <v>0</v>
      </c>
      <c r="M76" s="80" t="n">
        <f aca="false">IF(11&lt;$C$17,0,$I$17)+IF(11&lt;$C$18,0,$I$18)+IF(11&lt;$C$19,0,$I$19)+IF(11&lt;$C$20,0,$I$20)+IF(11&lt;$C$21,0,$I$21)+IF(11&lt;$C$22,0,$I$22)</f>
        <v>0</v>
      </c>
      <c r="N76" s="80" t="n">
        <f aca="false">IF(12&lt;$C$17,0,$I$17)+IF(12&lt;$C$18,0,$I$18)+IF(12&lt;$C$19,0,$I$19)+IF(12&lt;$C$20,0,$I$20)+IF(12&lt;$C$21,0,$I$21)+IF(12&lt;$C$22,0,$I$22)</f>
        <v>0</v>
      </c>
      <c r="O76" s="79" t="n">
        <f aca="false">AA76</f>
        <v>1</v>
      </c>
      <c r="P76" s="80" t="n">
        <f aca="false">IF(13&lt;$C$17,0,$J$17)+IF(13&lt;$C$18,0,$J$18)+IF(13&lt;$C$19,0,$J$19)+IF(13&lt;$C$20,0,$J$20)+IF(13&lt;$C$21,0,$J$21)+IF(13&lt;$C$22,0,$J$22)</f>
        <v>1</v>
      </c>
      <c r="Q76" s="80" t="n">
        <f aca="false">IF(14&lt;$C$17,0,$J$17)+IF(14&lt;$C$18,0,$J$18)+IF(14&lt;$C$19,0,$J$19)+IF(14&lt;$C$20,0,$J$20)+IF(14&lt;$C$21,0,$J$21)+IF(14&lt;$C$22,0,$J$22)</f>
        <v>1</v>
      </c>
      <c r="R76" s="80" t="n">
        <f aca="false">IF(15&lt;$C$17,0,$J$17)+IF(15&lt;$C$18,0,$J$18)+IF(15&lt;$C$19,0,$J$19)+IF(15&lt;$C$20,0,$J$20)+IF(15&lt;$C$21,0,$J$21)+IF(15&lt;$C$22,0,$J$22)</f>
        <v>1</v>
      </c>
      <c r="S76" s="80" t="n">
        <f aca="false">IF(16&lt;$C$17,0,$J$17)+IF(16&lt;$C$18,0,$J$18)+IF(16&lt;$C$19,0,$J$19)+IF(16&lt;$C$20,0,$J$20)+IF(16&lt;$C$21,0,$J$21)+IF(16&lt;$C$22,0,$J$22)</f>
        <v>1</v>
      </c>
      <c r="T76" s="80" t="n">
        <f aca="false">IF(17&lt;$C$17,0,$J$17)+IF(17&lt;$C$18,0,$J$18)+IF(17&lt;$C$19,0,$J$19)+IF(17&lt;$C$20,0,$J$20)+IF(17&lt;$C$21,0,$J$21)+IF(17&lt;$C$22,0,$J$22)</f>
        <v>1</v>
      </c>
      <c r="U76" s="80" t="n">
        <f aca="false">IF(18&lt;$C$17,0,$J$17)+IF(18&lt;$C$18,0,$J$18)+IF(18&lt;$C$19,0,$J$19)+IF(18&lt;$C$20,0,$J$20)+IF(18&lt;$C$21,0,$J$21)+IF(18&lt;$C$22,0,$J$22)</f>
        <v>1</v>
      </c>
      <c r="V76" s="80" t="n">
        <f aca="false">IF(19&lt;$C$17,0,$J$17)+IF(19&lt;$C$18,0,$J$18)+IF(19&lt;$C$19,0,$J$19)+IF(19&lt;$C$20,0,$J$20)+IF(19&lt;$C$21,0,$J$21)+IF(19&lt;$C$22,0,$J$22)</f>
        <v>1</v>
      </c>
      <c r="W76" s="80" t="n">
        <f aca="false">IF(20&lt;$C$17,0,$J$17)+IF(20&lt;$C$18,0,$J$18)+IF(20&lt;$C$19,0,$J$19)+IF(20&lt;$C$20,0,$J$20)+IF(20&lt;$C$21,0,$J$21)+IF(20&lt;$C$22,0,$J$22)</f>
        <v>1</v>
      </c>
      <c r="X76" s="80" t="n">
        <f aca="false">IF(21&lt;$C$17,0,$J$17)+IF(21&lt;$C$18,0,$J$18)+IF(21&lt;$C$19,0,$J$19)+IF(21&lt;$C$20,0,$J$20)+IF(21&lt;$C$21,0,$J$21)+IF(21&lt;$C$22,0,$J$22)</f>
        <v>1</v>
      </c>
      <c r="Y76" s="80" t="n">
        <f aca="false">IF(22&lt;$C$17,0,$J$17)+IF(22&lt;$C$18,0,$J$18)+IF(22&lt;$C$19,0,$J$19)+IF(22&lt;$C$20,0,$J$20)+IF(22&lt;$C$21,0,$J$21)+IF(22&lt;$C$22,0,$J$22)</f>
        <v>1</v>
      </c>
      <c r="Z76" s="80" t="n">
        <f aca="false">IF(23&lt;$C$17,0,$J$17)+IF(23&lt;$C$18,0,$J$18)+IF(23&lt;$C$19,0,$J$19)+IF(23&lt;$C$20,0,$J$20)+IF(23&lt;$C$21,0,$J$21)+IF(23&lt;$C$22,0,$J$22)</f>
        <v>1</v>
      </c>
      <c r="AA76" s="80" t="n">
        <f aca="false">IF(24&lt;$C$17,0,$J$17)+IF(24&lt;$C$18,0,$J$18)+IF(24&lt;$C$19,0,$J$19)+IF(24&lt;$C$20,0,$J$20)+IF(24&lt;$C$21,0,$J$21)+IF(24&lt;$C$22,0,$J$22)</f>
        <v>1</v>
      </c>
      <c r="AB76" s="79" t="n">
        <f aca="false">AN76</f>
        <v>4</v>
      </c>
      <c r="AC76" s="80" t="n">
        <f aca="false">IF(25&lt;$C$17,0,$K$17)+IF(25&lt;$C$18,0,$K$18)+IF(25&lt;$C$19,0,$K$19)+IF(25&lt;$C$20,0,$K$20)+IF(25&lt;$C$21,0,$K$21)+IF(25&lt;$C$22,0,$K$22)</f>
        <v>4</v>
      </c>
      <c r="AD76" s="80" t="n">
        <f aca="false">IF(26&lt;$C$17,0,$K$17)+IF(26&lt;$C$18,0,$K$18)+IF(26&lt;$C$19,0,$K$19)+IF(26&lt;$C$20,0,$K$20)+IF(26&lt;$C$21,0,$K$21)+IF(26&lt;$C$22,0,$K$22)</f>
        <v>4</v>
      </c>
      <c r="AE76" s="80" t="n">
        <f aca="false">IF(27&lt;$C$17,0,$K$17)+IF(27&lt;$C$18,0,$K$18)+IF(27&lt;$C$19,0,$K$19)+IF(27&lt;$C$20,0,$K$20)+IF(27&lt;$C$21,0,$K$21)+IF(27&lt;$C$22,0,$K$22)</f>
        <v>4</v>
      </c>
      <c r="AF76" s="80" t="n">
        <f aca="false">IF(28&lt;$C$17,0,$K$17)+IF(28&lt;$C$18,0,$K$18)+IF(28&lt;$C$19,0,$K$19)+IF(28&lt;$C$20,0,$K$20)+IF(28&lt;$C$21,0,$K$21)+IF(28&lt;$C$22,0,$K$22)</f>
        <v>4</v>
      </c>
      <c r="AG76" s="80" t="n">
        <f aca="false">IF(29&lt;$C$17,0,$K$17)+IF(29&lt;$C$18,0,$K$18)+IF(29&lt;$C$19,0,$K$19)+IF(29&lt;$C$20,0,$K$20)+IF(29&lt;$C$21,0,$K$21)+IF(29&lt;$C$22,0,$K$22)</f>
        <v>4</v>
      </c>
      <c r="AH76" s="80" t="n">
        <f aca="false">IF(30&lt;$C$17,0,$K$17)+IF(30&lt;$C$18,0,$K$18)+IF(30&lt;$C$19,0,$K$19)+IF(30&lt;$C$20,0,$K$20)+IF(30&lt;$C$21,0,$K$21)+IF(30&lt;$C$22,0,$K$22)</f>
        <v>4</v>
      </c>
      <c r="AI76" s="80" t="n">
        <f aca="false">IF(31&lt;$C$17,0,$K$17)+IF(31&lt;$C$18,0,$K$18)+IF(31&lt;$C$19,0,$K$19)+IF(31&lt;$C$20,0,$K$20)+IF(31&lt;$C$21,0,$K$21)+IF(31&lt;$C$22,0,$K$22)</f>
        <v>4</v>
      </c>
      <c r="AJ76" s="80" t="n">
        <f aca="false">IF(32&lt;$C$17,0,$K$17)+IF(32&lt;$C$18,0,$K$18)+IF(32&lt;$C$19,0,$K$19)+IF(32&lt;$C$20,0,$K$20)+IF(32&lt;$C$21,0,$K$21)+IF(32&lt;$C$22,0,$K$22)</f>
        <v>4</v>
      </c>
      <c r="AK76" s="80" t="n">
        <f aca="false">IF(33&lt;$C$17,0,$K$17)+IF(33&lt;$C$18,0,$K$18)+IF(33&lt;$C$19,0,$K$19)+IF(33&lt;$C$20,0,$K$20)+IF(33&lt;$C$21,0,$K$21)+IF(33&lt;$C$22,0,$K$22)</f>
        <v>4</v>
      </c>
      <c r="AL76" s="80" t="n">
        <f aca="false">IF(34&lt;$C$17,0,$K$17)+IF(34&lt;$C$18,0,$K$18)+IF(34&lt;$C$19,0,$K$19)+IF(34&lt;$C$20,0,$K$20)+IF(34&lt;$C$21,0,$K$21)+IF(34&lt;$C$22,0,$K$22)</f>
        <v>4</v>
      </c>
      <c r="AM76" s="80" t="n">
        <f aca="false">IF(35&lt;$C$17,0,$K$17)+IF(35&lt;$C$18,0,$K$18)+IF(35&lt;$C$19,0,$K$19)+IF(35&lt;$C$20,0,$K$20)+IF(35&lt;$C$21,0,$K$21)+IF(35&lt;$C$22,0,$K$22)</f>
        <v>4</v>
      </c>
      <c r="AN76" s="80" t="n">
        <f aca="false">IF(36&lt;$C$17,0,$K$17)+IF(36&lt;$C$18,0,$K$18)+IF(36&lt;$C$19,0,$K$19)+IF(36&lt;$C$20,0,$K$20)+IF(36&lt;$C$21,0,$K$21)+IF(36&lt;$C$22,0,$K$22)</f>
        <v>4</v>
      </c>
      <c r="AO76" s="79" t="n">
        <f aca="false">BA76</f>
        <v>5</v>
      </c>
      <c r="AP76" s="80" t="n">
        <f aca="false">IF(37&lt;$C$17,0,$L$17)+IF(37&lt;$C$18,0,$L$18)+IF(37&lt;$C$19,0,$L$19)+IF(37&lt;$C$20,0,$L$20)+IF(37&lt;$C$21,0,$L$21)+IF(37&lt;$C$22,0,$L$22)</f>
        <v>5</v>
      </c>
      <c r="AQ76" s="80" t="n">
        <f aca="false">IF(38&lt;$C$17,0,$L$17)+IF(38&lt;$C$18,0,$L$18)+IF(38&lt;$C$19,0,$L$19)+IF(38&lt;$C$20,0,$L$20)+IF(38&lt;$C$21,0,$L$21)+IF(38&lt;$C$22,0,$L$22)</f>
        <v>5</v>
      </c>
      <c r="AR76" s="80" t="n">
        <f aca="false">IF(39&lt;$C$17,0,$L$17)+IF(39&lt;$C$18,0,$L$18)+IF(39&lt;$C$19,0,$L$19)+IF(39&lt;$C$20,0,$L$20)+IF(39&lt;$C$21,0,$L$21)+IF(39&lt;$C$22,0,$L$22)</f>
        <v>5</v>
      </c>
      <c r="AS76" s="80" t="n">
        <f aca="false">IF(40&lt;$C$17,0,$L$17)+IF(40&lt;$C$18,0,$L$18)+IF(40&lt;$C$19,0,$L$19)+IF(40&lt;$C$20,0,$L$20)+IF(40&lt;$C$21,0,$L$21)+IF(40&lt;$C$22,0,$L$22)</f>
        <v>5</v>
      </c>
      <c r="AT76" s="80" t="n">
        <f aca="false">IF(41&lt;$C$17,0,$L$17)+IF(41&lt;$C$18,0,$L$18)+IF(41&lt;$C$19,0,$L$19)+IF(41&lt;$C$20,0,$L$20)+IF(41&lt;$C$21,0,$L$21)+IF(41&lt;$C$22,0,$L$22)</f>
        <v>5</v>
      </c>
      <c r="AU76" s="80" t="n">
        <f aca="false">IF(42&lt;$C$17,0,$L$17)+IF(42&lt;$C$18,0,$L$18)+IF(42&lt;$C$19,0,$L$19)+IF(42&lt;$C$20,0,$L$20)+IF(42&lt;$C$21,0,$L$21)+IF(42&lt;$C$22,0,$L$22)</f>
        <v>5</v>
      </c>
      <c r="AV76" s="80" t="n">
        <f aca="false">IF(43&lt;$C$17,0,$L$17)+IF(43&lt;$C$18,0,$L$18)+IF(43&lt;$C$19,0,$L$19)+IF(43&lt;$C$20,0,$L$20)+IF(43&lt;$C$21,0,$L$21)+IF(43&lt;$C$22,0,$L$22)</f>
        <v>5</v>
      </c>
      <c r="AW76" s="80" t="n">
        <f aca="false">IF(44&lt;$C$17,0,$L$17)+IF(44&lt;$C$18,0,$L$18)+IF(44&lt;$C$19,0,$L$19)+IF(44&lt;$C$20,0,$L$20)+IF(44&lt;$C$21,0,$L$21)+IF(44&lt;$C$22,0,$L$22)</f>
        <v>5</v>
      </c>
      <c r="AX76" s="80" t="n">
        <f aca="false">IF(45&lt;$C$17,0,$L$17)+IF(45&lt;$C$18,0,$L$18)+IF(45&lt;$C$19,0,$L$19)+IF(45&lt;$C$20,0,$L$20)+IF(45&lt;$C$21,0,$L$21)+IF(45&lt;$C$22,0,$L$22)</f>
        <v>5</v>
      </c>
      <c r="AY76" s="80" t="n">
        <f aca="false">IF(46&lt;$C$17,0,$L$17)+IF(46&lt;$C$18,0,$L$18)+IF(46&lt;$C$19,0,$L$19)+IF(46&lt;$C$20,0,$L$20)+IF(46&lt;$C$21,0,$L$21)+IF(46&lt;$C$22,0,$L$22)</f>
        <v>5</v>
      </c>
      <c r="AZ76" s="80" t="n">
        <f aca="false">IF(47&lt;$C$17,0,$L$17)+IF(47&lt;$C$18,0,$L$18)+IF(47&lt;$C$19,0,$L$19)+IF(47&lt;$C$20,0,$L$20)+IF(47&lt;$C$21,0,$L$21)+IF(47&lt;$C$22,0,$L$22)</f>
        <v>5</v>
      </c>
      <c r="BA76" s="80" t="n">
        <f aca="false">IF(48&lt;$C$17,0,$L$17)+IF(48&lt;$C$18,0,$L$18)+IF(48&lt;$C$19,0,$L$19)+IF(48&lt;$C$20,0,$L$20)+IF(48&lt;$C$21,0,$L$21)+IF(48&lt;$C$22,0,$L$22)</f>
        <v>5</v>
      </c>
      <c r="BB76" s="79" t="n">
        <f aca="false">BN76</f>
        <v>6</v>
      </c>
      <c r="BC76" s="80" t="n">
        <f aca="false">IF(49&lt;$C$17,0,$M$17)+IF(49&lt;$C$18,0,$M$18)+IF(49&lt;$C$19,0,$M$19)+IF(49&lt;$C$20,0,$M$20)+IF(49&lt;$C$21,0,$M$21)+IF(49&lt;$C$22,0,$M$22)</f>
        <v>6</v>
      </c>
      <c r="BD76" s="80" t="n">
        <f aca="false">IF(50&lt;$C$17,0,$M$17)+IF(50&lt;$C$18,0,$M$18)+IF(50&lt;$C$19,0,$M$19)+IF(50&lt;$C$20,0,$M$20)+IF(50&lt;$C$21,0,$M$21)+IF(50&lt;$C$22,0,$M$22)</f>
        <v>6</v>
      </c>
      <c r="BE76" s="80" t="n">
        <f aca="false">IF(51&lt;$C$17,0,$M$17)+IF(51&lt;$C$18,0,$M$18)+IF(51&lt;$C$19,0,$M$19)+IF(51&lt;$C$20,0,$M$20)+IF(51&lt;$C$21,0,$M$21)+IF(51&lt;$C$22,0,$M$22)</f>
        <v>6</v>
      </c>
      <c r="BF76" s="80" t="n">
        <f aca="false">IF(52&lt;$C$17,0,$M$17)+IF(52&lt;$C$18,0,$M$18)+IF(52&lt;$C$19,0,$M$19)+IF(52&lt;$C$20,0,$M$20)+IF(52&lt;$C$21,0,$M$21)+IF(52&lt;$C$22,0,$M$22)</f>
        <v>6</v>
      </c>
      <c r="BG76" s="80" t="n">
        <f aca="false">IF(53&lt;$C$17,0,$M$17)+IF(53&lt;$C$18,0,$M$18)+IF(53&lt;$C$19,0,$M$19)+IF(53&lt;$C$20,0,$M$20)+IF(53&lt;$C$21,0,$M$21)+IF(53&lt;$C$22,0,$M$22)</f>
        <v>6</v>
      </c>
      <c r="BH76" s="80" t="n">
        <f aca="false">IF(54&lt;$C$17,0,$M$17)+IF(54&lt;$C$18,0,$M$18)+IF(54&lt;$C$19,0,$M$19)+IF(54&lt;$C$20,0,$M$20)+IF(54&lt;$C$21,0,$M$21)+IF(54&lt;$C$22,0,$M$22)</f>
        <v>6</v>
      </c>
      <c r="BI76" s="80" t="n">
        <f aca="false">IF(55&lt;$C$17,0,$M$17)+IF(55&lt;$C$18,0,$M$18)+IF(55&lt;$C$19,0,$M$19)+IF(55&lt;$C$20,0,$M$20)+IF(55&lt;$C$21,0,$M$21)+IF(55&lt;$C$22,0,$M$22)</f>
        <v>6</v>
      </c>
      <c r="BJ76" s="80" t="n">
        <f aca="false">IF(56&lt;$C$17,0,$M$17)+IF(56&lt;$C$18,0,$M$18)+IF(56&lt;$C$19,0,$M$19)+IF(56&lt;$C$20,0,$M$20)+IF(56&lt;$C$21,0,$M$21)+IF(56&lt;$C$22,0,$M$22)</f>
        <v>6</v>
      </c>
      <c r="BK76" s="80" t="n">
        <f aca="false">IF(57&lt;$C$17,0,$M$17)+IF(57&lt;$C$18,0,$M$18)+IF(57&lt;$C$19,0,$M$19)+IF(57&lt;$C$20,0,$M$20)+IF(57&lt;$C$21,0,$M$21)+IF(57&lt;$C$22,0,$M$22)</f>
        <v>6</v>
      </c>
      <c r="BL76" s="80" t="n">
        <f aca="false">IF(58&lt;$C$17,0,$M$17)+IF(58&lt;$C$18,0,$M$18)+IF(58&lt;$C$19,0,$M$19)+IF(58&lt;$C$20,0,$M$20)+IF(58&lt;$C$21,0,$M$21)+IF(58&lt;$C$22,0,$M$22)</f>
        <v>6</v>
      </c>
      <c r="BM76" s="80" t="n">
        <f aca="false">IF(59&lt;$C$17,0,$M$17)+IF(59&lt;$C$18,0,$M$18)+IF(59&lt;$C$19,0,$M$19)+IF(59&lt;$C$20,0,$M$20)+IF(59&lt;$C$21,0,$M$21)+IF(59&lt;$C$22,0,$M$22)</f>
        <v>6</v>
      </c>
      <c r="BN76" s="80" t="n">
        <f aca="false">IF(60&lt;$C$17,0,$M$17)+IF(60&lt;$C$18,0,$M$18)+IF(60&lt;$C$19,0,$M$19)+IF(60&lt;$C$20,0,$M$20)+IF(60&lt;$C$21,0,$M$21)+IF(60&lt;$C$22,0,$M$22)</f>
        <v>6</v>
      </c>
    </row>
    <row r="78" customFormat="false" ht="16.5" hidden="false" customHeight="true" outlineLevel="0" collapsed="false">
      <c r="A78" s="15" t="s">
        <v>789</v>
      </c>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row>
    <row r="79" customFormat="false" ht="15" hidden="false" customHeight="true" outlineLevel="0" collapsed="false">
      <c r="A79" s="26" t="s">
        <v>505</v>
      </c>
      <c r="B79" s="62" t="s">
        <v>80</v>
      </c>
      <c r="C79" s="63" t="s">
        <v>506</v>
      </c>
      <c r="D79" s="63" t="s">
        <v>507</v>
      </c>
      <c r="E79" s="63" t="s">
        <v>508</v>
      </c>
      <c r="F79" s="63" t="s">
        <v>509</v>
      </c>
      <c r="G79" s="63" t="s">
        <v>510</v>
      </c>
      <c r="H79" s="63" t="s">
        <v>511</v>
      </c>
      <c r="I79" s="63" t="s">
        <v>512</v>
      </c>
      <c r="J79" s="63" t="s">
        <v>513</v>
      </c>
      <c r="K79" s="63" t="s">
        <v>514</v>
      </c>
      <c r="L79" s="63" t="s">
        <v>515</v>
      </c>
      <c r="M79" s="63" t="s">
        <v>516</v>
      </c>
      <c r="N79" s="63" t="s">
        <v>517</v>
      </c>
      <c r="O79" s="62" t="s">
        <v>81</v>
      </c>
      <c r="P79" s="64" t="s">
        <v>518</v>
      </c>
      <c r="Q79" s="64" t="s">
        <v>519</v>
      </c>
      <c r="R79" s="64" t="s">
        <v>520</v>
      </c>
      <c r="S79" s="64" t="s">
        <v>521</v>
      </c>
      <c r="T79" s="64" t="s">
        <v>522</v>
      </c>
      <c r="U79" s="64" t="s">
        <v>523</v>
      </c>
      <c r="V79" s="64" t="s">
        <v>524</v>
      </c>
      <c r="W79" s="64" t="s">
        <v>525</v>
      </c>
      <c r="X79" s="64" t="s">
        <v>526</v>
      </c>
      <c r="Y79" s="64" t="s">
        <v>527</v>
      </c>
      <c r="Z79" s="64" t="s">
        <v>528</v>
      </c>
      <c r="AA79" s="64" t="s">
        <v>529</v>
      </c>
      <c r="AB79" s="62" t="s">
        <v>82</v>
      </c>
      <c r="AC79" s="63" t="s">
        <v>530</v>
      </c>
      <c r="AD79" s="63" t="s">
        <v>531</v>
      </c>
      <c r="AE79" s="63" t="s">
        <v>532</v>
      </c>
      <c r="AF79" s="63" t="s">
        <v>533</v>
      </c>
      <c r="AG79" s="63" t="s">
        <v>534</v>
      </c>
      <c r="AH79" s="63" t="s">
        <v>535</v>
      </c>
      <c r="AI79" s="63" t="s">
        <v>536</v>
      </c>
      <c r="AJ79" s="63" t="s">
        <v>537</v>
      </c>
      <c r="AK79" s="63" t="s">
        <v>538</v>
      </c>
      <c r="AL79" s="63" t="s">
        <v>539</v>
      </c>
      <c r="AM79" s="63" t="s">
        <v>540</v>
      </c>
      <c r="AN79" s="63" t="s">
        <v>541</v>
      </c>
      <c r="AO79" s="62" t="s">
        <v>83</v>
      </c>
      <c r="AP79" s="64" t="s">
        <v>542</v>
      </c>
      <c r="AQ79" s="64" t="s">
        <v>543</v>
      </c>
      <c r="AR79" s="64" t="s">
        <v>544</v>
      </c>
      <c r="AS79" s="64" t="s">
        <v>545</v>
      </c>
      <c r="AT79" s="64" t="s">
        <v>546</v>
      </c>
      <c r="AU79" s="64" t="s">
        <v>547</v>
      </c>
      <c r="AV79" s="64" t="s">
        <v>548</v>
      </c>
      <c r="AW79" s="64" t="s">
        <v>549</v>
      </c>
      <c r="AX79" s="64" t="s">
        <v>550</v>
      </c>
      <c r="AY79" s="64" t="s">
        <v>551</v>
      </c>
      <c r="AZ79" s="64" t="s">
        <v>552</v>
      </c>
      <c r="BA79" s="64" t="s">
        <v>553</v>
      </c>
      <c r="BB79" s="62" t="s">
        <v>84</v>
      </c>
      <c r="BC79" s="63" t="s">
        <v>554</v>
      </c>
      <c r="BD79" s="63" t="s">
        <v>555</v>
      </c>
      <c r="BE79" s="63" t="s">
        <v>556</v>
      </c>
      <c r="BF79" s="63" t="s">
        <v>557</v>
      </c>
      <c r="BG79" s="63" t="s">
        <v>558</v>
      </c>
      <c r="BH79" s="63" t="s">
        <v>559</v>
      </c>
      <c r="BI79" s="63" t="s">
        <v>560</v>
      </c>
      <c r="BJ79" s="63" t="s">
        <v>561</v>
      </c>
      <c r="BK79" s="63" t="s">
        <v>562</v>
      </c>
      <c r="BL79" s="63" t="s">
        <v>563</v>
      </c>
      <c r="BM79" s="63" t="s">
        <v>564</v>
      </c>
      <c r="BN79" s="63" t="s">
        <v>565</v>
      </c>
    </row>
    <row r="80" customFormat="false" ht="15" hidden="false" customHeight="false" outlineLevel="0" collapsed="false">
      <c r="A80" s="12" t="s">
        <v>662</v>
      </c>
      <c r="B80" s="79" t="n">
        <f aca="false">N80</f>
        <v>2</v>
      </c>
      <c r="C80" s="80" t="n">
        <f aca="false">IF(1&lt;$C$7,0,$I$7)+IF(1&lt;$C$8,0,$I$8)+IF(1&lt;$C$9,0,$I$9)</f>
        <v>2</v>
      </c>
      <c r="D80" s="80" t="n">
        <f aca="false">IF(2&lt;$C$7,0,$I$7)+IF(2&lt;$C$8,0,$I$8)+IF(2&lt;$C$9,0,$I$9)</f>
        <v>2</v>
      </c>
      <c r="E80" s="80" t="n">
        <f aca="false">IF(3&lt;$C$7,0,$I$7)+IF(3&lt;$C$8,0,$I$8)+IF(3&lt;$C$9,0,$I$9)</f>
        <v>2</v>
      </c>
      <c r="F80" s="80" t="n">
        <f aca="false">IF(4&lt;$C$7,0,$I$7)+IF(4&lt;$C$8,0,$I$8)+IF(4&lt;$C$9,0,$I$9)</f>
        <v>2</v>
      </c>
      <c r="G80" s="80" t="n">
        <f aca="false">IF(5&lt;$C$7,0,$I$7)+IF(5&lt;$C$8,0,$I$8)+IF(5&lt;$C$9,0,$I$9)</f>
        <v>2</v>
      </c>
      <c r="H80" s="80" t="n">
        <f aca="false">IF(6&lt;$C$7,0,$I$7)+IF(6&lt;$C$8,0,$I$8)+IF(6&lt;$C$9,0,$I$9)</f>
        <v>2</v>
      </c>
      <c r="I80" s="80" t="n">
        <f aca="false">IF(7&lt;$C$7,0,$I$7)+IF(7&lt;$C$8,0,$I$8)+IF(7&lt;$C$9,0,$I$9)</f>
        <v>2</v>
      </c>
      <c r="J80" s="80" t="n">
        <f aca="false">IF(8&lt;$C$7,0,$I$7)+IF(8&lt;$C$8,0,$I$8)+IF(8&lt;$C$9,0,$I$9)</f>
        <v>2</v>
      </c>
      <c r="K80" s="80" t="n">
        <f aca="false">IF(9&lt;$C$7,0,$I$7)+IF(9&lt;$C$8,0,$I$8)+IF(9&lt;$C$9,0,$I$9)</f>
        <v>2</v>
      </c>
      <c r="L80" s="80" t="n">
        <f aca="false">IF(10&lt;$C$7,0,$I$7)+IF(10&lt;$C$8,0,$I$8)+IF(10&lt;$C$9,0,$I$9)</f>
        <v>2</v>
      </c>
      <c r="M80" s="80" t="n">
        <f aca="false">IF(11&lt;$C$7,0,$I$7)+IF(11&lt;$C$8,0,$I$8)+IF(11&lt;$C$9,0,$I$9)</f>
        <v>2</v>
      </c>
      <c r="N80" s="80" t="n">
        <f aca="false">IF(12&lt;$C$7,0,$I$7)+IF(12&lt;$C$8,0,$I$8)+IF(12&lt;$C$9,0,$I$9)</f>
        <v>2</v>
      </c>
      <c r="O80" s="79" t="n">
        <f aca="false">AA80</f>
        <v>2</v>
      </c>
      <c r="P80" s="80" t="n">
        <f aca="false">IF(13&lt;$C$7,0,$J$7)+IF(13&lt;$C$8,0,$J$8)+IF(13&lt;$C$9,0,$J$9)</f>
        <v>2</v>
      </c>
      <c r="Q80" s="80" t="n">
        <f aca="false">IF(14&lt;$C$7,0,$J$7)+IF(14&lt;$C$8,0,$J$8)+IF(14&lt;$C$9,0,$J$9)</f>
        <v>2</v>
      </c>
      <c r="R80" s="80" t="n">
        <f aca="false">IF(15&lt;$C$7,0,$J$7)+IF(15&lt;$C$8,0,$J$8)+IF(15&lt;$C$9,0,$J$9)</f>
        <v>2</v>
      </c>
      <c r="S80" s="80" t="n">
        <f aca="false">IF(16&lt;$C$7,0,$J$7)+IF(16&lt;$C$8,0,$J$8)+IF(16&lt;$C$9,0,$J$9)</f>
        <v>2</v>
      </c>
      <c r="T80" s="80" t="n">
        <f aca="false">IF(17&lt;$C$7,0,$J$7)+IF(17&lt;$C$8,0,$J$8)+IF(17&lt;$C$9,0,$J$9)</f>
        <v>2</v>
      </c>
      <c r="U80" s="80" t="n">
        <f aca="false">IF(18&lt;$C$7,0,$J$7)+IF(18&lt;$C$8,0,$J$8)+IF(18&lt;$C$9,0,$J$9)</f>
        <v>2</v>
      </c>
      <c r="V80" s="80" t="n">
        <f aca="false">IF(19&lt;$C$7,0,$J$7)+IF(19&lt;$C$8,0,$J$8)+IF(19&lt;$C$9,0,$J$9)</f>
        <v>2</v>
      </c>
      <c r="W80" s="80" t="n">
        <f aca="false">IF(20&lt;$C$7,0,$J$7)+IF(20&lt;$C$8,0,$J$8)+IF(20&lt;$C$9,0,$J$9)</f>
        <v>2</v>
      </c>
      <c r="X80" s="80" t="n">
        <f aca="false">IF(21&lt;$C$7,0,$J$7)+IF(21&lt;$C$8,0,$J$8)+IF(21&lt;$C$9,0,$J$9)</f>
        <v>2</v>
      </c>
      <c r="Y80" s="80" t="n">
        <f aca="false">IF(22&lt;$C$7,0,$J$7)+IF(22&lt;$C$8,0,$J$8)+IF(22&lt;$C$9,0,$J$9)</f>
        <v>2</v>
      </c>
      <c r="Z80" s="80" t="n">
        <f aca="false">IF(23&lt;$C$7,0,$J$7)+IF(23&lt;$C$8,0,$J$8)+IF(23&lt;$C$9,0,$J$9)</f>
        <v>2</v>
      </c>
      <c r="AA80" s="80" t="n">
        <f aca="false">IF(24&lt;$C$7,0,$J$7)+IF(24&lt;$C$8,0,$J$8)+IF(24&lt;$C$9,0,$J$9)</f>
        <v>2</v>
      </c>
      <c r="AB80" s="79" t="n">
        <f aca="false">AN80</f>
        <v>2</v>
      </c>
      <c r="AC80" s="80" t="n">
        <f aca="false">IF(25&lt;$C$7,0,$K$7)+IF(25&lt;$C$8,0,$K$8)+IF(25&lt;$C$9,0,$K$9)</f>
        <v>2</v>
      </c>
      <c r="AD80" s="80" t="n">
        <f aca="false">IF(26&lt;$C$7,0,$K$7)+IF(26&lt;$C$8,0,$K$8)+IF(26&lt;$C$9,0,$K$9)</f>
        <v>2</v>
      </c>
      <c r="AE80" s="80" t="n">
        <f aca="false">IF(27&lt;$C$7,0,$K$7)+IF(27&lt;$C$8,0,$K$8)+IF(27&lt;$C$9,0,$K$9)</f>
        <v>2</v>
      </c>
      <c r="AF80" s="80" t="n">
        <f aca="false">IF(28&lt;$C$7,0,$K$7)+IF(28&lt;$C$8,0,$K$8)+IF(28&lt;$C$9,0,$K$9)</f>
        <v>2</v>
      </c>
      <c r="AG80" s="80" t="n">
        <f aca="false">IF(29&lt;$C$7,0,$K$7)+IF(29&lt;$C$8,0,$K$8)+IF(29&lt;$C$9,0,$K$9)</f>
        <v>2</v>
      </c>
      <c r="AH80" s="80" t="n">
        <f aca="false">IF(30&lt;$C$7,0,$K$7)+IF(30&lt;$C$8,0,$K$8)+IF(30&lt;$C$9,0,$K$9)</f>
        <v>2</v>
      </c>
      <c r="AI80" s="80" t="n">
        <f aca="false">IF(31&lt;$C$7,0,$K$7)+IF(31&lt;$C$8,0,$K$8)+IF(31&lt;$C$9,0,$K$9)</f>
        <v>2</v>
      </c>
      <c r="AJ80" s="80" t="n">
        <f aca="false">IF(32&lt;$C$7,0,$K$7)+IF(32&lt;$C$8,0,$K$8)+IF(32&lt;$C$9,0,$K$9)</f>
        <v>2</v>
      </c>
      <c r="AK80" s="80" t="n">
        <f aca="false">IF(33&lt;$C$7,0,$K$7)+IF(33&lt;$C$8,0,$K$8)+IF(33&lt;$C$9,0,$K$9)</f>
        <v>2</v>
      </c>
      <c r="AL80" s="80" t="n">
        <f aca="false">IF(34&lt;$C$7,0,$K$7)+IF(34&lt;$C$8,0,$K$8)+IF(34&lt;$C$9,0,$K$9)</f>
        <v>2</v>
      </c>
      <c r="AM80" s="80" t="n">
        <f aca="false">IF(35&lt;$C$7,0,$K$7)+IF(35&lt;$C$8,0,$K$8)+IF(35&lt;$C$9,0,$K$9)</f>
        <v>2</v>
      </c>
      <c r="AN80" s="80" t="n">
        <f aca="false">IF(36&lt;$C$7,0,$K$7)+IF(36&lt;$C$8,0,$K$8)+IF(36&lt;$C$9,0,$K$9)</f>
        <v>2</v>
      </c>
      <c r="AO80" s="79" t="n">
        <f aca="false">BA80</f>
        <v>3</v>
      </c>
      <c r="AP80" s="80" t="n">
        <f aca="false">IF(37&lt;$C$7,0,$L$7)+IF(37&lt;$C$8,0,$L$8)+IF(37&lt;$C$9,0,$L$9)</f>
        <v>3</v>
      </c>
      <c r="AQ80" s="80" t="n">
        <f aca="false">IF(38&lt;$C$7,0,$L$7)+IF(38&lt;$C$8,0,$L$8)+IF(38&lt;$C$9,0,$L$9)</f>
        <v>3</v>
      </c>
      <c r="AR80" s="80" t="n">
        <f aca="false">IF(39&lt;$C$7,0,$L$7)+IF(39&lt;$C$8,0,$L$8)+IF(39&lt;$C$9,0,$L$9)</f>
        <v>3</v>
      </c>
      <c r="AS80" s="80" t="n">
        <f aca="false">IF(40&lt;$C$7,0,$L$7)+IF(40&lt;$C$8,0,$L$8)+IF(40&lt;$C$9,0,$L$9)</f>
        <v>3</v>
      </c>
      <c r="AT80" s="80" t="n">
        <f aca="false">IF(41&lt;$C$7,0,$L$7)+IF(41&lt;$C$8,0,$L$8)+IF(41&lt;$C$9,0,$L$9)</f>
        <v>3</v>
      </c>
      <c r="AU80" s="80" t="n">
        <f aca="false">IF(42&lt;$C$7,0,$L$7)+IF(42&lt;$C$8,0,$L$8)+IF(42&lt;$C$9,0,$L$9)</f>
        <v>3</v>
      </c>
      <c r="AV80" s="80" t="n">
        <f aca="false">IF(43&lt;$C$7,0,$L$7)+IF(43&lt;$C$8,0,$L$8)+IF(43&lt;$C$9,0,$L$9)</f>
        <v>3</v>
      </c>
      <c r="AW80" s="80" t="n">
        <f aca="false">IF(44&lt;$C$7,0,$L$7)+IF(44&lt;$C$8,0,$L$8)+IF(44&lt;$C$9,0,$L$9)</f>
        <v>3</v>
      </c>
      <c r="AX80" s="80" t="n">
        <f aca="false">IF(45&lt;$C$7,0,$L$7)+IF(45&lt;$C$8,0,$L$8)+IF(45&lt;$C$9,0,$L$9)</f>
        <v>3</v>
      </c>
      <c r="AY80" s="80" t="n">
        <f aca="false">IF(46&lt;$C$7,0,$L$7)+IF(46&lt;$C$8,0,$L$8)+IF(46&lt;$C$9,0,$L$9)</f>
        <v>3</v>
      </c>
      <c r="AZ80" s="80" t="n">
        <f aca="false">IF(47&lt;$C$7,0,$L$7)+IF(47&lt;$C$8,0,$L$8)+IF(47&lt;$C$9,0,$L$9)</f>
        <v>3</v>
      </c>
      <c r="BA80" s="80" t="n">
        <f aca="false">IF(48&lt;$C$7,0,$L$7)+IF(48&lt;$C$8,0,$L$8)+IF(48&lt;$C$9,0,$L$9)</f>
        <v>3</v>
      </c>
      <c r="BB80" s="79" t="n">
        <f aca="false">BN80</f>
        <v>3</v>
      </c>
      <c r="BC80" s="80" t="n">
        <f aca="false">IF(49&lt;$C$7,0,$M$7)+IF(49&lt;$C$8,0,$M$8)+IF(49&lt;$C$9,0,$M$9)</f>
        <v>3</v>
      </c>
      <c r="BD80" s="80" t="n">
        <f aca="false">IF(50&lt;$C$7,0,$M$7)+IF(50&lt;$C$8,0,$M$8)+IF(50&lt;$C$9,0,$M$9)</f>
        <v>3</v>
      </c>
      <c r="BE80" s="80" t="n">
        <f aca="false">IF(51&lt;$C$7,0,$M$7)+IF(51&lt;$C$8,0,$M$8)+IF(51&lt;$C$9,0,$M$9)</f>
        <v>3</v>
      </c>
      <c r="BF80" s="80" t="n">
        <f aca="false">IF(52&lt;$C$7,0,$M$7)+IF(52&lt;$C$8,0,$M$8)+IF(52&lt;$C$9,0,$M$9)</f>
        <v>3</v>
      </c>
      <c r="BG80" s="80" t="n">
        <f aca="false">IF(53&lt;$C$7,0,$M$7)+IF(53&lt;$C$8,0,$M$8)+IF(53&lt;$C$9,0,$M$9)</f>
        <v>3</v>
      </c>
      <c r="BH80" s="80" t="n">
        <f aca="false">IF(54&lt;$C$7,0,$M$7)+IF(54&lt;$C$8,0,$M$8)+IF(54&lt;$C$9,0,$M$9)</f>
        <v>3</v>
      </c>
      <c r="BI80" s="80" t="n">
        <f aca="false">IF(55&lt;$C$7,0,$M$7)+IF(55&lt;$C$8,0,$M$8)+IF(55&lt;$C$9,0,$M$9)</f>
        <v>3</v>
      </c>
      <c r="BJ80" s="80" t="n">
        <f aca="false">IF(56&lt;$C$7,0,$M$7)+IF(56&lt;$C$8,0,$M$8)+IF(56&lt;$C$9,0,$M$9)</f>
        <v>3</v>
      </c>
      <c r="BK80" s="80" t="n">
        <f aca="false">IF(57&lt;$C$7,0,$M$7)+IF(57&lt;$C$8,0,$M$8)+IF(57&lt;$C$9,0,$M$9)</f>
        <v>3</v>
      </c>
      <c r="BL80" s="80" t="n">
        <f aca="false">IF(58&lt;$C$7,0,$M$7)+IF(58&lt;$C$8,0,$M$8)+IF(58&lt;$C$9,0,$M$9)</f>
        <v>3</v>
      </c>
      <c r="BM80" s="80" t="n">
        <f aca="false">IF(59&lt;$C$7,0,$M$7)+IF(59&lt;$C$8,0,$M$8)+IF(59&lt;$C$9,0,$M$9)</f>
        <v>3</v>
      </c>
      <c r="BN80" s="80" t="n">
        <f aca="false">IF(60&lt;$C$7,0,$M$7)+IF(60&lt;$C$8,0,$M$8)+IF(60&lt;$C$9,0,$M$9)</f>
        <v>3</v>
      </c>
    </row>
    <row r="81" customFormat="false" ht="15" hidden="false" customHeight="false" outlineLevel="0" collapsed="false">
      <c r="A81" s="12" t="s">
        <v>663</v>
      </c>
      <c r="B81" s="79" t="n">
        <f aca="false">N81</f>
        <v>1</v>
      </c>
      <c r="C81" s="80" t="n">
        <f aca="false">IF(1&lt;$C$10,0,$I$10)+IF(1&lt;$C$11,0,$I$11)+IF(1&lt;$C$12,0,$I$12)</f>
        <v>1</v>
      </c>
      <c r="D81" s="80" t="n">
        <f aca="false">IF(2&lt;$C$10,0,$I$10)+IF(2&lt;$C$11,0,$I$11)+IF(2&lt;$C$12,0,$I$12)</f>
        <v>1</v>
      </c>
      <c r="E81" s="80" t="n">
        <f aca="false">IF(3&lt;$C$10,0,$I$10)+IF(3&lt;$C$11,0,$I$11)+IF(3&lt;$C$12,0,$I$12)</f>
        <v>1</v>
      </c>
      <c r="F81" s="80" t="n">
        <f aca="false">IF(4&lt;$C$10,0,$I$10)+IF(4&lt;$C$11,0,$I$11)+IF(4&lt;$C$12,0,$I$12)</f>
        <v>1</v>
      </c>
      <c r="G81" s="80" t="n">
        <f aca="false">IF(5&lt;$C$10,0,$I$10)+IF(5&lt;$C$11,0,$I$11)+IF(5&lt;$C$12,0,$I$12)</f>
        <v>1</v>
      </c>
      <c r="H81" s="80" t="n">
        <f aca="false">IF(6&lt;$C$10,0,$I$10)+IF(6&lt;$C$11,0,$I$11)+IF(6&lt;$C$12,0,$I$12)</f>
        <v>1</v>
      </c>
      <c r="I81" s="80" t="n">
        <f aca="false">IF(7&lt;$C$10,0,$I$10)+IF(7&lt;$C$11,0,$I$11)+IF(7&lt;$C$12,0,$I$12)</f>
        <v>1</v>
      </c>
      <c r="J81" s="80" t="n">
        <f aca="false">IF(8&lt;$C$10,0,$I$10)+IF(8&lt;$C$11,0,$I$11)+IF(8&lt;$C$12,0,$I$12)</f>
        <v>1</v>
      </c>
      <c r="K81" s="80" t="n">
        <f aca="false">IF(9&lt;$C$10,0,$I$10)+IF(9&lt;$C$11,0,$I$11)+IF(9&lt;$C$12,0,$I$12)</f>
        <v>1</v>
      </c>
      <c r="L81" s="80" t="n">
        <f aca="false">IF(10&lt;$C$10,0,$I$10)+IF(10&lt;$C$11,0,$I$11)+IF(10&lt;$C$12,0,$I$12)</f>
        <v>1</v>
      </c>
      <c r="M81" s="80" t="n">
        <f aca="false">IF(11&lt;$C$10,0,$I$10)+IF(11&lt;$C$11,0,$I$11)+IF(11&lt;$C$12,0,$I$12)</f>
        <v>1</v>
      </c>
      <c r="N81" s="80" t="n">
        <f aca="false">IF(12&lt;$C$10,0,$I$10)+IF(12&lt;$C$11,0,$I$11)+IF(12&lt;$C$12,0,$I$12)</f>
        <v>1</v>
      </c>
      <c r="O81" s="79" t="n">
        <f aca="false">AA81</f>
        <v>2</v>
      </c>
      <c r="P81" s="80" t="n">
        <f aca="false">IF(13&lt;$C$10,0,$J$10)+IF(13&lt;$C$11,0,$J$11)+IF(13&lt;$C$12,0,$J$12)</f>
        <v>2</v>
      </c>
      <c r="Q81" s="80" t="n">
        <f aca="false">IF(14&lt;$C$10,0,$J$10)+IF(14&lt;$C$11,0,$J$11)+IF(14&lt;$C$12,0,$J$12)</f>
        <v>2</v>
      </c>
      <c r="R81" s="80" t="n">
        <f aca="false">IF(15&lt;$C$10,0,$J$10)+IF(15&lt;$C$11,0,$J$11)+IF(15&lt;$C$12,0,$J$12)</f>
        <v>2</v>
      </c>
      <c r="S81" s="80" t="n">
        <f aca="false">IF(16&lt;$C$10,0,$J$10)+IF(16&lt;$C$11,0,$J$11)+IF(16&lt;$C$12,0,$J$12)</f>
        <v>2</v>
      </c>
      <c r="T81" s="80" t="n">
        <f aca="false">IF(17&lt;$C$10,0,$J$10)+IF(17&lt;$C$11,0,$J$11)+IF(17&lt;$C$12,0,$J$12)</f>
        <v>2</v>
      </c>
      <c r="U81" s="80" t="n">
        <f aca="false">IF(18&lt;$C$10,0,$J$10)+IF(18&lt;$C$11,0,$J$11)+IF(18&lt;$C$12,0,$J$12)</f>
        <v>2</v>
      </c>
      <c r="V81" s="80" t="n">
        <f aca="false">IF(19&lt;$C$10,0,$J$10)+IF(19&lt;$C$11,0,$J$11)+IF(19&lt;$C$12,0,$J$12)</f>
        <v>2</v>
      </c>
      <c r="W81" s="80" t="n">
        <f aca="false">IF(20&lt;$C$10,0,$J$10)+IF(20&lt;$C$11,0,$J$11)+IF(20&lt;$C$12,0,$J$12)</f>
        <v>2</v>
      </c>
      <c r="X81" s="80" t="n">
        <f aca="false">IF(21&lt;$C$10,0,$J$10)+IF(21&lt;$C$11,0,$J$11)+IF(21&lt;$C$12,0,$J$12)</f>
        <v>2</v>
      </c>
      <c r="Y81" s="80" t="n">
        <f aca="false">IF(22&lt;$C$10,0,$J$10)+IF(22&lt;$C$11,0,$J$11)+IF(22&lt;$C$12,0,$J$12)</f>
        <v>2</v>
      </c>
      <c r="Z81" s="80" t="n">
        <f aca="false">IF(23&lt;$C$10,0,$J$10)+IF(23&lt;$C$11,0,$J$11)+IF(23&lt;$C$12,0,$J$12)</f>
        <v>2</v>
      </c>
      <c r="AA81" s="80" t="n">
        <f aca="false">IF(24&lt;$C$10,0,$J$10)+IF(24&lt;$C$11,0,$J$11)+IF(24&lt;$C$12,0,$J$12)</f>
        <v>2</v>
      </c>
      <c r="AB81" s="79" t="n">
        <f aca="false">AN81</f>
        <v>2</v>
      </c>
      <c r="AC81" s="80" t="n">
        <f aca="false">IF(25&lt;$C$10,0,$K$10)+IF(25&lt;$C$11,0,$K$11)+IF(25&lt;$C$12,0,$K$12)</f>
        <v>2</v>
      </c>
      <c r="AD81" s="80" t="n">
        <f aca="false">IF(26&lt;$C$10,0,$K$10)+IF(26&lt;$C$11,0,$K$11)+IF(26&lt;$C$12,0,$K$12)</f>
        <v>2</v>
      </c>
      <c r="AE81" s="80" t="n">
        <f aca="false">IF(27&lt;$C$10,0,$K$10)+IF(27&lt;$C$11,0,$K$11)+IF(27&lt;$C$12,0,$K$12)</f>
        <v>2</v>
      </c>
      <c r="AF81" s="80" t="n">
        <f aca="false">IF(28&lt;$C$10,0,$K$10)+IF(28&lt;$C$11,0,$K$11)+IF(28&lt;$C$12,0,$K$12)</f>
        <v>2</v>
      </c>
      <c r="AG81" s="80" t="n">
        <f aca="false">IF(29&lt;$C$10,0,$K$10)+IF(29&lt;$C$11,0,$K$11)+IF(29&lt;$C$12,0,$K$12)</f>
        <v>2</v>
      </c>
      <c r="AH81" s="80" t="n">
        <f aca="false">IF(30&lt;$C$10,0,$K$10)+IF(30&lt;$C$11,0,$K$11)+IF(30&lt;$C$12,0,$K$12)</f>
        <v>2</v>
      </c>
      <c r="AI81" s="80" t="n">
        <f aca="false">IF(31&lt;$C$10,0,$K$10)+IF(31&lt;$C$11,0,$K$11)+IF(31&lt;$C$12,0,$K$12)</f>
        <v>2</v>
      </c>
      <c r="AJ81" s="80" t="n">
        <f aca="false">IF(32&lt;$C$10,0,$K$10)+IF(32&lt;$C$11,0,$K$11)+IF(32&lt;$C$12,0,$K$12)</f>
        <v>2</v>
      </c>
      <c r="AK81" s="80" t="n">
        <f aca="false">IF(33&lt;$C$10,0,$K$10)+IF(33&lt;$C$11,0,$K$11)+IF(33&lt;$C$12,0,$K$12)</f>
        <v>2</v>
      </c>
      <c r="AL81" s="80" t="n">
        <f aca="false">IF(34&lt;$C$10,0,$K$10)+IF(34&lt;$C$11,0,$K$11)+IF(34&lt;$C$12,0,$K$12)</f>
        <v>2</v>
      </c>
      <c r="AM81" s="80" t="n">
        <f aca="false">IF(35&lt;$C$10,0,$K$10)+IF(35&lt;$C$11,0,$K$11)+IF(35&lt;$C$12,0,$K$12)</f>
        <v>2</v>
      </c>
      <c r="AN81" s="80" t="n">
        <f aca="false">IF(36&lt;$C$10,0,$K$10)+IF(36&lt;$C$11,0,$K$11)+IF(36&lt;$C$12,0,$K$12)</f>
        <v>2</v>
      </c>
      <c r="AO81" s="79" t="n">
        <f aca="false">BA81</f>
        <v>3</v>
      </c>
      <c r="AP81" s="80" t="n">
        <f aca="false">IF(37&lt;$C$10,0,$L$10)+IF(37&lt;$C$11,0,$L$11)+IF(37&lt;$C$12,0,$L$12)</f>
        <v>3</v>
      </c>
      <c r="AQ81" s="80" t="n">
        <f aca="false">IF(38&lt;$C$10,0,$L$10)+IF(38&lt;$C$11,0,$L$11)+IF(38&lt;$C$12,0,$L$12)</f>
        <v>3</v>
      </c>
      <c r="AR81" s="80" t="n">
        <f aca="false">IF(39&lt;$C$10,0,$L$10)+IF(39&lt;$C$11,0,$L$11)+IF(39&lt;$C$12,0,$L$12)</f>
        <v>3</v>
      </c>
      <c r="AS81" s="80" t="n">
        <f aca="false">IF(40&lt;$C$10,0,$L$10)+IF(40&lt;$C$11,0,$L$11)+IF(40&lt;$C$12,0,$L$12)</f>
        <v>3</v>
      </c>
      <c r="AT81" s="80" t="n">
        <f aca="false">IF(41&lt;$C$10,0,$L$10)+IF(41&lt;$C$11,0,$L$11)+IF(41&lt;$C$12,0,$L$12)</f>
        <v>3</v>
      </c>
      <c r="AU81" s="80" t="n">
        <f aca="false">IF(42&lt;$C$10,0,$L$10)+IF(42&lt;$C$11,0,$L$11)+IF(42&lt;$C$12,0,$L$12)</f>
        <v>3</v>
      </c>
      <c r="AV81" s="80" t="n">
        <f aca="false">IF(43&lt;$C$10,0,$L$10)+IF(43&lt;$C$11,0,$L$11)+IF(43&lt;$C$12,0,$L$12)</f>
        <v>3</v>
      </c>
      <c r="AW81" s="80" t="n">
        <f aca="false">IF(44&lt;$C$10,0,$L$10)+IF(44&lt;$C$11,0,$L$11)+IF(44&lt;$C$12,0,$L$12)</f>
        <v>3</v>
      </c>
      <c r="AX81" s="80" t="n">
        <f aca="false">IF(45&lt;$C$10,0,$L$10)+IF(45&lt;$C$11,0,$L$11)+IF(45&lt;$C$12,0,$L$12)</f>
        <v>3</v>
      </c>
      <c r="AY81" s="80" t="n">
        <f aca="false">IF(46&lt;$C$10,0,$L$10)+IF(46&lt;$C$11,0,$L$11)+IF(46&lt;$C$12,0,$L$12)</f>
        <v>3</v>
      </c>
      <c r="AZ81" s="80" t="n">
        <f aca="false">IF(47&lt;$C$10,0,$L$10)+IF(47&lt;$C$11,0,$L$11)+IF(47&lt;$C$12,0,$L$12)</f>
        <v>3</v>
      </c>
      <c r="BA81" s="80" t="n">
        <f aca="false">IF(48&lt;$C$10,0,$L$10)+IF(48&lt;$C$11,0,$L$11)+IF(48&lt;$C$12,0,$L$12)</f>
        <v>3</v>
      </c>
      <c r="BB81" s="79" t="n">
        <f aca="false">BN81</f>
        <v>4</v>
      </c>
      <c r="BC81" s="80" t="n">
        <f aca="false">IF(49&lt;$C$10,0,$M$10)+IF(49&lt;$C$11,0,$M$11)+IF(49&lt;$C$12,0,$M$12)</f>
        <v>4</v>
      </c>
      <c r="BD81" s="80" t="n">
        <f aca="false">IF(50&lt;$C$10,0,$M$10)+IF(50&lt;$C$11,0,$M$11)+IF(50&lt;$C$12,0,$M$12)</f>
        <v>4</v>
      </c>
      <c r="BE81" s="80" t="n">
        <f aca="false">IF(51&lt;$C$10,0,$M$10)+IF(51&lt;$C$11,0,$M$11)+IF(51&lt;$C$12,0,$M$12)</f>
        <v>4</v>
      </c>
      <c r="BF81" s="80" t="n">
        <f aca="false">IF(52&lt;$C$10,0,$M$10)+IF(52&lt;$C$11,0,$M$11)+IF(52&lt;$C$12,0,$M$12)</f>
        <v>4</v>
      </c>
      <c r="BG81" s="80" t="n">
        <f aca="false">IF(53&lt;$C$10,0,$M$10)+IF(53&lt;$C$11,0,$M$11)+IF(53&lt;$C$12,0,$M$12)</f>
        <v>4</v>
      </c>
      <c r="BH81" s="80" t="n">
        <f aca="false">IF(54&lt;$C$10,0,$M$10)+IF(54&lt;$C$11,0,$M$11)+IF(54&lt;$C$12,0,$M$12)</f>
        <v>4</v>
      </c>
      <c r="BI81" s="80" t="n">
        <f aca="false">IF(55&lt;$C$10,0,$M$10)+IF(55&lt;$C$11,0,$M$11)+IF(55&lt;$C$12,0,$M$12)</f>
        <v>4</v>
      </c>
      <c r="BJ81" s="80" t="n">
        <f aca="false">IF(56&lt;$C$10,0,$M$10)+IF(56&lt;$C$11,0,$M$11)+IF(56&lt;$C$12,0,$M$12)</f>
        <v>4</v>
      </c>
      <c r="BK81" s="80" t="n">
        <f aca="false">IF(57&lt;$C$10,0,$M$10)+IF(57&lt;$C$11,0,$M$11)+IF(57&lt;$C$12,0,$M$12)</f>
        <v>4</v>
      </c>
      <c r="BL81" s="80" t="n">
        <f aca="false">IF(58&lt;$C$10,0,$M$10)+IF(58&lt;$C$11,0,$M$11)+IF(58&lt;$C$12,0,$M$12)</f>
        <v>4</v>
      </c>
      <c r="BM81" s="80" t="n">
        <f aca="false">IF(59&lt;$C$10,0,$M$10)+IF(59&lt;$C$11,0,$M$11)+IF(59&lt;$C$12,0,$M$12)</f>
        <v>4</v>
      </c>
      <c r="BN81" s="80" t="n">
        <f aca="false">IF(60&lt;$C$10,0,$M$10)+IF(60&lt;$C$11,0,$M$11)+IF(60&lt;$C$12,0,$M$12)</f>
        <v>4</v>
      </c>
    </row>
    <row r="82" customFormat="false" ht="15" hidden="false" customHeight="false" outlineLevel="0" collapsed="false">
      <c r="A82" s="12" t="s">
        <v>401</v>
      </c>
      <c r="B82" s="79" t="n">
        <f aca="false">N82</f>
        <v>1</v>
      </c>
      <c r="C82" s="80" t="n">
        <f aca="false">IF(1&lt;$C$13,0,$I$13)+IF(1&lt;$C$14,0,$I$14)+IF(1&lt;$C$15,0,$I$15)+IF(1&lt;$C$16,0,$I$16)</f>
        <v>1</v>
      </c>
      <c r="D82" s="80" t="n">
        <f aca="false">IF(2&lt;$C$13,0,$I$13)+IF(2&lt;$C$14,0,$I$14)+IF(2&lt;$C$15,0,$I$15)+IF(2&lt;$C$16,0,$I$16)</f>
        <v>1</v>
      </c>
      <c r="E82" s="80" t="n">
        <f aca="false">IF(3&lt;$C$13,0,$I$13)+IF(3&lt;$C$14,0,$I$14)+IF(3&lt;$C$15,0,$I$15)+IF(3&lt;$C$16,0,$I$16)</f>
        <v>1</v>
      </c>
      <c r="F82" s="80" t="n">
        <f aca="false">IF(4&lt;$C$13,0,$I$13)+IF(4&lt;$C$14,0,$I$14)+IF(4&lt;$C$15,0,$I$15)+IF(4&lt;$C$16,0,$I$16)</f>
        <v>1</v>
      </c>
      <c r="G82" s="80" t="n">
        <f aca="false">IF(5&lt;$C$13,0,$I$13)+IF(5&lt;$C$14,0,$I$14)+IF(5&lt;$C$15,0,$I$15)+IF(5&lt;$C$16,0,$I$16)</f>
        <v>1</v>
      </c>
      <c r="H82" s="80" t="n">
        <f aca="false">IF(6&lt;$C$13,0,$I$13)+IF(6&lt;$C$14,0,$I$14)+IF(6&lt;$C$15,0,$I$15)+IF(6&lt;$C$16,0,$I$16)</f>
        <v>1</v>
      </c>
      <c r="I82" s="80" t="n">
        <f aca="false">IF(7&lt;$C$13,0,$I$13)+IF(7&lt;$C$14,0,$I$14)+IF(7&lt;$C$15,0,$I$15)+IF(7&lt;$C$16,0,$I$16)</f>
        <v>1</v>
      </c>
      <c r="J82" s="80" t="n">
        <f aca="false">IF(8&lt;$C$13,0,$I$13)+IF(8&lt;$C$14,0,$I$14)+IF(8&lt;$C$15,0,$I$15)+IF(8&lt;$C$16,0,$I$16)</f>
        <v>1</v>
      </c>
      <c r="K82" s="80" t="n">
        <f aca="false">IF(9&lt;$C$13,0,$I$13)+IF(9&lt;$C$14,0,$I$14)+IF(9&lt;$C$15,0,$I$15)+IF(9&lt;$C$16,0,$I$16)</f>
        <v>1</v>
      </c>
      <c r="L82" s="80" t="n">
        <f aca="false">IF(10&lt;$C$13,0,$I$13)+IF(10&lt;$C$14,0,$I$14)+IF(10&lt;$C$15,0,$I$15)+IF(10&lt;$C$16,0,$I$16)</f>
        <v>1</v>
      </c>
      <c r="M82" s="80" t="n">
        <f aca="false">IF(11&lt;$C$13,0,$I$13)+IF(11&lt;$C$14,0,$I$14)+IF(11&lt;$C$15,0,$I$15)+IF(11&lt;$C$16,0,$I$16)</f>
        <v>1</v>
      </c>
      <c r="N82" s="80" t="n">
        <f aca="false">IF(12&lt;$C$13,0,$I$13)+IF(12&lt;$C$14,0,$I$14)+IF(12&lt;$C$15,0,$I$15)+IF(12&lt;$C$16,0,$I$16)</f>
        <v>1</v>
      </c>
      <c r="O82" s="79" t="n">
        <f aca="false">AA82</f>
        <v>1</v>
      </c>
      <c r="P82" s="80" t="n">
        <f aca="false">IF(13&lt;$C$13,0,$J$13)+IF(13&lt;$C$14,0,$J$14)+IF(13&lt;$C$15,0,$J$15)+IF(13&lt;$C$16,0,$J$16)</f>
        <v>1</v>
      </c>
      <c r="Q82" s="80" t="n">
        <f aca="false">IF(14&lt;$C$13,0,$J$13)+IF(14&lt;$C$14,0,$J$14)+IF(14&lt;$C$15,0,$J$15)+IF(14&lt;$C$16,0,$J$16)</f>
        <v>1</v>
      </c>
      <c r="R82" s="80" t="n">
        <f aca="false">IF(15&lt;$C$13,0,$J$13)+IF(15&lt;$C$14,0,$J$14)+IF(15&lt;$C$15,0,$J$15)+IF(15&lt;$C$16,0,$J$16)</f>
        <v>1</v>
      </c>
      <c r="S82" s="80" t="n">
        <f aca="false">IF(16&lt;$C$13,0,$J$13)+IF(16&lt;$C$14,0,$J$14)+IF(16&lt;$C$15,0,$J$15)+IF(16&lt;$C$16,0,$J$16)</f>
        <v>1</v>
      </c>
      <c r="T82" s="80" t="n">
        <f aca="false">IF(17&lt;$C$13,0,$J$13)+IF(17&lt;$C$14,0,$J$14)+IF(17&lt;$C$15,0,$J$15)+IF(17&lt;$C$16,0,$J$16)</f>
        <v>1</v>
      </c>
      <c r="U82" s="80" t="n">
        <f aca="false">IF(18&lt;$C$13,0,$J$13)+IF(18&lt;$C$14,0,$J$14)+IF(18&lt;$C$15,0,$J$15)+IF(18&lt;$C$16,0,$J$16)</f>
        <v>1</v>
      </c>
      <c r="V82" s="80" t="n">
        <f aca="false">IF(19&lt;$C$13,0,$J$13)+IF(19&lt;$C$14,0,$J$14)+IF(19&lt;$C$15,0,$J$15)+IF(19&lt;$C$16,0,$J$16)</f>
        <v>1</v>
      </c>
      <c r="W82" s="80" t="n">
        <f aca="false">IF(20&lt;$C$13,0,$J$13)+IF(20&lt;$C$14,0,$J$14)+IF(20&lt;$C$15,0,$J$15)+IF(20&lt;$C$16,0,$J$16)</f>
        <v>1</v>
      </c>
      <c r="X82" s="80" t="n">
        <f aca="false">IF(21&lt;$C$13,0,$J$13)+IF(21&lt;$C$14,0,$J$14)+IF(21&lt;$C$15,0,$J$15)+IF(21&lt;$C$16,0,$J$16)</f>
        <v>1</v>
      </c>
      <c r="Y82" s="80" t="n">
        <f aca="false">IF(22&lt;$C$13,0,$J$13)+IF(22&lt;$C$14,0,$J$14)+IF(22&lt;$C$15,0,$J$15)+IF(22&lt;$C$16,0,$J$16)</f>
        <v>1</v>
      </c>
      <c r="Z82" s="80" t="n">
        <f aca="false">IF(23&lt;$C$13,0,$J$13)+IF(23&lt;$C$14,0,$J$14)+IF(23&lt;$C$15,0,$J$15)+IF(23&lt;$C$16,0,$J$16)</f>
        <v>1</v>
      </c>
      <c r="AA82" s="80" t="n">
        <f aca="false">IF(24&lt;$C$13,0,$J$13)+IF(24&lt;$C$14,0,$J$14)+IF(24&lt;$C$15,0,$J$15)+IF(24&lt;$C$16,0,$J$16)</f>
        <v>1</v>
      </c>
      <c r="AB82" s="79" t="n">
        <f aca="false">AN82</f>
        <v>3</v>
      </c>
      <c r="AC82" s="80" t="n">
        <f aca="false">IF(25&lt;$C$13,0,$K$13)+IF(25&lt;$C$14,0,$K$14)+IF(25&lt;$C$15,0,$K$15)+IF(25&lt;$C$16,0,$K$16)</f>
        <v>3</v>
      </c>
      <c r="AD82" s="80" t="n">
        <f aca="false">IF(26&lt;$C$13,0,$K$13)+IF(26&lt;$C$14,0,$K$14)+IF(26&lt;$C$15,0,$K$15)+IF(26&lt;$C$16,0,$K$16)</f>
        <v>3</v>
      </c>
      <c r="AE82" s="80" t="n">
        <f aca="false">IF(27&lt;$C$13,0,$K$13)+IF(27&lt;$C$14,0,$K$14)+IF(27&lt;$C$15,0,$K$15)+IF(27&lt;$C$16,0,$K$16)</f>
        <v>3</v>
      </c>
      <c r="AF82" s="80" t="n">
        <f aca="false">IF(28&lt;$C$13,0,$K$13)+IF(28&lt;$C$14,0,$K$14)+IF(28&lt;$C$15,0,$K$15)+IF(28&lt;$C$16,0,$K$16)</f>
        <v>3</v>
      </c>
      <c r="AG82" s="80" t="n">
        <f aca="false">IF(29&lt;$C$13,0,$K$13)+IF(29&lt;$C$14,0,$K$14)+IF(29&lt;$C$15,0,$K$15)+IF(29&lt;$C$16,0,$K$16)</f>
        <v>3</v>
      </c>
      <c r="AH82" s="80" t="n">
        <f aca="false">IF(30&lt;$C$13,0,$K$13)+IF(30&lt;$C$14,0,$K$14)+IF(30&lt;$C$15,0,$K$15)+IF(30&lt;$C$16,0,$K$16)</f>
        <v>3</v>
      </c>
      <c r="AI82" s="80" t="n">
        <f aca="false">IF(31&lt;$C$13,0,$K$13)+IF(31&lt;$C$14,0,$K$14)+IF(31&lt;$C$15,0,$K$15)+IF(31&lt;$C$16,0,$K$16)</f>
        <v>3</v>
      </c>
      <c r="AJ82" s="80" t="n">
        <f aca="false">IF(32&lt;$C$13,0,$K$13)+IF(32&lt;$C$14,0,$K$14)+IF(32&lt;$C$15,0,$K$15)+IF(32&lt;$C$16,0,$K$16)</f>
        <v>3</v>
      </c>
      <c r="AK82" s="80" t="n">
        <f aca="false">IF(33&lt;$C$13,0,$K$13)+IF(33&lt;$C$14,0,$K$14)+IF(33&lt;$C$15,0,$K$15)+IF(33&lt;$C$16,0,$K$16)</f>
        <v>3</v>
      </c>
      <c r="AL82" s="80" t="n">
        <f aca="false">IF(34&lt;$C$13,0,$K$13)+IF(34&lt;$C$14,0,$K$14)+IF(34&lt;$C$15,0,$K$15)+IF(34&lt;$C$16,0,$K$16)</f>
        <v>3</v>
      </c>
      <c r="AM82" s="80" t="n">
        <f aca="false">IF(35&lt;$C$13,0,$K$13)+IF(35&lt;$C$14,0,$K$14)+IF(35&lt;$C$15,0,$K$15)+IF(35&lt;$C$16,0,$K$16)</f>
        <v>3</v>
      </c>
      <c r="AN82" s="80" t="n">
        <f aca="false">IF(36&lt;$C$13,0,$K$13)+IF(36&lt;$C$14,0,$K$14)+IF(36&lt;$C$15,0,$K$15)+IF(36&lt;$C$16,0,$K$16)</f>
        <v>3</v>
      </c>
      <c r="AO82" s="79" t="n">
        <f aca="false">BA82</f>
        <v>4</v>
      </c>
      <c r="AP82" s="80" t="n">
        <f aca="false">IF(37&lt;$C$13,0,$L$13)+IF(37&lt;$C$14,0,$L$14)+IF(37&lt;$C$15,0,$L$15)+IF(37&lt;$C$16,0,$L$16)</f>
        <v>4</v>
      </c>
      <c r="AQ82" s="80" t="n">
        <f aca="false">IF(38&lt;$C$13,0,$L$13)+IF(38&lt;$C$14,0,$L$14)+IF(38&lt;$C$15,0,$L$15)+IF(38&lt;$C$16,0,$L$16)</f>
        <v>4</v>
      </c>
      <c r="AR82" s="80" t="n">
        <f aca="false">IF(39&lt;$C$13,0,$L$13)+IF(39&lt;$C$14,0,$L$14)+IF(39&lt;$C$15,0,$L$15)+IF(39&lt;$C$16,0,$L$16)</f>
        <v>4</v>
      </c>
      <c r="AS82" s="80" t="n">
        <f aca="false">IF(40&lt;$C$13,0,$L$13)+IF(40&lt;$C$14,0,$L$14)+IF(40&lt;$C$15,0,$L$15)+IF(40&lt;$C$16,0,$L$16)</f>
        <v>4</v>
      </c>
      <c r="AT82" s="80" t="n">
        <f aca="false">IF(41&lt;$C$13,0,$L$13)+IF(41&lt;$C$14,0,$L$14)+IF(41&lt;$C$15,0,$L$15)+IF(41&lt;$C$16,0,$L$16)</f>
        <v>4</v>
      </c>
      <c r="AU82" s="80" t="n">
        <f aca="false">IF(42&lt;$C$13,0,$L$13)+IF(42&lt;$C$14,0,$L$14)+IF(42&lt;$C$15,0,$L$15)+IF(42&lt;$C$16,0,$L$16)</f>
        <v>4</v>
      </c>
      <c r="AV82" s="80" t="n">
        <f aca="false">IF(43&lt;$C$13,0,$L$13)+IF(43&lt;$C$14,0,$L$14)+IF(43&lt;$C$15,0,$L$15)+IF(43&lt;$C$16,0,$L$16)</f>
        <v>4</v>
      </c>
      <c r="AW82" s="80" t="n">
        <f aca="false">IF(44&lt;$C$13,0,$L$13)+IF(44&lt;$C$14,0,$L$14)+IF(44&lt;$C$15,0,$L$15)+IF(44&lt;$C$16,0,$L$16)</f>
        <v>4</v>
      </c>
      <c r="AX82" s="80" t="n">
        <f aca="false">IF(45&lt;$C$13,0,$L$13)+IF(45&lt;$C$14,0,$L$14)+IF(45&lt;$C$15,0,$L$15)+IF(45&lt;$C$16,0,$L$16)</f>
        <v>4</v>
      </c>
      <c r="AY82" s="80" t="n">
        <f aca="false">IF(46&lt;$C$13,0,$L$13)+IF(46&lt;$C$14,0,$L$14)+IF(46&lt;$C$15,0,$L$15)+IF(46&lt;$C$16,0,$L$16)</f>
        <v>4</v>
      </c>
      <c r="AZ82" s="80" t="n">
        <f aca="false">IF(47&lt;$C$13,0,$L$13)+IF(47&lt;$C$14,0,$L$14)+IF(47&lt;$C$15,0,$L$15)+IF(47&lt;$C$16,0,$L$16)</f>
        <v>4</v>
      </c>
      <c r="BA82" s="80" t="n">
        <f aca="false">IF(48&lt;$C$13,0,$L$13)+IF(48&lt;$C$14,0,$L$14)+IF(48&lt;$C$15,0,$L$15)+IF(48&lt;$C$16,0,$L$16)</f>
        <v>4</v>
      </c>
      <c r="BB82" s="79" t="n">
        <f aca="false">BN82</f>
        <v>5</v>
      </c>
      <c r="BC82" s="80" t="n">
        <f aca="false">IF(49&lt;$C$13,0,$M$13)+IF(49&lt;$C$14,0,$M$14)+IF(49&lt;$C$15,0,$M$15)+IF(49&lt;$C$16,0,$M$16)</f>
        <v>5</v>
      </c>
      <c r="BD82" s="80" t="n">
        <f aca="false">IF(50&lt;$C$13,0,$M$13)+IF(50&lt;$C$14,0,$M$14)+IF(50&lt;$C$15,0,$M$15)+IF(50&lt;$C$16,0,$M$16)</f>
        <v>5</v>
      </c>
      <c r="BE82" s="80" t="n">
        <f aca="false">IF(51&lt;$C$13,0,$M$13)+IF(51&lt;$C$14,0,$M$14)+IF(51&lt;$C$15,0,$M$15)+IF(51&lt;$C$16,0,$M$16)</f>
        <v>5</v>
      </c>
      <c r="BF82" s="80" t="n">
        <f aca="false">IF(52&lt;$C$13,0,$M$13)+IF(52&lt;$C$14,0,$M$14)+IF(52&lt;$C$15,0,$M$15)+IF(52&lt;$C$16,0,$M$16)</f>
        <v>5</v>
      </c>
      <c r="BG82" s="80" t="n">
        <f aca="false">IF(53&lt;$C$13,0,$M$13)+IF(53&lt;$C$14,0,$M$14)+IF(53&lt;$C$15,0,$M$15)+IF(53&lt;$C$16,0,$M$16)</f>
        <v>5</v>
      </c>
      <c r="BH82" s="80" t="n">
        <f aca="false">IF(54&lt;$C$13,0,$M$13)+IF(54&lt;$C$14,0,$M$14)+IF(54&lt;$C$15,0,$M$15)+IF(54&lt;$C$16,0,$M$16)</f>
        <v>5</v>
      </c>
      <c r="BI82" s="80" t="n">
        <f aca="false">IF(55&lt;$C$13,0,$M$13)+IF(55&lt;$C$14,0,$M$14)+IF(55&lt;$C$15,0,$M$15)+IF(55&lt;$C$16,0,$M$16)</f>
        <v>5</v>
      </c>
      <c r="BJ82" s="80" t="n">
        <f aca="false">IF(56&lt;$C$13,0,$M$13)+IF(56&lt;$C$14,0,$M$14)+IF(56&lt;$C$15,0,$M$15)+IF(56&lt;$C$16,0,$M$16)</f>
        <v>5</v>
      </c>
      <c r="BK82" s="80" t="n">
        <f aca="false">IF(57&lt;$C$13,0,$M$13)+IF(57&lt;$C$14,0,$M$14)+IF(57&lt;$C$15,0,$M$15)+IF(57&lt;$C$16,0,$M$16)</f>
        <v>5</v>
      </c>
      <c r="BL82" s="80" t="n">
        <f aca="false">IF(58&lt;$C$13,0,$M$13)+IF(58&lt;$C$14,0,$M$14)+IF(58&lt;$C$15,0,$M$15)+IF(58&lt;$C$16,0,$M$16)</f>
        <v>5</v>
      </c>
      <c r="BM82" s="80" t="n">
        <f aca="false">IF(59&lt;$C$13,0,$M$13)+IF(59&lt;$C$14,0,$M$14)+IF(59&lt;$C$15,0,$M$15)+IF(59&lt;$C$16,0,$M$16)</f>
        <v>5</v>
      </c>
      <c r="BN82" s="80" t="n">
        <f aca="false">IF(60&lt;$C$13,0,$M$13)+IF(60&lt;$C$14,0,$M$14)+IF(60&lt;$C$15,0,$M$15)+IF(60&lt;$C$16,0,$M$16)</f>
        <v>5</v>
      </c>
    </row>
    <row r="83" customFormat="false" ht="15" hidden="false" customHeight="false" outlineLevel="0" collapsed="false">
      <c r="A83" s="12" t="s">
        <v>404</v>
      </c>
      <c r="B83" s="79" t="n">
        <f aca="false">N83</f>
        <v>0</v>
      </c>
      <c r="C83" s="80" t="n">
        <f aca="false">IF(1&lt;$C$17,0,$I$17)+IF(1&lt;$C$18,0,$I$18)+IF(1&lt;$C$19,0,$I$19)+IF(1&lt;$C$20,0,$I$20)+IF(1&lt;$C$21,0,$I$21)+IF(1&lt;$C$22,0,$I$22)</f>
        <v>0</v>
      </c>
      <c r="D83" s="80" t="n">
        <f aca="false">IF(2&lt;$C$17,0,$I$17)+IF(2&lt;$C$18,0,$I$18)+IF(2&lt;$C$19,0,$I$19)+IF(2&lt;$C$20,0,$I$20)+IF(2&lt;$C$21,0,$I$21)+IF(2&lt;$C$22,0,$I$22)</f>
        <v>0</v>
      </c>
      <c r="E83" s="80" t="n">
        <f aca="false">IF(3&lt;$C$17,0,$I$17)+IF(3&lt;$C$18,0,$I$18)+IF(3&lt;$C$19,0,$I$19)+IF(3&lt;$C$20,0,$I$20)+IF(3&lt;$C$21,0,$I$21)+IF(3&lt;$C$22,0,$I$22)</f>
        <v>0</v>
      </c>
      <c r="F83" s="80" t="n">
        <f aca="false">IF(4&lt;$C$17,0,$I$17)+IF(4&lt;$C$18,0,$I$18)+IF(4&lt;$C$19,0,$I$19)+IF(4&lt;$C$20,0,$I$20)+IF(4&lt;$C$21,0,$I$21)+IF(4&lt;$C$22,0,$I$22)</f>
        <v>0</v>
      </c>
      <c r="G83" s="80" t="n">
        <f aca="false">IF(5&lt;$C$17,0,$I$17)+IF(5&lt;$C$18,0,$I$18)+IF(5&lt;$C$19,0,$I$19)+IF(5&lt;$C$20,0,$I$20)+IF(5&lt;$C$21,0,$I$21)+IF(5&lt;$C$22,0,$I$22)</f>
        <v>0</v>
      </c>
      <c r="H83" s="80" t="n">
        <f aca="false">IF(6&lt;$C$17,0,$I$17)+IF(6&lt;$C$18,0,$I$18)+IF(6&lt;$C$19,0,$I$19)+IF(6&lt;$C$20,0,$I$20)+IF(6&lt;$C$21,0,$I$21)+IF(6&lt;$C$22,0,$I$22)</f>
        <v>0</v>
      </c>
      <c r="I83" s="80" t="n">
        <f aca="false">IF(7&lt;$C$17,0,$I$17)+IF(7&lt;$C$18,0,$I$18)+IF(7&lt;$C$19,0,$I$19)+IF(7&lt;$C$20,0,$I$20)+IF(7&lt;$C$21,0,$I$21)+IF(7&lt;$C$22,0,$I$22)</f>
        <v>0</v>
      </c>
      <c r="J83" s="80" t="n">
        <f aca="false">IF(8&lt;$C$17,0,$I$17)+IF(8&lt;$C$18,0,$I$18)+IF(8&lt;$C$19,0,$I$19)+IF(8&lt;$C$20,0,$I$20)+IF(8&lt;$C$21,0,$I$21)+IF(8&lt;$C$22,0,$I$22)</f>
        <v>0</v>
      </c>
      <c r="K83" s="80" t="n">
        <f aca="false">IF(9&lt;$C$17,0,$I$17)+IF(9&lt;$C$18,0,$I$18)+IF(9&lt;$C$19,0,$I$19)+IF(9&lt;$C$20,0,$I$20)+IF(9&lt;$C$21,0,$I$21)+IF(9&lt;$C$22,0,$I$22)</f>
        <v>0</v>
      </c>
      <c r="L83" s="80" t="n">
        <f aca="false">IF(10&lt;$C$17,0,$I$17)+IF(10&lt;$C$18,0,$I$18)+IF(10&lt;$C$19,0,$I$19)+IF(10&lt;$C$20,0,$I$20)+IF(10&lt;$C$21,0,$I$21)+IF(10&lt;$C$22,0,$I$22)</f>
        <v>0</v>
      </c>
      <c r="M83" s="80" t="n">
        <f aca="false">IF(11&lt;$C$17,0,$I$17)+IF(11&lt;$C$18,0,$I$18)+IF(11&lt;$C$19,0,$I$19)+IF(11&lt;$C$20,0,$I$20)+IF(11&lt;$C$21,0,$I$21)+IF(11&lt;$C$22,0,$I$22)</f>
        <v>0</v>
      </c>
      <c r="N83" s="80" t="n">
        <f aca="false">IF(12&lt;$C$17,0,$I$17)+IF(12&lt;$C$18,0,$I$18)+IF(12&lt;$C$19,0,$I$19)+IF(12&lt;$C$20,0,$I$20)+IF(12&lt;$C$21,0,$I$21)+IF(12&lt;$C$22,0,$I$22)</f>
        <v>0</v>
      </c>
      <c r="O83" s="79" t="n">
        <f aca="false">AA83</f>
        <v>1</v>
      </c>
      <c r="P83" s="80" t="n">
        <f aca="false">IF(13&lt;$C$17,0,$J$17)+IF(13&lt;$C$18,0,$J$18)+IF(13&lt;$C$19,0,$J$19)+IF(13&lt;$C$20,0,$J$20)+IF(13&lt;$C$21,0,$J$21)+IF(13&lt;$C$22,0,$J$22)</f>
        <v>1</v>
      </c>
      <c r="Q83" s="80" t="n">
        <f aca="false">IF(14&lt;$C$17,0,$J$17)+IF(14&lt;$C$18,0,$J$18)+IF(14&lt;$C$19,0,$J$19)+IF(14&lt;$C$20,0,$J$20)+IF(14&lt;$C$21,0,$J$21)+IF(14&lt;$C$22,0,$J$22)</f>
        <v>1</v>
      </c>
      <c r="R83" s="80" t="n">
        <f aca="false">IF(15&lt;$C$17,0,$J$17)+IF(15&lt;$C$18,0,$J$18)+IF(15&lt;$C$19,0,$J$19)+IF(15&lt;$C$20,0,$J$20)+IF(15&lt;$C$21,0,$J$21)+IF(15&lt;$C$22,0,$J$22)</f>
        <v>1</v>
      </c>
      <c r="S83" s="80" t="n">
        <f aca="false">IF(16&lt;$C$17,0,$J$17)+IF(16&lt;$C$18,0,$J$18)+IF(16&lt;$C$19,0,$J$19)+IF(16&lt;$C$20,0,$J$20)+IF(16&lt;$C$21,0,$J$21)+IF(16&lt;$C$22,0,$J$22)</f>
        <v>1</v>
      </c>
      <c r="T83" s="80" t="n">
        <f aca="false">IF(17&lt;$C$17,0,$J$17)+IF(17&lt;$C$18,0,$J$18)+IF(17&lt;$C$19,0,$J$19)+IF(17&lt;$C$20,0,$J$20)+IF(17&lt;$C$21,0,$J$21)+IF(17&lt;$C$22,0,$J$22)</f>
        <v>1</v>
      </c>
      <c r="U83" s="80" t="n">
        <f aca="false">IF(18&lt;$C$17,0,$J$17)+IF(18&lt;$C$18,0,$J$18)+IF(18&lt;$C$19,0,$J$19)+IF(18&lt;$C$20,0,$J$20)+IF(18&lt;$C$21,0,$J$21)+IF(18&lt;$C$22,0,$J$22)</f>
        <v>1</v>
      </c>
      <c r="V83" s="80" t="n">
        <f aca="false">IF(19&lt;$C$17,0,$J$17)+IF(19&lt;$C$18,0,$J$18)+IF(19&lt;$C$19,0,$J$19)+IF(19&lt;$C$20,0,$J$20)+IF(19&lt;$C$21,0,$J$21)+IF(19&lt;$C$22,0,$J$22)</f>
        <v>1</v>
      </c>
      <c r="W83" s="80" t="n">
        <f aca="false">IF(20&lt;$C$17,0,$J$17)+IF(20&lt;$C$18,0,$J$18)+IF(20&lt;$C$19,0,$J$19)+IF(20&lt;$C$20,0,$J$20)+IF(20&lt;$C$21,0,$J$21)+IF(20&lt;$C$22,0,$J$22)</f>
        <v>1</v>
      </c>
      <c r="X83" s="80" t="n">
        <f aca="false">IF(21&lt;$C$17,0,$J$17)+IF(21&lt;$C$18,0,$J$18)+IF(21&lt;$C$19,0,$J$19)+IF(21&lt;$C$20,0,$J$20)+IF(21&lt;$C$21,0,$J$21)+IF(21&lt;$C$22,0,$J$22)</f>
        <v>1</v>
      </c>
      <c r="Y83" s="80" t="n">
        <f aca="false">IF(22&lt;$C$17,0,$J$17)+IF(22&lt;$C$18,0,$J$18)+IF(22&lt;$C$19,0,$J$19)+IF(22&lt;$C$20,0,$J$20)+IF(22&lt;$C$21,0,$J$21)+IF(22&lt;$C$22,0,$J$22)</f>
        <v>1</v>
      </c>
      <c r="Z83" s="80" t="n">
        <f aca="false">IF(23&lt;$C$17,0,$J$17)+IF(23&lt;$C$18,0,$J$18)+IF(23&lt;$C$19,0,$J$19)+IF(23&lt;$C$20,0,$J$20)+IF(23&lt;$C$21,0,$J$21)+IF(23&lt;$C$22,0,$J$22)</f>
        <v>1</v>
      </c>
      <c r="AA83" s="80" t="n">
        <f aca="false">IF(24&lt;$C$17,0,$J$17)+IF(24&lt;$C$18,0,$J$18)+IF(24&lt;$C$19,0,$J$19)+IF(24&lt;$C$20,0,$J$20)+IF(24&lt;$C$21,0,$J$21)+IF(24&lt;$C$22,0,$J$22)</f>
        <v>1</v>
      </c>
      <c r="AB83" s="79" t="n">
        <f aca="false">AN83</f>
        <v>4</v>
      </c>
      <c r="AC83" s="80" t="n">
        <f aca="false">IF(25&lt;$C$17,0,$K$17)+IF(25&lt;$C$18,0,$K$18)+IF(25&lt;$C$19,0,$K$19)+IF(25&lt;$C$20,0,$K$20)+IF(25&lt;$C$21,0,$K$21)+IF(25&lt;$C$22,0,$K$22)</f>
        <v>4</v>
      </c>
      <c r="AD83" s="80" t="n">
        <f aca="false">IF(26&lt;$C$17,0,$K$17)+IF(26&lt;$C$18,0,$K$18)+IF(26&lt;$C$19,0,$K$19)+IF(26&lt;$C$20,0,$K$20)+IF(26&lt;$C$21,0,$K$21)+IF(26&lt;$C$22,0,$K$22)</f>
        <v>4</v>
      </c>
      <c r="AE83" s="80" t="n">
        <f aca="false">IF(27&lt;$C$17,0,$K$17)+IF(27&lt;$C$18,0,$K$18)+IF(27&lt;$C$19,0,$K$19)+IF(27&lt;$C$20,0,$K$20)+IF(27&lt;$C$21,0,$K$21)+IF(27&lt;$C$22,0,$K$22)</f>
        <v>4</v>
      </c>
      <c r="AF83" s="80" t="n">
        <f aca="false">IF(28&lt;$C$17,0,$K$17)+IF(28&lt;$C$18,0,$K$18)+IF(28&lt;$C$19,0,$K$19)+IF(28&lt;$C$20,0,$K$20)+IF(28&lt;$C$21,0,$K$21)+IF(28&lt;$C$22,0,$K$22)</f>
        <v>4</v>
      </c>
      <c r="AG83" s="80" t="n">
        <f aca="false">IF(29&lt;$C$17,0,$K$17)+IF(29&lt;$C$18,0,$K$18)+IF(29&lt;$C$19,0,$K$19)+IF(29&lt;$C$20,0,$K$20)+IF(29&lt;$C$21,0,$K$21)+IF(29&lt;$C$22,0,$K$22)</f>
        <v>4</v>
      </c>
      <c r="AH83" s="80" t="n">
        <f aca="false">IF(30&lt;$C$17,0,$K$17)+IF(30&lt;$C$18,0,$K$18)+IF(30&lt;$C$19,0,$K$19)+IF(30&lt;$C$20,0,$K$20)+IF(30&lt;$C$21,0,$K$21)+IF(30&lt;$C$22,0,$K$22)</f>
        <v>4</v>
      </c>
      <c r="AI83" s="80" t="n">
        <f aca="false">IF(31&lt;$C$17,0,$K$17)+IF(31&lt;$C$18,0,$K$18)+IF(31&lt;$C$19,0,$K$19)+IF(31&lt;$C$20,0,$K$20)+IF(31&lt;$C$21,0,$K$21)+IF(31&lt;$C$22,0,$K$22)</f>
        <v>4</v>
      </c>
      <c r="AJ83" s="80" t="n">
        <f aca="false">IF(32&lt;$C$17,0,$K$17)+IF(32&lt;$C$18,0,$K$18)+IF(32&lt;$C$19,0,$K$19)+IF(32&lt;$C$20,0,$K$20)+IF(32&lt;$C$21,0,$K$21)+IF(32&lt;$C$22,0,$K$22)</f>
        <v>4</v>
      </c>
      <c r="AK83" s="80" t="n">
        <f aca="false">IF(33&lt;$C$17,0,$K$17)+IF(33&lt;$C$18,0,$K$18)+IF(33&lt;$C$19,0,$K$19)+IF(33&lt;$C$20,0,$K$20)+IF(33&lt;$C$21,0,$K$21)+IF(33&lt;$C$22,0,$K$22)</f>
        <v>4</v>
      </c>
      <c r="AL83" s="80" t="n">
        <f aca="false">IF(34&lt;$C$17,0,$K$17)+IF(34&lt;$C$18,0,$K$18)+IF(34&lt;$C$19,0,$K$19)+IF(34&lt;$C$20,0,$K$20)+IF(34&lt;$C$21,0,$K$21)+IF(34&lt;$C$22,0,$K$22)</f>
        <v>4</v>
      </c>
      <c r="AM83" s="80" t="n">
        <f aca="false">IF(35&lt;$C$17,0,$K$17)+IF(35&lt;$C$18,0,$K$18)+IF(35&lt;$C$19,0,$K$19)+IF(35&lt;$C$20,0,$K$20)+IF(35&lt;$C$21,0,$K$21)+IF(35&lt;$C$22,0,$K$22)</f>
        <v>4</v>
      </c>
      <c r="AN83" s="80" t="n">
        <f aca="false">IF(36&lt;$C$17,0,$K$17)+IF(36&lt;$C$18,0,$K$18)+IF(36&lt;$C$19,0,$K$19)+IF(36&lt;$C$20,0,$K$20)+IF(36&lt;$C$21,0,$K$21)+IF(36&lt;$C$22,0,$K$22)</f>
        <v>4</v>
      </c>
      <c r="AO83" s="79" t="n">
        <f aca="false">BA83</f>
        <v>5</v>
      </c>
      <c r="AP83" s="80" t="n">
        <f aca="false">IF(37&lt;$C$17,0,$L$17)+IF(37&lt;$C$18,0,$L$18)+IF(37&lt;$C$19,0,$L$19)+IF(37&lt;$C$20,0,$L$20)+IF(37&lt;$C$21,0,$L$21)+IF(37&lt;$C$22,0,$L$22)</f>
        <v>5</v>
      </c>
      <c r="AQ83" s="80" t="n">
        <f aca="false">IF(38&lt;$C$17,0,$L$17)+IF(38&lt;$C$18,0,$L$18)+IF(38&lt;$C$19,0,$L$19)+IF(38&lt;$C$20,0,$L$20)+IF(38&lt;$C$21,0,$L$21)+IF(38&lt;$C$22,0,$L$22)</f>
        <v>5</v>
      </c>
      <c r="AR83" s="80" t="n">
        <f aca="false">IF(39&lt;$C$17,0,$L$17)+IF(39&lt;$C$18,0,$L$18)+IF(39&lt;$C$19,0,$L$19)+IF(39&lt;$C$20,0,$L$20)+IF(39&lt;$C$21,0,$L$21)+IF(39&lt;$C$22,0,$L$22)</f>
        <v>5</v>
      </c>
      <c r="AS83" s="80" t="n">
        <f aca="false">IF(40&lt;$C$17,0,$L$17)+IF(40&lt;$C$18,0,$L$18)+IF(40&lt;$C$19,0,$L$19)+IF(40&lt;$C$20,0,$L$20)+IF(40&lt;$C$21,0,$L$21)+IF(40&lt;$C$22,0,$L$22)</f>
        <v>5</v>
      </c>
      <c r="AT83" s="80" t="n">
        <f aca="false">IF(41&lt;$C$17,0,$L$17)+IF(41&lt;$C$18,0,$L$18)+IF(41&lt;$C$19,0,$L$19)+IF(41&lt;$C$20,0,$L$20)+IF(41&lt;$C$21,0,$L$21)+IF(41&lt;$C$22,0,$L$22)</f>
        <v>5</v>
      </c>
      <c r="AU83" s="80" t="n">
        <f aca="false">IF(42&lt;$C$17,0,$L$17)+IF(42&lt;$C$18,0,$L$18)+IF(42&lt;$C$19,0,$L$19)+IF(42&lt;$C$20,0,$L$20)+IF(42&lt;$C$21,0,$L$21)+IF(42&lt;$C$22,0,$L$22)</f>
        <v>5</v>
      </c>
      <c r="AV83" s="80" t="n">
        <f aca="false">IF(43&lt;$C$17,0,$L$17)+IF(43&lt;$C$18,0,$L$18)+IF(43&lt;$C$19,0,$L$19)+IF(43&lt;$C$20,0,$L$20)+IF(43&lt;$C$21,0,$L$21)+IF(43&lt;$C$22,0,$L$22)</f>
        <v>5</v>
      </c>
      <c r="AW83" s="80" t="n">
        <f aca="false">IF(44&lt;$C$17,0,$L$17)+IF(44&lt;$C$18,0,$L$18)+IF(44&lt;$C$19,0,$L$19)+IF(44&lt;$C$20,0,$L$20)+IF(44&lt;$C$21,0,$L$21)+IF(44&lt;$C$22,0,$L$22)</f>
        <v>5</v>
      </c>
      <c r="AX83" s="80" t="n">
        <f aca="false">IF(45&lt;$C$17,0,$L$17)+IF(45&lt;$C$18,0,$L$18)+IF(45&lt;$C$19,0,$L$19)+IF(45&lt;$C$20,0,$L$20)+IF(45&lt;$C$21,0,$L$21)+IF(45&lt;$C$22,0,$L$22)</f>
        <v>5</v>
      </c>
      <c r="AY83" s="80" t="n">
        <f aca="false">IF(46&lt;$C$17,0,$L$17)+IF(46&lt;$C$18,0,$L$18)+IF(46&lt;$C$19,0,$L$19)+IF(46&lt;$C$20,0,$L$20)+IF(46&lt;$C$21,0,$L$21)+IF(46&lt;$C$22,0,$L$22)</f>
        <v>5</v>
      </c>
      <c r="AZ83" s="80" t="n">
        <f aca="false">IF(47&lt;$C$17,0,$L$17)+IF(47&lt;$C$18,0,$L$18)+IF(47&lt;$C$19,0,$L$19)+IF(47&lt;$C$20,0,$L$20)+IF(47&lt;$C$21,0,$L$21)+IF(47&lt;$C$22,0,$L$22)</f>
        <v>5</v>
      </c>
      <c r="BA83" s="80" t="n">
        <f aca="false">IF(48&lt;$C$17,0,$L$17)+IF(48&lt;$C$18,0,$L$18)+IF(48&lt;$C$19,0,$L$19)+IF(48&lt;$C$20,0,$L$20)+IF(48&lt;$C$21,0,$L$21)+IF(48&lt;$C$22,0,$L$22)</f>
        <v>5</v>
      </c>
      <c r="BB83" s="79" t="n">
        <f aca="false">BN83</f>
        <v>6</v>
      </c>
      <c r="BC83" s="80" t="n">
        <f aca="false">IF(49&lt;$C$17,0,$M$17)+IF(49&lt;$C$18,0,$M$18)+IF(49&lt;$C$19,0,$M$19)+IF(49&lt;$C$20,0,$M$20)+IF(49&lt;$C$21,0,$M$21)+IF(49&lt;$C$22,0,$M$22)</f>
        <v>6</v>
      </c>
      <c r="BD83" s="80" t="n">
        <f aca="false">IF(50&lt;$C$17,0,$M$17)+IF(50&lt;$C$18,0,$M$18)+IF(50&lt;$C$19,0,$M$19)+IF(50&lt;$C$20,0,$M$20)+IF(50&lt;$C$21,0,$M$21)+IF(50&lt;$C$22,0,$M$22)</f>
        <v>6</v>
      </c>
      <c r="BE83" s="80" t="n">
        <f aca="false">IF(51&lt;$C$17,0,$M$17)+IF(51&lt;$C$18,0,$M$18)+IF(51&lt;$C$19,0,$M$19)+IF(51&lt;$C$20,0,$M$20)+IF(51&lt;$C$21,0,$M$21)+IF(51&lt;$C$22,0,$M$22)</f>
        <v>6</v>
      </c>
      <c r="BF83" s="80" t="n">
        <f aca="false">IF(52&lt;$C$17,0,$M$17)+IF(52&lt;$C$18,0,$M$18)+IF(52&lt;$C$19,0,$M$19)+IF(52&lt;$C$20,0,$M$20)+IF(52&lt;$C$21,0,$M$21)+IF(52&lt;$C$22,0,$M$22)</f>
        <v>6</v>
      </c>
      <c r="BG83" s="80" t="n">
        <f aca="false">IF(53&lt;$C$17,0,$M$17)+IF(53&lt;$C$18,0,$M$18)+IF(53&lt;$C$19,0,$M$19)+IF(53&lt;$C$20,0,$M$20)+IF(53&lt;$C$21,0,$M$21)+IF(53&lt;$C$22,0,$M$22)</f>
        <v>6</v>
      </c>
      <c r="BH83" s="80" t="n">
        <f aca="false">IF(54&lt;$C$17,0,$M$17)+IF(54&lt;$C$18,0,$M$18)+IF(54&lt;$C$19,0,$M$19)+IF(54&lt;$C$20,0,$M$20)+IF(54&lt;$C$21,0,$M$21)+IF(54&lt;$C$22,0,$M$22)</f>
        <v>6</v>
      </c>
      <c r="BI83" s="80" t="n">
        <f aca="false">IF(55&lt;$C$17,0,$M$17)+IF(55&lt;$C$18,0,$M$18)+IF(55&lt;$C$19,0,$M$19)+IF(55&lt;$C$20,0,$M$20)+IF(55&lt;$C$21,0,$M$21)+IF(55&lt;$C$22,0,$M$22)</f>
        <v>6</v>
      </c>
      <c r="BJ83" s="80" t="n">
        <f aca="false">IF(56&lt;$C$17,0,$M$17)+IF(56&lt;$C$18,0,$M$18)+IF(56&lt;$C$19,0,$M$19)+IF(56&lt;$C$20,0,$M$20)+IF(56&lt;$C$21,0,$M$21)+IF(56&lt;$C$22,0,$M$22)</f>
        <v>6</v>
      </c>
      <c r="BK83" s="80" t="n">
        <f aca="false">IF(57&lt;$C$17,0,$M$17)+IF(57&lt;$C$18,0,$M$18)+IF(57&lt;$C$19,0,$M$19)+IF(57&lt;$C$20,0,$M$20)+IF(57&lt;$C$21,0,$M$21)+IF(57&lt;$C$22,0,$M$22)</f>
        <v>6</v>
      </c>
      <c r="BL83" s="80" t="n">
        <f aca="false">IF(58&lt;$C$17,0,$M$17)+IF(58&lt;$C$18,0,$M$18)+IF(58&lt;$C$19,0,$M$19)+IF(58&lt;$C$20,0,$M$20)+IF(58&lt;$C$21,0,$M$21)+IF(58&lt;$C$22,0,$M$22)</f>
        <v>6</v>
      </c>
      <c r="BM83" s="80" t="n">
        <f aca="false">IF(59&lt;$C$17,0,$M$17)+IF(59&lt;$C$18,0,$M$18)+IF(59&lt;$C$19,0,$M$19)+IF(59&lt;$C$20,0,$M$20)+IF(59&lt;$C$21,0,$M$21)+IF(59&lt;$C$22,0,$M$22)</f>
        <v>6</v>
      </c>
      <c r="BN83" s="80" t="n">
        <f aca="false">IF(60&lt;$C$17,0,$M$17)+IF(60&lt;$C$18,0,$M$18)+IF(60&lt;$C$19,0,$M$19)+IF(60&lt;$C$20,0,$M$20)+IF(60&lt;$C$21,0,$M$21)+IF(60&lt;$C$22,0,$M$22)</f>
        <v>6</v>
      </c>
    </row>
    <row r="84" customFormat="false" ht="15" hidden="false" customHeight="false" outlineLevel="0" collapsed="false">
      <c r="A84" s="12" t="s">
        <v>403</v>
      </c>
      <c r="B84" s="79" t="n">
        <f aca="false">N84</f>
        <v>0</v>
      </c>
      <c r="C84" s="80" t="n">
        <f aca="false">IF(1&lt;$C$23,0,$I$23)+IF(1&lt;$C$24,0,$I$24)</f>
        <v>0</v>
      </c>
      <c r="D84" s="80" t="n">
        <f aca="false">IF(2&lt;$C$23,0,$I$23)+IF(2&lt;$C$24,0,$I$24)</f>
        <v>0</v>
      </c>
      <c r="E84" s="80" t="n">
        <f aca="false">IF(3&lt;$C$23,0,$I$23)+IF(3&lt;$C$24,0,$I$24)</f>
        <v>0</v>
      </c>
      <c r="F84" s="80" t="n">
        <f aca="false">IF(4&lt;$C$23,0,$I$23)+IF(4&lt;$C$24,0,$I$24)</f>
        <v>0</v>
      </c>
      <c r="G84" s="80" t="n">
        <f aca="false">IF(5&lt;$C$23,0,$I$23)+IF(5&lt;$C$24,0,$I$24)</f>
        <v>0</v>
      </c>
      <c r="H84" s="80" t="n">
        <f aca="false">IF(6&lt;$C$23,0,$I$23)+IF(6&lt;$C$24,0,$I$24)</f>
        <v>0</v>
      </c>
      <c r="I84" s="80" t="n">
        <f aca="false">IF(7&lt;$C$23,0,$I$23)+IF(7&lt;$C$24,0,$I$24)</f>
        <v>0</v>
      </c>
      <c r="J84" s="80" t="n">
        <f aca="false">IF(8&lt;$C$23,0,$I$23)+IF(8&lt;$C$24,0,$I$24)</f>
        <v>0</v>
      </c>
      <c r="K84" s="80" t="n">
        <f aca="false">IF(9&lt;$C$23,0,$I$23)+IF(9&lt;$C$24,0,$I$24)</f>
        <v>0</v>
      </c>
      <c r="L84" s="80" t="n">
        <f aca="false">IF(10&lt;$C$23,0,$I$23)+IF(10&lt;$C$24,0,$I$24)</f>
        <v>0</v>
      </c>
      <c r="M84" s="80" t="n">
        <f aca="false">IF(11&lt;$C$23,0,$I$23)+IF(11&lt;$C$24,0,$I$24)</f>
        <v>0</v>
      </c>
      <c r="N84" s="80" t="n">
        <f aca="false">IF(12&lt;$C$23,0,$I$23)+IF(12&lt;$C$24,0,$I$24)</f>
        <v>0</v>
      </c>
      <c r="O84" s="79" t="n">
        <f aca="false">AA84</f>
        <v>1</v>
      </c>
      <c r="P84" s="80" t="n">
        <f aca="false">IF(13&lt;$C$23,0,$J$23)+IF(13&lt;$C$24,0,$J$24)</f>
        <v>1</v>
      </c>
      <c r="Q84" s="80" t="n">
        <f aca="false">IF(14&lt;$C$23,0,$J$23)+IF(14&lt;$C$24,0,$J$24)</f>
        <v>1</v>
      </c>
      <c r="R84" s="80" t="n">
        <f aca="false">IF(15&lt;$C$23,0,$J$23)+IF(15&lt;$C$24,0,$J$24)</f>
        <v>1</v>
      </c>
      <c r="S84" s="80" t="n">
        <f aca="false">IF(16&lt;$C$23,0,$J$23)+IF(16&lt;$C$24,0,$J$24)</f>
        <v>1</v>
      </c>
      <c r="T84" s="80" t="n">
        <f aca="false">IF(17&lt;$C$23,0,$J$23)+IF(17&lt;$C$24,0,$J$24)</f>
        <v>1</v>
      </c>
      <c r="U84" s="80" t="n">
        <f aca="false">IF(18&lt;$C$23,0,$J$23)+IF(18&lt;$C$24,0,$J$24)</f>
        <v>1</v>
      </c>
      <c r="V84" s="80" t="n">
        <f aca="false">IF(19&lt;$C$23,0,$J$23)+IF(19&lt;$C$24,0,$J$24)</f>
        <v>1</v>
      </c>
      <c r="W84" s="80" t="n">
        <f aca="false">IF(20&lt;$C$23,0,$J$23)+IF(20&lt;$C$24,0,$J$24)</f>
        <v>1</v>
      </c>
      <c r="X84" s="80" t="n">
        <f aca="false">IF(21&lt;$C$23,0,$J$23)+IF(21&lt;$C$24,0,$J$24)</f>
        <v>1</v>
      </c>
      <c r="Y84" s="80" t="n">
        <f aca="false">IF(22&lt;$C$23,0,$J$23)+IF(22&lt;$C$24,0,$J$24)</f>
        <v>1</v>
      </c>
      <c r="Z84" s="80" t="n">
        <f aca="false">IF(23&lt;$C$23,0,$J$23)+IF(23&lt;$C$24,0,$J$24)</f>
        <v>1</v>
      </c>
      <c r="AA84" s="80" t="n">
        <f aca="false">IF(24&lt;$C$23,0,$J$23)+IF(24&lt;$C$24,0,$J$24)</f>
        <v>1</v>
      </c>
      <c r="AB84" s="79" t="n">
        <f aca="false">AN84</f>
        <v>1</v>
      </c>
      <c r="AC84" s="80" t="n">
        <f aca="false">IF(25&lt;$C$23,0,$K$23)+IF(25&lt;$C$24,0,$K$24)</f>
        <v>1</v>
      </c>
      <c r="AD84" s="80" t="n">
        <f aca="false">IF(26&lt;$C$23,0,$K$23)+IF(26&lt;$C$24,0,$K$24)</f>
        <v>1</v>
      </c>
      <c r="AE84" s="80" t="n">
        <f aca="false">IF(27&lt;$C$23,0,$K$23)+IF(27&lt;$C$24,0,$K$24)</f>
        <v>1</v>
      </c>
      <c r="AF84" s="80" t="n">
        <f aca="false">IF(28&lt;$C$23,0,$K$23)+IF(28&lt;$C$24,0,$K$24)</f>
        <v>1</v>
      </c>
      <c r="AG84" s="80" t="n">
        <f aca="false">IF(29&lt;$C$23,0,$K$23)+IF(29&lt;$C$24,0,$K$24)</f>
        <v>1</v>
      </c>
      <c r="AH84" s="80" t="n">
        <f aca="false">IF(30&lt;$C$23,0,$K$23)+IF(30&lt;$C$24,0,$K$24)</f>
        <v>1</v>
      </c>
      <c r="AI84" s="80" t="n">
        <f aca="false">IF(31&lt;$C$23,0,$K$23)+IF(31&lt;$C$24,0,$K$24)</f>
        <v>1</v>
      </c>
      <c r="AJ84" s="80" t="n">
        <f aca="false">IF(32&lt;$C$23,0,$K$23)+IF(32&lt;$C$24,0,$K$24)</f>
        <v>1</v>
      </c>
      <c r="AK84" s="80" t="n">
        <f aca="false">IF(33&lt;$C$23,0,$K$23)+IF(33&lt;$C$24,0,$K$24)</f>
        <v>1</v>
      </c>
      <c r="AL84" s="80" t="n">
        <f aca="false">IF(34&lt;$C$23,0,$K$23)+IF(34&lt;$C$24,0,$K$24)</f>
        <v>1</v>
      </c>
      <c r="AM84" s="80" t="n">
        <f aca="false">IF(35&lt;$C$23,0,$K$23)+IF(35&lt;$C$24,0,$K$24)</f>
        <v>1</v>
      </c>
      <c r="AN84" s="80" t="n">
        <f aca="false">IF(36&lt;$C$23,0,$K$23)+IF(36&lt;$C$24,0,$K$24)</f>
        <v>1</v>
      </c>
      <c r="AO84" s="79" t="n">
        <f aca="false">BA84</f>
        <v>1</v>
      </c>
      <c r="AP84" s="80" t="n">
        <f aca="false">IF(37&lt;$C$23,0,$L$23)+IF(37&lt;$C$24,0,$L$24)</f>
        <v>1</v>
      </c>
      <c r="AQ84" s="80" t="n">
        <f aca="false">IF(38&lt;$C$23,0,$L$23)+IF(38&lt;$C$24,0,$L$24)</f>
        <v>1</v>
      </c>
      <c r="AR84" s="80" t="n">
        <f aca="false">IF(39&lt;$C$23,0,$L$23)+IF(39&lt;$C$24,0,$L$24)</f>
        <v>1</v>
      </c>
      <c r="AS84" s="80" t="n">
        <f aca="false">IF(40&lt;$C$23,0,$L$23)+IF(40&lt;$C$24,0,$L$24)</f>
        <v>1</v>
      </c>
      <c r="AT84" s="80" t="n">
        <f aca="false">IF(41&lt;$C$23,0,$L$23)+IF(41&lt;$C$24,0,$L$24)</f>
        <v>1</v>
      </c>
      <c r="AU84" s="80" t="n">
        <f aca="false">IF(42&lt;$C$23,0,$L$23)+IF(42&lt;$C$24,0,$L$24)</f>
        <v>1</v>
      </c>
      <c r="AV84" s="80" t="n">
        <f aca="false">IF(43&lt;$C$23,0,$L$23)+IF(43&lt;$C$24,0,$L$24)</f>
        <v>1</v>
      </c>
      <c r="AW84" s="80" t="n">
        <f aca="false">IF(44&lt;$C$23,0,$L$23)+IF(44&lt;$C$24,0,$L$24)</f>
        <v>1</v>
      </c>
      <c r="AX84" s="80" t="n">
        <f aca="false">IF(45&lt;$C$23,0,$L$23)+IF(45&lt;$C$24,0,$L$24)</f>
        <v>1</v>
      </c>
      <c r="AY84" s="80" t="n">
        <f aca="false">IF(46&lt;$C$23,0,$L$23)+IF(46&lt;$C$24,0,$L$24)</f>
        <v>1</v>
      </c>
      <c r="AZ84" s="80" t="n">
        <f aca="false">IF(47&lt;$C$23,0,$L$23)+IF(47&lt;$C$24,0,$L$24)</f>
        <v>1</v>
      </c>
      <c r="BA84" s="80" t="n">
        <f aca="false">IF(48&lt;$C$23,0,$L$23)+IF(48&lt;$C$24,0,$L$24)</f>
        <v>1</v>
      </c>
      <c r="BB84" s="79" t="n">
        <f aca="false">BN84</f>
        <v>2</v>
      </c>
      <c r="BC84" s="80" t="n">
        <f aca="false">IF(49&lt;$C$23,0,$M$23)+IF(49&lt;$C$24,0,$M$24)</f>
        <v>2</v>
      </c>
      <c r="BD84" s="80" t="n">
        <f aca="false">IF(50&lt;$C$23,0,$M$23)+IF(50&lt;$C$24,0,$M$24)</f>
        <v>2</v>
      </c>
      <c r="BE84" s="80" t="n">
        <f aca="false">IF(51&lt;$C$23,0,$M$23)+IF(51&lt;$C$24,0,$M$24)</f>
        <v>2</v>
      </c>
      <c r="BF84" s="80" t="n">
        <f aca="false">IF(52&lt;$C$23,0,$M$23)+IF(52&lt;$C$24,0,$M$24)</f>
        <v>2</v>
      </c>
      <c r="BG84" s="80" t="n">
        <f aca="false">IF(53&lt;$C$23,0,$M$23)+IF(53&lt;$C$24,0,$M$24)</f>
        <v>2</v>
      </c>
      <c r="BH84" s="80" t="n">
        <f aca="false">IF(54&lt;$C$23,0,$M$23)+IF(54&lt;$C$24,0,$M$24)</f>
        <v>2</v>
      </c>
      <c r="BI84" s="80" t="n">
        <f aca="false">IF(55&lt;$C$23,0,$M$23)+IF(55&lt;$C$24,0,$M$24)</f>
        <v>2</v>
      </c>
      <c r="BJ84" s="80" t="n">
        <f aca="false">IF(56&lt;$C$23,0,$M$23)+IF(56&lt;$C$24,0,$M$24)</f>
        <v>2</v>
      </c>
      <c r="BK84" s="80" t="n">
        <f aca="false">IF(57&lt;$C$23,0,$M$23)+IF(57&lt;$C$24,0,$M$24)</f>
        <v>2</v>
      </c>
      <c r="BL84" s="80" t="n">
        <f aca="false">IF(58&lt;$C$23,0,$M$23)+IF(58&lt;$C$24,0,$M$24)</f>
        <v>2</v>
      </c>
      <c r="BM84" s="80" t="n">
        <f aca="false">IF(59&lt;$C$23,0,$M$23)+IF(59&lt;$C$24,0,$M$24)</f>
        <v>2</v>
      </c>
      <c r="BN84" s="80" t="n">
        <f aca="false">IF(60&lt;$C$23,0,$M$23)+IF(60&lt;$C$24,0,$M$24)</f>
        <v>2</v>
      </c>
    </row>
    <row r="85" customFormat="false" ht="15" hidden="false" customHeight="false" outlineLevel="0" collapsed="false">
      <c r="A85" s="18" t="s">
        <v>790</v>
      </c>
      <c r="B85" s="79" t="n">
        <f aca="false">N85</f>
        <v>0</v>
      </c>
      <c r="C85" s="115" t="n">
        <f aca="false">SUM(C80:C84)-C73</f>
        <v>0</v>
      </c>
      <c r="D85" s="115" t="n">
        <f aca="false">SUM(D80:D84)-D73</f>
        <v>0</v>
      </c>
      <c r="E85" s="115" t="n">
        <f aca="false">SUM(E80:E84)-E73</f>
        <v>0</v>
      </c>
      <c r="F85" s="115" t="n">
        <f aca="false">SUM(F80:F84)-F73</f>
        <v>0</v>
      </c>
      <c r="G85" s="115" t="n">
        <f aca="false">SUM(G80:G84)-G73</f>
        <v>0</v>
      </c>
      <c r="H85" s="115" t="n">
        <f aca="false">SUM(H80:H84)-H73</f>
        <v>0</v>
      </c>
      <c r="I85" s="115" t="n">
        <f aca="false">SUM(I80:I84)-I73</f>
        <v>0</v>
      </c>
      <c r="J85" s="115" t="n">
        <f aca="false">SUM(J80:J84)-J73</f>
        <v>0</v>
      </c>
      <c r="K85" s="115" t="n">
        <f aca="false">SUM(K80:K84)-K73</f>
        <v>0</v>
      </c>
      <c r="L85" s="115" t="n">
        <f aca="false">SUM(L80:L84)-L73</f>
        <v>0</v>
      </c>
      <c r="M85" s="115" t="n">
        <f aca="false">SUM(M80:M84)-M73</f>
        <v>0</v>
      </c>
      <c r="N85" s="115" t="n">
        <f aca="false">SUM(N80:N84)-N73</f>
        <v>0</v>
      </c>
      <c r="O85" s="79" t="n">
        <f aca="false">AA85</f>
        <v>0</v>
      </c>
      <c r="P85" s="115" t="n">
        <f aca="false">SUM(P80:P84)-P73</f>
        <v>0</v>
      </c>
      <c r="Q85" s="115" t="n">
        <f aca="false">SUM(Q80:Q84)-Q73</f>
        <v>0</v>
      </c>
      <c r="R85" s="115" t="n">
        <f aca="false">SUM(R80:R84)-R73</f>
        <v>0</v>
      </c>
      <c r="S85" s="115" t="n">
        <f aca="false">SUM(S80:S84)-S73</f>
        <v>0</v>
      </c>
      <c r="T85" s="115" t="n">
        <f aca="false">SUM(T80:T84)-T73</f>
        <v>0</v>
      </c>
      <c r="U85" s="115" t="n">
        <f aca="false">SUM(U80:U84)-U73</f>
        <v>0</v>
      </c>
      <c r="V85" s="115" t="n">
        <f aca="false">SUM(V80:V84)-V73</f>
        <v>0</v>
      </c>
      <c r="W85" s="115" t="n">
        <f aca="false">SUM(W80:W84)-W73</f>
        <v>0</v>
      </c>
      <c r="X85" s="115" t="n">
        <f aca="false">SUM(X80:X84)-X73</f>
        <v>0</v>
      </c>
      <c r="Y85" s="115" t="n">
        <f aca="false">SUM(Y80:Y84)-Y73</f>
        <v>0</v>
      </c>
      <c r="Z85" s="115" t="n">
        <f aca="false">SUM(Z80:Z84)-Z73</f>
        <v>0</v>
      </c>
      <c r="AA85" s="115" t="n">
        <f aca="false">SUM(AA80:AA84)-AA73</f>
        <v>0</v>
      </c>
      <c r="AB85" s="79" t="n">
        <f aca="false">AN85</f>
        <v>0</v>
      </c>
      <c r="AC85" s="115" t="n">
        <f aca="false">SUM(AC80:AC84)-AC73</f>
        <v>0</v>
      </c>
      <c r="AD85" s="115" t="n">
        <f aca="false">SUM(AD80:AD84)-AD73</f>
        <v>0</v>
      </c>
      <c r="AE85" s="115" t="n">
        <f aca="false">SUM(AE80:AE84)-AE73</f>
        <v>0</v>
      </c>
      <c r="AF85" s="115" t="n">
        <f aca="false">SUM(AF80:AF84)-AF73</f>
        <v>0</v>
      </c>
      <c r="AG85" s="115" t="n">
        <f aca="false">SUM(AG80:AG84)-AG73</f>
        <v>0</v>
      </c>
      <c r="AH85" s="115" t="n">
        <f aca="false">SUM(AH80:AH84)-AH73</f>
        <v>0</v>
      </c>
      <c r="AI85" s="115" t="n">
        <f aca="false">SUM(AI80:AI84)-AI73</f>
        <v>0</v>
      </c>
      <c r="AJ85" s="115" t="n">
        <f aca="false">SUM(AJ80:AJ84)-AJ73</f>
        <v>0</v>
      </c>
      <c r="AK85" s="115" t="n">
        <f aca="false">SUM(AK80:AK84)-AK73</f>
        <v>0</v>
      </c>
      <c r="AL85" s="115" t="n">
        <f aca="false">SUM(AL80:AL84)-AL73</f>
        <v>0</v>
      </c>
      <c r="AM85" s="115" t="n">
        <f aca="false">SUM(AM80:AM84)-AM73</f>
        <v>0</v>
      </c>
      <c r="AN85" s="115" t="n">
        <f aca="false">SUM(AN80:AN84)-AN73</f>
        <v>0</v>
      </c>
      <c r="AO85" s="79" t="n">
        <f aca="false">BA85</f>
        <v>0</v>
      </c>
      <c r="AP85" s="115" t="n">
        <f aca="false">SUM(AP80:AP84)-AP73</f>
        <v>0</v>
      </c>
      <c r="AQ85" s="115" t="n">
        <f aca="false">SUM(AQ80:AQ84)-AQ73</f>
        <v>0</v>
      </c>
      <c r="AR85" s="115" t="n">
        <f aca="false">SUM(AR80:AR84)-AR73</f>
        <v>0</v>
      </c>
      <c r="AS85" s="115" t="n">
        <f aca="false">SUM(AS80:AS84)-AS73</f>
        <v>0</v>
      </c>
      <c r="AT85" s="115" t="n">
        <f aca="false">SUM(AT80:AT84)-AT73</f>
        <v>0</v>
      </c>
      <c r="AU85" s="115" t="n">
        <f aca="false">SUM(AU80:AU84)-AU73</f>
        <v>0</v>
      </c>
      <c r="AV85" s="115" t="n">
        <f aca="false">SUM(AV80:AV84)-AV73</f>
        <v>0</v>
      </c>
      <c r="AW85" s="115" t="n">
        <f aca="false">SUM(AW80:AW84)-AW73</f>
        <v>0</v>
      </c>
      <c r="AX85" s="115" t="n">
        <f aca="false">SUM(AX80:AX84)-AX73</f>
        <v>0</v>
      </c>
      <c r="AY85" s="115" t="n">
        <f aca="false">SUM(AY80:AY84)-AY73</f>
        <v>0</v>
      </c>
      <c r="AZ85" s="115" t="n">
        <f aca="false">SUM(AZ80:AZ84)-AZ73</f>
        <v>0</v>
      </c>
      <c r="BA85" s="115" t="n">
        <f aca="false">SUM(BA80:BA84)-BA73</f>
        <v>0</v>
      </c>
      <c r="BB85" s="79" t="n">
        <f aca="false">BN85</f>
        <v>0</v>
      </c>
      <c r="BC85" s="115" t="n">
        <f aca="false">SUM(BC80:BC84)-BC73</f>
        <v>0</v>
      </c>
      <c r="BD85" s="115" t="n">
        <f aca="false">SUM(BD80:BD84)-BD73</f>
        <v>0</v>
      </c>
      <c r="BE85" s="115" t="n">
        <f aca="false">SUM(BE80:BE84)-BE73</f>
        <v>0</v>
      </c>
      <c r="BF85" s="115" t="n">
        <f aca="false">SUM(BF80:BF84)-BF73</f>
        <v>0</v>
      </c>
      <c r="BG85" s="115" t="n">
        <f aca="false">SUM(BG80:BG84)-BG73</f>
        <v>0</v>
      </c>
      <c r="BH85" s="115" t="n">
        <f aca="false">SUM(BH80:BH84)-BH73</f>
        <v>0</v>
      </c>
      <c r="BI85" s="115" t="n">
        <f aca="false">SUM(BI80:BI84)-BI73</f>
        <v>0</v>
      </c>
      <c r="BJ85" s="115" t="n">
        <f aca="false">SUM(BJ80:BJ84)-BJ73</f>
        <v>0</v>
      </c>
      <c r="BK85" s="115" t="n">
        <f aca="false">SUM(BK80:BK84)-BK73</f>
        <v>0</v>
      </c>
      <c r="BL85" s="115" t="n">
        <f aca="false">SUM(BL80:BL84)-BL73</f>
        <v>0</v>
      </c>
      <c r="BM85" s="115" t="n">
        <f aca="false">SUM(BM80:BM84)-BM73</f>
        <v>0</v>
      </c>
      <c r="BN85" s="115" t="n">
        <f aca="false">SUM(BN80:BN84)-BN73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616</v>
      </c>
    </row>
    <row r="2" customFormat="false" ht="13.5" hidden="false" customHeight="true" outlineLevel="0" collapsed="false">
      <c r="A2" s="6" t="s">
        <v>791</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792</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491</v>
      </c>
      <c r="B7" s="65" t="n">
        <f aca="false">SUM(C7:N7)</f>
        <v>1100</v>
      </c>
      <c r="C7" s="66" t="n">
        <f aca="false">0</f>
        <v>0</v>
      </c>
      <c r="D7" s="66" t="n">
        <f aca="false">MIN('Capital Expenditure'!C$20/'Assumption Setting'!$E$200,'Capital Expenditure'!C$20-C20)</f>
        <v>100</v>
      </c>
      <c r="E7" s="66" t="n">
        <f aca="false">MIN('Capital Expenditure'!D$20/'Assumption Setting'!$E$200,'Capital Expenditure'!D$20-D20)</f>
        <v>100</v>
      </c>
      <c r="F7" s="66" t="n">
        <f aca="false">MIN('Capital Expenditure'!E$20/'Assumption Setting'!$E$200,'Capital Expenditure'!E$20-E20)</f>
        <v>100</v>
      </c>
      <c r="G7" s="66" t="n">
        <f aca="false">MIN('Capital Expenditure'!F$20/'Assumption Setting'!$E$200,'Capital Expenditure'!F$20-F20)</f>
        <v>100</v>
      </c>
      <c r="H7" s="66" t="n">
        <f aca="false">MIN('Capital Expenditure'!G$20/'Assumption Setting'!$E$200,'Capital Expenditure'!G$20-G20)</f>
        <v>100</v>
      </c>
      <c r="I7" s="66" t="n">
        <f aca="false">MIN('Capital Expenditure'!H$20/'Assumption Setting'!$E$200,'Capital Expenditure'!H$20-H20)</f>
        <v>100</v>
      </c>
      <c r="J7" s="66" t="n">
        <f aca="false">MIN('Capital Expenditure'!I$20/'Assumption Setting'!$E$200,'Capital Expenditure'!I$20-I20)</f>
        <v>100</v>
      </c>
      <c r="K7" s="66" t="n">
        <f aca="false">MIN('Capital Expenditure'!J$20/'Assumption Setting'!$E$200,'Capital Expenditure'!J$20-J20)</f>
        <v>100</v>
      </c>
      <c r="L7" s="66" t="n">
        <f aca="false">MIN('Capital Expenditure'!K$20/'Assumption Setting'!$E$200,'Capital Expenditure'!K$20-K20)</f>
        <v>100</v>
      </c>
      <c r="M7" s="66" t="n">
        <f aca="false">MIN('Capital Expenditure'!L$20/'Assumption Setting'!$E$200,'Capital Expenditure'!L$20-L20)</f>
        <v>100</v>
      </c>
      <c r="N7" s="66" t="n">
        <f aca="false">MIN('Capital Expenditure'!M$20/'Assumption Setting'!$E$200,'Capital Expenditure'!M$20-M20)</f>
        <v>100</v>
      </c>
      <c r="O7" s="65" t="n">
        <f aca="false">SUM(P7:AA7)</f>
        <v>2025</v>
      </c>
      <c r="P7" s="66" t="n">
        <f aca="false">MIN('Capital Expenditure'!N$20/'Assumption Setting'!$E$200,'Capital Expenditure'!N$20-N20)</f>
        <v>100</v>
      </c>
      <c r="Q7" s="66" t="n">
        <f aca="false">MIN('Capital Expenditure'!P$20/'Assumption Setting'!$E$200,'Capital Expenditure'!P$20-P20)</f>
        <v>175</v>
      </c>
      <c r="R7" s="66" t="n">
        <f aca="false">MIN('Capital Expenditure'!Q$20/'Assumption Setting'!$E$200,'Capital Expenditure'!Q$20-Q20)</f>
        <v>175</v>
      </c>
      <c r="S7" s="66" t="n">
        <f aca="false">MIN('Capital Expenditure'!R$20/'Assumption Setting'!$E$200,'Capital Expenditure'!R$20-R20)</f>
        <v>175</v>
      </c>
      <c r="T7" s="66" t="n">
        <f aca="false">MIN('Capital Expenditure'!S$20/'Assumption Setting'!$E$200,'Capital Expenditure'!S$20-S20)</f>
        <v>175</v>
      </c>
      <c r="U7" s="66" t="n">
        <f aca="false">MIN('Capital Expenditure'!T$20/'Assumption Setting'!$E$200,'Capital Expenditure'!T$20-T20)</f>
        <v>175</v>
      </c>
      <c r="V7" s="66" t="n">
        <f aca="false">MIN('Capital Expenditure'!U$20/'Assumption Setting'!$E$200,'Capital Expenditure'!U$20-U20)</f>
        <v>175</v>
      </c>
      <c r="W7" s="66" t="n">
        <f aca="false">MIN('Capital Expenditure'!V$20/'Assumption Setting'!$E$200,'Capital Expenditure'!V$20-V20)</f>
        <v>175</v>
      </c>
      <c r="X7" s="66" t="n">
        <f aca="false">MIN('Capital Expenditure'!W$20/'Assumption Setting'!$E$200,'Capital Expenditure'!W$20-W20)</f>
        <v>175</v>
      </c>
      <c r="Y7" s="66" t="n">
        <f aca="false">MIN('Capital Expenditure'!X$20/'Assumption Setting'!$E$200,'Capital Expenditure'!X$20-X20)</f>
        <v>175</v>
      </c>
      <c r="Z7" s="66" t="n">
        <f aca="false">MIN('Capital Expenditure'!Y$20/'Assumption Setting'!$E$200,'Capital Expenditure'!Y$20-Y20)</f>
        <v>175</v>
      </c>
      <c r="AA7" s="66" t="n">
        <f aca="false">MIN('Capital Expenditure'!Z$20/'Assumption Setting'!$E$200,'Capital Expenditure'!Z$20-Z20)</f>
        <v>175</v>
      </c>
      <c r="AB7" s="65" t="n">
        <f aca="false">SUM(AC7:AN7)</f>
        <v>3475</v>
      </c>
      <c r="AC7" s="66" t="n">
        <f aca="false">MIN('Capital Expenditure'!AA$20/'Assumption Setting'!$E$200,'Capital Expenditure'!AA$20-AA20)</f>
        <v>175</v>
      </c>
      <c r="AD7" s="66" t="n">
        <f aca="false">MIN('Capital Expenditure'!AC$20/'Assumption Setting'!$E$200,'Capital Expenditure'!AC$20-AC20)</f>
        <v>300</v>
      </c>
      <c r="AE7" s="66" t="n">
        <f aca="false">MIN('Capital Expenditure'!AD$20/'Assumption Setting'!$E$200,'Capital Expenditure'!AD$20-AD20)</f>
        <v>300</v>
      </c>
      <c r="AF7" s="66" t="n">
        <f aca="false">MIN('Capital Expenditure'!AE$20/'Assumption Setting'!$E$200,'Capital Expenditure'!AE$20-AE20)</f>
        <v>300</v>
      </c>
      <c r="AG7" s="66" t="n">
        <f aca="false">MIN('Capital Expenditure'!AF$20/'Assumption Setting'!$E$200,'Capital Expenditure'!AF$20-AF20)</f>
        <v>300</v>
      </c>
      <c r="AH7" s="66" t="n">
        <f aca="false">MIN('Capital Expenditure'!AG$20/'Assumption Setting'!$E$200,'Capital Expenditure'!AG$20-AG20)</f>
        <v>300</v>
      </c>
      <c r="AI7" s="66" t="n">
        <f aca="false">MIN('Capital Expenditure'!AH$20/'Assumption Setting'!$E$200,'Capital Expenditure'!AH$20-AH20)</f>
        <v>300</v>
      </c>
      <c r="AJ7" s="66" t="n">
        <f aca="false">MIN('Capital Expenditure'!AI$20/'Assumption Setting'!$E$200,'Capital Expenditure'!AI$20-AI20)</f>
        <v>300</v>
      </c>
      <c r="AK7" s="66" t="n">
        <f aca="false">MIN('Capital Expenditure'!AJ$20/'Assumption Setting'!$E$200,'Capital Expenditure'!AJ$20-AJ20)</f>
        <v>300</v>
      </c>
      <c r="AL7" s="66" t="n">
        <f aca="false">MIN('Capital Expenditure'!AK$20/'Assumption Setting'!$E$200,'Capital Expenditure'!AK$20-AK20)</f>
        <v>300</v>
      </c>
      <c r="AM7" s="66" t="n">
        <f aca="false">MIN('Capital Expenditure'!AL$20/'Assumption Setting'!$E$200,'Capital Expenditure'!AL$20-AL20)</f>
        <v>300</v>
      </c>
      <c r="AN7" s="66" t="n">
        <f aca="false">MIN('Capital Expenditure'!AM$20/'Assumption Setting'!$E$200,'Capital Expenditure'!AM$20-AM20)</f>
        <v>300</v>
      </c>
      <c r="AO7" s="65" t="n">
        <f aca="false">SUM(AP7:BA7)</f>
        <v>4700</v>
      </c>
      <c r="AP7" s="66" t="n">
        <f aca="false">MIN('Capital Expenditure'!AN$20/'Assumption Setting'!$E$200,'Capital Expenditure'!AN$20-AN20)</f>
        <v>300</v>
      </c>
      <c r="AQ7" s="66" t="n">
        <f aca="false">MIN('Capital Expenditure'!AP$20/'Assumption Setting'!$E$200,'Capital Expenditure'!AP$20-AP20)</f>
        <v>400</v>
      </c>
      <c r="AR7" s="66" t="n">
        <f aca="false">MIN('Capital Expenditure'!AQ$20/'Assumption Setting'!$E$200,'Capital Expenditure'!AQ$20-AQ20)</f>
        <v>400</v>
      </c>
      <c r="AS7" s="66" t="n">
        <f aca="false">MIN('Capital Expenditure'!AR$20/'Assumption Setting'!$E$200,'Capital Expenditure'!AR$20-AR20)</f>
        <v>400</v>
      </c>
      <c r="AT7" s="66" t="n">
        <f aca="false">MIN('Capital Expenditure'!AS$20/'Assumption Setting'!$E$200,'Capital Expenditure'!AS$20-AS20)</f>
        <v>400</v>
      </c>
      <c r="AU7" s="66" t="n">
        <f aca="false">MIN('Capital Expenditure'!AT$20/'Assumption Setting'!$E$200,'Capital Expenditure'!AT$20-AT20)</f>
        <v>400</v>
      </c>
      <c r="AV7" s="66" t="n">
        <f aca="false">MIN('Capital Expenditure'!AU$20/'Assumption Setting'!$E$200,'Capital Expenditure'!AU$20-AU20)</f>
        <v>400</v>
      </c>
      <c r="AW7" s="66" t="n">
        <f aca="false">MIN('Capital Expenditure'!AV$20/'Assumption Setting'!$E$200,'Capital Expenditure'!AV$20-AV20)</f>
        <v>400</v>
      </c>
      <c r="AX7" s="66" t="n">
        <f aca="false">MIN('Capital Expenditure'!AW$20/'Assumption Setting'!$E$200,'Capital Expenditure'!AW$20-AW20)</f>
        <v>400</v>
      </c>
      <c r="AY7" s="66" t="n">
        <f aca="false">MIN('Capital Expenditure'!AX$20/'Assumption Setting'!$E$200,'Capital Expenditure'!AX$20-AX20)</f>
        <v>400</v>
      </c>
      <c r="AZ7" s="66" t="n">
        <f aca="false">MIN('Capital Expenditure'!AY$20/'Assumption Setting'!$E$200,'Capital Expenditure'!AY$20-AY20)</f>
        <v>400</v>
      </c>
      <c r="BA7" s="66" t="n">
        <f aca="false">MIN('Capital Expenditure'!AZ$20/'Assumption Setting'!$E$200,'Capital Expenditure'!AZ$20-AZ20)</f>
        <v>400</v>
      </c>
      <c r="BB7" s="65" t="n">
        <f aca="false">SUM(BC7:BN7)</f>
        <v>5900</v>
      </c>
      <c r="BC7" s="66" t="n">
        <f aca="false">MIN('Capital Expenditure'!BA$20/'Assumption Setting'!$E$200,'Capital Expenditure'!BA$20-BA20)</f>
        <v>400</v>
      </c>
      <c r="BD7" s="66" t="n">
        <f aca="false">MIN('Capital Expenditure'!BC$20/'Assumption Setting'!$E$200,'Capital Expenditure'!BC$20-BC20)</f>
        <v>500</v>
      </c>
      <c r="BE7" s="66" t="n">
        <f aca="false">MIN('Capital Expenditure'!BD$20/'Assumption Setting'!$E$200,'Capital Expenditure'!BD$20-BD20)</f>
        <v>500</v>
      </c>
      <c r="BF7" s="66" t="n">
        <f aca="false">MIN('Capital Expenditure'!BE$20/'Assumption Setting'!$E$200,'Capital Expenditure'!BE$20-BE20)</f>
        <v>500</v>
      </c>
      <c r="BG7" s="66" t="n">
        <f aca="false">MIN('Capital Expenditure'!BF$20/'Assumption Setting'!$E$200,'Capital Expenditure'!BF$20-BF20)</f>
        <v>500</v>
      </c>
      <c r="BH7" s="66" t="n">
        <f aca="false">MIN('Capital Expenditure'!BG$20/'Assumption Setting'!$E$200,'Capital Expenditure'!BG$20-BG20)</f>
        <v>500</v>
      </c>
      <c r="BI7" s="66" t="n">
        <f aca="false">MIN('Capital Expenditure'!BH$20/'Assumption Setting'!$E$200,'Capital Expenditure'!BH$20-BH20)</f>
        <v>500</v>
      </c>
      <c r="BJ7" s="66" t="n">
        <f aca="false">MIN('Capital Expenditure'!BI$20/'Assumption Setting'!$E$200,'Capital Expenditure'!BI$20-BI20)</f>
        <v>500</v>
      </c>
      <c r="BK7" s="66" t="n">
        <f aca="false">MIN('Capital Expenditure'!BJ$20/'Assumption Setting'!$E$200,'Capital Expenditure'!BJ$20-BJ20)</f>
        <v>500</v>
      </c>
      <c r="BL7" s="66" t="n">
        <f aca="false">MIN('Capital Expenditure'!BK$20/'Assumption Setting'!$E$200,'Capital Expenditure'!BK$20-BK20)</f>
        <v>500</v>
      </c>
      <c r="BM7" s="66" t="n">
        <f aca="false">MIN('Capital Expenditure'!BL$20/'Assumption Setting'!$E$200,'Capital Expenditure'!BL$20-BL20)</f>
        <v>500</v>
      </c>
      <c r="BN7" s="66" t="n">
        <f aca="false">MIN('Capital Expenditure'!BM$20/'Assumption Setting'!$E$200,'Capital Expenditure'!BM$20-BM20)</f>
        <v>500</v>
      </c>
    </row>
    <row r="8" customFormat="false" ht="15" hidden="false" customHeight="false" outlineLevel="0" collapsed="false">
      <c r="A8" s="12" t="s">
        <v>492</v>
      </c>
      <c r="B8" s="65" t="n">
        <f aca="false">SUM(C8:N8)</f>
        <v>183.333333333333</v>
      </c>
      <c r="C8" s="66" t="n">
        <f aca="false">0</f>
        <v>0</v>
      </c>
      <c r="D8" s="66" t="n">
        <f aca="false">MIN('Capital Expenditure'!C$21/'Assumption Setting'!$E$201,'Capital Expenditure'!C$21-C21)</f>
        <v>16.6666666666667</v>
      </c>
      <c r="E8" s="66" t="n">
        <f aca="false">MIN('Capital Expenditure'!D$21/'Assumption Setting'!$E$201,'Capital Expenditure'!D$21-D21)</f>
        <v>16.6666666666667</v>
      </c>
      <c r="F8" s="66" t="n">
        <f aca="false">MIN('Capital Expenditure'!E$21/'Assumption Setting'!$E$201,'Capital Expenditure'!E$21-E21)</f>
        <v>16.6666666666667</v>
      </c>
      <c r="G8" s="66" t="n">
        <f aca="false">MIN('Capital Expenditure'!F$21/'Assumption Setting'!$E$201,'Capital Expenditure'!F$21-F21)</f>
        <v>16.6666666666667</v>
      </c>
      <c r="H8" s="66" t="n">
        <f aca="false">MIN('Capital Expenditure'!G$21/'Assumption Setting'!$E$201,'Capital Expenditure'!G$21-G21)</f>
        <v>16.6666666666667</v>
      </c>
      <c r="I8" s="66" t="n">
        <f aca="false">MIN('Capital Expenditure'!H$21/'Assumption Setting'!$E$201,'Capital Expenditure'!H$21-H21)</f>
        <v>16.6666666666667</v>
      </c>
      <c r="J8" s="66" t="n">
        <f aca="false">MIN('Capital Expenditure'!I$21/'Assumption Setting'!$E$201,'Capital Expenditure'!I$21-I21)</f>
        <v>16.6666666666667</v>
      </c>
      <c r="K8" s="66" t="n">
        <f aca="false">MIN('Capital Expenditure'!J$21/'Assumption Setting'!$E$201,'Capital Expenditure'!J$21-J21)</f>
        <v>16.6666666666667</v>
      </c>
      <c r="L8" s="66" t="n">
        <f aca="false">MIN('Capital Expenditure'!K$21/'Assumption Setting'!$E$201,'Capital Expenditure'!K$21-K21)</f>
        <v>16.6666666666667</v>
      </c>
      <c r="M8" s="66" t="n">
        <f aca="false">MIN('Capital Expenditure'!L$21/'Assumption Setting'!$E$201,'Capital Expenditure'!L$21-L21)</f>
        <v>16.6666666666667</v>
      </c>
      <c r="N8" s="66" t="n">
        <f aca="false">MIN('Capital Expenditure'!M$21/'Assumption Setting'!$E$201,'Capital Expenditure'!M$21-M21)</f>
        <v>16.6666666666667</v>
      </c>
      <c r="O8" s="65" t="n">
        <f aca="false">SUM(P8:AA8)</f>
        <v>337.5</v>
      </c>
      <c r="P8" s="66" t="n">
        <f aca="false">MIN('Capital Expenditure'!N$21/'Assumption Setting'!$E$201,'Capital Expenditure'!N$21-N21)</f>
        <v>16.6666666666667</v>
      </c>
      <c r="Q8" s="66" t="n">
        <f aca="false">MIN('Capital Expenditure'!P$21/'Assumption Setting'!$E$201,'Capital Expenditure'!P$21-P21)</f>
        <v>29.1666666666667</v>
      </c>
      <c r="R8" s="66" t="n">
        <f aca="false">MIN('Capital Expenditure'!Q$21/'Assumption Setting'!$E$201,'Capital Expenditure'!Q$21-Q21)</f>
        <v>29.1666666666667</v>
      </c>
      <c r="S8" s="66" t="n">
        <f aca="false">MIN('Capital Expenditure'!R$21/'Assumption Setting'!$E$201,'Capital Expenditure'!R$21-R21)</f>
        <v>29.1666666666667</v>
      </c>
      <c r="T8" s="66" t="n">
        <f aca="false">MIN('Capital Expenditure'!S$21/'Assumption Setting'!$E$201,'Capital Expenditure'!S$21-S21)</f>
        <v>29.1666666666667</v>
      </c>
      <c r="U8" s="66" t="n">
        <f aca="false">MIN('Capital Expenditure'!T$21/'Assumption Setting'!$E$201,'Capital Expenditure'!T$21-T21)</f>
        <v>29.1666666666667</v>
      </c>
      <c r="V8" s="66" t="n">
        <f aca="false">MIN('Capital Expenditure'!U$21/'Assumption Setting'!$E$201,'Capital Expenditure'!U$21-U21)</f>
        <v>29.1666666666667</v>
      </c>
      <c r="W8" s="66" t="n">
        <f aca="false">MIN('Capital Expenditure'!V$21/'Assumption Setting'!$E$201,'Capital Expenditure'!V$21-V21)</f>
        <v>29.1666666666667</v>
      </c>
      <c r="X8" s="66" t="n">
        <f aca="false">MIN('Capital Expenditure'!W$21/'Assumption Setting'!$E$201,'Capital Expenditure'!W$21-W21)</f>
        <v>29.1666666666667</v>
      </c>
      <c r="Y8" s="66" t="n">
        <f aca="false">MIN('Capital Expenditure'!X$21/'Assumption Setting'!$E$201,'Capital Expenditure'!X$21-X21)</f>
        <v>29.1666666666667</v>
      </c>
      <c r="Z8" s="66" t="n">
        <f aca="false">MIN('Capital Expenditure'!Y$21/'Assumption Setting'!$E$201,'Capital Expenditure'!Y$21-Y21)</f>
        <v>29.1666666666667</v>
      </c>
      <c r="AA8" s="66" t="n">
        <f aca="false">MIN('Capital Expenditure'!Z$21/'Assumption Setting'!$E$201,'Capital Expenditure'!Z$21-Z21)</f>
        <v>29.1666666666667</v>
      </c>
      <c r="AB8" s="65" t="n">
        <f aca="false">SUM(AC8:AN8)</f>
        <v>579.166666666667</v>
      </c>
      <c r="AC8" s="66" t="n">
        <f aca="false">MIN('Capital Expenditure'!AA$21/'Assumption Setting'!$E$201,'Capital Expenditure'!AA$21-AA21)</f>
        <v>29.1666666666667</v>
      </c>
      <c r="AD8" s="66" t="n">
        <f aca="false">MIN('Capital Expenditure'!AC$21/'Assumption Setting'!$E$201,'Capital Expenditure'!AC$21-AC21)</f>
        <v>50</v>
      </c>
      <c r="AE8" s="66" t="n">
        <f aca="false">MIN('Capital Expenditure'!AD$21/'Assumption Setting'!$E$201,'Capital Expenditure'!AD$21-AD21)</f>
        <v>50</v>
      </c>
      <c r="AF8" s="66" t="n">
        <f aca="false">MIN('Capital Expenditure'!AE$21/'Assumption Setting'!$E$201,'Capital Expenditure'!AE$21-AE21)</f>
        <v>50</v>
      </c>
      <c r="AG8" s="66" t="n">
        <f aca="false">MIN('Capital Expenditure'!AF$21/'Assumption Setting'!$E$201,'Capital Expenditure'!AF$21-AF21)</f>
        <v>50</v>
      </c>
      <c r="AH8" s="66" t="n">
        <f aca="false">MIN('Capital Expenditure'!AG$21/'Assumption Setting'!$E$201,'Capital Expenditure'!AG$21-AG21)</f>
        <v>50</v>
      </c>
      <c r="AI8" s="66" t="n">
        <f aca="false">MIN('Capital Expenditure'!AH$21/'Assumption Setting'!$E$201,'Capital Expenditure'!AH$21-AH21)</f>
        <v>50</v>
      </c>
      <c r="AJ8" s="66" t="n">
        <f aca="false">MIN('Capital Expenditure'!AI$21/'Assumption Setting'!$E$201,'Capital Expenditure'!AI$21-AI21)</f>
        <v>50</v>
      </c>
      <c r="AK8" s="66" t="n">
        <f aca="false">MIN('Capital Expenditure'!AJ$21/'Assumption Setting'!$E$201,'Capital Expenditure'!AJ$21-AJ21)</f>
        <v>50</v>
      </c>
      <c r="AL8" s="66" t="n">
        <f aca="false">MIN('Capital Expenditure'!AK$21/'Assumption Setting'!$E$201,'Capital Expenditure'!AK$21-AK21)</f>
        <v>50</v>
      </c>
      <c r="AM8" s="66" t="n">
        <f aca="false">MIN('Capital Expenditure'!AL$21/'Assumption Setting'!$E$201,'Capital Expenditure'!AL$21-AL21)</f>
        <v>50</v>
      </c>
      <c r="AN8" s="66" t="n">
        <f aca="false">MIN('Capital Expenditure'!AM$21/'Assumption Setting'!$E$201,'Capital Expenditure'!AM$21-AM21)</f>
        <v>50</v>
      </c>
      <c r="AO8" s="65" t="n">
        <f aca="false">SUM(AP8:BA8)</f>
        <v>783.333333333333</v>
      </c>
      <c r="AP8" s="66" t="n">
        <f aca="false">MIN('Capital Expenditure'!AN$21/'Assumption Setting'!$E$201,'Capital Expenditure'!AN$21-AN21)</f>
        <v>50</v>
      </c>
      <c r="AQ8" s="66" t="n">
        <f aca="false">MIN('Capital Expenditure'!AP$21/'Assumption Setting'!$E$201,'Capital Expenditure'!AP$21-AP21)</f>
        <v>66.6666666666667</v>
      </c>
      <c r="AR8" s="66" t="n">
        <f aca="false">MIN('Capital Expenditure'!AQ$21/'Assumption Setting'!$E$201,'Capital Expenditure'!AQ$21-AQ21)</f>
        <v>66.6666666666667</v>
      </c>
      <c r="AS8" s="66" t="n">
        <f aca="false">MIN('Capital Expenditure'!AR$21/'Assumption Setting'!$E$201,'Capital Expenditure'!AR$21-AR21)</f>
        <v>66.6666666666667</v>
      </c>
      <c r="AT8" s="66" t="n">
        <f aca="false">MIN('Capital Expenditure'!AS$21/'Assumption Setting'!$E$201,'Capital Expenditure'!AS$21-AS21)</f>
        <v>66.6666666666667</v>
      </c>
      <c r="AU8" s="66" t="n">
        <f aca="false">MIN('Capital Expenditure'!AT$21/'Assumption Setting'!$E$201,'Capital Expenditure'!AT$21-AT21)</f>
        <v>66.6666666666667</v>
      </c>
      <c r="AV8" s="66" t="n">
        <f aca="false">MIN('Capital Expenditure'!AU$21/'Assumption Setting'!$E$201,'Capital Expenditure'!AU$21-AU21)</f>
        <v>66.6666666666667</v>
      </c>
      <c r="AW8" s="66" t="n">
        <f aca="false">MIN('Capital Expenditure'!AV$21/'Assumption Setting'!$E$201,'Capital Expenditure'!AV$21-AV21)</f>
        <v>66.6666666666667</v>
      </c>
      <c r="AX8" s="66" t="n">
        <f aca="false">MIN('Capital Expenditure'!AW$21/'Assumption Setting'!$E$201,'Capital Expenditure'!AW$21-AW21)</f>
        <v>66.6666666666667</v>
      </c>
      <c r="AY8" s="66" t="n">
        <f aca="false">MIN('Capital Expenditure'!AX$21/'Assumption Setting'!$E$201,'Capital Expenditure'!AX$21-AX21)</f>
        <v>66.6666666666667</v>
      </c>
      <c r="AZ8" s="66" t="n">
        <f aca="false">MIN('Capital Expenditure'!AY$21/'Assumption Setting'!$E$201,'Capital Expenditure'!AY$21-AY21)</f>
        <v>66.6666666666667</v>
      </c>
      <c r="BA8" s="66" t="n">
        <f aca="false">MIN('Capital Expenditure'!AZ$21/'Assumption Setting'!$E$201,'Capital Expenditure'!AZ$21-AZ21)</f>
        <v>66.6666666666667</v>
      </c>
      <c r="BB8" s="65" t="n">
        <f aca="false">SUM(BC8:BN8)</f>
        <v>983.333333333333</v>
      </c>
      <c r="BC8" s="66" t="n">
        <f aca="false">MIN('Capital Expenditure'!BA$21/'Assumption Setting'!$E$201,'Capital Expenditure'!BA$21-BA21)</f>
        <v>66.6666666666667</v>
      </c>
      <c r="BD8" s="66" t="n">
        <f aca="false">MIN('Capital Expenditure'!BC$21/'Assumption Setting'!$E$201,'Capital Expenditure'!BC$21-BC21)</f>
        <v>83.3333333333333</v>
      </c>
      <c r="BE8" s="66" t="n">
        <f aca="false">MIN('Capital Expenditure'!BD$21/'Assumption Setting'!$E$201,'Capital Expenditure'!BD$21-BD21)</f>
        <v>83.3333333333333</v>
      </c>
      <c r="BF8" s="66" t="n">
        <f aca="false">MIN('Capital Expenditure'!BE$21/'Assumption Setting'!$E$201,'Capital Expenditure'!BE$21-BE21)</f>
        <v>83.3333333333333</v>
      </c>
      <c r="BG8" s="66" t="n">
        <f aca="false">MIN('Capital Expenditure'!BF$21/'Assumption Setting'!$E$201,'Capital Expenditure'!BF$21-BF21)</f>
        <v>83.3333333333333</v>
      </c>
      <c r="BH8" s="66" t="n">
        <f aca="false">MIN('Capital Expenditure'!BG$21/'Assumption Setting'!$E$201,'Capital Expenditure'!BG$21-BG21)</f>
        <v>83.3333333333333</v>
      </c>
      <c r="BI8" s="66" t="n">
        <f aca="false">MIN('Capital Expenditure'!BH$21/'Assumption Setting'!$E$201,'Capital Expenditure'!BH$21-BH21)</f>
        <v>83.3333333333333</v>
      </c>
      <c r="BJ8" s="66" t="n">
        <f aca="false">MIN('Capital Expenditure'!BI$21/'Assumption Setting'!$E$201,'Capital Expenditure'!BI$21-BI21)</f>
        <v>83.3333333333333</v>
      </c>
      <c r="BK8" s="66" t="n">
        <f aca="false">MIN('Capital Expenditure'!BJ$21/'Assumption Setting'!$E$201,'Capital Expenditure'!BJ$21-BJ21)</f>
        <v>83.3333333333333</v>
      </c>
      <c r="BL8" s="66" t="n">
        <f aca="false">MIN('Capital Expenditure'!BK$21/'Assumption Setting'!$E$201,'Capital Expenditure'!BK$21-BK21)</f>
        <v>83.3333333333333</v>
      </c>
      <c r="BM8" s="66" t="n">
        <f aca="false">MIN('Capital Expenditure'!BL$21/'Assumption Setting'!$E$201,'Capital Expenditure'!BL$21-BL21)</f>
        <v>83.3333333333333</v>
      </c>
      <c r="BN8" s="66" t="n">
        <f aca="false">MIN('Capital Expenditure'!BM$21/'Assumption Setting'!$E$201,'Capital Expenditure'!BM$21-BM21)</f>
        <v>83.3333333333333</v>
      </c>
    </row>
    <row r="9" customFormat="false" ht="15" hidden="false" customHeight="false" outlineLevel="0" collapsed="false">
      <c r="A9" s="12" t="s">
        <v>493</v>
      </c>
      <c r="B9" s="65" t="n">
        <f aca="false">SUM(C9:N9)</f>
        <v>458.333333333333</v>
      </c>
      <c r="C9" s="66" t="n">
        <f aca="false">0</f>
        <v>0</v>
      </c>
      <c r="D9" s="66" t="n">
        <f aca="false">MIN('Capital Expenditure'!C$22/'Assumption Setting'!$E$202,'Capital Expenditure'!C$22-C22)</f>
        <v>41.6666666666667</v>
      </c>
      <c r="E9" s="66" t="n">
        <f aca="false">MIN('Capital Expenditure'!D$22/'Assumption Setting'!$E$202,'Capital Expenditure'!D$22-D22)</f>
        <v>41.6666666666667</v>
      </c>
      <c r="F9" s="66" t="n">
        <f aca="false">MIN('Capital Expenditure'!E$22/'Assumption Setting'!$E$202,'Capital Expenditure'!E$22-E22)</f>
        <v>41.6666666666667</v>
      </c>
      <c r="G9" s="66" t="n">
        <f aca="false">MIN('Capital Expenditure'!F$22/'Assumption Setting'!$E$202,'Capital Expenditure'!F$22-F22)</f>
        <v>41.6666666666667</v>
      </c>
      <c r="H9" s="66" t="n">
        <f aca="false">MIN('Capital Expenditure'!G$22/'Assumption Setting'!$E$202,'Capital Expenditure'!G$22-G22)</f>
        <v>41.6666666666667</v>
      </c>
      <c r="I9" s="66" t="n">
        <f aca="false">MIN('Capital Expenditure'!H$22/'Assumption Setting'!$E$202,'Capital Expenditure'!H$22-H22)</f>
        <v>41.6666666666667</v>
      </c>
      <c r="J9" s="66" t="n">
        <f aca="false">MIN('Capital Expenditure'!I$22/'Assumption Setting'!$E$202,'Capital Expenditure'!I$22-I22)</f>
        <v>41.6666666666667</v>
      </c>
      <c r="K9" s="66" t="n">
        <f aca="false">MIN('Capital Expenditure'!J$22/'Assumption Setting'!$E$202,'Capital Expenditure'!J$22-J22)</f>
        <v>41.6666666666667</v>
      </c>
      <c r="L9" s="66" t="n">
        <f aca="false">MIN('Capital Expenditure'!K$22/'Assumption Setting'!$E$202,'Capital Expenditure'!K$22-K22)</f>
        <v>41.6666666666667</v>
      </c>
      <c r="M9" s="66" t="n">
        <f aca="false">MIN('Capital Expenditure'!L$22/'Assumption Setting'!$E$202,'Capital Expenditure'!L$22-L22)</f>
        <v>41.6666666666667</v>
      </c>
      <c r="N9" s="66" t="n">
        <f aca="false">MIN('Capital Expenditure'!M$22/'Assumption Setting'!$E$202,'Capital Expenditure'!M$22-M22)</f>
        <v>41.6666666666667</v>
      </c>
      <c r="O9" s="65" t="n">
        <f aca="false">SUM(P9:AA9)</f>
        <v>843.75</v>
      </c>
      <c r="P9" s="66" t="n">
        <f aca="false">MIN('Capital Expenditure'!N$22/'Assumption Setting'!$E$202,'Capital Expenditure'!N$22-N22)</f>
        <v>41.6666666666667</v>
      </c>
      <c r="Q9" s="66" t="n">
        <f aca="false">MIN('Capital Expenditure'!P$22/'Assumption Setting'!$E$202,'Capital Expenditure'!P$22-P22)</f>
        <v>72.9166666666667</v>
      </c>
      <c r="R9" s="66" t="n">
        <f aca="false">MIN('Capital Expenditure'!Q$22/'Assumption Setting'!$E$202,'Capital Expenditure'!Q$22-Q22)</f>
        <v>72.9166666666667</v>
      </c>
      <c r="S9" s="66" t="n">
        <f aca="false">MIN('Capital Expenditure'!R$22/'Assumption Setting'!$E$202,'Capital Expenditure'!R$22-R22)</f>
        <v>72.9166666666667</v>
      </c>
      <c r="T9" s="66" t="n">
        <f aca="false">MIN('Capital Expenditure'!S$22/'Assumption Setting'!$E$202,'Capital Expenditure'!S$22-S22)</f>
        <v>72.9166666666667</v>
      </c>
      <c r="U9" s="66" t="n">
        <f aca="false">MIN('Capital Expenditure'!T$22/'Assumption Setting'!$E$202,'Capital Expenditure'!T$22-T22)</f>
        <v>72.9166666666667</v>
      </c>
      <c r="V9" s="66" t="n">
        <f aca="false">MIN('Capital Expenditure'!U$22/'Assumption Setting'!$E$202,'Capital Expenditure'!U$22-U22)</f>
        <v>72.9166666666667</v>
      </c>
      <c r="W9" s="66" t="n">
        <f aca="false">MIN('Capital Expenditure'!V$22/'Assumption Setting'!$E$202,'Capital Expenditure'!V$22-V22)</f>
        <v>72.9166666666667</v>
      </c>
      <c r="X9" s="66" t="n">
        <f aca="false">MIN('Capital Expenditure'!W$22/'Assumption Setting'!$E$202,'Capital Expenditure'!W$22-W22)</f>
        <v>72.9166666666667</v>
      </c>
      <c r="Y9" s="66" t="n">
        <f aca="false">MIN('Capital Expenditure'!X$22/'Assumption Setting'!$E$202,'Capital Expenditure'!X$22-X22)</f>
        <v>72.9166666666667</v>
      </c>
      <c r="Z9" s="66" t="n">
        <f aca="false">MIN('Capital Expenditure'!Y$22/'Assumption Setting'!$E$202,'Capital Expenditure'!Y$22-Y22)</f>
        <v>72.9166666666667</v>
      </c>
      <c r="AA9" s="66" t="n">
        <f aca="false">MIN('Capital Expenditure'!Z$22/'Assumption Setting'!$E$202,'Capital Expenditure'!Z$22-Z22)</f>
        <v>72.9166666666667</v>
      </c>
      <c r="AB9" s="65" t="n">
        <f aca="false">SUM(AC9:AN9)</f>
        <v>1447.91666666667</v>
      </c>
      <c r="AC9" s="66" t="n">
        <f aca="false">MIN('Capital Expenditure'!AA$22/'Assumption Setting'!$E$202,'Capital Expenditure'!AA$22-AA22)</f>
        <v>72.9166666666667</v>
      </c>
      <c r="AD9" s="66" t="n">
        <f aca="false">MIN('Capital Expenditure'!AC$22/'Assumption Setting'!$E$202,'Capital Expenditure'!AC$22-AC22)</f>
        <v>125</v>
      </c>
      <c r="AE9" s="66" t="n">
        <f aca="false">MIN('Capital Expenditure'!AD$22/'Assumption Setting'!$E$202,'Capital Expenditure'!AD$22-AD22)</f>
        <v>125</v>
      </c>
      <c r="AF9" s="66" t="n">
        <f aca="false">MIN('Capital Expenditure'!AE$22/'Assumption Setting'!$E$202,'Capital Expenditure'!AE$22-AE22)</f>
        <v>125</v>
      </c>
      <c r="AG9" s="66" t="n">
        <f aca="false">MIN('Capital Expenditure'!AF$22/'Assumption Setting'!$E$202,'Capital Expenditure'!AF$22-AF22)</f>
        <v>125</v>
      </c>
      <c r="AH9" s="66" t="n">
        <f aca="false">MIN('Capital Expenditure'!AG$22/'Assumption Setting'!$E$202,'Capital Expenditure'!AG$22-AG22)</f>
        <v>125</v>
      </c>
      <c r="AI9" s="66" t="n">
        <f aca="false">MIN('Capital Expenditure'!AH$22/'Assumption Setting'!$E$202,'Capital Expenditure'!AH$22-AH22)</f>
        <v>125</v>
      </c>
      <c r="AJ9" s="66" t="n">
        <f aca="false">MIN('Capital Expenditure'!AI$22/'Assumption Setting'!$E$202,'Capital Expenditure'!AI$22-AI22)</f>
        <v>125</v>
      </c>
      <c r="AK9" s="66" t="n">
        <f aca="false">MIN('Capital Expenditure'!AJ$22/'Assumption Setting'!$E$202,'Capital Expenditure'!AJ$22-AJ22)</f>
        <v>125</v>
      </c>
      <c r="AL9" s="66" t="n">
        <f aca="false">MIN('Capital Expenditure'!AK$22/'Assumption Setting'!$E$202,'Capital Expenditure'!AK$22-AK22)</f>
        <v>125</v>
      </c>
      <c r="AM9" s="66" t="n">
        <f aca="false">MIN('Capital Expenditure'!AL$22/'Assumption Setting'!$E$202,'Capital Expenditure'!AL$22-AL22)</f>
        <v>125</v>
      </c>
      <c r="AN9" s="66" t="n">
        <f aca="false">MIN('Capital Expenditure'!AM$22/'Assumption Setting'!$E$202,'Capital Expenditure'!AM$22-AM22)</f>
        <v>125</v>
      </c>
      <c r="AO9" s="65" t="n">
        <f aca="false">SUM(AP9:BA9)</f>
        <v>1250</v>
      </c>
      <c r="AP9" s="66" t="n">
        <f aca="false">MIN('Capital Expenditure'!AN$22/'Assumption Setting'!$E$202,'Capital Expenditure'!AN$22-AN22)</f>
        <v>125</v>
      </c>
      <c r="AQ9" s="66" t="n">
        <f aca="false">MIN('Capital Expenditure'!AP$22/'Assumption Setting'!$E$202,'Capital Expenditure'!AP$22-AP22)</f>
        <v>166.666666666667</v>
      </c>
      <c r="AR9" s="66" t="n">
        <f aca="false">MIN('Capital Expenditure'!AQ$22/'Assumption Setting'!$E$202,'Capital Expenditure'!AQ$22-AQ22)</f>
        <v>166.666666666667</v>
      </c>
      <c r="AS9" s="66" t="n">
        <f aca="false">MIN('Capital Expenditure'!AR$22/'Assumption Setting'!$E$202,'Capital Expenditure'!AR$22-AR22)</f>
        <v>166.666666666667</v>
      </c>
      <c r="AT9" s="66" t="n">
        <f aca="false">MIN('Capital Expenditure'!AS$22/'Assumption Setting'!$E$202,'Capital Expenditure'!AS$22-AS22)</f>
        <v>166.666666666667</v>
      </c>
      <c r="AU9" s="66" t="n">
        <f aca="false">MIN('Capital Expenditure'!AT$22/'Assumption Setting'!$E$202,'Capital Expenditure'!AT$22-AT22)</f>
        <v>166.666666666667</v>
      </c>
      <c r="AV9" s="66" t="n">
        <f aca="false">MIN('Capital Expenditure'!AU$22/'Assumption Setting'!$E$202,'Capital Expenditure'!AU$22-AU22)</f>
        <v>166.666666666667</v>
      </c>
      <c r="AW9" s="66" t="n">
        <f aca="false">MIN('Capital Expenditure'!AV$22/'Assumption Setting'!$E$202,'Capital Expenditure'!AV$22-AV22)</f>
        <v>125.000000000001</v>
      </c>
      <c r="AX9" s="66" t="n">
        <f aca="false">MIN('Capital Expenditure'!AW$22/'Assumption Setting'!$E$202,'Capital Expenditure'!AW$22-AW22)</f>
        <v>0</v>
      </c>
      <c r="AY9" s="66" t="n">
        <f aca="false">MIN('Capital Expenditure'!AX$22/'Assumption Setting'!$E$202,'Capital Expenditure'!AX$22-AX22)</f>
        <v>0</v>
      </c>
      <c r="AZ9" s="66" t="n">
        <f aca="false">MIN('Capital Expenditure'!AY$22/'Assumption Setting'!$E$202,'Capital Expenditure'!AY$22-AY22)</f>
        <v>0</v>
      </c>
      <c r="BA9" s="66" t="n">
        <f aca="false">MIN('Capital Expenditure'!AZ$22/'Assumption Setting'!$E$202,'Capital Expenditure'!AZ$22-AZ22)</f>
        <v>0</v>
      </c>
      <c r="BB9" s="65" t="n">
        <f aca="false">SUM(BC9:BN9)</f>
        <v>1000</v>
      </c>
      <c r="BC9" s="66" t="n">
        <f aca="false">MIN('Capital Expenditure'!BA$22/'Assumption Setting'!$E$202,'Capital Expenditure'!BA$22-BA22)</f>
        <v>0</v>
      </c>
      <c r="BD9" s="66" t="n">
        <f aca="false">MIN('Capital Expenditure'!BC$22/'Assumption Setting'!$E$202,'Capital Expenditure'!BC$22-BC22)</f>
        <v>208.333333333333</v>
      </c>
      <c r="BE9" s="66" t="n">
        <f aca="false">MIN('Capital Expenditure'!BD$22/'Assumption Setting'!$E$202,'Capital Expenditure'!BD$22-BD22)</f>
        <v>208.333333333333</v>
      </c>
      <c r="BF9" s="66" t="n">
        <f aca="false">MIN('Capital Expenditure'!BE$22/'Assumption Setting'!$E$202,'Capital Expenditure'!BE$22-BE22)</f>
        <v>208.333333333333</v>
      </c>
      <c r="BG9" s="66" t="n">
        <f aca="false">MIN('Capital Expenditure'!BF$22/'Assumption Setting'!$E$202,'Capital Expenditure'!BF$22-BF22)</f>
        <v>208.333333333333</v>
      </c>
      <c r="BH9" s="66" t="n">
        <f aca="false">MIN('Capital Expenditure'!BG$22/'Assumption Setting'!$E$202,'Capital Expenditure'!BG$22-BG22)</f>
        <v>166.666666666668</v>
      </c>
      <c r="BI9" s="66" t="n">
        <f aca="false">MIN('Capital Expenditure'!BH$22/'Assumption Setting'!$E$202,'Capital Expenditure'!BH$22-BH22)</f>
        <v>0</v>
      </c>
      <c r="BJ9" s="66" t="n">
        <f aca="false">MIN('Capital Expenditure'!BI$22/'Assumption Setting'!$E$202,'Capital Expenditure'!BI$22-BI22)</f>
        <v>0</v>
      </c>
      <c r="BK9" s="66" t="n">
        <f aca="false">MIN('Capital Expenditure'!BJ$22/'Assumption Setting'!$E$202,'Capital Expenditure'!BJ$22-BJ22)</f>
        <v>0</v>
      </c>
      <c r="BL9" s="66" t="n">
        <f aca="false">MIN('Capital Expenditure'!BK$22/'Assumption Setting'!$E$202,'Capital Expenditure'!BK$22-BK22)</f>
        <v>0</v>
      </c>
      <c r="BM9" s="66" t="n">
        <f aca="false">MIN('Capital Expenditure'!BL$22/'Assumption Setting'!$E$202,'Capital Expenditure'!BL$22-BL22)</f>
        <v>0</v>
      </c>
      <c r="BN9" s="66" t="n">
        <f aca="false">MIN('Capital Expenditure'!BM$22/'Assumption Setting'!$E$202,'Capital Expenditure'!BM$22-BM22)</f>
        <v>0</v>
      </c>
    </row>
    <row r="10" customFormat="false" ht="15" hidden="false" customHeight="false" outlineLevel="0" collapsed="false">
      <c r="A10" s="12" t="s">
        <v>494</v>
      </c>
      <c r="B10" s="65" t="n">
        <f aca="false">SUM(C10:N10)</f>
        <v>0</v>
      </c>
      <c r="C10" s="66" t="n">
        <f aca="false">0</f>
        <v>0</v>
      </c>
      <c r="D10" s="66" t="n">
        <f aca="false">MIN('Capital Expenditure'!C$23/'Assumption Setting'!$E$203,'Capital Expenditure'!C$23-C23)</f>
        <v>0</v>
      </c>
      <c r="E10" s="66" t="n">
        <f aca="false">MIN('Capital Expenditure'!D$23/'Assumption Setting'!$E$203,'Capital Expenditure'!D$23-D23)</f>
        <v>0</v>
      </c>
      <c r="F10" s="66" t="n">
        <f aca="false">MIN('Capital Expenditure'!E$23/'Assumption Setting'!$E$203,'Capital Expenditure'!E$23-E23)</f>
        <v>0</v>
      </c>
      <c r="G10" s="66" t="n">
        <f aca="false">MIN('Capital Expenditure'!F$23/'Assumption Setting'!$E$203,'Capital Expenditure'!F$23-F23)</f>
        <v>0</v>
      </c>
      <c r="H10" s="66" t="n">
        <f aca="false">MIN('Capital Expenditure'!G$23/'Assumption Setting'!$E$203,'Capital Expenditure'!G$23-G23)</f>
        <v>0</v>
      </c>
      <c r="I10" s="66" t="n">
        <f aca="false">MIN('Capital Expenditure'!H$23/'Assumption Setting'!$E$203,'Capital Expenditure'!H$23-H23)</f>
        <v>0</v>
      </c>
      <c r="J10" s="66" t="n">
        <f aca="false">MIN('Capital Expenditure'!I$23/'Assumption Setting'!$E$203,'Capital Expenditure'!I$23-I23)</f>
        <v>0</v>
      </c>
      <c r="K10" s="66" t="n">
        <f aca="false">MIN('Capital Expenditure'!J$23/'Assumption Setting'!$E$203,'Capital Expenditure'!J$23-J23)</f>
        <v>0</v>
      </c>
      <c r="L10" s="66" t="n">
        <f aca="false">MIN('Capital Expenditure'!K$23/'Assumption Setting'!$E$203,'Capital Expenditure'!K$23-K23)</f>
        <v>0</v>
      </c>
      <c r="M10" s="66" t="n">
        <f aca="false">MIN('Capital Expenditure'!L$23/'Assumption Setting'!$E$203,'Capital Expenditure'!L$23-L23)</f>
        <v>0</v>
      </c>
      <c r="N10" s="66" t="n">
        <f aca="false">MIN('Capital Expenditure'!M$23/'Assumption Setting'!$E$203,'Capital Expenditure'!M$23-M23)</f>
        <v>0</v>
      </c>
      <c r="O10" s="65" t="n">
        <f aca="false">SUM(P10:AA10)</f>
        <v>0</v>
      </c>
      <c r="P10" s="66" t="n">
        <f aca="false">MIN('Capital Expenditure'!N$23/'Assumption Setting'!$E$203,'Capital Expenditure'!N$23-N23)</f>
        <v>0</v>
      </c>
      <c r="Q10" s="66" t="n">
        <f aca="false">MIN('Capital Expenditure'!P$23/'Assumption Setting'!$E$203,'Capital Expenditure'!P$23-P23)</f>
        <v>0</v>
      </c>
      <c r="R10" s="66" t="n">
        <f aca="false">MIN('Capital Expenditure'!Q$23/'Assumption Setting'!$E$203,'Capital Expenditure'!Q$23-Q23)</f>
        <v>0</v>
      </c>
      <c r="S10" s="66" t="n">
        <f aca="false">MIN('Capital Expenditure'!R$23/'Assumption Setting'!$E$203,'Capital Expenditure'!R$23-R23)</f>
        <v>0</v>
      </c>
      <c r="T10" s="66" t="n">
        <f aca="false">MIN('Capital Expenditure'!S$23/'Assumption Setting'!$E$203,'Capital Expenditure'!S$23-S23)</f>
        <v>0</v>
      </c>
      <c r="U10" s="66" t="n">
        <f aca="false">MIN('Capital Expenditure'!T$23/'Assumption Setting'!$E$203,'Capital Expenditure'!T$23-T23)</f>
        <v>0</v>
      </c>
      <c r="V10" s="66" t="n">
        <f aca="false">MIN('Capital Expenditure'!U$23/'Assumption Setting'!$E$203,'Capital Expenditure'!U$23-U23)</f>
        <v>0</v>
      </c>
      <c r="W10" s="66" t="n">
        <f aca="false">MIN('Capital Expenditure'!V$23/'Assumption Setting'!$E$203,'Capital Expenditure'!V$23-V23)</f>
        <v>0</v>
      </c>
      <c r="X10" s="66" t="n">
        <f aca="false">MIN('Capital Expenditure'!W$23/'Assumption Setting'!$E$203,'Capital Expenditure'!W$23-W23)</f>
        <v>0</v>
      </c>
      <c r="Y10" s="66" t="n">
        <f aca="false">MIN('Capital Expenditure'!X$23/'Assumption Setting'!$E$203,'Capital Expenditure'!X$23-X23)</f>
        <v>0</v>
      </c>
      <c r="Z10" s="66" t="n">
        <f aca="false">MIN('Capital Expenditure'!Y$23/'Assumption Setting'!$E$203,'Capital Expenditure'!Y$23-Y23)</f>
        <v>0</v>
      </c>
      <c r="AA10" s="66" t="n">
        <f aca="false">MIN('Capital Expenditure'!Z$23/'Assumption Setting'!$E$203,'Capital Expenditure'!Z$23-Z23)</f>
        <v>0</v>
      </c>
      <c r="AB10" s="65" t="n">
        <f aca="false">SUM(AC10:AN10)</f>
        <v>0</v>
      </c>
      <c r="AC10" s="66" t="n">
        <f aca="false">MIN('Capital Expenditure'!AA$23/'Assumption Setting'!$E$203,'Capital Expenditure'!AA$23-AA23)</f>
        <v>0</v>
      </c>
      <c r="AD10" s="66" t="n">
        <f aca="false">MIN('Capital Expenditure'!AC$23/'Assumption Setting'!$E$203,'Capital Expenditure'!AC$23-AC23)</f>
        <v>0</v>
      </c>
      <c r="AE10" s="66" t="n">
        <f aca="false">MIN('Capital Expenditure'!AD$23/'Assumption Setting'!$E$203,'Capital Expenditure'!AD$23-AD23)</f>
        <v>0</v>
      </c>
      <c r="AF10" s="66" t="n">
        <f aca="false">MIN('Capital Expenditure'!AE$23/'Assumption Setting'!$E$203,'Capital Expenditure'!AE$23-AE23)</f>
        <v>0</v>
      </c>
      <c r="AG10" s="66" t="n">
        <f aca="false">MIN('Capital Expenditure'!AF$23/'Assumption Setting'!$E$203,'Capital Expenditure'!AF$23-AF23)</f>
        <v>0</v>
      </c>
      <c r="AH10" s="66" t="n">
        <f aca="false">MIN('Capital Expenditure'!AG$23/'Assumption Setting'!$E$203,'Capital Expenditure'!AG$23-AG23)</f>
        <v>0</v>
      </c>
      <c r="AI10" s="66" t="n">
        <f aca="false">MIN('Capital Expenditure'!AH$23/'Assumption Setting'!$E$203,'Capital Expenditure'!AH$23-AH23)</f>
        <v>0</v>
      </c>
      <c r="AJ10" s="66" t="n">
        <f aca="false">MIN('Capital Expenditure'!AI$23/'Assumption Setting'!$E$203,'Capital Expenditure'!AI$23-AI23)</f>
        <v>0</v>
      </c>
      <c r="AK10" s="66" t="n">
        <f aca="false">MIN('Capital Expenditure'!AJ$23/'Assumption Setting'!$E$203,'Capital Expenditure'!AJ$23-AJ23)</f>
        <v>0</v>
      </c>
      <c r="AL10" s="66" t="n">
        <f aca="false">MIN('Capital Expenditure'!AK$23/'Assumption Setting'!$E$203,'Capital Expenditure'!AK$23-AK23)</f>
        <v>0</v>
      </c>
      <c r="AM10" s="66" t="n">
        <f aca="false">MIN('Capital Expenditure'!AL$23/'Assumption Setting'!$E$203,'Capital Expenditure'!AL$23-AL23)</f>
        <v>0</v>
      </c>
      <c r="AN10" s="66" t="n">
        <f aca="false">MIN('Capital Expenditure'!AM$23/'Assumption Setting'!$E$203,'Capital Expenditure'!AM$23-AM23)</f>
        <v>0</v>
      </c>
      <c r="AO10" s="65" t="n">
        <f aca="false">SUM(AP10:BA10)</f>
        <v>0</v>
      </c>
      <c r="AP10" s="66" t="n">
        <f aca="false">MIN('Capital Expenditure'!AN$23/'Assumption Setting'!$E$203,'Capital Expenditure'!AN$23-AN23)</f>
        <v>0</v>
      </c>
      <c r="AQ10" s="66" t="n">
        <f aca="false">MIN('Capital Expenditure'!AP$23/'Assumption Setting'!$E$203,'Capital Expenditure'!AP$23-AP23)</f>
        <v>0</v>
      </c>
      <c r="AR10" s="66" t="n">
        <f aca="false">MIN('Capital Expenditure'!AQ$23/'Assumption Setting'!$E$203,'Capital Expenditure'!AQ$23-AQ23)</f>
        <v>0</v>
      </c>
      <c r="AS10" s="66" t="n">
        <f aca="false">MIN('Capital Expenditure'!AR$23/'Assumption Setting'!$E$203,'Capital Expenditure'!AR$23-AR23)</f>
        <v>0</v>
      </c>
      <c r="AT10" s="66" t="n">
        <f aca="false">MIN('Capital Expenditure'!AS$23/'Assumption Setting'!$E$203,'Capital Expenditure'!AS$23-AS23)</f>
        <v>0</v>
      </c>
      <c r="AU10" s="66" t="n">
        <f aca="false">MIN('Capital Expenditure'!AT$23/'Assumption Setting'!$E$203,'Capital Expenditure'!AT$23-AT23)</f>
        <v>0</v>
      </c>
      <c r="AV10" s="66" t="n">
        <f aca="false">MIN('Capital Expenditure'!AU$23/'Assumption Setting'!$E$203,'Capital Expenditure'!AU$23-AU23)</f>
        <v>0</v>
      </c>
      <c r="AW10" s="66" t="n">
        <f aca="false">MIN('Capital Expenditure'!AV$23/'Assumption Setting'!$E$203,'Capital Expenditure'!AV$23-AV23)</f>
        <v>0</v>
      </c>
      <c r="AX10" s="66" t="n">
        <f aca="false">MIN('Capital Expenditure'!AW$23/'Assumption Setting'!$E$203,'Capital Expenditure'!AW$23-AW23)</f>
        <v>0</v>
      </c>
      <c r="AY10" s="66" t="n">
        <f aca="false">MIN('Capital Expenditure'!AX$23/'Assumption Setting'!$E$203,'Capital Expenditure'!AX$23-AX23)</f>
        <v>0</v>
      </c>
      <c r="AZ10" s="66" t="n">
        <f aca="false">MIN('Capital Expenditure'!AY$23/'Assumption Setting'!$E$203,'Capital Expenditure'!AY$23-AY23)</f>
        <v>0</v>
      </c>
      <c r="BA10" s="66" t="n">
        <f aca="false">MIN('Capital Expenditure'!AZ$23/'Assumption Setting'!$E$203,'Capital Expenditure'!AZ$23-AZ23)</f>
        <v>0</v>
      </c>
      <c r="BB10" s="65" t="n">
        <f aca="false">SUM(BC10:BN10)</f>
        <v>0</v>
      </c>
      <c r="BC10" s="66" t="n">
        <f aca="false">MIN('Capital Expenditure'!BA$23/'Assumption Setting'!$E$203,'Capital Expenditure'!BA$23-BA23)</f>
        <v>0</v>
      </c>
      <c r="BD10" s="66" t="n">
        <f aca="false">MIN('Capital Expenditure'!BC$23/'Assumption Setting'!$E$203,'Capital Expenditure'!BC$23-BC23)</f>
        <v>0</v>
      </c>
      <c r="BE10" s="66" t="n">
        <f aca="false">MIN('Capital Expenditure'!BD$23/'Assumption Setting'!$E$203,'Capital Expenditure'!BD$23-BD23)</f>
        <v>0</v>
      </c>
      <c r="BF10" s="66" t="n">
        <f aca="false">MIN('Capital Expenditure'!BE$23/'Assumption Setting'!$E$203,'Capital Expenditure'!BE$23-BE23)</f>
        <v>0</v>
      </c>
      <c r="BG10" s="66" t="n">
        <f aca="false">MIN('Capital Expenditure'!BF$23/'Assumption Setting'!$E$203,'Capital Expenditure'!BF$23-BF23)</f>
        <v>0</v>
      </c>
      <c r="BH10" s="66" t="n">
        <f aca="false">MIN('Capital Expenditure'!BG$23/'Assumption Setting'!$E$203,'Capital Expenditure'!BG$23-BG23)</f>
        <v>0</v>
      </c>
      <c r="BI10" s="66" t="n">
        <f aca="false">MIN('Capital Expenditure'!BH$23/'Assumption Setting'!$E$203,'Capital Expenditure'!BH$23-BH23)</f>
        <v>0</v>
      </c>
      <c r="BJ10" s="66" t="n">
        <f aca="false">MIN('Capital Expenditure'!BI$23/'Assumption Setting'!$E$203,'Capital Expenditure'!BI$23-BI23)</f>
        <v>0</v>
      </c>
      <c r="BK10" s="66" t="n">
        <f aca="false">MIN('Capital Expenditure'!BJ$23/'Assumption Setting'!$E$203,'Capital Expenditure'!BJ$23-BJ23)</f>
        <v>0</v>
      </c>
      <c r="BL10" s="66" t="n">
        <f aca="false">MIN('Capital Expenditure'!BK$23/'Assumption Setting'!$E$203,'Capital Expenditure'!BK$23-BK23)</f>
        <v>0</v>
      </c>
      <c r="BM10" s="66" t="n">
        <f aca="false">MIN('Capital Expenditure'!BL$23/'Assumption Setting'!$E$203,'Capital Expenditure'!BL$23-BL23)</f>
        <v>0</v>
      </c>
      <c r="BN10" s="66" t="n">
        <f aca="false">MIN('Capital Expenditure'!BM$23/'Assumption Setting'!$E$203,'Capital Expenditure'!BM$23-BM23)</f>
        <v>0</v>
      </c>
    </row>
    <row r="11" customFormat="false" ht="15" hidden="false" customHeight="false" outlineLevel="0" collapsed="false">
      <c r="A11" s="12" t="s">
        <v>498</v>
      </c>
      <c r="B11" s="65" t="n">
        <f aca="false">SUM(C11:N11)</f>
        <v>729.166666666667</v>
      </c>
      <c r="C11" s="66" t="n">
        <f aca="false">0</f>
        <v>0</v>
      </c>
      <c r="D11" s="66" t="n">
        <f aca="false">MIN('Capital Expenditure'!C$24/'Assumption Setting'!$E$206,'Capital Expenditure'!C$24-C24)</f>
        <v>0</v>
      </c>
      <c r="E11" s="66" t="n">
        <f aca="false">MIN('Capital Expenditure'!D$24/'Assumption Setting'!$E$206,'Capital Expenditure'!D$24-D24)</f>
        <v>72.9166666666667</v>
      </c>
      <c r="F11" s="66" t="n">
        <f aca="false">MIN('Capital Expenditure'!E$24/'Assumption Setting'!$E$206,'Capital Expenditure'!E$24-E24)</f>
        <v>72.9166666666667</v>
      </c>
      <c r="G11" s="66" t="n">
        <f aca="false">MIN('Capital Expenditure'!F$24/'Assumption Setting'!$E$206,'Capital Expenditure'!F$24-F24)</f>
        <v>72.9166666666667</v>
      </c>
      <c r="H11" s="66" t="n">
        <f aca="false">MIN('Capital Expenditure'!G$24/'Assumption Setting'!$E$206,'Capital Expenditure'!G$24-G24)</f>
        <v>72.9166666666667</v>
      </c>
      <c r="I11" s="66" t="n">
        <f aca="false">MIN('Capital Expenditure'!H$24/'Assumption Setting'!$E$206,'Capital Expenditure'!H$24-H24)</f>
        <v>72.9166666666667</v>
      </c>
      <c r="J11" s="66" t="n">
        <f aca="false">MIN('Capital Expenditure'!I$24/'Assumption Setting'!$E$206,'Capital Expenditure'!I$24-I24)</f>
        <v>72.9166666666667</v>
      </c>
      <c r="K11" s="66" t="n">
        <f aca="false">MIN('Capital Expenditure'!J$24/'Assumption Setting'!$E$206,'Capital Expenditure'!J$24-J24)</f>
        <v>72.9166666666667</v>
      </c>
      <c r="L11" s="66" t="n">
        <f aca="false">MIN('Capital Expenditure'!K$24/'Assumption Setting'!$E$206,'Capital Expenditure'!K$24-K24)</f>
        <v>72.9166666666667</v>
      </c>
      <c r="M11" s="66" t="n">
        <f aca="false">MIN('Capital Expenditure'!L$24/'Assumption Setting'!$E$206,'Capital Expenditure'!L$24-L24)</f>
        <v>72.9166666666667</v>
      </c>
      <c r="N11" s="66" t="n">
        <f aca="false">MIN('Capital Expenditure'!M$24/'Assumption Setting'!$E$206,'Capital Expenditure'!M$24-M24)</f>
        <v>72.9166666666667</v>
      </c>
      <c r="O11" s="65" t="n">
        <f aca="false">SUM(P11:AA11)</f>
        <v>875</v>
      </c>
      <c r="P11" s="66" t="n">
        <f aca="false">MIN('Capital Expenditure'!N$24/'Assumption Setting'!$E$206,'Capital Expenditure'!N$24-N24)</f>
        <v>72.9166666666667</v>
      </c>
      <c r="Q11" s="66" t="n">
        <f aca="false">MIN('Capital Expenditure'!P$24/'Assumption Setting'!$E$206,'Capital Expenditure'!P$24-P24)</f>
        <v>72.9166666666667</v>
      </c>
      <c r="R11" s="66" t="n">
        <f aca="false">MIN('Capital Expenditure'!Q$24/'Assumption Setting'!$E$206,'Capital Expenditure'!Q$24-Q24)</f>
        <v>72.9166666666667</v>
      </c>
      <c r="S11" s="66" t="n">
        <f aca="false">MIN('Capital Expenditure'!R$24/'Assumption Setting'!$E$206,'Capital Expenditure'!R$24-R24)</f>
        <v>72.9166666666667</v>
      </c>
      <c r="T11" s="66" t="n">
        <f aca="false">MIN('Capital Expenditure'!S$24/'Assumption Setting'!$E$206,'Capital Expenditure'!S$24-S24)</f>
        <v>72.9166666666667</v>
      </c>
      <c r="U11" s="66" t="n">
        <f aca="false">MIN('Capital Expenditure'!T$24/'Assumption Setting'!$E$206,'Capital Expenditure'!T$24-T24)</f>
        <v>72.9166666666667</v>
      </c>
      <c r="V11" s="66" t="n">
        <f aca="false">MIN('Capital Expenditure'!U$24/'Assumption Setting'!$E$206,'Capital Expenditure'!U$24-U24)</f>
        <v>72.9166666666667</v>
      </c>
      <c r="W11" s="66" t="n">
        <f aca="false">MIN('Capital Expenditure'!V$24/'Assumption Setting'!$E$206,'Capital Expenditure'!V$24-V24)</f>
        <v>72.9166666666667</v>
      </c>
      <c r="X11" s="66" t="n">
        <f aca="false">MIN('Capital Expenditure'!W$24/'Assumption Setting'!$E$206,'Capital Expenditure'!W$24-W24)</f>
        <v>72.9166666666667</v>
      </c>
      <c r="Y11" s="66" t="n">
        <f aca="false">MIN('Capital Expenditure'!X$24/'Assumption Setting'!$E$206,'Capital Expenditure'!X$24-X24)</f>
        <v>72.9166666666667</v>
      </c>
      <c r="Z11" s="66" t="n">
        <f aca="false">MIN('Capital Expenditure'!Y$24/'Assumption Setting'!$E$206,'Capital Expenditure'!Y$24-Y24)</f>
        <v>72.9166666666667</v>
      </c>
      <c r="AA11" s="66" t="n">
        <f aca="false">MIN('Capital Expenditure'!Z$24/'Assumption Setting'!$E$206,'Capital Expenditure'!Z$24-Z24)</f>
        <v>72.9166666666667</v>
      </c>
      <c r="AB11" s="65" t="n">
        <f aca="false">SUM(AC11:AN11)</f>
        <v>875</v>
      </c>
      <c r="AC11" s="66" t="n">
        <f aca="false">MIN('Capital Expenditure'!AA$24/'Assumption Setting'!$E$206,'Capital Expenditure'!AA$24-AA24)</f>
        <v>72.9166666666667</v>
      </c>
      <c r="AD11" s="66" t="n">
        <f aca="false">MIN('Capital Expenditure'!AC$24/'Assumption Setting'!$E$206,'Capital Expenditure'!AC$24-AC24)</f>
        <v>72.9166666666667</v>
      </c>
      <c r="AE11" s="66" t="n">
        <f aca="false">MIN('Capital Expenditure'!AD$24/'Assumption Setting'!$E$206,'Capital Expenditure'!AD$24-AD24)</f>
        <v>72.9166666666667</v>
      </c>
      <c r="AF11" s="66" t="n">
        <f aca="false">MIN('Capital Expenditure'!AE$24/'Assumption Setting'!$E$206,'Capital Expenditure'!AE$24-AE24)</f>
        <v>72.9166666666667</v>
      </c>
      <c r="AG11" s="66" t="n">
        <f aca="false">MIN('Capital Expenditure'!AF$24/'Assumption Setting'!$E$206,'Capital Expenditure'!AF$24-AF24)</f>
        <v>72.9166666666667</v>
      </c>
      <c r="AH11" s="66" t="n">
        <f aca="false">MIN('Capital Expenditure'!AG$24/'Assumption Setting'!$E$206,'Capital Expenditure'!AG$24-AG24)</f>
        <v>72.9166666666667</v>
      </c>
      <c r="AI11" s="66" t="n">
        <f aca="false">MIN('Capital Expenditure'!AH$24/'Assumption Setting'!$E$206,'Capital Expenditure'!AH$24-AH24)</f>
        <v>72.9166666666667</v>
      </c>
      <c r="AJ11" s="66" t="n">
        <f aca="false">MIN('Capital Expenditure'!AI$24/'Assumption Setting'!$E$206,'Capital Expenditure'!AI$24-AI24)</f>
        <v>72.9166666666667</v>
      </c>
      <c r="AK11" s="66" t="n">
        <f aca="false">MIN('Capital Expenditure'!AJ$24/'Assumption Setting'!$E$206,'Capital Expenditure'!AJ$24-AJ24)</f>
        <v>72.9166666666667</v>
      </c>
      <c r="AL11" s="66" t="n">
        <f aca="false">MIN('Capital Expenditure'!AK$24/'Assumption Setting'!$E$206,'Capital Expenditure'!AK$24-AK24)</f>
        <v>72.9166666666667</v>
      </c>
      <c r="AM11" s="66" t="n">
        <f aca="false">MIN('Capital Expenditure'!AL$24/'Assumption Setting'!$E$206,'Capital Expenditure'!AL$24-AL24)</f>
        <v>72.9166666666667</v>
      </c>
      <c r="AN11" s="66" t="n">
        <f aca="false">MIN('Capital Expenditure'!AM$24/'Assumption Setting'!$E$206,'Capital Expenditure'!AM$24-AM24)</f>
        <v>72.9166666666667</v>
      </c>
      <c r="AO11" s="65" t="n">
        <f aca="false">SUM(AP11:BA11)</f>
        <v>875</v>
      </c>
      <c r="AP11" s="66" t="n">
        <f aca="false">MIN('Capital Expenditure'!AN$24/'Assumption Setting'!$E$206,'Capital Expenditure'!AN$24-AN24)</f>
        <v>72.9166666666667</v>
      </c>
      <c r="AQ11" s="66" t="n">
        <f aca="false">MIN('Capital Expenditure'!AP$24/'Assumption Setting'!$E$206,'Capital Expenditure'!AP$24-AP24)</f>
        <v>72.9166666666667</v>
      </c>
      <c r="AR11" s="66" t="n">
        <f aca="false">MIN('Capital Expenditure'!AQ$24/'Assumption Setting'!$E$206,'Capital Expenditure'!AQ$24-AQ24)</f>
        <v>72.9166666666667</v>
      </c>
      <c r="AS11" s="66" t="n">
        <f aca="false">MIN('Capital Expenditure'!AR$24/'Assumption Setting'!$E$206,'Capital Expenditure'!AR$24-AR24)</f>
        <v>72.9166666666667</v>
      </c>
      <c r="AT11" s="66" t="n">
        <f aca="false">MIN('Capital Expenditure'!AS$24/'Assumption Setting'!$E$206,'Capital Expenditure'!AS$24-AS24)</f>
        <v>72.9166666666667</v>
      </c>
      <c r="AU11" s="66" t="n">
        <f aca="false">MIN('Capital Expenditure'!AT$24/'Assumption Setting'!$E$206,'Capital Expenditure'!AT$24-AT24)</f>
        <v>72.9166666666667</v>
      </c>
      <c r="AV11" s="66" t="n">
        <f aca="false">MIN('Capital Expenditure'!AU$24/'Assumption Setting'!$E$206,'Capital Expenditure'!AU$24-AU24)</f>
        <v>72.9166666666667</v>
      </c>
      <c r="AW11" s="66" t="n">
        <f aca="false">MIN('Capital Expenditure'!AV$24/'Assumption Setting'!$E$206,'Capital Expenditure'!AV$24-AV24)</f>
        <v>72.9166666666667</v>
      </c>
      <c r="AX11" s="66" t="n">
        <f aca="false">MIN('Capital Expenditure'!AW$24/'Assumption Setting'!$E$206,'Capital Expenditure'!AW$24-AW24)</f>
        <v>72.9166666666667</v>
      </c>
      <c r="AY11" s="66" t="n">
        <f aca="false">MIN('Capital Expenditure'!AX$24/'Assumption Setting'!$E$206,'Capital Expenditure'!AX$24-AX24)</f>
        <v>72.9166666666667</v>
      </c>
      <c r="AZ11" s="66" t="n">
        <f aca="false">MIN('Capital Expenditure'!AY$24/'Assumption Setting'!$E$206,'Capital Expenditure'!AY$24-AY24)</f>
        <v>72.9166666666667</v>
      </c>
      <c r="BA11" s="66" t="n">
        <f aca="false">MIN('Capital Expenditure'!AZ$24/'Assumption Setting'!$E$206,'Capital Expenditure'!AZ$24-AZ24)</f>
        <v>72.9166666666667</v>
      </c>
      <c r="BB11" s="65" t="n">
        <f aca="false">SUM(BC11:BN11)</f>
        <v>145.833333333333</v>
      </c>
      <c r="BC11" s="66" t="n">
        <f aca="false">MIN('Capital Expenditure'!BA$24/'Assumption Setting'!$E$206,'Capital Expenditure'!BA$24-BA24)</f>
        <v>72.9166666666667</v>
      </c>
      <c r="BD11" s="66" t="n">
        <f aca="false">MIN('Capital Expenditure'!BC$24/'Assumption Setting'!$E$206,'Capital Expenditure'!BC$24-BC24)</f>
        <v>72.9166666666667</v>
      </c>
      <c r="BE11" s="66" t="n">
        <f aca="false">MIN('Capital Expenditure'!BD$24/'Assumption Setting'!$E$206,'Capital Expenditure'!BD$24-BD24)</f>
        <v>0</v>
      </c>
      <c r="BF11" s="66" t="n">
        <f aca="false">MIN('Capital Expenditure'!BE$24/'Assumption Setting'!$E$206,'Capital Expenditure'!BE$24-BE24)</f>
        <v>0</v>
      </c>
      <c r="BG11" s="66" t="n">
        <f aca="false">MIN('Capital Expenditure'!BF$24/'Assumption Setting'!$E$206,'Capital Expenditure'!BF$24-BF24)</f>
        <v>0</v>
      </c>
      <c r="BH11" s="66" t="n">
        <f aca="false">MIN('Capital Expenditure'!BG$24/'Assumption Setting'!$E$206,'Capital Expenditure'!BG$24-BG24)</f>
        <v>0</v>
      </c>
      <c r="BI11" s="66" t="n">
        <f aca="false">MIN('Capital Expenditure'!BH$24/'Assumption Setting'!$E$206,'Capital Expenditure'!BH$24-BH24)</f>
        <v>0</v>
      </c>
      <c r="BJ11" s="66" t="n">
        <f aca="false">MIN('Capital Expenditure'!BI$24/'Assumption Setting'!$E$206,'Capital Expenditure'!BI$24-BI24)</f>
        <v>0</v>
      </c>
      <c r="BK11" s="66" t="n">
        <f aca="false">MIN('Capital Expenditure'!BJ$24/'Assumption Setting'!$E$206,'Capital Expenditure'!BJ$24-BJ24)</f>
        <v>0</v>
      </c>
      <c r="BL11" s="66" t="n">
        <f aca="false">MIN('Capital Expenditure'!BK$24/'Assumption Setting'!$E$206,'Capital Expenditure'!BK$24-BK24)</f>
        <v>0</v>
      </c>
      <c r="BM11" s="66" t="n">
        <f aca="false">MIN('Capital Expenditure'!BL$24/'Assumption Setting'!$E$206,'Capital Expenditure'!BL$24-BL24)</f>
        <v>0</v>
      </c>
      <c r="BN11" s="66" t="n">
        <f aca="false">MIN('Capital Expenditure'!BM$24/'Assumption Setting'!$E$206,'Capital Expenditure'!BM$24-BM24)</f>
        <v>0</v>
      </c>
    </row>
    <row r="12" customFormat="false" ht="15" hidden="false" customHeight="false" outlineLevel="0" collapsed="false">
      <c r="A12" s="12" t="s">
        <v>499</v>
      </c>
      <c r="B12" s="65" t="n">
        <f aca="false">SUM(C12:N12)</f>
        <v>183.333333333333</v>
      </c>
      <c r="C12" s="66" t="n">
        <f aca="false">0</f>
        <v>0</v>
      </c>
      <c r="D12" s="66" t="n">
        <f aca="false">MIN('Capital Expenditure'!C$25/'Assumption Setting'!$E$207,'Capital Expenditure'!C$25-C25)</f>
        <v>16.6666666666667</v>
      </c>
      <c r="E12" s="66" t="n">
        <f aca="false">MIN('Capital Expenditure'!D$25/'Assumption Setting'!$E$207,'Capital Expenditure'!D$25-D25)</f>
        <v>16.6666666666667</v>
      </c>
      <c r="F12" s="66" t="n">
        <f aca="false">MIN('Capital Expenditure'!E$25/'Assumption Setting'!$E$207,'Capital Expenditure'!E$25-E25)</f>
        <v>16.6666666666667</v>
      </c>
      <c r="G12" s="66" t="n">
        <f aca="false">MIN('Capital Expenditure'!F$25/'Assumption Setting'!$E$207,'Capital Expenditure'!F$25-F25)</f>
        <v>16.6666666666667</v>
      </c>
      <c r="H12" s="66" t="n">
        <f aca="false">MIN('Capital Expenditure'!G$25/'Assumption Setting'!$E$207,'Capital Expenditure'!G$25-G25)</f>
        <v>16.6666666666667</v>
      </c>
      <c r="I12" s="66" t="n">
        <f aca="false">MIN('Capital Expenditure'!H$25/'Assumption Setting'!$E$207,'Capital Expenditure'!H$25-H25)</f>
        <v>16.6666666666667</v>
      </c>
      <c r="J12" s="66" t="n">
        <f aca="false">MIN('Capital Expenditure'!I$25/'Assumption Setting'!$E$207,'Capital Expenditure'!I$25-I25)</f>
        <v>16.6666666666667</v>
      </c>
      <c r="K12" s="66" t="n">
        <f aca="false">MIN('Capital Expenditure'!J$25/'Assumption Setting'!$E$207,'Capital Expenditure'!J$25-J25)</f>
        <v>16.6666666666667</v>
      </c>
      <c r="L12" s="66" t="n">
        <f aca="false">MIN('Capital Expenditure'!K$25/'Assumption Setting'!$E$207,'Capital Expenditure'!K$25-K25)</f>
        <v>16.6666666666667</v>
      </c>
      <c r="M12" s="66" t="n">
        <f aca="false">MIN('Capital Expenditure'!L$25/'Assumption Setting'!$E$207,'Capital Expenditure'!L$25-L25)</f>
        <v>16.6666666666667</v>
      </c>
      <c r="N12" s="66" t="n">
        <f aca="false">MIN('Capital Expenditure'!M$25/'Assumption Setting'!$E$207,'Capital Expenditure'!M$25-M25)</f>
        <v>16.6666666666667</v>
      </c>
      <c r="O12" s="65" t="n">
        <f aca="false">SUM(P12:AA12)</f>
        <v>200</v>
      </c>
      <c r="P12" s="66" t="n">
        <f aca="false">MIN('Capital Expenditure'!N$25/'Assumption Setting'!$E$207,'Capital Expenditure'!N$25-N25)</f>
        <v>16.6666666666667</v>
      </c>
      <c r="Q12" s="66" t="n">
        <f aca="false">MIN('Capital Expenditure'!P$25/'Assumption Setting'!$E$207,'Capital Expenditure'!P$25-P25)</f>
        <v>16.6666666666667</v>
      </c>
      <c r="R12" s="66" t="n">
        <f aca="false">MIN('Capital Expenditure'!Q$25/'Assumption Setting'!$E$207,'Capital Expenditure'!Q$25-Q25)</f>
        <v>16.6666666666667</v>
      </c>
      <c r="S12" s="66" t="n">
        <f aca="false">MIN('Capital Expenditure'!R$25/'Assumption Setting'!$E$207,'Capital Expenditure'!R$25-R25)</f>
        <v>16.6666666666667</v>
      </c>
      <c r="T12" s="66" t="n">
        <f aca="false">MIN('Capital Expenditure'!S$25/'Assumption Setting'!$E$207,'Capital Expenditure'!S$25-S25)</f>
        <v>16.6666666666667</v>
      </c>
      <c r="U12" s="66" t="n">
        <f aca="false">MIN('Capital Expenditure'!T$25/'Assumption Setting'!$E$207,'Capital Expenditure'!T$25-T25)</f>
        <v>16.6666666666667</v>
      </c>
      <c r="V12" s="66" t="n">
        <f aca="false">MIN('Capital Expenditure'!U$25/'Assumption Setting'!$E$207,'Capital Expenditure'!U$25-U25)</f>
        <v>16.6666666666667</v>
      </c>
      <c r="W12" s="66" t="n">
        <f aca="false">MIN('Capital Expenditure'!V$25/'Assumption Setting'!$E$207,'Capital Expenditure'!V$25-V25)</f>
        <v>16.6666666666667</v>
      </c>
      <c r="X12" s="66" t="n">
        <f aca="false">MIN('Capital Expenditure'!W$25/'Assumption Setting'!$E$207,'Capital Expenditure'!W$25-W25)</f>
        <v>16.6666666666667</v>
      </c>
      <c r="Y12" s="66" t="n">
        <f aca="false">MIN('Capital Expenditure'!X$25/'Assumption Setting'!$E$207,'Capital Expenditure'!X$25-X25)</f>
        <v>16.6666666666667</v>
      </c>
      <c r="Z12" s="66" t="n">
        <f aca="false">MIN('Capital Expenditure'!Y$25/'Assumption Setting'!$E$207,'Capital Expenditure'!Y$25-Y25)</f>
        <v>16.6666666666667</v>
      </c>
      <c r="AA12" s="66" t="n">
        <f aca="false">MIN('Capital Expenditure'!Z$25/'Assumption Setting'!$E$207,'Capital Expenditure'!Z$25-Z25)</f>
        <v>16.6666666666667</v>
      </c>
      <c r="AB12" s="65" t="n">
        <f aca="false">SUM(AC12:AN12)</f>
        <v>200</v>
      </c>
      <c r="AC12" s="66" t="n">
        <f aca="false">MIN('Capital Expenditure'!AA$25/'Assumption Setting'!$E$207,'Capital Expenditure'!AA$25-AA25)</f>
        <v>16.6666666666667</v>
      </c>
      <c r="AD12" s="66" t="n">
        <f aca="false">MIN('Capital Expenditure'!AC$25/'Assumption Setting'!$E$207,'Capital Expenditure'!AC$25-AC25)</f>
        <v>16.6666666666667</v>
      </c>
      <c r="AE12" s="66" t="n">
        <f aca="false">MIN('Capital Expenditure'!AD$25/'Assumption Setting'!$E$207,'Capital Expenditure'!AD$25-AD25)</f>
        <v>16.6666666666667</v>
      </c>
      <c r="AF12" s="66" t="n">
        <f aca="false">MIN('Capital Expenditure'!AE$25/'Assumption Setting'!$E$207,'Capital Expenditure'!AE$25-AE25)</f>
        <v>16.6666666666667</v>
      </c>
      <c r="AG12" s="66" t="n">
        <f aca="false">MIN('Capital Expenditure'!AF$25/'Assumption Setting'!$E$207,'Capital Expenditure'!AF$25-AF25)</f>
        <v>16.6666666666667</v>
      </c>
      <c r="AH12" s="66" t="n">
        <f aca="false">MIN('Capital Expenditure'!AG$25/'Assumption Setting'!$E$207,'Capital Expenditure'!AG$25-AG25)</f>
        <v>16.6666666666667</v>
      </c>
      <c r="AI12" s="66" t="n">
        <f aca="false">MIN('Capital Expenditure'!AH$25/'Assumption Setting'!$E$207,'Capital Expenditure'!AH$25-AH25)</f>
        <v>16.6666666666667</v>
      </c>
      <c r="AJ12" s="66" t="n">
        <f aca="false">MIN('Capital Expenditure'!AI$25/'Assumption Setting'!$E$207,'Capital Expenditure'!AI$25-AI25)</f>
        <v>16.6666666666667</v>
      </c>
      <c r="AK12" s="66" t="n">
        <f aca="false">MIN('Capital Expenditure'!AJ$25/'Assumption Setting'!$E$207,'Capital Expenditure'!AJ$25-AJ25)</f>
        <v>16.6666666666667</v>
      </c>
      <c r="AL12" s="66" t="n">
        <f aca="false">MIN('Capital Expenditure'!AK$25/'Assumption Setting'!$E$207,'Capital Expenditure'!AK$25-AK25)</f>
        <v>16.6666666666667</v>
      </c>
      <c r="AM12" s="66" t="n">
        <f aca="false">MIN('Capital Expenditure'!AL$25/'Assumption Setting'!$E$207,'Capital Expenditure'!AL$25-AL25)</f>
        <v>16.6666666666667</v>
      </c>
      <c r="AN12" s="66" t="n">
        <f aca="false">MIN('Capital Expenditure'!AM$25/'Assumption Setting'!$E$207,'Capital Expenditure'!AM$25-AM25)</f>
        <v>16.6666666666667</v>
      </c>
      <c r="AO12" s="65" t="n">
        <f aca="false">SUM(AP12:BA12)</f>
        <v>200</v>
      </c>
      <c r="AP12" s="66" t="n">
        <f aca="false">MIN('Capital Expenditure'!AN$25/'Assumption Setting'!$E$207,'Capital Expenditure'!AN$25-AN25)</f>
        <v>16.6666666666667</v>
      </c>
      <c r="AQ12" s="66" t="n">
        <f aca="false">MIN('Capital Expenditure'!AP$25/'Assumption Setting'!$E$207,'Capital Expenditure'!AP$25-AP25)</f>
        <v>16.6666666666667</v>
      </c>
      <c r="AR12" s="66" t="n">
        <f aca="false">MIN('Capital Expenditure'!AQ$25/'Assumption Setting'!$E$207,'Capital Expenditure'!AQ$25-AQ25)</f>
        <v>16.6666666666667</v>
      </c>
      <c r="AS12" s="66" t="n">
        <f aca="false">MIN('Capital Expenditure'!AR$25/'Assumption Setting'!$E$207,'Capital Expenditure'!AR$25-AR25)</f>
        <v>16.6666666666667</v>
      </c>
      <c r="AT12" s="66" t="n">
        <f aca="false">MIN('Capital Expenditure'!AS$25/'Assumption Setting'!$E$207,'Capital Expenditure'!AS$25-AS25)</f>
        <v>16.6666666666667</v>
      </c>
      <c r="AU12" s="66" t="n">
        <f aca="false">MIN('Capital Expenditure'!AT$25/'Assumption Setting'!$E$207,'Capital Expenditure'!AT$25-AT25)</f>
        <v>16.6666666666667</v>
      </c>
      <c r="AV12" s="66" t="n">
        <f aca="false">MIN('Capital Expenditure'!AU$25/'Assumption Setting'!$E$207,'Capital Expenditure'!AU$25-AU25)</f>
        <v>16.6666666666667</v>
      </c>
      <c r="AW12" s="66" t="n">
        <f aca="false">MIN('Capital Expenditure'!AV$25/'Assumption Setting'!$E$207,'Capital Expenditure'!AV$25-AV25)</f>
        <v>16.6666666666667</v>
      </c>
      <c r="AX12" s="66" t="n">
        <f aca="false">MIN('Capital Expenditure'!AW$25/'Assumption Setting'!$E$207,'Capital Expenditure'!AW$25-AW25)</f>
        <v>16.6666666666667</v>
      </c>
      <c r="AY12" s="66" t="n">
        <f aca="false">MIN('Capital Expenditure'!AX$25/'Assumption Setting'!$E$207,'Capital Expenditure'!AX$25-AX25)</f>
        <v>16.6666666666667</v>
      </c>
      <c r="AZ12" s="66" t="n">
        <f aca="false">MIN('Capital Expenditure'!AY$25/'Assumption Setting'!$E$207,'Capital Expenditure'!AY$25-AY25)</f>
        <v>16.6666666666667</v>
      </c>
      <c r="BA12" s="66" t="n">
        <f aca="false">MIN('Capital Expenditure'!AZ$25/'Assumption Setting'!$E$207,'Capital Expenditure'!AZ$25-AZ25)</f>
        <v>16.6666666666667</v>
      </c>
      <c r="BB12" s="65" t="n">
        <f aca="false">SUM(BC12:BN12)</f>
        <v>16.6666666666667</v>
      </c>
      <c r="BC12" s="66" t="n">
        <f aca="false">MIN('Capital Expenditure'!BA$25/'Assumption Setting'!$E$207,'Capital Expenditure'!BA$25-BA25)</f>
        <v>16.6666666666667</v>
      </c>
      <c r="BD12" s="66" t="n">
        <f aca="false">MIN('Capital Expenditure'!BC$25/'Assumption Setting'!$E$207,'Capital Expenditure'!BC$25-BC25)</f>
        <v>0</v>
      </c>
      <c r="BE12" s="66" t="n">
        <f aca="false">MIN('Capital Expenditure'!BD$25/'Assumption Setting'!$E$207,'Capital Expenditure'!BD$25-BD25)</f>
        <v>0</v>
      </c>
      <c r="BF12" s="66" t="n">
        <f aca="false">MIN('Capital Expenditure'!BE$25/'Assumption Setting'!$E$207,'Capital Expenditure'!BE$25-BE25)</f>
        <v>0</v>
      </c>
      <c r="BG12" s="66" t="n">
        <f aca="false">MIN('Capital Expenditure'!BF$25/'Assumption Setting'!$E$207,'Capital Expenditure'!BF$25-BF25)</f>
        <v>0</v>
      </c>
      <c r="BH12" s="66" t="n">
        <f aca="false">MIN('Capital Expenditure'!BG$25/'Assumption Setting'!$E$207,'Capital Expenditure'!BG$25-BG25)</f>
        <v>0</v>
      </c>
      <c r="BI12" s="66" t="n">
        <f aca="false">MIN('Capital Expenditure'!BH$25/'Assumption Setting'!$E$207,'Capital Expenditure'!BH$25-BH25)</f>
        <v>0</v>
      </c>
      <c r="BJ12" s="66" t="n">
        <f aca="false">MIN('Capital Expenditure'!BI$25/'Assumption Setting'!$E$207,'Capital Expenditure'!BI$25-BI25)</f>
        <v>0</v>
      </c>
      <c r="BK12" s="66" t="n">
        <f aca="false">MIN('Capital Expenditure'!BJ$25/'Assumption Setting'!$E$207,'Capital Expenditure'!BJ$25-BJ25)</f>
        <v>0</v>
      </c>
      <c r="BL12" s="66" t="n">
        <f aca="false">MIN('Capital Expenditure'!BK$25/'Assumption Setting'!$E$207,'Capital Expenditure'!BK$25-BK25)</f>
        <v>0</v>
      </c>
      <c r="BM12" s="66" t="n">
        <f aca="false">MIN('Capital Expenditure'!BL$25/'Assumption Setting'!$E$207,'Capital Expenditure'!BL$25-BL25)</f>
        <v>0</v>
      </c>
      <c r="BN12" s="66" t="n">
        <f aca="false">MIN('Capital Expenditure'!BM$25/'Assumption Setting'!$E$207,'Capital Expenditure'!BM$25-BM25)</f>
        <v>0</v>
      </c>
    </row>
    <row r="13" customFormat="false" ht="15" hidden="false" customHeight="false" outlineLevel="0" collapsed="false">
      <c r="A13" s="12" t="s">
        <v>500</v>
      </c>
      <c r="B13" s="65" t="n">
        <f aca="false">SUM(C13:N13)</f>
        <v>733.333333333333</v>
      </c>
      <c r="C13" s="66" t="n">
        <f aca="false">0</f>
        <v>0</v>
      </c>
      <c r="D13" s="66" t="n">
        <f aca="false">MIN('Capital Expenditure'!C$26/'Assumption Setting'!$E$208,'Capital Expenditure'!C$26-C26)</f>
        <v>66.6666666666667</v>
      </c>
      <c r="E13" s="66" t="n">
        <f aca="false">MIN('Capital Expenditure'!D$26/'Assumption Setting'!$E$208,'Capital Expenditure'!D$26-D26)</f>
        <v>66.6666666666667</v>
      </c>
      <c r="F13" s="66" t="n">
        <f aca="false">MIN('Capital Expenditure'!E$26/'Assumption Setting'!$E$208,'Capital Expenditure'!E$26-E26)</f>
        <v>66.6666666666667</v>
      </c>
      <c r="G13" s="66" t="n">
        <f aca="false">MIN('Capital Expenditure'!F$26/'Assumption Setting'!$E$208,'Capital Expenditure'!F$26-F26)</f>
        <v>66.6666666666667</v>
      </c>
      <c r="H13" s="66" t="n">
        <f aca="false">MIN('Capital Expenditure'!G$26/'Assumption Setting'!$E$208,'Capital Expenditure'!G$26-G26)</f>
        <v>66.6666666666667</v>
      </c>
      <c r="I13" s="66" t="n">
        <f aca="false">MIN('Capital Expenditure'!H$26/'Assumption Setting'!$E$208,'Capital Expenditure'!H$26-H26)</f>
        <v>66.6666666666667</v>
      </c>
      <c r="J13" s="66" t="n">
        <f aca="false">MIN('Capital Expenditure'!I$26/'Assumption Setting'!$E$208,'Capital Expenditure'!I$26-I26)</f>
        <v>66.6666666666667</v>
      </c>
      <c r="K13" s="66" t="n">
        <f aca="false">MIN('Capital Expenditure'!J$26/'Assumption Setting'!$E$208,'Capital Expenditure'!J$26-J26)</f>
        <v>66.6666666666667</v>
      </c>
      <c r="L13" s="66" t="n">
        <f aca="false">MIN('Capital Expenditure'!K$26/'Assumption Setting'!$E$208,'Capital Expenditure'!K$26-K26)</f>
        <v>66.6666666666667</v>
      </c>
      <c r="M13" s="66" t="n">
        <f aca="false">MIN('Capital Expenditure'!L$26/'Assumption Setting'!$E$208,'Capital Expenditure'!L$26-L26)</f>
        <v>66.6666666666667</v>
      </c>
      <c r="N13" s="66" t="n">
        <f aca="false">MIN('Capital Expenditure'!M$26/'Assumption Setting'!$E$208,'Capital Expenditure'!M$26-M26)</f>
        <v>66.6666666666667</v>
      </c>
      <c r="O13" s="65" t="n">
        <f aca="false">SUM(P13:AA13)</f>
        <v>800</v>
      </c>
      <c r="P13" s="66" t="n">
        <f aca="false">MIN('Capital Expenditure'!N$26/'Assumption Setting'!$E$208,'Capital Expenditure'!N$26-N26)</f>
        <v>66.6666666666667</v>
      </c>
      <c r="Q13" s="66" t="n">
        <f aca="false">MIN('Capital Expenditure'!P$26/'Assumption Setting'!$E$208,'Capital Expenditure'!P$26-P26)</f>
        <v>66.6666666666667</v>
      </c>
      <c r="R13" s="66" t="n">
        <f aca="false">MIN('Capital Expenditure'!Q$26/'Assumption Setting'!$E$208,'Capital Expenditure'!Q$26-Q26)</f>
        <v>66.6666666666667</v>
      </c>
      <c r="S13" s="66" t="n">
        <f aca="false">MIN('Capital Expenditure'!R$26/'Assumption Setting'!$E$208,'Capital Expenditure'!R$26-R26)</f>
        <v>66.6666666666667</v>
      </c>
      <c r="T13" s="66" t="n">
        <f aca="false">MIN('Capital Expenditure'!S$26/'Assumption Setting'!$E$208,'Capital Expenditure'!S$26-S26)</f>
        <v>66.6666666666667</v>
      </c>
      <c r="U13" s="66" t="n">
        <f aca="false">MIN('Capital Expenditure'!T$26/'Assumption Setting'!$E$208,'Capital Expenditure'!T$26-T26)</f>
        <v>66.6666666666667</v>
      </c>
      <c r="V13" s="66" t="n">
        <f aca="false">MIN('Capital Expenditure'!U$26/'Assumption Setting'!$E$208,'Capital Expenditure'!U$26-U26)</f>
        <v>66.6666666666667</v>
      </c>
      <c r="W13" s="66" t="n">
        <f aca="false">MIN('Capital Expenditure'!V$26/'Assumption Setting'!$E$208,'Capital Expenditure'!V$26-V26)</f>
        <v>66.6666666666667</v>
      </c>
      <c r="X13" s="66" t="n">
        <f aca="false">MIN('Capital Expenditure'!W$26/'Assumption Setting'!$E$208,'Capital Expenditure'!W$26-W26)</f>
        <v>66.6666666666667</v>
      </c>
      <c r="Y13" s="66" t="n">
        <f aca="false">MIN('Capital Expenditure'!X$26/'Assumption Setting'!$E$208,'Capital Expenditure'!X$26-X26)</f>
        <v>66.6666666666667</v>
      </c>
      <c r="Z13" s="66" t="n">
        <f aca="false">MIN('Capital Expenditure'!Y$26/'Assumption Setting'!$E$208,'Capital Expenditure'!Y$26-Y26)</f>
        <v>66.6666666666667</v>
      </c>
      <c r="AA13" s="66" t="n">
        <f aca="false">MIN('Capital Expenditure'!Z$26/'Assumption Setting'!$E$208,'Capital Expenditure'!Z$26-Z26)</f>
        <v>66.6666666666667</v>
      </c>
      <c r="AB13" s="65" t="n">
        <f aca="false">SUM(AC13:AN13)</f>
        <v>800</v>
      </c>
      <c r="AC13" s="66" t="n">
        <f aca="false">MIN('Capital Expenditure'!AA$26/'Assumption Setting'!$E$208,'Capital Expenditure'!AA$26-AA26)</f>
        <v>66.6666666666667</v>
      </c>
      <c r="AD13" s="66" t="n">
        <f aca="false">MIN('Capital Expenditure'!AC$26/'Assumption Setting'!$E$208,'Capital Expenditure'!AC$26-AC26)</f>
        <v>66.6666666666667</v>
      </c>
      <c r="AE13" s="66" t="n">
        <f aca="false">MIN('Capital Expenditure'!AD$26/'Assumption Setting'!$E$208,'Capital Expenditure'!AD$26-AD26)</f>
        <v>66.6666666666667</v>
      </c>
      <c r="AF13" s="66" t="n">
        <f aca="false">MIN('Capital Expenditure'!AE$26/'Assumption Setting'!$E$208,'Capital Expenditure'!AE$26-AE26)</f>
        <v>66.6666666666667</v>
      </c>
      <c r="AG13" s="66" t="n">
        <f aca="false">MIN('Capital Expenditure'!AF$26/'Assumption Setting'!$E$208,'Capital Expenditure'!AF$26-AF26)</f>
        <v>66.6666666666667</v>
      </c>
      <c r="AH13" s="66" t="n">
        <f aca="false">MIN('Capital Expenditure'!AG$26/'Assumption Setting'!$E$208,'Capital Expenditure'!AG$26-AG26)</f>
        <v>66.6666666666667</v>
      </c>
      <c r="AI13" s="66" t="n">
        <f aca="false">MIN('Capital Expenditure'!AH$26/'Assumption Setting'!$E$208,'Capital Expenditure'!AH$26-AH26)</f>
        <v>66.6666666666667</v>
      </c>
      <c r="AJ13" s="66" t="n">
        <f aca="false">MIN('Capital Expenditure'!AI$26/'Assumption Setting'!$E$208,'Capital Expenditure'!AI$26-AI26)</f>
        <v>66.6666666666667</v>
      </c>
      <c r="AK13" s="66" t="n">
        <f aca="false">MIN('Capital Expenditure'!AJ$26/'Assumption Setting'!$E$208,'Capital Expenditure'!AJ$26-AJ26)</f>
        <v>66.6666666666667</v>
      </c>
      <c r="AL13" s="66" t="n">
        <f aca="false">MIN('Capital Expenditure'!AK$26/'Assumption Setting'!$E$208,'Capital Expenditure'!AK$26-AK26)</f>
        <v>66.6666666666667</v>
      </c>
      <c r="AM13" s="66" t="n">
        <f aca="false">MIN('Capital Expenditure'!AL$26/'Assumption Setting'!$E$208,'Capital Expenditure'!AL$26-AL26)</f>
        <v>66.6666666666667</v>
      </c>
      <c r="AN13" s="66" t="n">
        <f aca="false">MIN('Capital Expenditure'!AM$26/'Assumption Setting'!$E$208,'Capital Expenditure'!AM$26-AM26)</f>
        <v>66.6666666666667</v>
      </c>
      <c r="AO13" s="65" t="n">
        <f aca="false">SUM(AP13:BA13)</f>
        <v>800</v>
      </c>
      <c r="AP13" s="66" t="n">
        <f aca="false">MIN('Capital Expenditure'!AN$26/'Assumption Setting'!$E$208,'Capital Expenditure'!AN$26-AN26)</f>
        <v>66.6666666666667</v>
      </c>
      <c r="AQ13" s="66" t="n">
        <f aca="false">MIN('Capital Expenditure'!AP$26/'Assumption Setting'!$E$208,'Capital Expenditure'!AP$26-AP26)</f>
        <v>66.6666666666667</v>
      </c>
      <c r="AR13" s="66" t="n">
        <f aca="false">MIN('Capital Expenditure'!AQ$26/'Assumption Setting'!$E$208,'Capital Expenditure'!AQ$26-AQ26)</f>
        <v>66.6666666666667</v>
      </c>
      <c r="AS13" s="66" t="n">
        <f aca="false">MIN('Capital Expenditure'!AR$26/'Assumption Setting'!$E$208,'Capital Expenditure'!AR$26-AR26)</f>
        <v>66.6666666666667</v>
      </c>
      <c r="AT13" s="66" t="n">
        <f aca="false">MIN('Capital Expenditure'!AS$26/'Assumption Setting'!$E$208,'Capital Expenditure'!AS$26-AS26)</f>
        <v>66.6666666666667</v>
      </c>
      <c r="AU13" s="66" t="n">
        <f aca="false">MIN('Capital Expenditure'!AT$26/'Assumption Setting'!$E$208,'Capital Expenditure'!AT$26-AT26)</f>
        <v>66.6666666666667</v>
      </c>
      <c r="AV13" s="66" t="n">
        <f aca="false">MIN('Capital Expenditure'!AU$26/'Assumption Setting'!$E$208,'Capital Expenditure'!AU$26-AU26)</f>
        <v>66.6666666666667</v>
      </c>
      <c r="AW13" s="66" t="n">
        <f aca="false">MIN('Capital Expenditure'!AV$26/'Assumption Setting'!$E$208,'Capital Expenditure'!AV$26-AV26)</f>
        <v>66.6666666666667</v>
      </c>
      <c r="AX13" s="66" t="n">
        <f aca="false">MIN('Capital Expenditure'!AW$26/'Assumption Setting'!$E$208,'Capital Expenditure'!AW$26-AW26)</f>
        <v>66.6666666666667</v>
      </c>
      <c r="AY13" s="66" t="n">
        <f aca="false">MIN('Capital Expenditure'!AX$26/'Assumption Setting'!$E$208,'Capital Expenditure'!AX$26-AX26)</f>
        <v>66.6666666666667</v>
      </c>
      <c r="AZ13" s="66" t="n">
        <f aca="false">MIN('Capital Expenditure'!AY$26/'Assumption Setting'!$E$208,'Capital Expenditure'!AY$26-AY26)</f>
        <v>66.6666666666667</v>
      </c>
      <c r="BA13" s="66" t="n">
        <f aca="false">MIN('Capital Expenditure'!AZ$26/'Assumption Setting'!$E$208,'Capital Expenditure'!AZ$26-AZ26)</f>
        <v>66.6666666666667</v>
      </c>
      <c r="BB13" s="65" t="n">
        <f aca="false">SUM(BC13:BN13)</f>
        <v>800</v>
      </c>
      <c r="BC13" s="66" t="n">
        <f aca="false">MIN('Capital Expenditure'!BA$26/'Assumption Setting'!$E$208,'Capital Expenditure'!BA$26-BA26)</f>
        <v>66.6666666666667</v>
      </c>
      <c r="BD13" s="66" t="n">
        <f aca="false">MIN('Capital Expenditure'!BC$26/'Assumption Setting'!$E$208,'Capital Expenditure'!BC$26-BC26)</f>
        <v>66.6666666666667</v>
      </c>
      <c r="BE13" s="66" t="n">
        <f aca="false">MIN('Capital Expenditure'!BD$26/'Assumption Setting'!$E$208,'Capital Expenditure'!BD$26-BD26)</f>
        <v>66.6666666666667</v>
      </c>
      <c r="BF13" s="66" t="n">
        <f aca="false">MIN('Capital Expenditure'!BE$26/'Assumption Setting'!$E$208,'Capital Expenditure'!BE$26-BE26)</f>
        <v>66.6666666666667</v>
      </c>
      <c r="BG13" s="66" t="n">
        <f aca="false">MIN('Capital Expenditure'!BF$26/'Assumption Setting'!$E$208,'Capital Expenditure'!BF$26-BF26)</f>
        <v>66.6666666666667</v>
      </c>
      <c r="BH13" s="66" t="n">
        <f aca="false">MIN('Capital Expenditure'!BG$26/'Assumption Setting'!$E$208,'Capital Expenditure'!BG$26-BG26)</f>
        <v>66.6666666666667</v>
      </c>
      <c r="BI13" s="66" t="n">
        <f aca="false">MIN('Capital Expenditure'!BH$26/'Assumption Setting'!$E$208,'Capital Expenditure'!BH$26-BH26)</f>
        <v>66.6666666666667</v>
      </c>
      <c r="BJ13" s="66" t="n">
        <f aca="false">MIN('Capital Expenditure'!BI$26/'Assumption Setting'!$E$208,'Capital Expenditure'!BI$26-BI26)</f>
        <v>66.6666666666667</v>
      </c>
      <c r="BK13" s="66" t="n">
        <f aca="false">MIN('Capital Expenditure'!BJ$26/'Assumption Setting'!$E$208,'Capital Expenditure'!BJ$26-BJ26)</f>
        <v>66.6666666666667</v>
      </c>
      <c r="BL13" s="66" t="n">
        <f aca="false">MIN('Capital Expenditure'!BK$26/'Assumption Setting'!$E$208,'Capital Expenditure'!BK$26-BK26)</f>
        <v>66.6666666666667</v>
      </c>
      <c r="BM13" s="66" t="n">
        <f aca="false">MIN('Capital Expenditure'!BL$26/'Assumption Setting'!$E$208,'Capital Expenditure'!BL$26-BL26)</f>
        <v>66.6666666666667</v>
      </c>
      <c r="BN13" s="66" t="n">
        <f aca="false">MIN('Capital Expenditure'!BM$26/'Assumption Setting'!$E$208,'Capital Expenditure'!BM$26-BM26)</f>
        <v>66.6666666666667</v>
      </c>
    </row>
    <row r="14" customFormat="false" ht="15" hidden="false" customHeight="false" outlineLevel="0" collapsed="false">
      <c r="A14" s="12" t="s">
        <v>501</v>
      </c>
      <c r="B14" s="65" t="n">
        <f aca="false">SUM(C14:N14)</f>
        <v>0</v>
      </c>
      <c r="C14" s="66" t="n">
        <f aca="false">0</f>
        <v>0</v>
      </c>
      <c r="D14" s="66" t="n">
        <f aca="false">MIN('Capital Expenditure'!C$27/'Assumption Setting'!$E$209,'Capital Expenditure'!C$27-C27)</f>
        <v>0</v>
      </c>
      <c r="E14" s="66" t="n">
        <f aca="false">MIN('Capital Expenditure'!D$27/'Assumption Setting'!$E$209,'Capital Expenditure'!D$27-D27)</f>
        <v>0</v>
      </c>
      <c r="F14" s="66" t="n">
        <f aca="false">MIN('Capital Expenditure'!E$27/'Assumption Setting'!$E$209,'Capital Expenditure'!E$27-E27)</f>
        <v>0</v>
      </c>
      <c r="G14" s="66" t="n">
        <f aca="false">MIN('Capital Expenditure'!F$27/'Assumption Setting'!$E$209,'Capital Expenditure'!F$27-F27)</f>
        <v>0</v>
      </c>
      <c r="H14" s="66" t="n">
        <f aca="false">MIN('Capital Expenditure'!G$27/'Assumption Setting'!$E$209,'Capital Expenditure'!G$27-G27)</f>
        <v>0</v>
      </c>
      <c r="I14" s="66" t="n">
        <f aca="false">MIN('Capital Expenditure'!H$27/'Assumption Setting'!$E$209,'Capital Expenditure'!H$27-H27)</f>
        <v>0</v>
      </c>
      <c r="J14" s="66" t="n">
        <f aca="false">MIN('Capital Expenditure'!I$27/'Assumption Setting'!$E$209,'Capital Expenditure'!I$27-I27)</f>
        <v>0</v>
      </c>
      <c r="K14" s="66" t="n">
        <f aca="false">MIN('Capital Expenditure'!J$27/'Assumption Setting'!$E$209,'Capital Expenditure'!J$27-J27)</f>
        <v>0</v>
      </c>
      <c r="L14" s="66" t="n">
        <f aca="false">MIN('Capital Expenditure'!K$27/'Assumption Setting'!$E$209,'Capital Expenditure'!K$27-K27)</f>
        <v>0</v>
      </c>
      <c r="M14" s="66" t="n">
        <f aca="false">MIN('Capital Expenditure'!L$27/'Assumption Setting'!$E$209,'Capital Expenditure'!L$27-L27)</f>
        <v>0</v>
      </c>
      <c r="N14" s="66" t="n">
        <f aca="false">MIN('Capital Expenditure'!M$27/'Assumption Setting'!$E$209,'Capital Expenditure'!M$27-M27)</f>
        <v>0</v>
      </c>
      <c r="O14" s="65" t="n">
        <f aca="false">SUM(P14:AA14)</f>
        <v>0</v>
      </c>
      <c r="P14" s="66" t="n">
        <f aca="false">MIN('Capital Expenditure'!N$27/'Assumption Setting'!$E$209,'Capital Expenditure'!N$27-N27)</f>
        <v>0</v>
      </c>
      <c r="Q14" s="66" t="n">
        <f aca="false">MIN('Capital Expenditure'!P$27/'Assumption Setting'!$E$209,'Capital Expenditure'!P$27-P27)</f>
        <v>0</v>
      </c>
      <c r="R14" s="66" t="n">
        <f aca="false">MIN('Capital Expenditure'!Q$27/'Assumption Setting'!$E$209,'Capital Expenditure'!Q$27-Q27)</f>
        <v>0</v>
      </c>
      <c r="S14" s="66" t="n">
        <f aca="false">MIN('Capital Expenditure'!R$27/'Assumption Setting'!$E$209,'Capital Expenditure'!R$27-R27)</f>
        <v>0</v>
      </c>
      <c r="T14" s="66" t="n">
        <f aca="false">MIN('Capital Expenditure'!S$27/'Assumption Setting'!$E$209,'Capital Expenditure'!S$27-S27)</f>
        <v>0</v>
      </c>
      <c r="U14" s="66" t="n">
        <f aca="false">MIN('Capital Expenditure'!T$27/'Assumption Setting'!$E$209,'Capital Expenditure'!T$27-T27)</f>
        <v>0</v>
      </c>
      <c r="V14" s="66" t="n">
        <f aca="false">MIN('Capital Expenditure'!U$27/'Assumption Setting'!$E$209,'Capital Expenditure'!U$27-U27)</f>
        <v>0</v>
      </c>
      <c r="W14" s="66" t="n">
        <f aca="false">MIN('Capital Expenditure'!V$27/'Assumption Setting'!$E$209,'Capital Expenditure'!V$27-V27)</f>
        <v>0</v>
      </c>
      <c r="X14" s="66" t="n">
        <f aca="false">MIN('Capital Expenditure'!W$27/'Assumption Setting'!$E$209,'Capital Expenditure'!W$27-W27)</f>
        <v>0</v>
      </c>
      <c r="Y14" s="66" t="n">
        <f aca="false">MIN('Capital Expenditure'!X$27/'Assumption Setting'!$E$209,'Capital Expenditure'!X$27-X27)</f>
        <v>0</v>
      </c>
      <c r="Z14" s="66" t="n">
        <f aca="false">MIN('Capital Expenditure'!Y$27/'Assumption Setting'!$E$209,'Capital Expenditure'!Y$27-Y27)</f>
        <v>0</v>
      </c>
      <c r="AA14" s="66" t="n">
        <f aca="false">MIN('Capital Expenditure'!Z$27/'Assumption Setting'!$E$209,'Capital Expenditure'!Z$27-Z27)</f>
        <v>0</v>
      </c>
      <c r="AB14" s="65" t="n">
        <f aca="false">SUM(AC14:AN14)</f>
        <v>1100</v>
      </c>
      <c r="AC14" s="66" t="n">
        <f aca="false">MIN('Capital Expenditure'!AA$27/'Assumption Setting'!$E$209,'Capital Expenditure'!AA$27-AA27)</f>
        <v>0</v>
      </c>
      <c r="AD14" s="66" t="n">
        <f aca="false">MIN('Capital Expenditure'!AC$27/'Assumption Setting'!$E$209,'Capital Expenditure'!AC$27-AC27)</f>
        <v>100</v>
      </c>
      <c r="AE14" s="66" t="n">
        <f aca="false">MIN('Capital Expenditure'!AD$27/'Assumption Setting'!$E$209,'Capital Expenditure'!AD$27-AD27)</f>
        <v>100</v>
      </c>
      <c r="AF14" s="66" t="n">
        <f aca="false">MIN('Capital Expenditure'!AE$27/'Assumption Setting'!$E$209,'Capital Expenditure'!AE$27-AE27)</f>
        <v>100</v>
      </c>
      <c r="AG14" s="66" t="n">
        <f aca="false">MIN('Capital Expenditure'!AF$27/'Assumption Setting'!$E$209,'Capital Expenditure'!AF$27-AF27)</f>
        <v>100</v>
      </c>
      <c r="AH14" s="66" t="n">
        <f aca="false">MIN('Capital Expenditure'!AG$27/'Assumption Setting'!$E$209,'Capital Expenditure'!AG$27-AG27)</f>
        <v>100</v>
      </c>
      <c r="AI14" s="66" t="n">
        <f aca="false">MIN('Capital Expenditure'!AH$27/'Assumption Setting'!$E$209,'Capital Expenditure'!AH$27-AH27)</f>
        <v>100</v>
      </c>
      <c r="AJ14" s="66" t="n">
        <f aca="false">MIN('Capital Expenditure'!AI$27/'Assumption Setting'!$E$209,'Capital Expenditure'!AI$27-AI27)</f>
        <v>100</v>
      </c>
      <c r="AK14" s="66" t="n">
        <f aca="false">MIN('Capital Expenditure'!AJ$27/'Assumption Setting'!$E$209,'Capital Expenditure'!AJ$27-AJ27)</f>
        <v>100</v>
      </c>
      <c r="AL14" s="66" t="n">
        <f aca="false">MIN('Capital Expenditure'!AK$27/'Assumption Setting'!$E$209,'Capital Expenditure'!AK$27-AK27)</f>
        <v>100</v>
      </c>
      <c r="AM14" s="66" t="n">
        <f aca="false">MIN('Capital Expenditure'!AL$27/'Assumption Setting'!$E$209,'Capital Expenditure'!AL$27-AL27)</f>
        <v>100</v>
      </c>
      <c r="AN14" s="66" t="n">
        <f aca="false">MIN('Capital Expenditure'!AM$27/'Assumption Setting'!$E$209,'Capital Expenditure'!AM$27-AM27)</f>
        <v>100</v>
      </c>
      <c r="AO14" s="65" t="n">
        <f aca="false">SUM(AP14:BA14)</f>
        <v>1200</v>
      </c>
      <c r="AP14" s="66" t="n">
        <f aca="false">MIN('Capital Expenditure'!AN$27/'Assumption Setting'!$E$209,'Capital Expenditure'!AN$27-AN27)</f>
        <v>100</v>
      </c>
      <c r="AQ14" s="66" t="n">
        <f aca="false">MIN('Capital Expenditure'!AP$27/'Assumption Setting'!$E$209,'Capital Expenditure'!AP$27-AP27)</f>
        <v>100</v>
      </c>
      <c r="AR14" s="66" t="n">
        <f aca="false">MIN('Capital Expenditure'!AQ$27/'Assumption Setting'!$E$209,'Capital Expenditure'!AQ$27-AQ27)</f>
        <v>100</v>
      </c>
      <c r="AS14" s="66" t="n">
        <f aca="false">MIN('Capital Expenditure'!AR$27/'Assumption Setting'!$E$209,'Capital Expenditure'!AR$27-AR27)</f>
        <v>100</v>
      </c>
      <c r="AT14" s="66" t="n">
        <f aca="false">MIN('Capital Expenditure'!AS$27/'Assumption Setting'!$E$209,'Capital Expenditure'!AS$27-AS27)</f>
        <v>100</v>
      </c>
      <c r="AU14" s="66" t="n">
        <f aca="false">MIN('Capital Expenditure'!AT$27/'Assumption Setting'!$E$209,'Capital Expenditure'!AT$27-AT27)</f>
        <v>100</v>
      </c>
      <c r="AV14" s="66" t="n">
        <f aca="false">MIN('Capital Expenditure'!AU$27/'Assumption Setting'!$E$209,'Capital Expenditure'!AU$27-AU27)</f>
        <v>100</v>
      </c>
      <c r="AW14" s="66" t="n">
        <f aca="false">MIN('Capital Expenditure'!AV$27/'Assumption Setting'!$E$209,'Capital Expenditure'!AV$27-AV27)</f>
        <v>100</v>
      </c>
      <c r="AX14" s="66" t="n">
        <f aca="false">MIN('Capital Expenditure'!AW$27/'Assumption Setting'!$E$209,'Capital Expenditure'!AW$27-AW27)</f>
        <v>100</v>
      </c>
      <c r="AY14" s="66" t="n">
        <f aca="false">MIN('Capital Expenditure'!AX$27/'Assumption Setting'!$E$209,'Capital Expenditure'!AX$27-AX27)</f>
        <v>100</v>
      </c>
      <c r="AZ14" s="66" t="n">
        <f aca="false">MIN('Capital Expenditure'!AY$27/'Assumption Setting'!$E$209,'Capital Expenditure'!AY$27-AY27)</f>
        <v>100</v>
      </c>
      <c r="BA14" s="66" t="n">
        <f aca="false">MIN('Capital Expenditure'!AZ$27/'Assumption Setting'!$E$209,'Capital Expenditure'!AZ$27-AZ27)</f>
        <v>100</v>
      </c>
      <c r="BB14" s="65" t="n">
        <f aca="false">SUM(BC14:BN14)</f>
        <v>1200</v>
      </c>
      <c r="BC14" s="66" t="n">
        <f aca="false">MIN('Capital Expenditure'!BA$27/'Assumption Setting'!$E$209,'Capital Expenditure'!BA$27-BA27)</f>
        <v>100</v>
      </c>
      <c r="BD14" s="66" t="n">
        <f aca="false">MIN('Capital Expenditure'!BC$27/'Assumption Setting'!$E$209,'Capital Expenditure'!BC$27-BC27)</f>
        <v>100</v>
      </c>
      <c r="BE14" s="66" t="n">
        <f aca="false">MIN('Capital Expenditure'!BD$27/'Assumption Setting'!$E$209,'Capital Expenditure'!BD$27-BD27)</f>
        <v>100</v>
      </c>
      <c r="BF14" s="66" t="n">
        <f aca="false">MIN('Capital Expenditure'!BE$27/'Assumption Setting'!$E$209,'Capital Expenditure'!BE$27-BE27)</f>
        <v>100</v>
      </c>
      <c r="BG14" s="66" t="n">
        <f aca="false">MIN('Capital Expenditure'!BF$27/'Assumption Setting'!$E$209,'Capital Expenditure'!BF$27-BF27)</f>
        <v>100</v>
      </c>
      <c r="BH14" s="66" t="n">
        <f aca="false">MIN('Capital Expenditure'!BG$27/'Assumption Setting'!$E$209,'Capital Expenditure'!BG$27-BG27)</f>
        <v>100</v>
      </c>
      <c r="BI14" s="66" t="n">
        <f aca="false">MIN('Capital Expenditure'!BH$27/'Assumption Setting'!$E$209,'Capital Expenditure'!BH$27-BH27)</f>
        <v>100</v>
      </c>
      <c r="BJ14" s="66" t="n">
        <f aca="false">MIN('Capital Expenditure'!BI$27/'Assumption Setting'!$E$209,'Capital Expenditure'!BI$27-BI27)</f>
        <v>100</v>
      </c>
      <c r="BK14" s="66" t="n">
        <f aca="false">MIN('Capital Expenditure'!BJ$27/'Assumption Setting'!$E$209,'Capital Expenditure'!BJ$27-BJ27)</f>
        <v>100</v>
      </c>
      <c r="BL14" s="66" t="n">
        <f aca="false">MIN('Capital Expenditure'!BK$27/'Assumption Setting'!$E$209,'Capital Expenditure'!BK$27-BK27)</f>
        <v>100</v>
      </c>
      <c r="BM14" s="66" t="n">
        <f aca="false">MIN('Capital Expenditure'!BL$27/'Assumption Setting'!$E$209,'Capital Expenditure'!BL$27-BL27)</f>
        <v>100</v>
      </c>
      <c r="BN14" s="66" t="n">
        <f aca="false">MIN('Capital Expenditure'!BM$27/'Assumption Setting'!$E$209,'Capital Expenditure'!BM$27-BM27)</f>
        <v>100</v>
      </c>
    </row>
    <row r="15" customFormat="false" ht="15" hidden="false" customHeight="false" outlineLevel="0" collapsed="false">
      <c r="A15" s="12" t="s">
        <v>502</v>
      </c>
      <c r="B15" s="65" t="n">
        <f aca="false">SUM(C15:N15)</f>
        <v>0</v>
      </c>
      <c r="C15" s="66" t="n">
        <f aca="false">0</f>
        <v>0</v>
      </c>
      <c r="D15" s="66" t="n">
        <f aca="false">MIN('Capital Expenditure'!C$28/'Assumption Setting'!$E$210,'Capital Expenditure'!C$28-C28)</f>
        <v>0</v>
      </c>
      <c r="E15" s="66" t="n">
        <f aca="false">MIN('Capital Expenditure'!D$28/'Assumption Setting'!$E$210,'Capital Expenditure'!D$28-D28)</f>
        <v>0</v>
      </c>
      <c r="F15" s="66" t="n">
        <f aca="false">MIN('Capital Expenditure'!E$28/'Assumption Setting'!$E$210,'Capital Expenditure'!E$28-E28)</f>
        <v>0</v>
      </c>
      <c r="G15" s="66" t="n">
        <f aca="false">MIN('Capital Expenditure'!F$28/'Assumption Setting'!$E$210,'Capital Expenditure'!F$28-F28)</f>
        <v>0</v>
      </c>
      <c r="H15" s="66" t="n">
        <f aca="false">MIN('Capital Expenditure'!G$28/'Assumption Setting'!$E$210,'Capital Expenditure'!G$28-G28)</f>
        <v>0</v>
      </c>
      <c r="I15" s="66" t="n">
        <f aca="false">MIN('Capital Expenditure'!H$28/'Assumption Setting'!$E$210,'Capital Expenditure'!H$28-H28)</f>
        <v>0</v>
      </c>
      <c r="J15" s="66" t="n">
        <f aca="false">MIN('Capital Expenditure'!I$28/'Assumption Setting'!$E$210,'Capital Expenditure'!I$28-I28)</f>
        <v>0</v>
      </c>
      <c r="K15" s="66" t="n">
        <f aca="false">MIN('Capital Expenditure'!J$28/'Assumption Setting'!$E$210,'Capital Expenditure'!J$28-J28)</f>
        <v>0</v>
      </c>
      <c r="L15" s="66" t="n">
        <f aca="false">MIN('Capital Expenditure'!K$28/'Assumption Setting'!$E$210,'Capital Expenditure'!K$28-K28)</f>
        <v>0</v>
      </c>
      <c r="M15" s="66" t="n">
        <f aca="false">MIN('Capital Expenditure'!L$28/'Assumption Setting'!$E$210,'Capital Expenditure'!L$28-L28)</f>
        <v>0</v>
      </c>
      <c r="N15" s="66" t="n">
        <f aca="false">MIN('Capital Expenditure'!M$28/'Assumption Setting'!$E$210,'Capital Expenditure'!M$28-M28)</f>
        <v>0</v>
      </c>
      <c r="O15" s="65" t="n">
        <f aca="false">SUM(P15:AA15)</f>
        <v>0</v>
      </c>
      <c r="P15" s="66" t="n">
        <f aca="false">MIN('Capital Expenditure'!N$28/'Assumption Setting'!$E$210,'Capital Expenditure'!N$28-N28)</f>
        <v>0</v>
      </c>
      <c r="Q15" s="66" t="n">
        <f aca="false">MIN('Capital Expenditure'!P$28/'Assumption Setting'!$E$210,'Capital Expenditure'!P$28-P28)</f>
        <v>0</v>
      </c>
      <c r="R15" s="66" t="n">
        <f aca="false">MIN('Capital Expenditure'!Q$28/'Assumption Setting'!$E$210,'Capital Expenditure'!Q$28-Q28)</f>
        <v>0</v>
      </c>
      <c r="S15" s="66" t="n">
        <f aca="false">MIN('Capital Expenditure'!R$28/'Assumption Setting'!$E$210,'Capital Expenditure'!R$28-R28)</f>
        <v>0</v>
      </c>
      <c r="T15" s="66" t="n">
        <f aca="false">MIN('Capital Expenditure'!S$28/'Assumption Setting'!$E$210,'Capital Expenditure'!S$28-S28)</f>
        <v>0</v>
      </c>
      <c r="U15" s="66" t="n">
        <f aca="false">MIN('Capital Expenditure'!T$28/'Assumption Setting'!$E$210,'Capital Expenditure'!T$28-T28)</f>
        <v>0</v>
      </c>
      <c r="V15" s="66" t="n">
        <f aca="false">MIN('Capital Expenditure'!U$28/'Assumption Setting'!$E$210,'Capital Expenditure'!U$28-U28)</f>
        <v>0</v>
      </c>
      <c r="W15" s="66" t="n">
        <f aca="false">MIN('Capital Expenditure'!V$28/'Assumption Setting'!$E$210,'Capital Expenditure'!V$28-V28)</f>
        <v>0</v>
      </c>
      <c r="X15" s="66" t="n">
        <f aca="false">MIN('Capital Expenditure'!W$28/'Assumption Setting'!$E$210,'Capital Expenditure'!W$28-W28)</f>
        <v>0</v>
      </c>
      <c r="Y15" s="66" t="n">
        <f aca="false">MIN('Capital Expenditure'!X$28/'Assumption Setting'!$E$210,'Capital Expenditure'!X$28-X28)</f>
        <v>0</v>
      </c>
      <c r="Z15" s="66" t="n">
        <f aca="false">MIN('Capital Expenditure'!Y$28/'Assumption Setting'!$E$210,'Capital Expenditure'!Y$28-Y28)</f>
        <v>0</v>
      </c>
      <c r="AA15" s="66" t="n">
        <f aca="false">MIN('Capital Expenditure'!Z$28/'Assumption Setting'!$E$210,'Capital Expenditure'!Z$28-Z28)</f>
        <v>0</v>
      </c>
      <c r="AB15" s="65" t="n">
        <f aca="false">SUM(AC15:AN15)</f>
        <v>1650</v>
      </c>
      <c r="AC15" s="66" t="n">
        <f aca="false">MIN('Capital Expenditure'!AA$28/'Assumption Setting'!$E$210,'Capital Expenditure'!AA$28-AA28)</f>
        <v>0</v>
      </c>
      <c r="AD15" s="66" t="n">
        <f aca="false">MIN('Capital Expenditure'!AC$28/'Assumption Setting'!$E$210,'Capital Expenditure'!AC$28-AC28)</f>
        <v>150</v>
      </c>
      <c r="AE15" s="66" t="n">
        <f aca="false">MIN('Capital Expenditure'!AD$28/'Assumption Setting'!$E$210,'Capital Expenditure'!AD$28-AD28)</f>
        <v>150</v>
      </c>
      <c r="AF15" s="66" t="n">
        <f aca="false">MIN('Capital Expenditure'!AE$28/'Assumption Setting'!$E$210,'Capital Expenditure'!AE$28-AE28)</f>
        <v>150</v>
      </c>
      <c r="AG15" s="66" t="n">
        <f aca="false">MIN('Capital Expenditure'!AF$28/'Assumption Setting'!$E$210,'Capital Expenditure'!AF$28-AF28)</f>
        <v>150</v>
      </c>
      <c r="AH15" s="66" t="n">
        <f aca="false">MIN('Capital Expenditure'!AG$28/'Assumption Setting'!$E$210,'Capital Expenditure'!AG$28-AG28)</f>
        <v>150</v>
      </c>
      <c r="AI15" s="66" t="n">
        <f aca="false">MIN('Capital Expenditure'!AH$28/'Assumption Setting'!$E$210,'Capital Expenditure'!AH$28-AH28)</f>
        <v>150</v>
      </c>
      <c r="AJ15" s="66" t="n">
        <f aca="false">MIN('Capital Expenditure'!AI$28/'Assumption Setting'!$E$210,'Capital Expenditure'!AI$28-AI28)</f>
        <v>150</v>
      </c>
      <c r="AK15" s="66" t="n">
        <f aca="false">MIN('Capital Expenditure'!AJ$28/'Assumption Setting'!$E$210,'Capital Expenditure'!AJ$28-AJ28)</f>
        <v>150</v>
      </c>
      <c r="AL15" s="66" t="n">
        <f aca="false">MIN('Capital Expenditure'!AK$28/'Assumption Setting'!$E$210,'Capital Expenditure'!AK$28-AK28)</f>
        <v>150</v>
      </c>
      <c r="AM15" s="66" t="n">
        <f aca="false">MIN('Capital Expenditure'!AL$28/'Assumption Setting'!$E$210,'Capital Expenditure'!AL$28-AL28)</f>
        <v>150</v>
      </c>
      <c r="AN15" s="66" t="n">
        <f aca="false">MIN('Capital Expenditure'!AM$28/'Assumption Setting'!$E$210,'Capital Expenditure'!AM$28-AM28)</f>
        <v>150</v>
      </c>
      <c r="AO15" s="65" t="n">
        <f aca="false">SUM(AP15:BA15)</f>
        <v>1800</v>
      </c>
      <c r="AP15" s="66" t="n">
        <f aca="false">MIN('Capital Expenditure'!AN$28/'Assumption Setting'!$E$210,'Capital Expenditure'!AN$28-AN28)</f>
        <v>150</v>
      </c>
      <c r="AQ15" s="66" t="n">
        <f aca="false">MIN('Capital Expenditure'!AP$28/'Assumption Setting'!$E$210,'Capital Expenditure'!AP$28-AP28)</f>
        <v>150</v>
      </c>
      <c r="AR15" s="66" t="n">
        <f aca="false">MIN('Capital Expenditure'!AQ$28/'Assumption Setting'!$E$210,'Capital Expenditure'!AQ$28-AQ28)</f>
        <v>150</v>
      </c>
      <c r="AS15" s="66" t="n">
        <f aca="false">MIN('Capital Expenditure'!AR$28/'Assumption Setting'!$E$210,'Capital Expenditure'!AR$28-AR28)</f>
        <v>150</v>
      </c>
      <c r="AT15" s="66" t="n">
        <f aca="false">MIN('Capital Expenditure'!AS$28/'Assumption Setting'!$E$210,'Capital Expenditure'!AS$28-AS28)</f>
        <v>150</v>
      </c>
      <c r="AU15" s="66" t="n">
        <f aca="false">MIN('Capital Expenditure'!AT$28/'Assumption Setting'!$E$210,'Capital Expenditure'!AT$28-AT28)</f>
        <v>150</v>
      </c>
      <c r="AV15" s="66" t="n">
        <f aca="false">MIN('Capital Expenditure'!AU$28/'Assumption Setting'!$E$210,'Capital Expenditure'!AU$28-AU28)</f>
        <v>150</v>
      </c>
      <c r="AW15" s="66" t="n">
        <f aca="false">MIN('Capital Expenditure'!AV$28/'Assumption Setting'!$E$210,'Capital Expenditure'!AV$28-AV28)</f>
        <v>150</v>
      </c>
      <c r="AX15" s="66" t="n">
        <f aca="false">MIN('Capital Expenditure'!AW$28/'Assumption Setting'!$E$210,'Capital Expenditure'!AW$28-AW28)</f>
        <v>150</v>
      </c>
      <c r="AY15" s="66" t="n">
        <f aca="false">MIN('Capital Expenditure'!AX$28/'Assumption Setting'!$E$210,'Capital Expenditure'!AX$28-AX28)</f>
        <v>150</v>
      </c>
      <c r="AZ15" s="66" t="n">
        <f aca="false">MIN('Capital Expenditure'!AY$28/'Assumption Setting'!$E$210,'Capital Expenditure'!AY$28-AY28)</f>
        <v>150</v>
      </c>
      <c r="BA15" s="66" t="n">
        <f aca="false">MIN('Capital Expenditure'!AZ$28/'Assumption Setting'!$E$210,'Capital Expenditure'!AZ$28-AZ28)</f>
        <v>150</v>
      </c>
      <c r="BB15" s="65" t="n">
        <f aca="false">SUM(BC15:BN15)</f>
        <v>1800</v>
      </c>
      <c r="BC15" s="66" t="n">
        <f aca="false">MIN('Capital Expenditure'!BA$28/'Assumption Setting'!$E$210,'Capital Expenditure'!BA$28-BA28)</f>
        <v>150</v>
      </c>
      <c r="BD15" s="66" t="n">
        <f aca="false">MIN('Capital Expenditure'!BC$28/'Assumption Setting'!$E$210,'Capital Expenditure'!BC$28-BC28)</f>
        <v>150</v>
      </c>
      <c r="BE15" s="66" t="n">
        <f aca="false">MIN('Capital Expenditure'!BD$28/'Assumption Setting'!$E$210,'Capital Expenditure'!BD$28-BD28)</f>
        <v>150</v>
      </c>
      <c r="BF15" s="66" t="n">
        <f aca="false">MIN('Capital Expenditure'!BE$28/'Assumption Setting'!$E$210,'Capital Expenditure'!BE$28-BE28)</f>
        <v>150</v>
      </c>
      <c r="BG15" s="66" t="n">
        <f aca="false">MIN('Capital Expenditure'!BF$28/'Assumption Setting'!$E$210,'Capital Expenditure'!BF$28-BF28)</f>
        <v>150</v>
      </c>
      <c r="BH15" s="66" t="n">
        <f aca="false">MIN('Capital Expenditure'!BG$28/'Assumption Setting'!$E$210,'Capital Expenditure'!BG$28-BG28)</f>
        <v>150</v>
      </c>
      <c r="BI15" s="66" t="n">
        <f aca="false">MIN('Capital Expenditure'!BH$28/'Assumption Setting'!$E$210,'Capital Expenditure'!BH$28-BH28)</f>
        <v>150</v>
      </c>
      <c r="BJ15" s="66" t="n">
        <f aca="false">MIN('Capital Expenditure'!BI$28/'Assumption Setting'!$E$210,'Capital Expenditure'!BI$28-BI28)</f>
        <v>150</v>
      </c>
      <c r="BK15" s="66" t="n">
        <f aca="false">MIN('Capital Expenditure'!BJ$28/'Assumption Setting'!$E$210,'Capital Expenditure'!BJ$28-BJ28)</f>
        <v>150</v>
      </c>
      <c r="BL15" s="66" t="n">
        <f aca="false">MIN('Capital Expenditure'!BK$28/'Assumption Setting'!$E$210,'Capital Expenditure'!BK$28-BK28)</f>
        <v>150</v>
      </c>
      <c r="BM15" s="66" t="n">
        <f aca="false">MIN('Capital Expenditure'!BL$28/'Assumption Setting'!$E$210,'Capital Expenditure'!BL$28-BL28)</f>
        <v>150</v>
      </c>
      <c r="BN15" s="66" t="n">
        <f aca="false">MIN('Capital Expenditure'!BM$28/'Assumption Setting'!$E$210,'Capital Expenditure'!BM$28-BM28)</f>
        <v>150</v>
      </c>
    </row>
    <row r="16" customFormat="false" ht="15" hidden="false" customHeight="false" outlineLevel="0" collapsed="false">
      <c r="A16" s="67" t="s">
        <v>793</v>
      </c>
      <c r="B16" s="68" t="n">
        <f aca="false">SUM(C16:N16)</f>
        <v>3387.5</v>
      </c>
      <c r="C16" s="69" t="n">
        <f aca="false">SUM(C7:C15)</f>
        <v>0</v>
      </c>
      <c r="D16" s="69" t="n">
        <f aca="false">SUM(D7:D15)</f>
        <v>241.666666666667</v>
      </c>
      <c r="E16" s="69" t="n">
        <f aca="false">SUM(E7:E15)</f>
        <v>314.583333333333</v>
      </c>
      <c r="F16" s="69" t="n">
        <f aca="false">SUM(F7:F15)</f>
        <v>314.583333333333</v>
      </c>
      <c r="G16" s="69" t="n">
        <f aca="false">SUM(G7:G15)</f>
        <v>314.583333333333</v>
      </c>
      <c r="H16" s="69" t="n">
        <f aca="false">SUM(H7:H15)</f>
        <v>314.583333333333</v>
      </c>
      <c r="I16" s="69" t="n">
        <f aca="false">SUM(I7:I15)</f>
        <v>314.583333333333</v>
      </c>
      <c r="J16" s="69" t="n">
        <f aca="false">SUM(J7:J15)</f>
        <v>314.583333333333</v>
      </c>
      <c r="K16" s="69" t="n">
        <f aca="false">SUM(K7:K15)</f>
        <v>314.583333333333</v>
      </c>
      <c r="L16" s="69" t="n">
        <f aca="false">SUM(L7:L15)</f>
        <v>314.583333333333</v>
      </c>
      <c r="M16" s="69" t="n">
        <f aca="false">SUM(M7:M15)</f>
        <v>314.583333333333</v>
      </c>
      <c r="N16" s="69" t="n">
        <f aca="false">SUM(N7:N15)</f>
        <v>314.583333333333</v>
      </c>
      <c r="O16" s="68" t="n">
        <f aca="false">SUM(P16:AA16)</f>
        <v>5081.25</v>
      </c>
      <c r="P16" s="69" t="n">
        <f aca="false">SUM(P7:P15)</f>
        <v>314.583333333333</v>
      </c>
      <c r="Q16" s="69" t="n">
        <f aca="false">SUM(Q7:Q15)</f>
        <v>433.333333333333</v>
      </c>
      <c r="R16" s="69" t="n">
        <f aca="false">SUM(R7:R15)</f>
        <v>433.333333333333</v>
      </c>
      <c r="S16" s="69" t="n">
        <f aca="false">SUM(S7:S15)</f>
        <v>433.333333333333</v>
      </c>
      <c r="T16" s="69" t="n">
        <f aca="false">SUM(T7:T15)</f>
        <v>433.333333333333</v>
      </c>
      <c r="U16" s="69" t="n">
        <f aca="false">SUM(U7:U15)</f>
        <v>433.333333333333</v>
      </c>
      <c r="V16" s="69" t="n">
        <f aca="false">SUM(V7:V15)</f>
        <v>433.333333333333</v>
      </c>
      <c r="W16" s="69" t="n">
        <f aca="false">SUM(W7:W15)</f>
        <v>433.333333333333</v>
      </c>
      <c r="X16" s="69" t="n">
        <f aca="false">SUM(X7:X15)</f>
        <v>433.333333333333</v>
      </c>
      <c r="Y16" s="69" t="n">
        <f aca="false">SUM(Y7:Y15)</f>
        <v>433.333333333333</v>
      </c>
      <c r="Z16" s="69" t="n">
        <f aca="false">SUM(Z7:Z15)</f>
        <v>433.333333333333</v>
      </c>
      <c r="AA16" s="69" t="n">
        <f aca="false">SUM(AA7:AA15)</f>
        <v>433.333333333333</v>
      </c>
      <c r="AB16" s="68" t="n">
        <f aca="false">SUM(AC16:AN16)</f>
        <v>10127.0833333333</v>
      </c>
      <c r="AC16" s="69" t="n">
        <f aca="false">SUM(AC7:AC15)</f>
        <v>433.333333333333</v>
      </c>
      <c r="AD16" s="69" t="n">
        <f aca="false">SUM(AD7:AD15)</f>
        <v>881.25</v>
      </c>
      <c r="AE16" s="69" t="n">
        <f aca="false">SUM(AE7:AE15)</f>
        <v>881.25</v>
      </c>
      <c r="AF16" s="69" t="n">
        <f aca="false">SUM(AF7:AF15)</f>
        <v>881.25</v>
      </c>
      <c r="AG16" s="69" t="n">
        <f aca="false">SUM(AG7:AG15)</f>
        <v>881.25</v>
      </c>
      <c r="AH16" s="69" t="n">
        <f aca="false">SUM(AH7:AH15)</f>
        <v>881.25</v>
      </c>
      <c r="AI16" s="69" t="n">
        <f aca="false">SUM(AI7:AI15)</f>
        <v>881.25</v>
      </c>
      <c r="AJ16" s="69" t="n">
        <f aca="false">SUM(AJ7:AJ15)</f>
        <v>881.25</v>
      </c>
      <c r="AK16" s="69" t="n">
        <f aca="false">SUM(AK7:AK15)</f>
        <v>881.25</v>
      </c>
      <c r="AL16" s="69" t="n">
        <f aca="false">SUM(AL7:AL15)</f>
        <v>881.25</v>
      </c>
      <c r="AM16" s="69" t="n">
        <f aca="false">SUM(AM7:AM15)</f>
        <v>881.25</v>
      </c>
      <c r="AN16" s="69" t="n">
        <f aca="false">SUM(AN7:AN15)</f>
        <v>881.25</v>
      </c>
      <c r="AO16" s="68" t="n">
        <f aca="false">SUM(AP16:BA16)</f>
        <v>11608.3333333333</v>
      </c>
      <c r="AP16" s="69" t="n">
        <f aca="false">SUM(AP7:AP15)</f>
        <v>881.25</v>
      </c>
      <c r="AQ16" s="69" t="n">
        <f aca="false">SUM(AQ7:AQ15)</f>
        <v>1039.58333333333</v>
      </c>
      <c r="AR16" s="69" t="n">
        <f aca="false">SUM(AR7:AR15)</f>
        <v>1039.58333333333</v>
      </c>
      <c r="AS16" s="69" t="n">
        <f aca="false">SUM(AS7:AS15)</f>
        <v>1039.58333333333</v>
      </c>
      <c r="AT16" s="69" t="n">
        <f aca="false">SUM(AT7:AT15)</f>
        <v>1039.58333333333</v>
      </c>
      <c r="AU16" s="69" t="n">
        <f aca="false">SUM(AU7:AU15)</f>
        <v>1039.58333333333</v>
      </c>
      <c r="AV16" s="69" t="n">
        <f aca="false">SUM(AV7:AV15)</f>
        <v>1039.58333333333</v>
      </c>
      <c r="AW16" s="69" t="n">
        <f aca="false">SUM(AW7:AW15)</f>
        <v>997.916666666668</v>
      </c>
      <c r="AX16" s="69" t="n">
        <f aca="false">SUM(AX7:AX15)</f>
        <v>872.916666666667</v>
      </c>
      <c r="AY16" s="69" t="n">
        <f aca="false">SUM(AY7:AY15)</f>
        <v>872.916666666667</v>
      </c>
      <c r="AZ16" s="69" t="n">
        <f aca="false">SUM(AZ7:AZ15)</f>
        <v>872.916666666667</v>
      </c>
      <c r="BA16" s="69" t="n">
        <f aca="false">SUM(BA7:BA15)</f>
        <v>872.916666666667</v>
      </c>
      <c r="BB16" s="68" t="n">
        <f aca="false">SUM(BC16:BN16)</f>
        <v>11845.8333333333</v>
      </c>
      <c r="BC16" s="69" t="n">
        <f aca="false">SUM(BC7:BC15)</f>
        <v>872.916666666667</v>
      </c>
      <c r="BD16" s="69" t="n">
        <f aca="false">SUM(BD7:BD15)</f>
        <v>1181.25</v>
      </c>
      <c r="BE16" s="69" t="n">
        <f aca="false">SUM(BE7:BE15)</f>
        <v>1108.33333333333</v>
      </c>
      <c r="BF16" s="69" t="n">
        <f aca="false">SUM(BF7:BF15)</f>
        <v>1108.33333333333</v>
      </c>
      <c r="BG16" s="69" t="n">
        <f aca="false">SUM(BG7:BG15)</f>
        <v>1108.33333333333</v>
      </c>
      <c r="BH16" s="69" t="n">
        <f aca="false">SUM(BH7:BH15)</f>
        <v>1066.66666666667</v>
      </c>
      <c r="BI16" s="69" t="n">
        <f aca="false">SUM(BI7:BI15)</f>
        <v>900</v>
      </c>
      <c r="BJ16" s="69" t="n">
        <f aca="false">SUM(BJ7:BJ15)</f>
        <v>900</v>
      </c>
      <c r="BK16" s="69" t="n">
        <f aca="false">SUM(BK7:BK15)</f>
        <v>900</v>
      </c>
      <c r="BL16" s="69" t="n">
        <f aca="false">SUM(BL7:BL15)</f>
        <v>900</v>
      </c>
      <c r="BM16" s="69" t="n">
        <f aca="false">SUM(BM7:BM15)</f>
        <v>900</v>
      </c>
      <c r="BN16" s="69" t="n">
        <f aca="false">SUM(BN7:BN15)</f>
        <v>900</v>
      </c>
    </row>
    <row r="18" customFormat="false" ht="16.5" hidden="false" customHeight="true" outlineLevel="0" collapsed="false">
      <c r="A18" s="15" t="s">
        <v>794</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505</v>
      </c>
      <c r="B19" s="62" t="s">
        <v>80</v>
      </c>
      <c r="C19" s="63" t="s">
        <v>506</v>
      </c>
      <c r="D19" s="63" t="s">
        <v>507</v>
      </c>
      <c r="E19" s="63" t="s">
        <v>508</v>
      </c>
      <c r="F19" s="63" t="s">
        <v>509</v>
      </c>
      <c r="G19" s="63" t="s">
        <v>510</v>
      </c>
      <c r="H19" s="63" t="s">
        <v>511</v>
      </c>
      <c r="I19" s="63" t="s">
        <v>512</v>
      </c>
      <c r="J19" s="63" t="s">
        <v>513</v>
      </c>
      <c r="K19" s="63" t="s">
        <v>514</v>
      </c>
      <c r="L19" s="63" t="s">
        <v>515</v>
      </c>
      <c r="M19" s="63" t="s">
        <v>516</v>
      </c>
      <c r="N19" s="63" t="s">
        <v>517</v>
      </c>
      <c r="O19" s="62" t="s">
        <v>81</v>
      </c>
      <c r="P19" s="64" t="s">
        <v>518</v>
      </c>
      <c r="Q19" s="64" t="s">
        <v>519</v>
      </c>
      <c r="R19" s="64" t="s">
        <v>520</v>
      </c>
      <c r="S19" s="64" t="s">
        <v>521</v>
      </c>
      <c r="T19" s="64" t="s">
        <v>522</v>
      </c>
      <c r="U19" s="64" t="s">
        <v>523</v>
      </c>
      <c r="V19" s="64" t="s">
        <v>524</v>
      </c>
      <c r="W19" s="64" t="s">
        <v>525</v>
      </c>
      <c r="X19" s="64" t="s">
        <v>526</v>
      </c>
      <c r="Y19" s="64" t="s">
        <v>527</v>
      </c>
      <c r="Z19" s="64" t="s">
        <v>528</v>
      </c>
      <c r="AA19" s="64" t="s">
        <v>529</v>
      </c>
      <c r="AB19" s="62" t="s">
        <v>82</v>
      </c>
      <c r="AC19" s="63" t="s">
        <v>530</v>
      </c>
      <c r="AD19" s="63" t="s">
        <v>531</v>
      </c>
      <c r="AE19" s="63" t="s">
        <v>532</v>
      </c>
      <c r="AF19" s="63" t="s">
        <v>533</v>
      </c>
      <c r="AG19" s="63" t="s">
        <v>534</v>
      </c>
      <c r="AH19" s="63" t="s">
        <v>535</v>
      </c>
      <c r="AI19" s="63" t="s">
        <v>536</v>
      </c>
      <c r="AJ19" s="63" t="s">
        <v>537</v>
      </c>
      <c r="AK19" s="63" t="s">
        <v>538</v>
      </c>
      <c r="AL19" s="63" t="s">
        <v>539</v>
      </c>
      <c r="AM19" s="63" t="s">
        <v>540</v>
      </c>
      <c r="AN19" s="63" t="s">
        <v>541</v>
      </c>
      <c r="AO19" s="62" t="s">
        <v>83</v>
      </c>
      <c r="AP19" s="64" t="s">
        <v>542</v>
      </c>
      <c r="AQ19" s="64" t="s">
        <v>543</v>
      </c>
      <c r="AR19" s="64" t="s">
        <v>544</v>
      </c>
      <c r="AS19" s="64" t="s">
        <v>545</v>
      </c>
      <c r="AT19" s="64" t="s">
        <v>546</v>
      </c>
      <c r="AU19" s="64" t="s">
        <v>547</v>
      </c>
      <c r="AV19" s="64" t="s">
        <v>548</v>
      </c>
      <c r="AW19" s="64" t="s">
        <v>549</v>
      </c>
      <c r="AX19" s="64" t="s">
        <v>550</v>
      </c>
      <c r="AY19" s="64" t="s">
        <v>551</v>
      </c>
      <c r="AZ19" s="64" t="s">
        <v>552</v>
      </c>
      <c r="BA19" s="64" t="s">
        <v>553</v>
      </c>
      <c r="BB19" s="62" t="s">
        <v>84</v>
      </c>
      <c r="BC19" s="63" t="s">
        <v>554</v>
      </c>
      <c r="BD19" s="63" t="s">
        <v>555</v>
      </c>
      <c r="BE19" s="63" t="s">
        <v>556</v>
      </c>
      <c r="BF19" s="63" t="s">
        <v>557</v>
      </c>
      <c r="BG19" s="63" t="s">
        <v>558</v>
      </c>
      <c r="BH19" s="63" t="s">
        <v>559</v>
      </c>
      <c r="BI19" s="63" t="s">
        <v>560</v>
      </c>
      <c r="BJ19" s="63" t="s">
        <v>561</v>
      </c>
      <c r="BK19" s="63" t="s">
        <v>562</v>
      </c>
      <c r="BL19" s="63" t="s">
        <v>563</v>
      </c>
      <c r="BM19" s="63" t="s">
        <v>564</v>
      </c>
      <c r="BN19" s="63" t="s">
        <v>565</v>
      </c>
    </row>
    <row r="20" customFormat="false" ht="15" hidden="false" customHeight="false" outlineLevel="0" collapsed="false">
      <c r="A20" s="12" t="s">
        <v>491</v>
      </c>
      <c r="B20" s="65" t="n">
        <f aca="false">N20</f>
        <v>1100</v>
      </c>
      <c r="C20" s="66" t="n">
        <f aca="false">C7</f>
        <v>0</v>
      </c>
      <c r="D20" s="66" t="n">
        <f aca="false">C20+D7</f>
        <v>100</v>
      </c>
      <c r="E20" s="66" t="n">
        <f aca="false">D20+E7</f>
        <v>200</v>
      </c>
      <c r="F20" s="66" t="n">
        <f aca="false">E20+F7</f>
        <v>300</v>
      </c>
      <c r="G20" s="66" t="n">
        <f aca="false">F20+G7</f>
        <v>400</v>
      </c>
      <c r="H20" s="66" t="n">
        <f aca="false">G20+H7</f>
        <v>500</v>
      </c>
      <c r="I20" s="66" t="n">
        <f aca="false">H20+I7</f>
        <v>600</v>
      </c>
      <c r="J20" s="66" t="n">
        <f aca="false">I20+J7</f>
        <v>700</v>
      </c>
      <c r="K20" s="66" t="n">
        <f aca="false">J20+K7</f>
        <v>800</v>
      </c>
      <c r="L20" s="66" t="n">
        <f aca="false">K20+L7</f>
        <v>900</v>
      </c>
      <c r="M20" s="66" t="n">
        <f aca="false">L20+M7</f>
        <v>1000</v>
      </c>
      <c r="N20" s="66" t="n">
        <f aca="false">M20+N7</f>
        <v>1100</v>
      </c>
      <c r="O20" s="65" t="n">
        <f aca="false">AA20</f>
        <v>3125</v>
      </c>
      <c r="P20" s="66" t="n">
        <f aca="false">N20+P7</f>
        <v>1200</v>
      </c>
      <c r="Q20" s="66" t="n">
        <f aca="false">P20+Q7</f>
        <v>1375</v>
      </c>
      <c r="R20" s="66" t="n">
        <f aca="false">Q20+R7</f>
        <v>1550</v>
      </c>
      <c r="S20" s="66" t="n">
        <f aca="false">R20+S7</f>
        <v>1725</v>
      </c>
      <c r="T20" s="66" t="n">
        <f aca="false">S20+T7</f>
        <v>1900</v>
      </c>
      <c r="U20" s="66" t="n">
        <f aca="false">T20+U7</f>
        <v>2075</v>
      </c>
      <c r="V20" s="66" t="n">
        <f aca="false">U20+V7</f>
        <v>2250</v>
      </c>
      <c r="W20" s="66" t="n">
        <f aca="false">V20+W7</f>
        <v>2425</v>
      </c>
      <c r="X20" s="66" t="n">
        <f aca="false">W20+X7</f>
        <v>2600</v>
      </c>
      <c r="Y20" s="66" t="n">
        <f aca="false">X20+Y7</f>
        <v>2775</v>
      </c>
      <c r="Z20" s="66" t="n">
        <f aca="false">Y20+Z7</f>
        <v>2950</v>
      </c>
      <c r="AA20" s="66" t="n">
        <f aca="false">Z20+AA7</f>
        <v>3125</v>
      </c>
      <c r="AB20" s="65" t="n">
        <f aca="false">AN20</f>
        <v>6600</v>
      </c>
      <c r="AC20" s="66" t="n">
        <f aca="false">AA20+AC7</f>
        <v>3300</v>
      </c>
      <c r="AD20" s="66" t="n">
        <f aca="false">AC20+AD7</f>
        <v>3600</v>
      </c>
      <c r="AE20" s="66" t="n">
        <f aca="false">AD20+AE7</f>
        <v>3900</v>
      </c>
      <c r="AF20" s="66" t="n">
        <f aca="false">AE20+AF7</f>
        <v>4200</v>
      </c>
      <c r="AG20" s="66" t="n">
        <f aca="false">AF20+AG7</f>
        <v>4500</v>
      </c>
      <c r="AH20" s="66" t="n">
        <f aca="false">AG20+AH7</f>
        <v>4800</v>
      </c>
      <c r="AI20" s="66" t="n">
        <f aca="false">AH20+AI7</f>
        <v>5100</v>
      </c>
      <c r="AJ20" s="66" t="n">
        <f aca="false">AI20+AJ7</f>
        <v>5400</v>
      </c>
      <c r="AK20" s="66" t="n">
        <f aca="false">AJ20+AK7</f>
        <v>5700</v>
      </c>
      <c r="AL20" s="66" t="n">
        <f aca="false">AK20+AL7</f>
        <v>6000</v>
      </c>
      <c r="AM20" s="66" t="n">
        <f aca="false">AL20+AM7</f>
        <v>6300</v>
      </c>
      <c r="AN20" s="66" t="n">
        <f aca="false">AM20+AN7</f>
        <v>6600</v>
      </c>
      <c r="AO20" s="65" t="n">
        <f aca="false">BA20</f>
        <v>11300</v>
      </c>
      <c r="AP20" s="66" t="n">
        <f aca="false">AN20+AP7</f>
        <v>6900</v>
      </c>
      <c r="AQ20" s="66" t="n">
        <f aca="false">AP20+AQ7</f>
        <v>7300</v>
      </c>
      <c r="AR20" s="66" t="n">
        <f aca="false">AQ20+AR7</f>
        <v>7700</v>
      </c>
      <c r="AS20" s="66" t="n">
        <f aca="false">AR20+AS7</f>
        <v>8100</v>
      </c>
      <c r="AT20" s="66" t="n">
        <f aca="false">AS20+AT7</f>
        <v>8500</v>
      </c>
      <c r="AU20" s="66" t="n">
        <f aca="false">AT20+AU7</f>
        <v>8900</v>
      </c>
      <c r="AV20" s="66" t="n">
        <f aca="false">AU20+AV7</f>
        <v>9300</v>
      </c>
      <c r="AW20" s="66" t="n">
        <f aca="false">AV20+AW7</f>
        <v>9700</v>
      </c>
      <c r="AX20" s="66" t="n">
        <f aca="false">AW20+AX7</f>
        <v>10100</v>
      </c>
      <c r="AY20" s="66" t="n">
        <f aca="false">AX20+AY7</f>
        <v>10500</v>
      </c>
      <c r="AZ20" s="66" t="n">
        <f aca="false">AY20+AZ7</f>
        <v>10900</v>
      </c>
      <c r="BA20" s="66" t="n">
        <f aca="false">AZ20+BA7</f>
        <v>11300</v>
      </c>
      <c r="BB20" s="65" t="n">
        <f aca="false">BN20</f>
        <v>17200</v>
      </c>
      <c r="BC20" s="66" t="n">
        <f aca="false">BA20+BC7</f>
        <v>11700</v>
      </c>
      <c r="BD20" s="66" t="n">
        <f aca="false">BC20+BD7</f>
        <v>12200</v>
      </c>
      <c r="BE20" s="66" t="n">
        <f aca="false">BD20+BE7</f>
        <v>12700</v>
      </c>
      <c r="BF20" s="66" t="n">
        <f aca="false">BE20+BF7</f>
        <v>13200</v>
      </c>
      <c r="BG20" s="66" t="n">
        <f aca="false">BF20+BG7</f>
        <v>13700</v>
      </c>
      <c r="BH20" s="66" t="n">
        <f aca="false">BG20+BH7</f>
        <v>14200</v>
      </c>
      <c r="BI20" s="66" t="n">
        <f aca="false">BH20+BI7</f>
        <v>14700</v>
      </c>
      <c r="BJ20" s="66" t="n">
        <f aca="false">BI20+BJ7</f>
        <v>15200</v>
      </c>
      <c r="BK20" s="66" t="n">
        <f aca="false">BJ20+BK7</f>
        <v>15700</v>
      </c>
      <c r="BL20" s="66" t="n">
        <f aca="false">BK20+BL7</f>
        <v>16200</v>
      </c>
      <c r="BM20" s="66" t="n">
        <f aca="false">BL20+BM7</f>
        <v>16700</v>
      </c>
      <c r="BN20" s="66" t="n">
        <f aca="false">BM20+BN7</f>
        <v>17200</v>
      </c>
    </row>
    <row r="21" customFormat="false" ht="15" hidden="false" customHeight="false" outlineLevel="0" collapsed="false">
      <c r="A21" s="12" t="s">
        <v>492</v>
      </c>
      <c r="B21" s="65" t="n">
        <f aca="false">N21</f>
        <v>183.333333333333</v>
      </c>
      <c r="C21" s="66" t="n">
        <f aca="false">C8</f>
        <v>0</v>
      </c>
      <c r="D21" s="66" t="n">
        <f aca="false">C21+D8</f>
        <v>16.6666666666667</v>
      </c>
      <c r="E21" s="66" t="n">
        <f aca="false">D21+E8</f>
        <v>33.3333333333333</v>
      </c>
      <c r="F21" s="66" t="n">
        <f aca="false">E21+F8</f>
        <v>50</v>
      </c>
      <c r="G21" s="66" t="n">
        <f aca="false">F21+G8</f>
        <v>66.6666666666667</v>
      </c>
      <c r="H21" s="66" t="n">
        <f aca="false">G21+H8</f>
        <v>83.3333333333333</v>
      </c>
      <c r="I21" s="66" t="n">
        <f aca="false">H21+I8</f>
        <v>100</v>
      </c>
      <c r="J21" s="66" t="n">
        <f aca="false">I21+J8</f>
        <v>116.666666666667</v>
      </c>
      <c r="K21" s="66" t="n">
        <f aca="false">J21+K8</f>
        <v>133.333333333333</v>
      </c>
      <c r="L21" s="66" t="n">
        <f aca="false">K21+L8</f>
        <v>150</v>
      </c>
      <c r="M21" s="66" t="n">
        <f aca="false">L21+M8</f>
        <v>166.666666666667</v>
      </c>
      <c r="N21" s="66" t="n">
        <f aca="false">M21+N8</f>
        <v>183.333333333333</v>
      </c>
      <c r="O21" s="65" t="n">
        <f aca="false">AA21</f>
        <v>520.833333333334</v>
      </c>
      <c r="P21" s="66" t="n">
        <f aca="false">N21+P8</f>
        <v>200</v>
      </c>
      <c r="Q21" s="66" t="n">
        <f aca="false">P21+Q8</f>
        <v>229.166666666667</v>
      </c>
      <c r="R21" s="66" t="n">
        <f aca="false">Q21+R8</f>
        <v>258.333333333333</v>
      </c>
      <c r="S21" s="66" t="n">
        <f aca="false">R21+S8</f>
        <v>287.5</v>
      </c>
      <c r="T21" s="66" t="n">
        <f aca="false">S21+T8</f>
        <v>316.666666666667</v>
      </c>
      <c r="U21" s="66" t="n">
        <f aca="false">T21+U8</f>
        <v>345.833333333333</v>
      </c>
      <c r="V21" s="66" t="n">
        <f aca="false">U21+V8</f>
        <v>375</v>
      </c>
      <c r="W21" s="66" t="n">
        <f aca="false">V21+W8</f>
        <v>404.166666666667</v>
      </c>
      <c r="X21" s="66" t="n">
        <f aca="false">W21+X8</f>
        <v>433.333333333333</v>
      </c>
      <c r="Y21" s="66" t="n">
        <f aca="false">X21+Y8</f>
        <v>462.5</v>
      </c>
      <c r="Z21" s="66" t="n">
        <f aca="false">Y21+Z8</f>
        <v>491.666666666667</v>
      </c>
      <c r="AA21" s="66" t="n">
        <f aca="false">Z21+AA8</f>
        <v>520.833333333334</v>
      </c>
      <c r="AB21" s="65" t="n">
        <f aca="false">AN21</f>
        <v>1100</v>
      </c>
      <c r="AC21" s="66" t="n">
        <f aca="false">AA21+AC8</f>
        <v>550</v>
      </c>
      <c r="AD21" s="66" t="n">
        <f aca="false">AC21+AD8</f>
        <v>600</v>
      </c>
      <c r="AE21" s="66" t="n">
        <f aca="false">AD21+AE8</f>
        <v>650</v>
      </c>
      <c r="AF21" s="66" t="n">
        <f aca="false">AE21+AF8</f>
        <v>700</v>
      </c>
      <c r="AG21" s="66" t="n">
        <f aca="false">AF21+AG8</f>
        <v>750</v>
      </c>
      <c r="AH21" s="66" t="n">
        <f aca="false">AG21+AH8</f>
        <v>800</v>
      </c>
      <c r="AI21" s="66" t="n">
        <f aca="false">AH21+AI8</f>
        <v>850</v>
      </c>
      <c r="AJ21" s="66" t="n">
        <f aca="false">AI21+AJ8</f>
        <v>900</v>
      </c>
      <c r="AK21" s="66" t="n">
        <f aca="false">AJ21+AK8</f>
        <v>950</v>
      </c>
      <c r="AL21" s="66" t="n">
        <f aca="false">AK21+AL8</f>
        <v>1000</v>
      </c>
      <c r="AM21" s="66" t="n">
        <f aca="false">AL21+AM8</f>
        <v>1050</v>
      </c>
      <c r="AN21" s="66" t="n">
        <f aca="false">AM21+AN8</f>
        <v>1100</v>
      </c>
      <c r="AO21" s="65" t="n">
        <f aca="false">BA21</f>
        <v>1883.33333333333</v>
      </c>
      <c r="AP21" s="66" t="n">
        <f aca="false">AN21+AP8</f>
        <v>1150</v>
      </c>
      <c r="AQ21" s="66" t="n">
        <f aca="false">AP21+AQ8</f>
        <v>1216.66666666667</v>
      </c>
      <c r="AR21" s="66" t="n">
        <f aca="false">AQ21+AR8</f>
        <v>1283.33333333333</v>
      </c>
      <c r="AS21" s="66" t="n">
        <f aca="false">AR21+AS8</f>
        <v>1350</v>
      </c>
      <c r="AT21" s="66" t="n">
        <f aca="false">AS21+AT8</f>
        <v>1416.66666666667</v>
      </c>
      <c r="AU21" s="66" t="n">
        <f aca="false">AT21+AU8</f>
        <v>1483.33333333333</v>
      </c>
      <c r="AV21" s="66" t="n">
        <f aca="false">AU21+AV8</f>
        <v>1550</v>
      </c>
      <c r="AW21" s="66" t="n">
        <f aca="false">AV21+AW8</f>
        <v>1616.66666666667</v>
      </c>
      <c r="AX21" s="66" t="n">
        <f aca="false">AW21+AX8</f>
        <v>1683.33333333333</v>
      </c>
      <c r="AY21" s="66" t="n">
        <f aca="false">AX21+AY8</f>
        <v>1750</v>
      </c>
      <c r="AZ21" s="66" t="n">
        <f aca="false">AY21+AZ8</f>
        <v>1816.66666666667</v>
      </c>
      <c r="BA21" s="66" t="n">
        <f aca="false">AZ21+BA8</f>
        <v>1883.33333333333</v>
      </c>
      <c r="BB21" s="65" t="n">
        <f aca="false">BN21</f>
        <v>2866.66666666667</v>
      </c>
      <c r="BC21" s="66" t="n">
        <f aca="false">BA21+BC8</f>
        <v>1950</v>
      </c>
      <c r="BD21" s="66" t="n">
        <f aca="false">BC21+BD8</f>
        <v>2033.33333333333</v>
      </c>
      <c r="BE21" s="66" t="n">
        <f aca="false">BD21+BE8</f>
        <v>2116.66666666667</v>
      </c>
      <c r="BF21" s="66" t="n">
        <f aca="false">BE21+BF8</f>
        <v>2200</v>
      </c>
      <c r="BG21" s="66" t="n">
        <f aca="false">BF21+BG8</f>
        <v>2283.33333333333</v>
      </c>
      <c r="BH21" s="66" t="n">
        <f aca="false">BG21+BH8</f>
        <v>2366.66666666667</v>
      </c>
      <c r="BI21" s="66" t="n">
        <f aca="false">BH21+BI8</f>
        <v>2450</v>
      </c>
      <c r="BJ21" s="66" t="n">
        <f aca="false">BI21+BJ8</f>
        <v>2533.33333333334</v>
      </c>
      <c r="BK21" s="66" t="n">
        <f aca="false">BJ21+BK8</f>
        <v>2616.66666666667</v>
      </c>
      <c r="BL21" s="66" t="n">
        <f aca="false">BK21+BL8</f>
        <v>2700</v>
      </c>
      <c r="BM21" s="66" t="n">
        <f aca="false">BL21+BM8</f>
        <v>2783.33333333334</v>
      </c>
      <c r="BN21" s="66" t="n">
        <f aca="false">BM21+BN8</f>
        <v>2866.66666666667</v>
      </c>
    </row>
    <row r="22" customFormat="false" ht="15" hidden="false" customHeight="false" outlineLevel="0" collapsed="false">
      <c r="A22" s="12" t="s">
        <v>493</v>
      </c>
      <c r="B22" s="65" t="n">
        <f aca="false">N22</f>
        <v>458.333333333333</v>
      </c>
      <c r="C22" s="66" t="n">
        <f aca="false">C9</f>
        <v>0</v>
      </c>
      <c r="D22" s="66" t="n">
        <f aca="false">C22+D9</f>
        <v>41.6666666666667</v>
      </c>
      <c r="E22" s="66" t="n">
        <f aca="false">D22+E9</f>
        <v>83.3333333333333</v>
      </c>
      <c r="F22" s="66" t="n">
        <f aca="false">E22+F9</f>
        <v>125</v>
      </c>
      <c r="G22" s="66" t="n">
        <f aca="false">F22+G9</f>
        <v>166.666666666667</v>
      </c>
      <c r="H22" s="66" t="n">
        <f aca="false">G22+H9</f>
        <v>208.333333333333</v>
      </c>
      <c r="I22" s="66" t="n">
        <f aca="false">H22+I9</f>
        <v>250</v>
      </c>
      <c r="J22" s="66" t="n">
        <f aca="false">I22+J9</f>
        <v>291.666666666667</v>
      </c>
      <c r="K22" s="66" t="n">
        <f aca="false">J22+K9</f>
        <v>333.333333333333</v>
      </c>
      <c r="L22" s="66" t="n">
        <f aca="false">K22+L9</f>
        <v>375</v>
      </c>
      <c r="M22" s="66" t="n">
        <f aca="false">L22+M9</f>
        <v>416.666666666667</v>
      </c>
      <c r="N22" s="66" t="n">
        <f aca="false">M22+N9</f>
        <v>458.333333333333</v>
      </c>
      <c r="O22" s="65" t="n">
        <f aca="false">AA22</f>
        <v>1302.08333333333</v>
      </c>
      <c r="P22" s="66" t="n">
        <f aca="false">N22+P9</f>
        <v>500</v>
      </c>
      <c r="Q22" s="66" t="n">
        <f aca="false">P22+Q9</f>
        <v>572.916666666667</v>
      </c>
      <c r="R22" s="66" t="n">
        <f aca="false">Q22+R9</f>
        <v>645.833333333333</v>
      </c>
      <c r="S22" s="66" t="n">
        <f aca="false">R22+S9</f>
        <v>718.75</v>
      </c>
      <c r="T22" s="66" t="n">
        <f aca="false">S22+T9</f>
        <v>791.666666666667</v>
      </c>
      <c r="U22" s="66" t="n">
        <f aca="false">T22+U9</f>
        <v>864.583333333333</v>
      </c>
      <c r="V22" s="66" t="n">
        <f aca="false">U22+V9</f>
        <v>937.5</v>
      </c>
      <c r="W22" s="66" t="n">
        <f aca="false">V22+W9</f>
        <v>1010.41666666667</v>
      </c>
      <c r="X22" s="66" t="n">
        <f aca="false">W22+X9</f>
        <v>1083.33333333333</v>
      </c>
      <c r="Y22" s="66" t="n">
        <f aca="false">X22+Y9</f>
        <v>1156.25</v>
      </c>
      <c r="Z22" s="66" t="n">
        <f aca="false">Y22+Z9</f>
        <v>1229.16666666667</v>
      </c>
      <c r="AA22" s="66" t="n">
        <f aca="false">Z22+AA9</f>
        <v>1302.08333333333</v>
      </c>
      <c r="AB22" s="65" t="n">
        <f aca="false">AN22</f>
        <v>2750</v>
      </c>
      <c r="AC22" s="66" t="n">
        <f aca="false">AA22+AC9</f>
        <v>1375</v>
      </c>
      <c r="AD22" s="66" t="n">
        <f aca="false">AC22+AD9</f>
        <v>1500</v>
      </c>
      <c r="AE22" s="66" t="n">
        <f aca="false">AD22+AE9</f>
        <v>1625</v>
      </c>
      <c r="AF22" s="66" t="n">
        <f aca="false">AE22+AF9</f>
        <v>1750</v>
      </c>
      <c r="AG22" s="66" t="n">
        <f aca="false">AF22+AG9</f>
        <v>1875</v>
      </c>
      <c r="AH22" s="66" t="n">
        <f aca="false">AG22+AH9</f>
        <v>2000</v>
      </c>
      <c r="AI22" s="66" t="n">
        <f aca="false">AH22+AI9</f>
        <v>2125</v>
      </c>
      <c r="AJ22" s="66" t="n">
        <f aca="false">AI22+AJ9</f>
        <v>2250</v>
      </c>
      <c r="AK22" s="66" t="n">
        <f aca="false">AJ22+AK9</f>
        <v>2375</v>
      </c>
      <c r="AL22" s="66" t="n">
        <f aca="false">AK22+AL9</f>
        <v>2500</v>
      </c>
      <c r="AM22" s="66" t="n">
        <f aca="false">AL22+AM9</f>
        <v>2625</v>
      </c>
      <c r="AN22" s="66" t="n">
        <f aca="false">AM22+AN9</f>
        <v>2750</v>
      </c>
      <c r="AO22" s="65" t="n">
        <f aca="false">BA22</f>
        <v>4000</v>
      </c>
      <c r="AP22" s="66" t="n">
        <f aca="false">AN22+AP9</f>
        <v>2875</v>
      </c>
      <c r="AQ22" s="66" t="n">
        <f aca="false">AP22+AQ9</f>
        <v>3041.66666666667</v>
      </c>
      <c r="AR22" s="66" t="n">
        <f aca="false">AQ22+AR9</f>
        <v>3208.33333333333</v>
      </c>
      <c r="AS22" s="66" t="n">
        <f aca="false">AR22+AS9</f>
        <v>3375</v>
      </c>
      <c r="AT22" s="66" t="n">
        <f aca="false">AS22+AT9</f>
        <v>3541.66666666667</v>
      </c>
      <c r="AU22" s="66" t="n">
        <f aca="false">AT22+AU9</f>
        <v>3708.33333333333</v>
      </c>
      <c r="AV22" s="66" t="n">
        <f aca="false">AU22+AV9</f>
        <v>3875</v>
      </c>
      <c r="AW22" s="66" t="n">
        <f aca="false">AV22+AW9</f>
        <v>4000</v>
      </c>
      <c r="AX22" s="66" t="n">
        <f aca="false">AW22+AX9</f>
        <v>4000</v>
      </c>
      <c r="AY22" s="66" t="n">
        <f aca="false">AX22+AY9</f>
        <v>4000</v>
      </c>
      <c r="AZ22" s="66" t="n">
        <f aca="false">AY22+AZ9</f>
        <v>4000</v>
      </c>
      <c r="BA22" s="66" t="n">
        <f aca="false">AZ22+BA9</f>
        <v>4000</v>
      </c>
      <c r="BB22" s="65" t="n">
        <f aca="false">BN22</f>
        <v>5000</v>
      </c>
      <c r="BC22" s="66" t="n">
        <f aca="false">BA22+BC9</f>
        <v>4000</v>
      </c>
      <c r="BD22" s="66" t="n">
        <f aca="false">BC22+BD9</f>
        <v>4208.33333333333</v>
      </c>
      <c r="BE22" s="66" t="n">
        <f aca="false">BD22+BE9</f>
        <v>4416.66666666667</v>
      </c>
      <c r="BF22" s="66" t="n">
        <f aca="false">BE22+BF9</f>
        <v>4625</v>
      </c>
      <c r="BG22" s="66" t="n">
        <f aca="false">BF22+BG9</f>
        <v>4833.33333333333</v>
      </c>
      <c r="BH22" s="66" t="n">
        <f aca="false">BG22+BH9</f>
        <v>5000</v>
      </c>
      <c r="BI22" s="66" t="n">
        <f aca="false">BH22+BI9</f>
        <v>5000</v>
      </c>
      <c r="BJ22" s="66" t="n">
        <f aca="false">BI22+BJ9</f>
        <v>5000</v>
      </c>
      <c r="BK22" s="66" t="n">
        <f aca="false">BJ22+BK9</f>
        <v>5000</v>
      </c>
      <c r="BL22" s="66" t="n">
        <f aca="false">BK22+BL9</f>
        <v>5000</v>
      </c>
      <c r="BM22" s="66" t="n">
        <f aca="false">BL22+BM9</f>
        <v>5000</v>
      </c>
      <c r="BN22" s="66" t="n">
        <f aca="false">BM22+BN9</f>
        <v>5000</v>
      </c>
    </row>
    <row r="23" customFormat="false" ht="15" hidden="false" customHeight="false" outlineLevel="0" collapsed="false">
      <c r="A23" s="12" t="s">
        <v>494</v>
      </c>
      <c r="B23" s="65" t="n">
        <f aca="false">N23</f>
        <v>0</v>
      </c>
      <c r="C23" s="66" t="n">
        <f aca="false">C10</f>
        <v>0</v>
      </c>
      <c r="D23" s="66" t="n">
        <f aca="false">C23+D10</f>
        <v>0</v>
      </c>
      <c r="E23" s="66" t="n">
        <f aca="false">D23+E10</f>
        <v>0</v>
      </c>
      <c r="F23" s="66" t="n">
        <f aca="false">E23+F10</f>
        <v>0</v>
      </c>
      <c r="G23" s="66" t="n">
        <f aca="false">F23+G10</f>
        <v>0</v>
      </c>
      <c r="H23" s="66" t="n">
        <f aca="false">G23+H10</f>
        <v>0</v>
      </c>
      <c r="I23" s="66" t="n">
        <f aca="false">H23+I10</f>
        <v>0</v>
      </c>
      <c r="J23" s="66" t="n">
        <f aca="false">I23+J10</f>
        <v>0</v>
      </c>
      <c r="K23" s="66" t="n">
        <f aca="false">J23+K10</f>
        <v>0</v>
      </c>
      <c r="L23" s="66" t="n">
        <f aca="false">K23+L10</f>
        <v>0</v>
      </c>
      <c r="M23" s="66" t="n">
        <f aca="false">L23+M10</f>
        <v>0</v>
      </c>
      <c r="N23" s="66" t="n">
        <f aca="false">M23+N10</f>
        <v>0</v>
      </c>
      <c r="O23" s="65" t="n">
        <f aca="false">AA23</f>
        <v>0</v>
      </c>
      <c r="P23" s="66" t="n">
        <f aca="false">N23+P10</f>
        <v>0</v>
      </c>
      <c r="Q23" s="66" t="n">
        <f aca="false">P23+Q10</f>
        <v>0</v>
      </c>
      <c r="R23" s="66" t="n">
        <f aca="false">Q23+R10</f>
        <v>0</v>
      </c>
      <c r="S23" s="66" t="n">
        <f aca="false">R23+S10</f>
        <v>0</v>
      </c>
      <c r="T23" s="66" t="n">
        <f aca="false">S23+T10</f>
        <v>0</v>
      </c>
      <c r="U23" s="66" t="n">
        <f aca="false">T23+U10</f>
        <v>0</v>
      </c>
      <c r="V23" s="66" t="n">
        <f aca="false">U23+V10</f>
        <v>0</v>
      </c>
      <c r="W23" s="66" t="n">
        <f aca="false">V23+W10</f>
        <v>0</v>
      </c>
      <c r="X23" s="66" t="n">
        <f aca="false">W23+X10</f>
        <v>0</v>
      </c>
      <c r="Y23" s="66" t="n">
        <f aca="false">X23+Y10</f>
        <v>0</v>
      </c>
      <c r="Z23" s="66" t="n">
        <f aca="false">Y23+Z10</f>
        <v>0</v>
      </c>
      <c r="AA23" s="66" t="n">
        <f aca="false">Z23+AA10</f>
        <v>0</v>
      </c>
      <c r="AB23" s="65" t="n">
        <f aca="false">AN23</f>
        <v>0</v>
      </c>
      <c r="AC23" s="66" t="n">
        <f aca="false">AA23+AC10</f>
        <v>0</v>
      </c>
      <c r="AD23" s="66" t="n">
        <f aca="false">AC23+AD10</f>
        <v>0</v>
      </c>
      <c r="AE23" s="66" t="n">
        <f aca="false">AD23+AE10</f>
        <v>0</v>
      </c>
      <c r="AF23" s="66" t="n">
        <f aca="false">AE23+AF10</f>
        <v>0</v>
      </c>
      <c r="AG23" s="66" t="n">
        <f aca="false">AF23+AG10</f>
        <v>0</v>
      </c>
      <c r="AH23" s="66" t="n">
        <f aca="false">AG23+AH10</f>
        <v>0</v>
      </c>
      <c r="AI23" s="66" t="n">
        <f aca="false">AH23+AI10</f>
        <v>0</v>
      </c>
      <c r="AJ23" s="66" t="n">
        <f aca="false">AI23+AJ10</f>
        <v>0</v>
      </c>
      <c r="AK23" s="66" t="n">
        <f aca="false">AJ23+AK10</f>
        <v>0</v>
      </c>
      <c r="AL23" s="66" t="n">
        <f aca="false">AK23+AL10</f>
        <v>0</v>
      </c>
      <c r="AM23" s="66" t="n">
        <f aca="false">AL23+AM10</f>
        <v>0</v>
      </c>
      <c r="AN23" s="66" t="n">
        <f aca="false">AM23+AN10</f>
        <v>0</v>
      </c>
      <c r="AO23" s="65" t="n">
        <f aca="false">BA23</f>
        <v>0</v>
      </c>
      <c r="AP23" s="66" t="n">
        <f aca="false">AN23+AP10</f>
        <v>0</v>
      </c>
      <c r="AQ23" s="66" t="n">
        <f aca="false">AP23+AQ10</f>
        <v>0</v>
      </c>
      <c r="AR23" s="66" t="n">
        <f aca="false">AQ23+AR10</f>
        <v>0</v>
      </c>
      <c r="AS23" s="66" t="n">
        <f aca="false">AR23+AS10</f>
        <v>0</v>
      </c>
      <c r="AT23" s="66" t="n">
        <f aca="false">AS23+AT10</f>
        <v>0</v>
      </c>
      <c r="AU23" s="66" t="n">
        <f aca="false">AT23+AU10</f>
        <v>0</v>
      </c>
      <c r="AV23" s="66" t="n">
        <f aca="false">AU23+AV10</f>
        <v>0</v>
      </c>
      <c r="AW23" s="66" t="n">
        <f aca="false">AV23+AW10</f>
        <v>0</v>
      </c>
      <c r="AX23" s="66" t="n">
        <f aca="false">AW23+AX10</f>
        <v>0</v>
      </c>
      <c r="AY23" s="66" t="n">
        <f aca="false">AX23+AY10</f>
        <v>0</v>
      </c>
      <c r="AZ23" s="66" t="n">
        <f aca="false">AY23+AZ10</f>
        <v>0</v>
      </c>
      <c r="BA23" s="66" t="n">
        <f aca="false">AZ23+BA10</f>
        <v>0</v>
      </c>
      <c r="BB23" s="65" t="n">
        <f aca="false">BN23</f>
        <v>0</v>
      </c>
      <c r="BC23" s="66" t="n">
        <f aca="false">BA23+BC10</f>
        <v>0</v>
      </c>
      <c r="BD23" s="66" t="n">
        <f aca="false">BC23+BD10</f>
        <v>0</v>
      </c>
      <c r="BE23" s="66" t="n">
        <f aca="false">BD23+BE10</f>
        <v>0</v>
      </c>
      <c r="BF23" s="66" t="n">
        <f aca="false">BE23+BF10</f>
        <v>0</v>
      </c>
      <c r="BG23" s="66" t="n">
        <f aca="false">BF23+BG10</f>
        <v>0</v>
      </c>
      <c r="BH23" s="66" t="n">
        <f aca="false">BG23+BH10</f>
        <v>0</v>
      </c>
      <c r="BI23" s="66" t="n">
        <f aca="false">BH23+BI10</f>
        <v>0</v>
      </c>
      <c r="BJ23" s="66" t="n">
        <f aca="false">BI23+BJ10</f>
        <v>0</v>
      </c>
      <c r="BK23" s="66" t="n">
        <f aca="false">BJ23+BK10</f>
        <v>0</v>
      </c>
      <c r="BL23" s="66" t="n">
        <f aca="false">BK23+BL10</f>
        <v>0</v>
      </c>
      <c r="BM23" s="66" t="n">
        <f aca="false">BL23+BM10</f>
        <v>0</v>
      </c>
      <c r="BN23" s="66" t="n">
        <f aca="false">BM23+BN10</f>
        <v>0</v>
      </c>
    </row>
    <row r="24" customFormat="false" ht="15" hidden="false" customHeight="false" outlineLevel="0" collapsed="false">
      <c r="A24" s="12" t="s">
        <v>498</v>
      </c>
      <c r="B24" s="65" t="n">
        <f aca="false">N24</f>
        <v>729.166666666667</v>
      </c>
      <c r="C24" s="66" t="n">
        <f aca="false">C11</f>
        <v>0</v>
      </c>
      <c r="D24" s="66" t="n">
        <f aca="false">C24+D11</f>
        <v>0</v>
      </c>
      <c r="E24" s="66" t="n">
        <f aca="false">D24+E11</f>
        <v>72.9166666666667</v>
      </c>
      <c r="F24" s="66" t="n">
        <f aca="false">E24+F11</f>
        <v>145.833333333333</v>
      </c>
      <c r="G24" s="66" t="n">
        <f aca="false">F24+G11</f>
        <v>218.75</v>
      </c>
      <c r="H24" s="66" t="n">
        <f aca="false">G24+H11</f>
        <v>291.666666666667</v>
      </c>
      <c r="I24" s="66" t="n">
        <f aca="false">H24+I11</f>
        <v>364.583333333333</v>
      </c>
      <c r="J24" s="66" t="n">
        <f aca="false">I24+J11</f>
        <v>437.5</v>
      </c>
      <c r="K24" s="66" t="n">
        <f aca="false">J24+K11</f>
        <v>510.416666666667</v>
      </c>
      <c r="L24" s="66" t="n">
        <f aca="false">K24+L11</f>
        <v>583.333333333333</v>
      </c>
      <c r="M24" s="66" t="n">
        <f aca="false">L24+M11</f>
        <v>656.25</v>
      </c>
      <c r="N24" s="66" t="n">
        <f aca="false">M24+N11</f>
        <v>729.166666666667</v>
      </c>
      <c r="O24" s="65" t="n">
        <f aca="false">AA24</f>
        <v>1604.16666666667</v>
      </c>
      <c r="P24" s="66" t="n">
        <f aca="false">N24+P11</f>
        <v>802.083333333333</v>
      </c>
      <c r="Q24" s="66" t="n">
        <f aca="false">P24+Q11</f>
        <v>875</v>
      </c>
      <c r="R24" s="66" t="n">
        <f aca="false">Q24+R11</f>
        <v>947.916666666667</v>
      </c>
      <c r="S24" s="66" t="n">
        <f aca="false">R24+S11</f>
        <v>1020.83333333333</v>
      </c>
      <c r="T24" s="66" t="n">
        <f aca="false">S24+T11</f>
        <v>1093.75</v>
      </c>
      <c r="U24" s="66" t="n">
        <f aca="false">T24+U11</f>
        <v>1166.66666666667</v>
      </c>
      <c r="V24" s="66" t="n">
        <f aca="false">U24+V11</f>
        <v>1239.58333333333</v>
      </c>
      <c r="W24" s="66" t="n">
        <f aca="false">V24+W11</f>
        <v>1312.5</v>
      </c>
      <c r="X24" s="66" t="n">
        <f aca="false">W24+X11</f>
        <v>1385.41666666667</v>
      </c>
      <c r="Y24" s="66" t="n">
        <f aca="false">X24+Y11</f>
        <v>1458.33333333333</v>
      </c>
      <c r="Z24" s="66" t="n">
        <f aca="false">Y24+Z11</f>
        <v>1531.25</v>
      </c>
      <c r="AA24" s="66" t="n">
        <f aca="false">Z24+AA11</f>
        <v>1604.16666666667</v>
      </c>
      <c r="AB24" s="65" t="n">
        <f aca="false">AN24</f>
        <v>2479.16666666667</v>
      </c>
      <c r="AC24" s="66" t="n">
        <f aca="false">AA24+AC11</f>
        <v>1677.08333333333</v>
      </c>
      <c r="AD24" s="66" t="n">
        <f aca="false">AC24+AD11</f>
        <v>1750</v>
      </c>
      <c r="AE24" s="66" t="n">
        <f aca="false">AD24+AE11</f>
        <v>1822.91666666667</v>
      </c>
      <c r="AF24" s="66" t="n">
        <f aca="false">AE24+AF11</f>
        <v>1895.83333333333</v>
      </c>
      <c r="AG24" s="66" t="n">
        <f aca="false">AF24+AG11</f>
        <v>1968.75</v>
      </c>
      <c r="AH24" s="66" t="n">
        <f aca="false">AG24+AH11</f>
        <v>2041.66666666667</v>
      </c>
      <c r="AI24" s="66" t="n">
        <f aca="false">AH24+AI11</f>
        <v>2114.58333333333</v>
      </c>
      <c r="AJ24" s="66" t="n">
        <f aca="false">AI24+AJ11</f>
        <v>2187.5</v>
      </c>
      <c r="AK24" s="66" t="n">
        <f aca="false">AJ24+AK11</f>
        <v>2260.41666666667</v>
      </c>
      <c r="AL24" s="66" t="n">
        <f aca="false">AK24+AL11</f>
        <v>2333.33333333333</v>
      </c>
      <c r="AM24" s="66" t="n">
        <f aca="false">AL24+AM11</f>
        <v>2406.25</v>
      </c>
      <c r="AN24" s="66" t="n">
        <f aca="false">AM24+AN11</f>
        <v>2479.16666666667</v>
      </c>
      <c r="AO24" s="65" t="n">
        <f aca="false">BA24</f>
        <v>3354.16666666666</v>
      </c>
      <c r="AP24" s="66" t="n">
        <f aca="false">AN24+AP11</f>
        <v>2552.08333333333</v>
      </c>
      <c r="AQ24" s="66" t="n">
        <f aca="false">AP24+AQ11</f>
        <v>2625</v>
      </c>
      <c r="AR24" s="66" t="n">
        <f aca="false">AQ24+AR11</f>
        <v>2697.91666666667</v>
      </c>
      <c r="AS24" s="66" t="n">
        <f aca="false">AR24+AS11</f>
        <v>2770.83333333333</v>
      </c>
      <c r="AT24" s="66" t="n">
        <f aca="false">AS24+AT11</f>
        <v>2843.75</v>
      </c>
      <c r="AU24" s="66" t="n">
        <f aca="false">AT24+AU11</f>
        <v>2916.66666666667</v>
      </c>
      <c r="AV24" s="66" t="n">
        <f aca="false">AU24+AV11</f>
        <v>2989.58333333333</v>
      </c>
      <c r="AW24" s="66" t="n">
        <f aca="false">AV24+AW11</f>
        <v>3062.5</v>
      </c>
      <c r="AX24" s="66" t="n">
        <f aca="false">AW24+AX11</f>
        <v>3135.41666666667</v>
      </c>
      <c r="AY24" s="66" t="n">
        <f aca="false">AX24+AY11</f>
        <v>3208.33333333333</v>
      </c>
      <c r="AZ24" s="66" t="n">
        <f aca="false">AY24+AZ11</f>
        <v>3281.25</v>
      </c>
      <c r="BA24" s="66" t="n">
        <f aca="false">AZ24+BA11</f>
        <v>3354.16666666666</v>
      </c>
      <c r="BB24" s="65" t="n">
        <f aca="false">BN24</f>
        <v>3500</v>
      </c>
      <c r="BC24" s="66" t="n">
        <f aca="false">BA24+BC11</f>
        <v>3427.08333333333</v>
      </c>
      <c r="BD24" s="66" t="n">
        <f aca="false">BC24+BD11</f>
        <v>3500</v>
      </c>
      <c r="BE24" s="66" t="n">
        <f aca="false">BD24+BE11</f>
        <v>3500</v>
      </c>
      <c r="BF24" s="66" t="n">
        <f aca="false">BE24+BF11</f>
        <v>3500</v>
      </c>
      <c r="BG24" s="66" t="n">
        <f aca="false">BF24+BG11</f>
        <v>3500</v>
      </c>
      <c r="BH24" s="66" t="n">
        <f aca="false">BG24+BH11</f>
        <v>3500</v>
      </c>
      <c r="BI24" s="66" t="n">
        <f aca="false">BH24+BI11</f>
        <v>3500</v>
      </c>
      <c r="BJ24" s="66" t="n">
        <f aca="false">BI24+BJ11</f>
        <v>3500</v>
      </c>
      <c r="BK24" s="66" t="n">
        <f aca="false">BJ24+BK11</f>
        <v>3500</v>
      </c>
      <c r="BL24" s="66" t="n">
        <f aca="false">BK24+BL11</f>
        <v>3500</v>
      </c>
      <c r="BM24" s="66" t="n">
        <f aca="false">BL24+BM11</f>
        <v>3500</v>
      </c>
      <c r="BN24" s="66" t="n">
        <f aca="false">BM24+BN11</f>
        <v>3500</v>
      </c>
    </row>
    <row r="25" customFormat="false" ht="15" hidden="false" customHeight="false" outlineLevel="0" collapsed="false">
      <c r="A25" s="12" t="s">
        <v>499</v>
      </c>
      <c r="B25" s="65" t="n">
        <f aca="false">N25</f>
        <v>183.333333333333</v>
      </c>
      <c r="C25" s="66" t="n">
        <f aca="false">C12</f>
        <v>0</v>
      </c>
      <c r="D25" s="66" t="n">
        <f aca="false">C25+D12</f>
        <v>16.6666666666667</v>
      </c>
      <c r="E25" s="66" t="n">
        <f aca="false">D25+E12</f>
        <v>33.3333333333333</v>
      </c>
      <c r="F25" s="66" t="n">
        <f aca="false">E25+F12</f>
        <v>50</v>
      </c>
      <c r="G25" s="66" t="n">
        <f aca="false">F25+G12</f>
        <v>66.6666666666667</v>
      </c>
      <c r="H25" s="66" t="n">
        <f aca="false">G25+H12</f>
        <v>83.3333333333333</v>
      </c>
      <c r="I25" s="66" t="n">
        <f aca="false">H25+I12</f>
        <v>100</v>
      </c>
      <c r="J25" s="66" t="n">
        <f aca="false">I25+J12</f>
        <v>116.666666666667</v>
      </c>
      <c r="K25" s="66" t="n">
        <f aca="false">J25+K12</f>
        <v>133.333333333333</v>
      </c>
      <c r="L25" s="66" t="n">
        <f aca="false">K25+L12</f>
        <v>150</v>
      </c>
      <c r="M25" s="66" t="n">
        <f aca="false">L25+M12</f>
        <v>166.666666666667</v>
      </c>
      <c r="N25" s="66" t="n">
        <f aca="false">M25+N12</f>
        <v>183.333333333333</v>
      </c>
      <c r="O25" s="65" t="n">
        <f aca="false">AA25</f>
        <v>383.333333333333</v>
      </c>
      <c r="P25" s="66" t="n">
        <f aca="false">N25+P12</f>
        <v>200</v>
      </c>
      <c r="Q25" s="66" t="n">
        <f aca="false">P25+Q12</f>
        <v>216.666666666667</v>
      </c>
      <c r="R25" s="66" t="n">
        <f aca="false">Q25+R12</f>
        <v>233.333333333333</v>
      </c>
      <c r="S25" s="66" t="n">
        <f aca="false">R25+S12</f>
        <v>250</v>
      </c>
      <c r="T25" s="66" t="n">
        <f aca="false">S25+T12</f>
        <v>266.666666666667</v>
      </c>
      <c r="U25" s="66" t="n">
        <f aca="false">T25+U12</f>
        <v>283.333333333333</v>
      </c>
      <c r="V25" s="66" t="n">
        <f aca="false">U25+V12</f>
        <v>300</v>
      </c>
      <c r="W25" s="66" t="n">
        <f aca="false">V25+W12</f>
        <v>316.666666666667</v>
      </c>
      <c r="X25" s="66" t="n">
        <f aca="false">W25+X12</f>
        <v>333.333333333333</v>
      </c>
      <c r="Y25" s="66" t="n">
        <f aca="false">X25+Y12</f>
        <v>350</v>
      </c>
      <c r="Z25" s="66" t="n">
        <f aca="false">Y25+Z12</f>
        <v>366.666666666667</v>
      </c>
      <c r="AA25" s="66" t="n">
        <f aca="false">Z25+AA12</f>
        <v>383.333333333333</v>
      </c>
      <c r="AB25" s="65" t="n">
        <f aca="false">AN25</f>
        <v>583.333333333333</v>
      </c>
      <c r="AC25" s="66" t="n">
        <f aca="false">AA25+AC12</f>
        <v>400</v>
      </c>
      <c r="AD25" s="66" t="n">
        <f aca="false">AC25+AD12</f>
        <v>416.666666666667</v>
      </c>
      <c r="AE25" s="66" t="n">
        <f aca="false">AD25+AE12</f>
        <v>433.333333333334</v>
      </c>
      <c r="AF25" s="66" t="n">
        <f aca="false">AE25+AF12</f>
        <v>450</v>
      </c>
      <c r="AG25" s="66" t="n">
        <f aca="false">AF25+AG12</f>
        <v>466.666666666667</v>
      </c>
      <c r="AH25" s="66" t="n">
        <f aca="false">AG25+AH12</f>
        <v>483.333333333334</v>
      </c>
      <c r="AI25" s="66" t="n">
        <f aca="false">AH25+AI12</f>
        <v>500</v>
      </c>
      <c r="AJ25" s="66" t="n">
        <f aca="false">AI25+AJ12</f>
        <v>516.666666666667</v>
      </c>
      <c r="AK25" s="66" t="n">
        <f aca="false">AJ25+AK12</f>
        <v>533.333333333334</v>
      </c>
      <c r="AL25" s="66" t="n">
        <f aca="false">AK25+AL12</f>
        <v>550</v>
      </c>
      <c r="AM25" s="66" t="n">
        <f aca="false">AL25+AM12</f>
        <v>566.666666666667</v>
      </c>
      <c r="AN25" s="66" t="n">
        <f aca="false">AM25+AN12</f>
        <v>583.333333333333</v>
      </c>
      <c r="AO25" s="65" t="n">
        <f aca="false">BA25</f>
        <v>783.333333333333</v>
      </c>
      <c r="AP25" s="66" t="n">
        <f aca="false">AN25+AP12</f>
        <v>600</v>
      </c>
      <c r="AQ25" s="66" t="n">
        <f aca="false">AP25+AQ12</f>
        <v>616.666666666667</v>
      </c>
      <c r="AR25" s="66" t="n">
        <f aca="false">AQ25+AR12</f>
        <v>633.333333333333</v>
      </c>
      <c r="AS25" s="66" t="n">
        <f aca="false">AR25+AS12</f>
        <v>650</v>
      </c>
      <c r="AT25" s="66" t="n">
        <f aca="false">AS25+AT12</f>
        <v>666.666666666667</v>
      </c>
      <c r="AU25" s="66" t="n">
        <f aca="false">AT25+AU12</f>
        <v>683.333333333333</v>
      </c>
      <c r="AV25" s="66" t="n">
        <f aca="false">AU25+AV12</f>
        <v>700</v>
      </c>
      <c r="AW25" s="66" t="n">
        <f aca="false">AV25+AW12</f>
        <v>716.666666666666</v>
      </c>
      <c r="AX25" s="66" t="n">
        <f aca="false">AW25+AX12</f>
        <v>733.333333333333</v>
      </c>
      <c r="AY25" s="66" t="n">
        <f aca="false">AX25+AY12</f>
        <v>750</v>
      </c>
      <c r="AZ25" s="66" t="n">
        <f aca="false">AY25+AZ12</f>
        <v>766.666666666666</v>
      </c>
      <c r="BA25" s="66" t="n">
        <f aca="false">AZ25+BA12</f>
        <v>783.333333333333</v>
      </c>
      <c r="BB25" s="65" t="n">
        <f aca="false">BN25</f>
        <v>800</v>
      </c>
      <c r="BC25" s="66" t="n">
        <f aca="false">BA25+BC12</f>
        <v>800</v>
      </c>
      <c r="BD25" s="66" t="n">
        <f aca="false">BC25+BD12</f>
        <v>800</v>
      </c>
      <c r="BE25" s="66" t="n">
        <f aca="false">BD25+BE12</f>
        <v>800</v>
      </c>
      <c r="BF25" s="66" t="n">
        <f aca="false">BE25+BF12</f>
        <v>800</v>
      </c>
      <c r="BG25" s="66" t="n">
        <f aca="false">BF25+BG12</f>
        <v>800</v>
      </c>
      <c r="BH25" s="66" t="n">
        <f aca="false">BG25+BH12</f>
        <v>800</v>
      </c>
      <c r="BI25" s="66" t="n">
        <f aca="false">BH25+BI12</f>
        <v>800</v>
      </c>
      <c r="BJ25" s="66" t="n">
        <f aca="false">BI25+BJ12</f>
        <v>800</v>
      </c>
      <c r="BK25" s="66" t="n">
        <f aca="false">BJ25+BK12</f>
        <v>800</v>
      </c>
      <c r="BL25" s="66" t="n">
        <f aca="false">BK25+BL12</f>
        <v>800</v>
      </c>
      <c r="BM25" s="66" t="n">
        <f aca="false">BL25+BM12</f>
        <v>800</v>
      </c>
      <c r="BN25" s="66" t="n">
        <f aca="false">BM25+BN12</f>
        <v>800</v>
      </c>
    </row>
    <row r="26" customFormat="false" ht="15" hidden="false" customHeight="false" outlineLevel="0" collapsed="false">
      <c r="A26" s="12" t="s">
        <v>500</v>
      </c>
      <c r="B26" s="65" t="n">
        <f aca="false">N26</f>
        <v>733.333333333333</v>
      </c>
      <c r="C26" s="66" t="n">
        <f aca="false">C13</f>
        <v>0</v>
      </c>
      <c r="D26" s="66" t="n">
        <f aca="false">C26+D13</f>
        <v>66.6666666666667</v>
      </c>
      <c r="E26" s="66" t="n">
        <f aca="false">D26+E13</f>
        <v>133.333333333333</v>
      </c>
      <c r="F26" s="66" t="n">
        <f aca="false">E26+F13</f>
        <v>200</v>
      </c>
      <c r="G26" s="66" t="n">
        <f aca="false">F26+G13</f>
        <v>266.666666666667</v>
      </c>
      <c r="H26" s="66" t="n">
        <f aca="false">G26+H13</f>
        <v>333.333333333333</v>
      </c>
      <c r="I26" s="66" t="n">
        <f aca="false">H26+I13</f>
        <v>400</v>
      </c>
      <c r="J26" s="66" t="n">
        <f aca="false">I26+J13</f>
        <v>466.666666666667</v>
      </c>
      <c r="K26" s="66" t="n">
        <f aca="false">J26+K13</f>
        <v>533.333333333333</v>
      </c>
      <c r="L26" s="66" t="n">
        <f aca="false">K26+L13</f>
        <v>600</v>
      </c>
      <c r="M26" s="66" t="n">
        <f aca="false">L26+M13</f>
        <v>666.666666666667</v>
      </c>
      <c r="N26" s="66" t="n">
        <f aca="false">M26+N13</f>
        <v>733.333333333333</v>
      </c>
      <c r="O26" s="65" t="n">
        <f aca="false">AA26</f>
        <v>1533.33333333333</v>
      </c>
      <c r="P26" s="66" t="n">
        <f aca="false">N26+P13</f>
        <v>800</v>
      </c>
      <c r="Q26" s="66" t="n">
        <f aca="false">P26+Q13</f>
        <v>866.666666666667</v>
      </c>
      <c r="R26" s="66" t="n">
        <f aca="false">Q26+R13</f>
        <v>933.333333333333</v>
      </c>
      <c r="S26" s="66" t="n">
        <f aca="false">R26+S13</f>
        <v>1000</v>
      </c>
      <c r="T26" s="66" t="n">
        <f aca="false">S26+T13</f>
        <v>1066.66666666667</v>
      </c>
      <c r="U26" s="66" t="n">
        <f aca="false">T26+U13</f>
        <v>1133.33333333333</v>
      </c>
      <c r="V26" s="66" t="n">
        <f aca="false">U26+V13</f>
        <v>1200</v>
      </c>
      <c r="W26" s="66" t="n">
        <f aca="false">V26+W13</f>
        <v>1266.66666666667</v>
      </c>
      <c r="X26" s="66" t="n">
        <f aca="false">W26+X13</f>
        <v>1333.33333333333</v>
      </c>
      <c r="Y26" s="66" t="n">
        <f aca="false">X26+Y13</f>
        <v>1400</v>
      </c>
      <c r="Z26" s="66" t="n">
        <f aca="false">Y26+Z13</f>
        <v>1466.66666666667</v>
      </c>
      <c r="AA26" s="66" t="n">
        <f aca="false">Z26+AA13</f>
        <v>1533.33333333333</v>
      </c>
      <c r="AB26" s="65" t="n">
        <f aca="false">AN26</f>
        <v>2333.33333333333</v>
      </c>
      <c r="AC26" s="66" t="n">
        <f aca="false">AA26+AC13</f>
        <v>1600</v>
      </c>
      <c r="AD26" s="66" t="n">
        <f aca="false">AC26+AD13</f>
        <v>1666.66666666667</v>
      </c>
      <c r="AE26" s="66" t="n">
        <f aca="false">AD26+AE13</f>
        <v>1733.33333333333</v>
      </c>
      <c r="AF26" s="66" t="n">
        <f aca="false">AE26+AF13</f>
        <v>1800</v>
      </c>
      <c r="AG26" s="66" t="n">
        <f aca="false">AF26+AG13</f>
        <v>1866.66666666667</v>
      </c>
      <c r="AH26" s="66" t="n">
        <f aca="false">AG26+AH13</f>
        <v>1933.33333333333</v>
      </c>
      <c r="AI26" s="66" t="n">
        <f aca="false">AH26+AI13</f>
        <v>2000</v>
      </c>
      <c r="AJ26" s="66" t="n">
        <f aca="false">AI26+AJ13</f>
        <v>2066.66666666667</v>
      </c>
      <c r="AK26" s="66" t="n">
        <f aca="false">AJ26+AK13</f>
        <v>2133.33333333333</v>
      </c>
      <c r="AL26" s="66" t="n">
        <f aca="false">AK26+AL13</f>
        <v>2200</v>
      </c>
      <c r="AM26" s="66" t="n">
        <f aca="false">AL26+AM13</f>
        <v>2266.66666666667</v>
      </c>
      <c r="AN26" s="66" t="n">
        <f aca="false">AM26+AN13</f>
        <v>2333.33333333333</v>
      </c>
      <c r="AO26" s="65" t="n">
        <f aca="false">BA26</f>
        <v>3133.33333333333</v>
      </c>
      <c r="AP26" s="66" t="n">
        <f aca="false">AN26+AP13</f>
        <v>2400</v>
      </c>
      <c r="AQ26" s="66" t="n">
        <f aca="false">AP26+AQ13</f>
        <v>2466.66666666667</v>
      </c>
      <c r="AR26" s="66" t="n">
        <f aca="false">AQ26+AR13</f>
        <v>2533.33333333333</v>
      </c>
      <c r="AS26" s="66" t="n">
        <f aca="false">AR26+AS13</f>
        <v>2600</v>
      </c>
      <c r="AT26" s="66" t="n">
        <f aca="false">AS26+AT13</f>
        <v>2666.66666666667</v>
      </c>
      <c r="AU26" s="66" t="n">
        <f aca="false">AT26+AU13</f>
        <v>2733.33333333333</v>
      </c>
      <c r="AV26" s="66" t="n">
        <f aca="false">AU26+AV13</f>
        <v>2800</v>
      </c>
      <c r="AW26" s="66" t="n">
        <f aca="false">AV26+AW13</f>
        <v>2866.66666666667</v>
      </c>
      <c r="AX26" s="66" t="n">
        <f aca="false">AW26+AX13</f>
        <v>2933.33333333333</v>
      </c>
      <c r="AY26" s="66" t="n">
        <f aca="false">AX26+AY13</f>
        <v>3000</v>
      </c>
      <c r="AZ26" s="66" t="n">
        <f aca="false">AY26+AZ13</f>
        <v>3066.66666666667</v>
      </c>
      <c r="BA26" s="66" t="n">
        <f aca="false">AZ26+BA13</f>
        <v>3133.33333333333</v>
      </c>
      <c r="BB26" s="65" t="n">
        <f aca="false">BN26</f>
        <v>3933.33333333333</v>
      </c>
      <c r="BC26" s="66" t="n">
        <f aca="false">BA26+BC13</f>
        <v>3200</v>
      </c>
      <c r="BD26" s="66" t="n">
        <f aca="false">BC26+BD13</f>
        <v>3266.66666666666</v>
      </c>
      <c r="BE26" s="66" t="n">
        <f aca="false">BD26+BE13</f>
        <v>3333.33333333333</v>
      </c>
      <c r="BF26" s="66" t="n">
        <f aca="false">BE26+BF13</f>
        <v>3400</v>
      </c>
      <c r="BG26" s="66" t="n">
        <f aca="false">BF26+BG13</f>
        <v>3466.66666666666</v>
      </c>
      <c r="BH26" s="66" t="n">
        <f aca="false">BG26+BH13</f>
        <v>3533.33333333333</v>
      </c>
      <c r="BI26" s="66" t="n">
        <f aca="false">BH26+BI13</f>
        <v>3600</v>
      </c>
      <c r="BJ26" s="66" t="n">
        <f aca="false">BI26+BJ13</f>
        <v>3666.66666666666</v>
      </c>
      <c r="BK26" s="66" t="n">
        <f aca="false">BJ26+BK13</f>
        <v>3733.33333333333</v>
      </c>
      <c r="BL26" s="66" t="n">
        <f aca="false">BK26+BL13</f>
        <v>3800</v>
      </c>
      <c r="BM26" s="66" t="n">
        <f aca="false">BL26+BM13</f>
        <v>3866.66666666666</v>
      </c>
      <c r="BN26" s="66" t="n">
        <f aca="false">BM26+BN13</f>
        <v>3933.33333333333</v>
      </c>
    </row>
    <row r="27" customFormat="false" ht="15" hidden="false" customHeight="false" outlineLevel="0" collapsed="false">
      <c r="A27" s="12" t="s">
        <v>501</v>
      </c>
      <c r="B27" s="65" t="n">
        <f aca="false">N27</f>
        <v>0</v>
      </c>
      <c r="C27" s="66" t="n">
        <f aca="false">C14</f>
        <v>0</v>
      </c>
      <c r="D27" s="66" t="n">
        <f aca="false">C27+D14</f>
        <v>0</v>
      </c>
      <c r="E27" s="66" t="n">
        <f aca="false">D27+E14</f>
        <v>0</v>
      </c>
      <c r="F27" s="66" t="n">
        <f aca="false">E27+F14</f>
        <v>0</v>
      </c>
      <c r="G27" s="66" t="n">
        <f aca="false">F27+G14</f>
        <v>0</v>
      </c>
      <c r="H27" s="66" t="n">
        <f aca="false">G27+H14</f>
        <v>0</v>
      </c>
      <c r="I27" s="66" t="n">
        <f aca="false">H27+I14</f>
        <v>0</v>
      </c>
      <c r="J27" s="66" t="n">
        <f aca="false">I27+J14</f>
        <v>0</v>
      </c>
      <c r="K27" s="66" t="n">
        <f aca="false">J27+K14</f>
        <v>0</v>
      </c>
      <c r="L27" s="66" t="n">
        <f aca="false">K27+L14</f>
        <v>0</v>
      </c>
      <c r="M27" s="66" t="n">
        <f aca="false">L27+M14</f>
        <v>0</v>
      </c>
      <c r="N27" s="66" t="n">
        <f aca="false">M27+N14</f>
        <v>0</v>
      </c>
      <c r="O27" s="65" t="n">
        <f aca="false">AA27</f>
        <v>0</v>
      </c>
      <c r="P27" s="66" t="n">
        <f aca="false">N27+P14</f>
        <v>0</v>
      </c>
      <c r="Q27" s="66" t="n">
        <f aca="false">P27+Q14</f>
        <v>0</v>
      </c>
      <c r="R27" s="66" t="n">
        <f aca="false">Q27+R14</f>
        <v>0</v>
      </c>
      <c r="S27" s="66" t="n">
        <f aca="false">R27+S14</f>
        <v>0</v>
      </c>
      <c r="T27" s="66" t="n">
        <f aca="false">S27+T14</f>
        <v>0</v>
      </c>
      <c r="U27" s="66" t="n">
        <f aca="false">T27+U14</f>
        <v>0</v>
      </c>
      <c r="V27" s="66" t="n">
        <f aca="false">U27+V14</f>
        <v>0</v>
      </c>
      <c r="W27" s="66" t="n">
        <f aca="false">V27+W14</f>
        <v>0</v>
      </c>
      <c r="X27" s="66" t="n">
        <f aca="false">W27+X14</f>
        <v>0</v>
      </c>
      <c r="Y27" s="66" t="n">
        <f aca="false">X27+Y14</f>
        <v>0</v>
      </c>
      <c r="Z27" s="66" t="n">
        <f aca="false">Y27+Z14</f>
        <v>0</v>
      </c>
      <c r="AA27" s="66" t="n">
        <f aca="false">Z27+AA14</f>
        <v>0</v>
      </c>
      <c r="AB27" s="65" t="n">
        <f aca="false">AN27</f>
        <v>1100</v>
      </c>
      <c r="AC27" s="66" t="n">
        <f aca="false">AA27+AC14</f>
        <v>0</v>
      </c>
      <c r="AD27" s="66" t="n">
        <f aca="false">AC27+AD14</f>
        <v>100</v>
      </c>
      <c r="AE27" s="66" t="n">
        <f aca="false">AD27+AE14</f>
        <v>200</v>
      </c>
      <c r="AF27" s="66" t="n">
        <f aca="false">AE27+AF14</f>
        <v>300</v>
      </c>
      <c r="AG27" s="66" t="n">
        <f aca="false">AF27+AG14</f>
        <v>400</v>
      </c>
      <c r="AH27" s="66" t="n">
        <f aca="false">AG27+AH14</f>
        <v>500</v>
      </c>
      <c r="AI27" s="66" t="n">
        <f aca="false">AH27+AI14</f>
        <v>600</v>
      </c>
      <c r="AJ27" s="66" t="n">
        <f aca="false">AI27+AJ14</f>
        <v>700</v>
      </c>
      <c r="AK27" s="66" t="n">
        <f aca="false">AJ27+AK14</f>
        <v>800</v>
      </c>
      <c r="AL27" s="66" t="n">
        <f aca="false">AK27+AL14</f>
        <v>900</v>
      </c>
      <c r="AM27" s="66" t="n">
        <f aca="false">AL27+AM14</f>
        <v>1000</v>
      </c>
      <c r="AN27" s="66" t="n">
        <f aca="false">AM27+AN14</f>
        <v>1100</v>
      </c>
      <c r="AO27" s="65" t="n">
        <f aca="false">BA27</f>
        <v>2300</v>
      </c>
      <c r="AP27" s="66" t="n">
        <f aca="false">AN27+AP14</f>
        <v>1200</v>
      </c>
      <c r="AQ27" s="66" t="n">
        <f aca="false">AP27+AQ14</f>
        <v>1300</v>
      </c>
      <c r="AR27" s="66" t="n">
        <f aca="false">AQ27+AR14</f>
        <v>1400</v>
      </c>
      <c r="AS27" s="66" t="n">
        <f aca="false">AR27+AS14</f>
        <v>1500</v>
      </c>
      <c r="AT27" s="66" t="n">
        <f aca="false">AS27+AT14</f>
        <v>1600</v>
      </c>
      <c r="AU27" s="66" t="n">
        <f aca="false">AT27+AU14</f>
        <v>1700</v>
      </c>
      <c r="AV27" s="66" t="n">
        <f aca="false">AU27+AV14</f>
        <v>1800</v>
      </c>
      <c r="AW27" s="66" t="n">
        <f aca="false">AV27+AW14</f>
        <v>1900</v>
      </c>
      <c r="AX27" s="66" t="n">
        <f aca="false">AW27+AX14</f>
        <v>2000</v>
      </c>
      <c r="AY27" s="66" t="n">
        <f aca="false">AX27+AY14</f>
        <v>2100</v>
      </c>
      <c r="AZ27" s="66" t="n">
        <f aca="false">AY27+AZ14</f>
        <v>2200</v>
      </c>
      <c r="BA27" s="66" t="n">
        <f aca="false">AZ27+BA14</f>
        <v>2300</v>
      </c>
      <c r="BB27" s="65" t="n">
        <f aca="false">BN27</f>
        <v>3500</v>
      </c>
      <c r="BC27" s="66" t="n">
        <f aca="false">BA27+BC14</f>
        <v>2400</v>
      </c>
      <c r="BD27" s="66" t="n">
        <f aca="false">BC27+BD14</f>
        <v>2500</v>
      </c>
      <c r="BE27" s="66" t="n">
        <f aca="false">BD27+BE14</f>
        <v>2600</v>
      </c>
      <c r="BF27" s="66" t="n">
        <f aca="false">BE27+BF14</f>
        <v>2700</v>
      </c>
      <c r="BG27" s="66" t="n">
        <f aca="false">BF27+BG14</f>
        <v>2800</v>
      </c>
      <c r="BH27" s="66" t="n">
        <f aca="false">BG27+BH14</f>
        <v>2900</v>
      </c>
      <c r="BI27" s="66" t="n">
        <f aca="false">BH27+BI14</f>
        <v>3000</v>
      </c>
      <c r="BJ27" s="66" t="n">
        <f aca="false">BI27+BJ14</f>
        <v>3100</v>
      </c>
      <c r="BK27" s="66" t="n">
        <f aca="false">BJ27+BK14</f>
        <v>3200</v>
      </c>
      <c r="BL27" s="66" t="n">
        <f aca="false">BK27+BL14</f>
        <v>3300</v>
      </c>
      <c r="BM27" s="66" t="n">
        <f aca="false">BL27+BM14</f>
        <v>3400</v>
      </c>
      <c r="BN27" s="66" t="n">
        <f aca="false">BM27+BN14</f>
        <v>3500</v>
      </c>
    </row>
    <row r="28" customFormat="false" ht="15" hidden="false" customHeight="false" outlineLevel="0" collapsed="false">
      <c r="A28" s="12" t="s">
        <v>502</v>
      </c>
      <c r="B28" s="65" t="n">
        <f aca="false">N28</f>
        <v>0</v>
      </c>
      <c r="C28" s="66" t="n">
        <f aca="false">C15</f>
        <v>0</v>
      </c>
      <c r="D28" s="66" t="n">
        <f aca="false">C28+D15</f>
        <v>0</v>
      </c>
      <c r="E28" s="66" t="n">
        <f aca="false">D28+E15</f>
        <v>0</v>
      </c>
      <c r="F28" s="66" t="n">
        <f aca="false">E28+F15</f>
        <v>0</v>
      </c>
      <c r="G28" s="66" t="n">
        <f aca="false">F28+G15</f>
        <v>0</v>
      </c>
      <c r="H28" s="66" t="n">
        <f aca="false">G28+H15</f>
        <v>0</v>
      </c>
      <c r="I28" s="66" t="n">
        <f aca="false">H28+I15</f>
        <v>0</v>
      </c>
      <c r="J28" s="66" t="n">
        <f aca="false">I28+J15</f>
        <v>0</v>
      </c>
      <c r="K28" s="66" t="n">
        <f aca="false">J28+K15</f>
        <v>0</v>
      </c>
      <c r="L28" s="66" t="n">
        <f aca="false">K28+L15</f>
        <v>0</v>
      </c>
      <c r="M28" s="66" t="n">
        <f aca="false">L28+M15</f>
        <v>0</v>
      </c>
      <c r="N28" s="66" t="n">
        <f aca="false">M28+N15</f>
        <v>0</v>
      </c>
      <c r="O28" s="65" t="n">
        <f aca="false">AA28</f>
        <v>0</v>
      </c>
      <c r="P28" s="66" t="n">
        <f aca="false">N28+P15</f>
        <v>0</v>
      </c>
      <c r="Q28" s="66" t="n">
        <f aca="false">P28+Q15</f>
        <v>0</v>
      </c>
      <c r="R28" s="66" t="n">
        <f aca="false">Q28+R15</f>
        <v>0</v>
      </c>
      <c r="S28" s="66" t="n">
        <f aca="false">R28+S15</f>
        <v>0</v>
      </c>
      <c r="T28" s="66" t="n">
        <f aca="false">S28+T15</f>
        <v>0</v>
      </c>
      <c r="U28" s="66" t="n">
        <f aca="false">T28+U15</f>
        <v>0</v>
      </c>
      <c r="V28" s="66" t="n">
        <f aca="false">U28+V15</f>
        <v>0</v>
      </c>
      <c r="W28" s="66" t="n">
        <f aca="false">V28+W15</f>
        <v>0</v>
      </c>
      <c r="X28" s="66" t="n">
        <f aca="false">W28+X15</f>
        <v>0</v>
      </c>
      <c r="Y28" s="66" t="n">
        <f aca="false">X28+Y15</f>
        <v>0</v>
      </c>
      <c r="Z28" s="66" t="n">
        <f aca="false">Y28+Z15</f>
        <v>0</v>
      </c>
      <c r="AA28" s="66" t="n">
        <f aca="false">Z28+AA15</f>
        <v>0</v>
      </c>
      <c r="AB28" s="65" t="n">
        <f aca="false">AN28</f>
        <v>1650</v>
      </c>
      <c r="AC28" s="66" t="n">
        <f aca="false">AA28+AC15</f>
        <v>0</v>
      </c>
      <c r="AD28" s="66" t="n">
        <f aca="false">AC28+AD15</f>
        <v>150</v>
      </c>
      <c r="AE28" s="66" t="n">
        <f aca="false">AD28+AE15</f>
        <v>300</v>
      </c>
      <c r="AF28" s="66" t="n">
        <f aca="false">AE28+AF15</f>
        <v>450</v>
      </c>
      <c r="AG28" s="66" t="n">
        <f aca="false">AF28+AG15</f>
        <v>600</v>
      </c>
      <c r="AH28" s="66" t="n">
        <f aca="false">AG28+AH15</f>
        <v>750</v>
      </c>
      <c r="AI28" s="66" t="n">
        <f aca="false">AH28+AI15</f>
        <v>900</v>
      </c>
      <c r="AJ28" s="66" t="n">
        <f aca="false">AI28+AJ15</f>
        <v>1050</v>
      </c>
      <c r="AK28" s="66" t="n">
        <f aca="false">AJ28+AK15</f>
        <v>1200</v>
      </c>
      <c r="AL28" s="66" t="n">
        <f aca="false">AK28+AL15</f>
        <v>1350</v>
      </c>
      <c r="AM28" s="66" t="n">
        <f aca="false">AL28+AM15</f>
        <v>1500</v>
      </c>
      <c r="AN28" s="66" t="n">
        <f aca="false">AM28+AN15</f>
        <v>1650</v>
      </c>
      <c r="AO28" s="65" t="n">
        <f aca="false">BA28</f>
        <v>3450</v>
      </c>
      <c r="AP28" s="66" t="n">
        <f aca="false">AN28+AP15</f>
        <v>1800</v>
      </c>
      <c r="AQ28" s="66" t="n">
        <f aca="false">AP28+AQ15</f>
        <v>1950</v>
      </c>
      <c r="AR28" s="66" t="n">
        <f aca="false">AQ28+AR15</f>
        <v>2100</v>
      </c>
      <c r="AS28" s="66" t="n">
        <f aca="false">AR28+AS15</f>
        <v>2250</v>
      </c>
      <c r="AT28" s="66" t="n">
        <f aca="false">AS28+AT15</f>
        <v>2400</v>
      </c>
      <c r="AU28" s="66" t="n">
        <f aca="false">AT28+AU15</f>
        <v>2550</v>
      </c>
      <c r="AV28" s="66" t="n">
        <f aca="false">AU28+AV15</f>
        <v>2700</v>
      </c>
      <c r="AW28" s="66" t="n">
        <f aca="false">AV28+AW15</f>
        <v>2850</v>
      </c>
      <c r="AX28" s="66" t="n">
        <f aca="false">AW28+AX15</f>
        <v>3000</v>
      </c>
      <c r="AY28" s="66" t="n">
        <f aca="false">AX28+AY15</f>
        <v>3150</v>
      </c>
      <c r="AZ28" s="66" t="n">
        <f aca="false">AY28+AZ15</f>
        <v>3300</v>
      </c>
      <c r="BA28" s="66" t="n">
        <f aca="false">AZ28+BA15</f>
        <v>3450</v>
      </c>
      <c r="BB28" s="65" t="n">
        <f aca="false">BN28</f>
        <v>5250</v>
      </c>
      <c r="BC28" s="66" t="n">
        <f aca="false">BA28+BC15</f>
        <v>3600</v>
      </c>
      <c r="BD28" s="66" t="n">
        <f aca="false">BC28+BD15</f>
        <v>3750</v>
      </c>
      <c r="BE28" s="66" t="n">
        <f aca="false">BD28+BE15</f>
        <v>3900</v>
      </c>
      <c r="BF28" s="66" t="n">
        <f aca="false">BE28+BF15</f>
        <v>4050</v>
      </c>
      <c r="BG28" s="66" t="n">
        <f aca="false">BF28+BG15</f>
        <v>4200</v>
      </c>
      <c r="BH28" s="66" t="n">
        <f aca="false">BG28+BH15</f>
        <v>4350</v>
      </c>
      <c r="BI28" s="66" t="n">
        <f aca="false">BH28+BI15</f>
        <v>4500</v>
      </c>
      <c r="BJ28" s="66" t="n">
        <f aca="false">BI28+BJ15</f>
        <v>4650</v>
      </c>
      <c r="BK28" s="66" t="n">
        <f aca="false">BJ28+BK15</f>
        <v>4800</v>
      </c>
      <c r="BL28" s="66" t="n">
        <f aca="false">BK28+BL15</f>
        <v>4950</v>
      </c>
      <c r="BM28" s="66" t="n">
        <f aca="false">BL28+BM15</f>
        <v>5100</v>
      </c>
      <c r="BN28" s="66" t="n">
        <f aca="false">BM28+BN15</f>
        <v>5250</v>
      </c>
    </row>
    <row r="29" customFormat="false" ht="15" hidden="false" customHeight="false" outlineLevel="0" collapsed="false">
      <c r="A29" s="70" t="s">
        <v>795</v>
      </c>
      <c r="B29" s="65" t="n">
        <f aca="false">N29</f>
        <v>3387.5</v>
      </c>
      <c r="C29" s="71" t="n">
        <f aca="false">SUM(C20:C28)</f>
        <v>0</v>
      </c>
      <c r="D29" s="71" t="n">
        <f aca="false">SUM(D20:D28)</f>
        <v>241.666666666667</v>
      </c>
      <c r="E29" s="71" t="n">
        <f aca="false">SUM(E20:E28)</f>
        <v>556.25</v>
      </c>
      <c r="F29" s="71" t="n">
        <f aca="false">SUM(F20:F28)</f>
        <v>870.833333333333</v>
      </c>
      <c r="G29" s="71" t="n">
        <f aca="false">SUM(G20:G28)</f>
        <v>1185.41666666667</v>
      </c>
      <c r="H29" s="71" t="n">
        <f aca="false">SUM(H20:H28)</f>
        <v>1500</v>
      </c>
      <c r="I29" s="71" t="n">
        <f aca="false">SUM(I20:I28)</f>
        <v>1814.58333333333</v>
      </c>
      <c r="J29" s="71" t="n">
        <f aca="false">SUM(J20:J28)</f>
        <v>2129.16666666667</v>
      </c>
      <c r="K29" s="71" t="n">
        <f aca="false">SUM(K20:K28)</f>
        <v>2443.75</v>
      </c>
      <c r="L29" s="71" t="n">
        <f aca="false">SUM(L20:L28)</f>
        <v>2758.33333333333</v>
      </c>
      <c r="M29" s="71" t="n">
        <f aca="false">SUM(M20:M28)</f>
        <v>3072.91666666667</v>
      </c>
      <c r="N29" s="71" t="n">
        <f aca="false">SUM(N20:N28)</f>
        <v>3387.5</v>
      </c>
      <c r="O29" s="65" t="n">
        <f aca="false">AA29</f>
        <v>8468.75</v>
      </c>
      <c r="P29" s="71" t="n">
        <f aca="false">SUM(P20:P28)</f>
        <v>3702.08333333333</v>
      </c>
      <c r="Q29" s="71" t="n">
        <f aca="false">SUM(Q20:Q28)</f>
        <v>4135.41666666667</v>
      </c>
      <c r="R29" s="71" t="n">
        <f aca="false">SUM(R20:R28)</f>
        <v>4568.75</v>
      </c>
      <c r="S29" s="71" t="n">
        <f aca="false">SUM(S20:S28)</f>
        <v>5002.08333333333</v>
      </c>
      <c r="T29" s="71" t="n">
        <f aca="false">SUM(T20:T28)</f>
        <v>5435.41666666667</v>
      </c>
      <c r="U29" s="71" t="n">
        <f aca="false">SUM(U20:U28)</f>
        <v>5868.75</v>
      </c>
      <c r="V29" s="71" t="n">
        <f aca="false">SUM(V20:V28)</f>
        <v>6302.08333333333</v>
      </c>
      <c r="W29" s="71" t="n">
        <f aca="false">SUM(W20:W28)</f>
        <v>6735.41666666667</v>
      </c>
      <c r="X29" s="71" t="n">
        <f aca="false">SUM(X20:X28)</f>
        <v>7168.75</v>
      </c>
      <c r="Y29" s="71" t="n">
        <f aca="false">SUM(Y20:Y28)</f>
        <v>7602.08333333333</v>
      </c>
      <c r="Z29" s="71" t="n">
        <f aca="false">SUM(Z20:Z28)</f>
        <v>8035.41666666667</v>
      </c>
      <c r="AA29" s="71" t="n">
        <f aca="false">SUM(AA20:AA28)</f>
        <v>8468.75</v>
      </c>
      <c r="AB29" s="65" t="n">
        <f aca="false">AN29</f>
        <v>18595.8333333333</v>
      </c>
      <c r="AC29" s="71" t="n">
        <f aca="false">SUM(AC20:AC28)</f>
        <v>8902.08333333333</v>
      </c>
      <c r="AD29" s="71" t="n">
        <f aca="false">SUM(AD20:AD28)</f>
        <v>9783.33333333333</v>
      </c>
      <c r="AE29" s="71" t="n">
        <f aca="false">SUM(AE20:AE28)</f>
        <v>10664.5833333333</v>
      </c>
      <c r="AF29" s="71" t="n">
        <f aca="false">SUM(AF20:AF28)</f>
        <v>11545.8333333333</v>
      </c>
      <c r="AG29" s="71" t="n">
        <f aca="false">SUM(AG20:AG28)</f>
        <v>12427.0833333333</v>
      </c>
      <c r="AH29" s="71" t="n">
        <f aca="false">SUM(AH20:AH28)</f>
        <v>13308.3333333333</v>
      </c>
      <c r="AI29" s="71" t="n">
        <f aca="false">SUM(AI20:AI28)</f>
        <v>14189.5833333333</v>
      </c>
      <c r="AJ29" s="71" t="n">
        <f aca="false">SUM(AJ20:AJ28)</f>
        <v>15070.8333333333</v>
      </c>
      <c r="AK29" s="71" t="n">
        <f aca="false">SUM(AK20:AK28)</f>
        <v>15952.0833333333</v>
      </c>
      <c r="AL29" s="71" t="n">
        <f aca="false">SUM(AL20:AL28)</f>
        <v>16833.3333333333</v>
      </c>
      <c r="AM29" s="71" t="n">
        <f aca="false">SUM(AM20:AM28)</f>
        <v>17714.5833333333</v>
      </c>
      <c r="AN29" s="71" t="n">
        <f aca="false">SUM(AN20:AN28)</f>
        <v>18595.8333333333</v>
      </c>
      <c r="AO29" s="65" t="n">
        <f aca="false">BA29</f>
        <v>30204.1666666667</v>
      </c>
      <c r="AP29" s="71" t="n">
        <f aca="false">SUM(AP20:AP28)</f>
        <v>19477.0833333333</v>
      </c>
      <c r="AQ29" s="71" t="n">
        <f aca="false">SUM(AQ20:AQ28)</f>
        <v>20516.6666666667</v>
      </c>
      <c r="AR29" s="71" t="n">
        <f aca="false">SUM(AR20:AR28)</f>
        <v>21556.25</v>
      </c>
      <c r="AS29" s="71" t="n">
        <f aca="false">SUM(AS20:AS28)</f>
        <v>22595.8333333333</v>
      </c>
      <c r="AT29" s="71" t="n">
        <f aca="false">SUM(AT20:AT28)</f>
        <v>23635.4166666667</v>
      </c>
      <c r="AU29" s="71" t="n">
        <f aca="false">SUM(AU20:AU28)</f>
        <v>24675</v>
      </c>
      <c r="AV29" s="71" t="n">
        <f aca="false">SUM(AV20:AV28)</f>
        <v>25714.5833333333</v>
      </c>
      <c r="AW29" s="71" t="n">
        <f aca="false">SUM(AW20:AW28)</f>
        <v>26712.5</v>
      </c>
      <c r="AX29" s="71" t="n">
        <f aca="false">SUM(AX20:AX28)</f>
        <v>27585.4166666667</v>
      </c>
      <c r="AY29" s="71" t="n">
        <f aca="false">SUM(AY20:AY28)</f>
        <v>28458.3333333333</v>
      </c>
      <c r="AZ29" s="71" t="n">
        <f aca="false">SUM(AZ20:AZ28)</f>
        <v>29331.25</v>
      </c>
      <c r="BA29" s="71" t="n">
        <f aca="false">SUM(BA20:BA28)</f>
        <v>30204.1666666667</v>
      </c>
      <c r="BB29" s="65" t="n">
        <f aca="false">BN29</f>
        <v>42050</v>
      </c>
      <c r="BC29" s="71" t="n">
        <f aca="false">SUM(BC20:BC28)</f>
        <v>31077.0833333333</v>
      </c>
      <c r="BD29" s="71" t="n">
        <f aca="false">SUM(BD20:BD28)</f>
        <v>32258.3333333333</v>
      </c>
      <c r="BE29" s="71" t="n">
        <f aca="false">SUM(BE20:BE28)</f>
        <v>33366.6666666667</v>
      </c>
      <c r="BF29" s="71" t="n">
        <f aca="false">SUM(BF20:BF28)</f>
        <v>34475</v>
      </c>
      <c r="BG29" s="71" t="n">
        <f aca="false">SUM(BG20:BG28)</f>
        <v>35583.3333333333</v>
      </c>
      <c r="BH29" s="71" t="n">
        <f aca="false">SUM(BH20:BH28)</f>
        <v>36650</v>
      </c>
      <c r="BI29" s="71" t="n">
        <f aca="false">SUM(BI20:BI28)</f>
        <v>37550</v>
      </c>
      <c r="BJ29" s="71" t="n">
        <f aca="false">SUM(BJ20:BJ28)</f>
        <v>38450</v>
      </c>
      <c r="BK29" s="71" t="n">
        <f aca="false">SUM(BK20:BK28)</f>
        <v>39350</v>
      </c>
      <c r="BL29" s="71" t="n">
        <f aca="false">SUM(BL20:BL28)</f>
        <v>40250</v>
      </c>
      <c r="BM29" s="71" t="n">
        <f aca="false">SUM(BM20:BM28)</f>
        <v>41150</v>
      </c>
      <c r="BN29" s="71" t="n">
        <f aca="false">SUM(BN20:BN28)</f>
        <v>42050</v>
      </c>
    </row>
    <row r="31" customFormat="false" ht="16.5" hidden="false" customHeight="true" outlineLevel="0" collapsed="false">
      <c r="A31" s="15" t="s">
        <v>796</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505</v>
      </c>
      <c r="B32" s="62" t="s">
        <v>80</v>
      </c>
      <c r="C32" s="63" t="s">
        <v>506</v>
      </c>
      <c r="D32" s="63" t="s">
        <v>507</v>
      </c>
      <c r="E32" s="63" t="s">
        <v>508</v>
      </c>
      <c r="F32" s="63" t="s">
        <v>509</v>
      </c>
      <c r="G32" s="63" t="s">
        <v>510</v>
      </c>
      <c r="H32" s="63" t="s">
        <v>511</v>
      </c>
      <c r="I32" s="63" t="s">
        <v>512</v>
      </c>
      <c r="J32" s="63" t="s">
        <v>513</v>
      </c>
      <c r="K32" s="63" t="s">
        <v>514</v>
      </c>
      <c r="L32" s="63" t="s">
        <v>515</v>
      </c>
      <c r="M32" s="63" t="s">
        <v>516</v>
      </c>
      <c r="N32" s="63" t="s">
        <v>517</v>
      </c>
      <c r="O32" s="62" t="s">
        <v>81</v>
      </c>
      <c r="P32" s="64" t="s">
        <v>518</v>
      </c>
      <c r="Q32" s="64" t="s">
        <v>519</v>
      </c>
      <c r="R32" s="64" t="s">
        <v>520</v>
      </c>
      <c r="S32" s="64" t="s">
        <v>521</v>
      </c>
      <c r="T32" s="64" t="s">
        <v>522</v>
      </c>
      <c r="U32" s="64" t="s">
        <v>523</v>
      </c>
      <c r="V32" s="64" t="s">
        <v>524</v>
      </c>
      <c r="W32" s="64" t="s">
        <v>525</v>
      </c>
      <c r="X32" s="64" t="s">
        <v>526</v>
      </c>
      <c r="Y32" s="64" t="s">
        <v>527</v>
      </c>
      <c r="Z32" s="64" t="s">
        <v>528</v>
      </c>
      <c r="AA32" s="64" t="s">
        <v>529</v>
      </c>
      <c r="AB32" s="62" t="s">
        <v>82</v>
      </c>
      <c r="AC32" s="63" t="s">
        <v>530</v>
      </c>
      <c r="AD32" s="63" t="s">
        <v>531</v>
      </c>
      <c r="AE32" s="63" t="s">
        <v>532</v>
      </c>
      <c r="AF32" s="63" t="s">
        <v>533</v>
      </c>
      <c r="AG32" s="63" t="s">
        <v>534</v>
      </c>
      <c r="AH32" s="63" t="s">
        <v>535</v>
      </c>
      <c r="AI32" s="63" t="s">
        <v>536</v>
      </c>
      <c r="AJ32" s="63" t="s">
        <v>537</v>
      </c>
      <c r="AK32" s="63" t="s">
        <v>538</v>
      </c>
      <c r="AL32" s="63" t="s">
        <v>539</v>
      </c>
      <c r="AM32" s="63" t="s">
        <v>540</v>
      </c>
      <c r="AN32" s="63" t="s">
        <v>541</v>
      </c>
      <c r="AO32" s="62" t="s">
        <v>83</v>
      </c>
      <c r="AP32" s="64" t="s">
        <v>542</v>
      </c>
      <c r="AQ32" s="64" t="s">
        <v>543</v>
      </c>
      <c r="AR32" s="64" t="s">
        <v>544</v>
      </c>
      <c r="AS32" s="64" t="s">
        <v>545</v>
      </c>
      <c r="AT32" s="64" t="s">
        <v>546</v>
      </c>
      <c r="AU32" s="64" t="s">
        <v>547</v>
      </c>
      <c r="AV32" s="64" t="s">
        <v>548</v>
      </c>
      <c r="AW32" s="64" t="s">
        <v>549</v>
      </c>
      <c r="AX32" s="64" t="s">
        <v>550</v>
      </c>
      <c r="AY32" s="64" t="s">
        <v>551</v>
      </c>
      <c r="AZ32" s="64" t="s">
        <v>552</v>
      </c>
      <c r="BA32" s="64" t="s">
        <v>553</v>
      </c>
      <c r="BB32" s="62" t="s">
        <v>84</v>
      </c>
      <c r="BC32" s="63" t="s">
        <v>554</v>
      </c>
      <c r="BD32" s="63" t="s">
        <v>555</v>
      </c>
      <c r="BE32" s="63" t="s">
        <v>556</v>
      </c>
      <c r="BF32" s="63" t="s">
        <v>557</v>
      </c>
      <c r="BG32" s="63" t="s">
        <v>558</v>
      </c>
      <c r="BH32" s="63" t="s">
        <v>559</v>
      </c>
      <c r="BI32" s="63" t="s">
        <v>560</v>
      </c>
      <c r="BJ32" s="63" t="s">
        <v>561</v>
      </c>
      <c r="BK32" s="63" t="s">
        <v>562</v>
      </c>
      <c r="BL32" s="63" t="s">
        <v>563</v>
      </c>
      <c r="BM32" s="63" t="s">
        <v>564</v>
      </c>
      <c r="BN32" s="63" t="s">
        <v>565</v>
      </c>
    </row>
    <row r="33" customFormat="false" ht="15" hidden="false" customHeight="false" outlineLevel="0" collapsed="false">
      <c r="A33" s="12" t="s">
        <v>491</v>
      </c>
      <c r="B33" s="65" t="n">
        <f aca="false">N33</f>
        <v>2500</v>
      </c>
      <c r="C33" s="66" t="n">
        <f aca="false">'Capital Expenditure'!C$20-C20</f>
        <v>3600</v>
      </c>
      <c r="D33" s="66" t="n">
        <f aca="false">'Capital Expenditure'!D$20-D20</f>
        <v>3500</v>
      </c>
      <c r="E33" s="66" t="n">
        <f aca="false">'Capital Expenditure'!E$20-E20</f>
        <v>3400</v>
      </c>
      <c r="F33" s="66" t="n">
        <f aca="false">'Capital Expenditure'!F$20-F20</f>
        <v>3300</v>
      </c>
      <c r="G33" s="66" t="n">
        <f aca="false">'Capital Expenditure'!G$20-G20</f>
        <v>3200</v>
      </c>
      <c r="H33" s="66" t="n">
        <f aca="false">'Capital Expenditure'!H$20-H20</f>
        <v>3100</v>
      </c>
      <c r="I33" s="66" t="n">
        <f aca="false">'Capital Expenditure'!I$20-I20</f>
        <v>3000</v>
      </c>
      <c r="J33" s="66" t="n">
        <f aca="false">'Capital Expenditure'!J$20-J20</f>
        <v>2900</v>
      </c>
      <c r="K33" s="66" t="n">
        <f aca="false">'Capital Expenditure'!K$20-K20</f>
        <v>2800</v>
      </c>
      <c r="L33" s="66" t="n">
        <f aca="false">'Capital Expenditure'!L$20-L20</f>
        <v>2700</v>
      </c>
      <c r="M33" s="66" t="n">
        <f aca="false">'Capital Expenditure'!M$20-M20</f>
        <v>2600</v>
      </c>
      <c r="N33" s="66" t="n">
        <f aca="false">'Capital Expenditure'!N$20-N20</f>
        <v>2500</v>
      </c>
      <c r="O33" s="65" t="n">
        <f aca="false">AA33</f>
        <v>3175</v>
      </c>
      <c r="P33" s="66" t="n">
        <f aca="false">'Capital Expenditure'!P$20-P20</f>
        <v>5100</v>
      </c>
      <c r="Q33" s="66" t="n">
        <f aca="false">'Capital Expenditure'!Q$20-Q20</f>
        <v>4925</v>
      </c>
      <c r="R33" s="66" t="n">
        <f aca="false">'Capital Expenditure'!R$20-R20</f>
        <v>4750</v>
      </c>
      <c r="S33" s="66" t="n">
        <f aca="false">'Capital Expenditure'!S$20-S20</f>
        <v>4575</v>
      </c>
      <c r="T33" s="66" t="n">
        <f aca="false">'Capital Expenditure'!T$20-T20</f>
        <v>4400</v>
      </c>
      <c r="U33" s="66" t="n">
        <f aca="false">'Capital Expenditure'!U$20-U20</f>
        <v>4225</v>
      </c>
      <c r="V33" s="66" t="n">
        <f aca="false">'Capital Expenditure'!V$20-V20</f>
        <v>4050</v>
      </c>
      <c r="W33" s="66" t="n">
        <f aca="false">'Capital Expenditure'!W$20-W20</f>
        <v>3875</v>
      </c>
      <c r="X33" s="66" t="n">
        <f aca="false">'Capital Expenditure'!X$20-X20</f>
        <v>3700</v>
      </c>
      <c r="Y33" s="66" t="n">
        <f aca="false">'Capital Expenditure'!Y$20-Y20</f>
        <v>3525</v>
      </c>
      <c r="Z33" s="66" t="n">
        <f aca="false">'Capital Expenditure'!Z$20-Z20</f>
        <v>3350</v>
      </c>
      <c r="AA33" s="66" t="n">
        <f aca="false">'Capital Expenditure'!AA$20-AA20</f>
        <v>3175</v>
      </c>
      <c r="AB33" s="65" t="n">
        <f aca="false">AN33</f>
        <v>4200</v>
      </c>
      <c r="AC33" s="66" t="n">
        <f aca="false">'Capital Expenditure'!AC$20-AC20</f>
        <v>7500</v>
      </c>
      <c r="AD33" s="66" t="n">
        <f aca="false">'Capital Expenditure'!AD$20-AD20</f>
        <v>7200</v>
      </c>
      <c r="AE33" s="66" t="n">
        <f aca="false">'Capital Expenditure'!AE$20-AE20</f>
        <v>6900</v>
      </c>
      <c r="AF33" s="66" t="n">
        <f aca="false">'Capital Expenditure'!AF$20-AF20</f>
        <v>6600</v>
      </c>
      <c r="AG33" s="66" t="n">
        <f aca="false">'Capital Expenditure'!AG$20-AG20</f>
        <v>6300</v>
      </c>
      <c r="AH33" s="66" t="n">
        <f aca="false">'Capital Expenditure'!AH$20-AH20</f>
        <v>6000</v>
      </c>
      <c r="AI33" s="66" t="n">
        <f aca="false">'Capital Expenditure'!AI$20-AI20</f>
        <v>5700</v>
      </c>
      <c r="AJ33" s="66" t="n">
        <f aca="false">'Capital Expenditure'!AJ$20-AJ20</f>
        <v>5400</v>
      </c>
      <c r="AK33" s="66" t="n">
        <f aca="false">'Capital Expenditure'!AK$20-AK20</f>
        <v>5100</v>
      </c>
      <c r="AL33" s="66" t="n">
        <f aca="false">'Capital Expenditure'!AL$20-AL20</f>
        <v>4800</v>
      </c>
      <c r="AM33" s="66" t="n">
        <f aca="false">'Capital Expenditure'!AM$20-AM20</f>
        <v>4500</v>
      </c>
      <c r="AN33" s="66" t="n">
        <f aca="false">'Capital Expenditure'!AN$20-AN20</f>
        <v>4200</v>
      </c>
      <c r="AO33" s="65" t="n">
        <f aca="false">BA33</f>
        <v>3100</v>
      </c>
      <c r="AP33" s="66" t="n">
        <f aca="false">'Capital Expenditure'!AP$20-AP20</f>
        <v>7500</v>
      </c>
      <c r="AQ33" s="66" t="n">
        <f aca="false">'Capital Expenditure'!AQ$20-AQ20</f>
        <v>7100</v>
      </c>
      <c r="AR33" s="66" t="n">
        <f aca="false">'Capital Expenditure'!AR$20-AR20</f>
        <v>6700</v>
      </c>
      <c r="AS33" s="66" t="n">
        <f aca="false">'Capital Expenditure'!AS$20-AS20</f>
        <v>6300</v>
      </c>
      <c r="AT33" s="66" t="n">
        <f aca="false">'Capital Expenditure'!AT$20-AT20</f>
        <v>5900</v>
      </c>
      <c r="AU33" s="66" t="n">
        <f aca="false">'Capital Expenditure'!AU$20-AU20</f>
        <v>5500</v>
      </c>
      <c r="AV33" s="66" t="n">
        <f aca="false">'Capital Expenditure'!AV$20-AV20</f>
        <v>5100</v>
      </c>
      <c r="AW33" s="66" t="n">
        <f aca="false">'Capital Expenditure'!AW$20-AW20</f>
        <v>4700</v>
      </c>
      <c r="AX33" s="66" t="n">
        <f aca="false">'Capital Expenditure'!AX$20-AX20</f>
        <v>4300</v>
      </c>
      <c r="AY33" s="66" t="n">
        <f aca="false">'Capital Expenditure'!AY$20-AY20</f>
        <v>3900</v>
      </c>
      <c r="AZ33" s="66" t="n">
        <f aca="false">'Capital Expenditure'!AZ$20-AZ20</f>
        <v>3500</v>
      </c>
      <c r="BA33" s="66" t="n">
        <f aca="false">'Capital Expenditure'!BA$20-BA20</f>
        <v>3100</v>
      </c>
      <c r="BB33" s="65" t="n">
        <f aca="false">BN33</f>
        <v>800</v>
      </c>
      <c r="BC33" s="66" t="n">
        <f aca="false">'Capital Expenditure'!BC$20-BC20</f>
        <v>6300</v>
      </c>
      <c r="BD33" s="66" t="n">
        <f aca="false">'Capital Expenditure'!BD$20-BD20</f>
        <v>5800</v>
      </c>
      <c r="BE33" s="66" t="n">
        <f aca="false">'Capital Expenditure'!BE$20-BE20</f>
        <v>5300</v>
      </c>
      <c r="BF33" s="66" t="n">
        <f aca="false">'Capital Expenditure'!BF$20-BF20</f>
        <v>4800</v>
      </c>
      <c r="BG33" s="66" t="n">
        <f aca="false">'Capital Expenditure'!BG$20-BG20</f>
        <v>4300</v>
      </c>
      <c r="BH33" s="66" t="n">
        <f aca="false">'Capital Expenditure'!BH$20-BH20</f>
        <v>3800</v>
      </c>
      <c r="BI33" s="66" t="n">
        <f aca="false">'Capital Expenditure'!BI$20-BI20</f>
        <v>3300</v>
      </c>
      <c r="BJ33" s="66" t="n">
        <f aca="false">'Capital Expenditure'!BJ$20-BJ20</f>
        <v>2800</v>
      </c>
      <c r="BK33" s="66" t="n">
        <f aca="false">'Capital Expenditure'!BK$20-BK20</f>
        <v>2300</v>
      </c>
      <c r="BL33" s="66" t="n">
        <f aca="false">'Capital Expenditure'!BL$20-BL20</f>
        <v>1800</v>
      </c>
      <c r="BM33" s="66" t="n">
        <f aca="false">'Capital Expenditure'!BM$20-BM20</f>
        <v>1300</v>
      </c>
      <c r="BN33" s="66" t="n">
        <f aca="false">'Capital Expenditure'!BN$20-BN20</f>
        <v>800</v>
      </c>
    </row>
    <row r="34" customFormat="false" ht="15" hidden="false" customHeight="false" outlineLevel="0" collapsed="false">
      <c r="A34" s="12" t="s">
        <v>492</v>
      </c>
      <c r="B34" s="65" t="n">
        <f aca="false">N34</f>
        <v>616.666666666667</v>
      </c>
      <c r="C34" s="66" t="n">
        <f aca="false">'Capital Expenditure'!C$21-C21</f>
        <v>800</v>
      </c>
      <c r="D34" s="66" t="n">
        <f aca="false">'Capital Expenditure'!D$21-D21</f>
        <v>783.333333333333</v>
      </c>
      <c r="E34" s="66" t="n">
        <f aca="false">'Capital Expenditure'!E$21-E21</f>
        <v>766.666666666667</v>
      </c>
      <c r="F34" s="66" t="n">
        <f aca="false">'Capital Expenditure'!F$21-F21</f>
        <v>750</v>
      </c>
      <c r="G34" s="66" t="n">
        <f aca="false">'Capital Expenditure'!G$21-G21</f>
        <v>733.333333333333</v>
      </c>
      <c r="H34" s="66" t="n">
        <f aca="false">'Capital Expenditure'!H$21-H21</f>
        <v>716.666666666667</v>
      </c>
      <c r="I34" s="66" t="n">
        <f aca="false">'Capital Expenditure'!I$21-I21</f>
        <v>700</v>
      </c>
      <c r="J34" s="66" t="n">
        <f aca="false">'Capital Expenditure'!J$21-J21</f>
        <v>683.333333333333</v>
      </c>
      <c r="K34" s="66" t="n">
        <f aca="false">'Capital Expenditure'!K$21-K21</f>
        <v>666.666666666667</v>
      </c>
      <c r="L34" s="66" t="n">
        <f aca="false">'Capital Expenditure'!L$21-L21</f>
        <v>650</v>
      </c>
      <c r="M34" s="66" t="n">
        <f aca="false">'Capital Expenditure'!M$21-M21</f>
        <v>633.333333333333</v>
      </c>
      <c r="N34" s="66" t="n">
        <f aca="false">'Capital Expenditure'!N$21-N21</f>
        <v>616.666666666667</v>
      </c>
      <c r="O34" s="65" t="n">
        <f aca="false">AA34</f>
        <v>879.166666666667</v>
      </c>
      <c r="P34" s="66" t="n">
        <f aca="false">'Capital Expenditure'!P$21-P21</f>
        <v>1200</v>
      </c>
      <c r="Q34" s="66" t="n">
        <f aca="false">'Capital Expenditure'!Q$21-Q21</f>
        <v>1170.83333333333</v>
      </c>
      <c r="R34" s="66" t="n">
        <f aca="false">'Capital Expenditure'!R$21-R21</f>
        <v>1141.66666666667</v>
      </c>
      <c r="S34" s="66" t="n">
        <f aca="false">'Capital Expenditure'!S$21-S21</f>
        <v>1112.5</v>
      </c>
      <c r="T34" s="66" t="n">
        <f aca="false">'Capital Expenditure'!T$21-T21</f>
        <v>1083.33333333333</v>
      </c>
      <c r="U34" s="66" t="n">
        <f aca="false">'Capital Expenditure'!U$21-U21</f>
        <v>1054.16666666667</v>
      </c>
      <c r="V34" s="66" t="n">
        <f aca="false">'Capital Expenditure'!V$21-V21</f>
        <v>1025</v>
      </c>
      <c r="W34" s="66" t="n">
        <f aca="false">'Capital Expenditure'!W$21-W21</f>
        <v>995.833333333333</v>
      </c>
      <c r="X34" s="66" t="n">
        <f aca="false">'Capital Expenditure'!X$21-X21</f>
        <v>966.666666666667</v>
      </c>
      <c r="Y34" s="66" t="n">
        <f aca="false">'Capital Expenditure'!Y$21-Y21</f>
        <v>937.5</v>
      </c>
      <c r="Z34" s="66" t="n">
        <f aca="false">'Capital Expenditure'!Z$21-Z21</f>
        <v>908.333333333333</v>
      </c>
      <c r="AA34" s="66" t="n">
        <f aca="false">'Capital Expenditure'!AA$21-AA21</f>
        <v>879.166666666667</v>
      </c>
      <c r="AB34" s="65" t="n">
        <f aca="false">AN34</f>
        <v>1300</v>
      </c>
      <c r="AC34" s="66" t="n">
        <f aca="false">'Capital Expenditure'!AC$21-AC21</f>
        <v>1850</v>
      </c>
      <c r="AD34" s="66" t="n">
        <f aca="false">'Capital Expenditure'!AD$21-AD21</f>
        <v>1800</v>
      </c>
      <c r="AE34" s="66" t="n">
        <f aca="false">'Capital Expenditure'!AE$21-AE21</f>
        <v>1750</v>
      </c>
      <c r="AF34" s="66" t="n">
        <f aca="false">'Capital Expenditure'!AF$21-AF21</f>
        <v>1700</v>
      </c>
      <c r="AG34" s="66" t="n">
        <f aca="false">'Capital Expenditure'!AG$21-AG21</f>
        <v>1650</v>
      </c>
      <c r="AH34" s="66" t="n">
        <f aca="false">'Capital Expenditure'!AH$21-AH21</f>
        <v>1600</v>
      </c>
      <c r="AI34" s="66" t="n">
        <f aca="false">'Capital Expenditure'!AI$21-AI21</f>
        <v>1550</v>
      </c>
      <c r="AJ34" s="66" t="n">
        <f aca="false">'Capital Expenditure'!AJ$21-AJ21</f>
        <v>1500</v>
      </c>
      <c r="AK34" s="66" t="n">
        <f aca="false">'Capital Expenditure'!AK$21-AK21</f>
        <v>1450</v>
      </c>
      <c r="AL34" s="66" t="n">
        <f aca="false">'Capital Expenditure'!AL$21-AL21</f>
        <v>1400</v>
      </c>
      <c r="AM34" s="66" t="n">
        <f aca="false">'Capital Expenditure'!AM$21-AM21</f>
        <v>1350</v>
      </c>
      <c r="AN34" s="66" t="n">
        <f aca="false">'Capital Expenditure'!AN$21-AN21</f>
        <v>1300</v>
      </c>
      <c r="AO34" s="65" t="n">
        <f aca="false">BA34</f>
        <v>1316.66666666667</v>
      </c>
      <c r="AP34" s="66" t="n">
        <f aca="false">'Capital Expenditure'!AP$21-AP21</f>
        <v>2050</v>
      </c>
      <c r="AQ34" s="66" t="n">
        <f aca="false">'Capital Expenditure'!AQ$21-AQ21</f>
        <v>1983.33333333333</v>
      </c>
      <c r="AR34" s="66" t="n">
        <f aca="false">'Capital Expenditure'!AR$21-AR21</f>
        <v>1916.66666666667</v>
      </c>
      <c r="AS34" s="66" t="n">
        <f aca="false">'Capital Expenditure'!AS$21-AS21</f>
        <v>1850</v>
      </c>
      <c r="AT34" s="66" t="n">
        <f aca="false">'Capital Expenditure'!AT$21-AT21</f>
        <v>1783.33333333333</v>
      </c>
      <c r="AU34" s="66" t="n">
        <f aca="false">'Capital Expenditure'!AU$21-AU21</f>
        <v>1716.66666666667</v>
      </c>
      <c r="AV34" s="66" t="n">
        <f aca="false">'Capital Expenditure'!AV$21-AV21</f>
        <v>1650</v>
      </c>
      <c r="AW34" s="66" t="n">
        <f aca="false">'Capital Expenditure'!AW$21-AW21</f>
        <v>1583.33333333333</v>
      </c>
      <c r="AX34" s="66" t="n">
        <f aca="false">'Capital Expenditure'!AX$21-AX21</f>
        <v>1516.66666666667</v>
      </c>
      <c r="AY34" s="66" t="n">
        <f aca="false">'Capital Expenditure'!AY$21-AY21</f>
        <v>1450</v>
      </c>
      <c r="AZ34" s="66" t="n">
        <f aca="false">'Capital Expenditure'!AZ$21-AZ21</f>
        <v>1383.33333333333</v>
      </c>
      <c r="BA34" s="66" t="n">
        <f aca="false">'Capital Expenditure'!BA$21-BA21</f>
        <v>1316.66666666667</v>
      </c>
      <c r="BB34" s="65" t="n">
        <f aca="false">BN34</f>
        <v>1133.33333333333</v>
      </c>
      <c r="BC34" s="66" t="n">
        <f aca="false">'Capital Expenditure'!BC$21-BC21</f>
        <v>2050</v>
      </c>
      <c r="BD34" s="66" t="n">
        <f aca="false">'Capital Expenditure'!BD$21-BD21</f>
        <v>1966.66666666667</v>
      </c>
      <c r="BE34" s="66" t="n">
        <f aca="false">'Capital Expenditure'!BE$21-BE21</f>
        <v>1883.33333333333</v>
      </c>
      <c r="BF34" s="66" t="n">
        <f aca="false">'Capital Expenditure'!BF$21-BF21</f>
        <v>1800</v>
      </c>
      <c r="BG34" s="66" t="n">
        <f aca="false">'Capital Expenditure'!BG$21-BG21</f>
        <v>1716.66666666667</v>
      </c>
      <c r="BH34" s="66" t="n">
        <f aca="false">'Capital Expenditure'!BH$21-BH21</f>
        <v>1633.33333333333</v>
      </c>
      <c r="BI34" s="66" t="n">
        <f aca="false">'Capital Expenditure'!BI$21-BI21</f>
        <v>1550</v>
      </c>
      <c r="BJ34" s="66" t="n">
        <f aca="false">'Capital Expenditure'!BJ$21-BJ21</f>
        <v>1466.66666666667</v>
      </c>
      <c r="BK34" s="66" t="n">
        <f aca="false">'Capital Expenditure'!BK$21-BK21</f>
        <v>1383.33333333333</v>
      </c>
      <c r="BL34" s="66" t="n">
        <f aca="false">'Capital Expenditure'!BL$21-BL21</f>
        <v>1300</v>
      </c>
      <c r="BM34" s="66" t="n">
        <f aca="false">'Capital Expenditure'!BM$21-BM21</f>
        <v>1216.66666666666</v>
      </c>
      <c r="BN34" s="66" t="n">
        <f aca="false">'Capital Expenditure'!BN$21-BN21</f>
        <v>1133.33333333333</v>
      </c>
    </row>
    <row r="35" customFormat="false" ht="15" hidden="false" customHeight="false" outlineLevel="0" collapsed="false">
      <c r="A35" s="12" t="s">
        <v>493</v>
      </c>
      <c r="B35" s="65" t="n">
        <f aca="false">N35</f>
        <v>541.666666666667</v>
      </c>
      <c r="C35" s="66" t="n">
        <f aca="false">'Capital Expenditure'!C$22-C22</f>
        <v>1000</v>
      </c>
      <c r="D35" s="66" t="n">
        <f aca="false">'Capital Expenditure'!D$22-D22</f>
        <v>958.333333333333</v>
      </c>
      <c r="E35" s="66" t="n">
        <f aca="false">'Capital Expenditure'!E$22-E22</f>
        <v>916.666666666667</v>
      </c>
      <c r="F35" s="66" t="n">
        <f aca="false">'Capital Expenditure'!F$22-F22</f>
        <v>875</v>
      </c>
      <c r="G35" s="66" t="n">
        <f aca="false">'Capital Expenditure'!G$22-G22</f>
        <v>833.333333333333</v>
      </c>
      <c r="H35" s="66" t="n">
        <f aca="false">'Capital Expenditure'!H$22-H22</f>
        <v>791.666666666667</v>
      </c>
      <c r="I35" s="66" t="n">
        <f aca="false">'Capital Expenditure'!I$22-I22</f>
        <v>750</v>
      </c>
      <c r="J35" s="66" t="n">
        <f aca="false">'Capital Expenditure'!J$22-J22</f>
        <v>708.333333333333</v>
      </c>
      <c r="K35" s="66" t="n">
        <f aca="false">'Capital Expenditure'!K$22-K22</f>
        <v>666.666666666667</v>
      </c>
      <c r="L35" s="66" t="n">
        <f aca="false">'Capital Expenditure'!L$22-L22</f>
        <v>625</v>
      </c>
      <c r="M35" s="66" t="n">
        <f aca="false">'Capital Expenditure'!M$22-M22</f>
        <v>583.333333333333</v>
      </c>
      <c r="N35" s="66" t="n">
        <f aca="false">'Capital Expenditure'!N$22-N22</f>
        <v>541.666666666667</v>
      </c>
      <c r="O35" s="65" t="n">
        <f aca="false">AA35</f>
        <v>447.916666666667</v>
      </c>
      <c r="P35" s="66" t="n">
        <f aca="false">'Capital Expenditure'!P$22-P22</f>
        <v>1250</v>
      </c>
      <c r="Q35" s="66" t="n">
        <f aca="false">'Capital Expenditure'!Q$22-Q22</f>
        <v>1177.08333333333</v>
      </c>
      <c r="R35" s="66" t="n">
        <f aca="false">'Capital Expenditure'!R$22-R22</f>
        <v>1104.16666666667</v>
      </c>
      <c r="S35" s="66" t="n">
        <f aca="false">'Capital Expenditure'!S$22-S22</f>
        <v>1031.25</v>
      </c>
      <c r="T35" s="66" t="n">
        <f aca="false">'Capital Expenditure'!T$22-T22</f>
        <v>958.333333333333</v>
      </c>
      <c r="U35" s="66" t="n">
        <f aca="false">'Capital Expenditure'!U$22-U22</f>
        <v>885.416666666667</v>
      </c>
      <c r="V35" s="66" t="n">
        <f aca="false">'Capital Expenditure'!V$22-V22</f>
        <v>812.5</v>
      </c>
      <c r="W35" s="66" t="n">
        <f aca="false">'Capital Expenditure'!W$22-W22</f>
        <v>739.583333333334</v>
      </c>
      <c r="X35" s="66" t="n">
        <f aca="false">'Capital Expenditure'!X$22-X22</f>
        <v>666.666666666667</v>
      </c>
      <c r="Y35" s="66" t="n">
        <f aca="false">'Capital Expenditure'!Y$22-Y22</f>
        <v>593.75</v>
      </c>
      <c r="Z35" s="66" t="n">
        <f aca="false">'Capital Expenditure'!Z$22-Z22</f>
        <v>520.833333333333</v>
      </c>
      <c r="AA35" s="66" t="n">
        <f aca="false">'Capital Expenditure'!AA$22-AA22</f>
        <v>447.916666666667</v>
      </c>
      <c r="AB35" s="65" t="n">
        <f aca="false">AN35</f>
        <v>250</v>
      </c>
      <c r="AC35" s="66" t="n">
        <f aca="false">'Capital Expenditure'!AC$22-AC22</f>
        <v>1625</v>
      </c>
      <c r="AD35" s="66" t="n">
        <f aca="false">'Capital Expenditure'!AD$22-AD22</f>
        <v>1500</v>
      </c>
      <c r="AE35" s="66" t="n">
        <f aca="false">'Capital Expenditure'!AE$22-AE22</f>
        <v>1375</v>
      </c>
      <c r="AF35" s="66" t="n">
        <f aca="false">'Capital Expenditure'!AF$22-AF22</f>
        <v>1250</v>
      </c>
      <c r="AG35" s="66" t="n">
        <f aca="false">'Capital Expenditure'!AG$22-AG22</f>
        <v>1125</v>
      </c>
      <c r="AH35" s="66" t="n">
        <f aca="false">'Capital Expenditure'!AH$22-AH22</f>
        <v>1000</v>
      </c>
      <c r="AI35" s="66" t="n">
        <f aca="false">'Capital Expenditure'!AI$22-AI22</f>
        <v>875</v>
      </c>
      <c r="AJ35" s="66" t="n">
        <f aca="false">'Capital Expenditure'!AJ$22-AJ22</f>
        <v>750</v>
      </c>
      <c r="AK35" s="66" t="n">
        <f aca="false">'Capital Expenditure'!AK$22-AK22</f>
        <v>625</v>
      </c>
      <c r="AL35" s="66" t="n">
        <f aca="false">'Capital Expenditure'!AL$22-AL22</f>
        <v>500</v>
      </c>
      <c r="AM35" s="66" t="n">
        <f aca="false">'Capital Expenditure'!AM$22-AM22</f>
        <v>375</v>
      </c>
      <c r="AN35" s="66" t="n">
        <f aca="false">'Capital Expenditure'!AN$22-AN22</f>
        <v>250</v>
      </c>
      <c r="AO35" s="65" t="n">
        <f aca="false">BA35</f>
        <v>0</v>
      </c>
      <c r="AP35" s="66" t="n">
        <f aca="false">'Capital Expenditure'!AP$22-AP22</f>
        <v>1125</v>
      </c>
      <c r="AQ35" s="66" t="n">
        <f aca="false">'Capital Expenditure'!AQ$22-AQ22</f>
        <v>958.333333333334</v>
      </c>
      <c r="AR35" s="66" t="n">
        <f aca="false">'Capital Expenditure'!AR$22-AR22</f>
        <v>791.666666666667</v>
      </c>
      <c r="AS35" s="66" t="n">
        <f aca="false">'Capital Expenditure'!AS$22-AS22</f>
        <v>625.000000000001</v>
      </c>
      <c r="AT35" s="66" t="n">
        <f aca="false">'Capital Expenditure'!AT$22-AT22</f>
        <v>458.333333333334</v>
      </c>
      <c r="AU35" s="66" t="n">
        <f aca="false">'Capital Expenditure'!AU$22-AU22</f>
        <v>291.666666666667</v>
      </c>
      <c r="AV35" s="66" t="n">
        <f aca="false">'Capital Expenditure'!AV$22-AV22</f>
        <v>125.000000000001</v>
      </c>
      <c r="AW35" s="66" t="n">
        <f aca="false">'Capital Expenditure'!AW$22-AW22</f>
        <v>0</v>
      </c>
      <c r="AX35" s="66" t="n">
        <f aca="false">'Capital Expenditure'!AX$22-AX22</f>
        <v>0</v>
      </c>
      <c r="AY35" s="66" t="n">
        <f aca="false">'Capital Expenditure'!AY$22-AY22</f>
        <v>0</v>
      </c>
      <c r="AZ35" s="66" t="n">
        <f aca="false">'Capital Expenditure'!AZ$22-AZ22</f>
        <v>0</v>
      </c>
      <c r="BA35" s="66" t="n">
        <f aca="false">'Capital Expenditure'!BA$22-BA22</f>
        <v>0</v>
      </c>
      <c r="BB35" s="65" t="n">
        <f aca="false">BN35</f>
        <v>0</v>
      </c>
      <c r="BC35" s="66" t="n">
        <f aca="false">'Capital Expenditure'!BC$22-BC22</f>
        <v>1000</v>
      </c>
      <c r="BD35" s="66" t="n">
        <f aca="false">'Capital Expenditure'!BD$22-BD22</f>
        <v>791.666666666667</v>
      </c>
      <c r="BE35" s="66" t="n">
        <f aca="false">'Capital Expenditure'!BE$22-BE22</f>
        <v>583.333333333334</v>
      </c>
      <c r="BF35" s="66" t="n">
        <f aca="false">'Capital Expenditure'!BF$22-BF22</f>
        <v>375.000000000001</v>
      </c>
      <c r="BG35" s="66" t="n">
        <f aca="false">'Capital Expenditure'!BG$22-BG22</f>
        <v>166.666666666668</v>
      </c>
      <c r="BH35" s="66" t="n">
        <f aca="false">'Capital Expenditure'!BH$22-BH22</f>
        <v>0</v>
      </c>
      <c r="BI35" s="66" t="n">
        <f aca="false">'Capital Expenditure'!BI$22-BI22</f>
        <v>0</v>
      </c>
      <c r="BJ35" s="66" t="n">
        <f aca="false">'Capital Expenditure'!BJ$22-BJ22</f>
        <v>0</v>
      </c>
      <c r="BK35" s="66" t="n">
        <f aca="false">'Capital Expenditure'!BK$22-BK22</f>
        <v>0</v>
      </c>
      <c r="BL35" s="66" t="n">
        <f aca="false">'Capital Expenditure'!BL$22-BL22</f>
        <v>0</v>
      </c>
      <c r="BM35" s="66" t="n">
        <f aca="false">'Capital Expenditure'!BM$22-BM22</f>
        <v>0</v>
      </c>
      <c r="BN35" s="66" t="n">
        <f aca="false">'Capital Expenditure'!BN$22-BN22</f>
        <v>0</v>
      </c>
    </row>
    <row r="36" customFormat="false" ht="15" hidden="false" customHeight="false" outlineLevel="0" collapsed="false">
      <c r="A36" s="12" t="s">
        <v>494</v>
      </c>
      <c r="B36" s="65" t="n">
        <f aca="false">N36</f>
        <v>0</v>
      </c>
      <c r="C36" s="66" t="n">
        <f aca="false">'Capital Expenditure'!C$23-C23</f>
        <v>0</v>
      </c>
      <c r="D36" s="66" t="n">
        <f aca="false">'Capital Expenditure'!D$23-D23</f>
        <v>0</v>
      </c>
      <c r="E36" s="66" t="n">
        <f aca="false">'Capital Expenditure'!E$23-E23</f>
        <v>0</v>
      </c>
      <c r="F36" s="66" t="n">
        <f aca="false">'Capital Expenditure'!F$23-F23</f>
        <v>0</v>
      </c>
      <c r="G36" s="66" t="n">
        <f aca="false">'Capital Expenditure'!G$23-G23</f>
        <v>0</v>
      </c>
      <c r="H36" s="66" t="n">
        <f aca="false">'Capital Expenditure'!H$23-H23</f>
        <v>0</v>
      </c>
      <c r="I36" s="66" t="n">
        <f aca="false">'Capital Expenditure'!I$23-I23</f>
        <v>0</v>
      </c>
      <c r="J36" s="66" t="n">
        <f aca="false">'Capital Expenditure'!J$23-J23</f>
        <v>0</v>
      </c>
      <c r="K36" s="66" t="n">
        <f aca="false">'Capital Expenditure'!K$23-K23</f>
        <v>0</v>
      </c>
      <c r="L36" s="66" t="n">
        <f aca="false">'Capital Expenditure'!L$23-L23</f>
        <v>0</v>
      </c>
      <c r="M36" s="66" t="n">
        <f aca="false">'Capital Expenditure'!M$23-M23</f>
        <v>0</v>
      </c>
      <c r="N36" s="66" t="n">
        <f aca="false">'Capital Expenditure'!N$23-N23</f>
        <v>0</v>
      </c>
      <c r="O36" s="65" t="n">
        <f aca="false">AA36</f>
        <v>0</v>
      </c>
      <c r="P36" s="66" t="n">
        <f aca="false">'Capital Expenditure'!P$23-P23</f>
        <v>0</v>
      </c>
      <c r="Q36" s="66" t="n">
        <f aca="false">'Capital Expenditure'!Q$23-Q23</f>
        <v>0</v>
      </c>
      <c r="R36" s="66" t="n">
        <f aca="false">'Capital Expenditure'!R$23-R23</f>
        <v>0</v>
      </c>
      <c r="S36" s="66" t="n">
        <f aca="false">'Capital Expenditure'!S$23-S23</f>
        <v>0</v>
      </c>
      <c r="T36" s="66" t="n">
        <f aca="false">'Capital Expenditure'!T$23-T23</f>
        <v>0</v>
      </c>
      <c r="U36" s="66" t="n">
        <f aca="false">'Capital Expenditure'!U$23-U23</f>
        <v>0</v>
      </c>
      <c r="V36" s="66" t="n">
        <f aca="false">'Capital Expenditure'!V$23-V23</f>
        <v>0</v>
      </c>
      <c r="W36" s="66" t="n">
        <f aca="false">'Capital Expenditure'!W$23-W23</f>
        <v>0</v>
      </c>
      <c r="X36" s="66" t="n">
        <f aca="false">'Capital Expenditure'!X$23-X23</f>
        <v>0</v>
      </c>
      <c r="Y36" s="66" t="n">
        <f aca="false">'Capital Expenditure'!Y$23-Y23</f>
        <v>0</v>
      </c>
      <c r="Z36" s="66" t="n">
        <f aca="false">'Capital Expenditure'!Z$23-Z23</f>
        <v>0</v>
      </c>
      <c r="AA36" s="66" t="n">
        <f aca="false">'Capital Expenditure'!AA$23-AA23</f>
        <v>0</v>
      </c>
      <c r="AB36" s="65" t="n">
        <f aca="false">AN36</f>
        <v>0</v>
      </c>
      <c r="AC36" s="66" t="n">
        <f aca="false">'Capital Expenditure'!AC$23-AC23</f>
        <v>0</v>
      </c>
      <c r="AD36" s="66" t="n">
        <f aca="false">'Capital Expenditure'!AD$23-AD23</f>
        <v>0</v>
      </c>
      <c r="AE36" s="66" t="n">
        <f aca="false">'Capital Expenditure'!AE$23-AE23</f>
        <v>0</v>
      </c>
      <c r="AF36" s="66" t="n">
        <f aca="false">'Capital Expenditure'!AF$23-AF23</f>
        <v>0</v>
      </c>
      <c r="AG36" s="66" t="n">
        <f aca="false">'Capital Expenditure'!AG$23-AG23</f>
        <v>0</v>
      </c>
      <c r="AH36" s="66" t="n">
        <f aca="false">'Capital Expenditure'!AH$23-AH23</f>
        <v>0</v>
      </c>
      <c r="AI36" s="66" t="n">
        <f aca="false">'Capital Expenditure'!AI$23-AI23</f>
        <v>0</v>
      </c>
      <c r="AJ36" s="66" t="n">
        <f aca="false">'Capital Expenditure'!AJ$23-AJ23</f>
        <v>0</v>
      </c>
      <c r="AK36" s="66" t="n">
        <f aca="false">'Capital Expenditure'!AK$23-AK23</f>
        <v>0</v>
      </c>
      <c r="AL36" s="66" t="n">
        <f aca="false">'Capital Expenditure'!AL$23-AL23</f>
        <v>0</v>
      </c>
      <c r="AM36" s="66" t="n">
        <f aca="false">'Capital Expenditure'!AM$23-AM23</f>
        <v>0</v>
      </c>
      <c r="AN36" s="66" t="n">
        <f aca="false">'Capital Expenditure'!AN$23-AN23</f>
        <v>0</v>
      </c>
      <c r="AO36" s="65" t="n">
        <f aca="false">BA36</f>
        <v>0</v>
      </c>
      <c r="AP36" s="66" t="n">
        <f aca="false">'Capital Expenditure'!AP$23-AP23</f>
        <v>0</v>
      </c>
      <c r="AQ36" s="66" t="n">
        <f aca="false">'Capital Expenditure'!AQ$23-AQ23</f>
        <v>0</v>
      </c>
      <c r="AR36" s="66" t="n">
        <f aca="false">'Capital Expenditure'!AR$23-AR23</f>
        <v>0</v>
      </c>
      <c r="AS36" s="66" t="n">
        <f aca="false">'Capital Expenditure'!AS$23-AS23</f>
        <v>0</v>
      </c>
      <c r="AT36" s="66" t="n">
        <f aca="false">'Capital Expenditure'!AT$23-AT23</f>
        <v>0</v>
      </c>
      <c r="AU36" s="66" t="n">
        <f aca="false">'Capital Expenditure'!AU$23-AU23</f>
        <v>0</v>
      </c>
      <c r="AV36" s="66" t="n">
        <f aca="false">'Capital Expenditure'!AV$23-AV23</f>
        <v>0</v>
      </c>
      <c r="AW36" s="66" t="n">
        <f aca="false">'Capital Expenditure'!AW$23-AW23</f>
        <v>0</v>
      </c>
      <c r="AX36" s="66" t="n">
        <f aca="false">'Capital Expenditure'!AX$23-AX23</f>
        <v>0</v>
      </c>
      <c r="AY36" s="66" t="n">
        <f aca="false">'Capital Expenditure'!AY$23-AY23</f>
        <v>0</v>
      </c>
      <c r="AZ36" s="66" t="n">
        <f aca="false">'Capital Expenditure'!AZ$23-AZ23</f>
        <v>0</v>
      </c>
      <c r="BA36" s="66" t="n">
        <f aca="false">'Capital Expenditure'!BA$23-BA23</f>
        <v>0</v>
      </c>
      <c r="BB36" s="65" t="n">
        <f aca="false">BN36</f>
        <v>0</v>
      </c>
      <c r="BC36" s="66" t="n">
        <f aca="false">'Capital Expenditure'!BC$23-BC23</f>
        <v>0</v>
      </c>
      <c r="BD36" s="66" t="n">
        <f aca="false">'Capital Expenditure'!BD$23-BD23</f>
        <v>0</v>
      </c>
      <c r="BE36" s="66" t="n">
        <f aca="false">'Capital Expenditure'!BE$23-BE23</f>
        <v>0</v>
      </c>
      <c r="BF36" s="66" t="n">
        <f aca="false">'Capital Expenditure'!BF$23-BF23</f>
        <v>0</v>
      </c>
      <c r="BG36" s="66" t="n">
        <f aca="false">'Capital Expenditure'!BG$23-BG23</f>
        <v>0</v>
      </c>
      <c r="BH36" s="66" t="n">
        <f aca="false">'Capital Expenditure'!BH$23-BH23</f>
        <v>0</v>
      </c>
      <c r="BI36" s="66" t="n">
        <f aca="false">'Capital Expenditure'!BI$23-BI23</f>
        <v>0</v>
      </c>
      <c r="BJ36" s="66" t="n">
        <f aca="false">'Capital Expenditure'!BJ$23-BJ23</f>
        <v>0</v>
      </c>
      <c r="BK36" s="66" t="n">
        <f aca="false">'Capital Expenditure'!BK$23-BK23</f>
        <v>0</v>
      </c>
      <c r="BL36" s="66" t="n">
        <f aca="false">'Capital Expenditure'!BL$23-BL23</f>
        <v>0</v>
      </c>
      <c r="BM36" s="66" t="n">
        <f aca="false">'Capital Expenditure'!BM$23-BM23</f>
        <v>0</v>
      </c>
      <c r="BN36" s="66" t="n">
        <f aca="false">'Capital Expenditure'!BN$23-BN23</f>
        <v>0</v>
      </c>
    </row>
    <row r="37" customFormat="false" ht="15" hidden="false" customHeight="false" outlineLevel="0" collapsed="false">
      <c r="A37" s="12" t="s">
        <v>498</v>
      </c>
      <c r="B37" s="65" t="n">
        <f aca="false">N37</f>
        <v>2770.83333333333</v>
      </c>
      <c r="C37" s="66" t="n">
        <f aca="false">'Capital Expenditure'!C$24-C24</f>
        <v>0</v>
      </c>
      <c r="D37" s="66" t="n">
        <f aca="false">'Capital Expenditure'!D$24-D24</f>
        <v>3500</v>
      </c>
      <c r="E37" s="66" t="n">
        <f aca="false">'Capital Expenditure'!E$24-E24</f>
        <v>3427.08333333333</v>
      </c>
      <c r="F37" s="66" t="n">
        <f aca="false">'Capital Expenditure'!F$24-F24</f>
        <v>3354.16666666667</v>
      </c>
      <c r="G37" s="66" t="n">
        <f aca="false">'Capital Expenditure'!G$24-G24</f>
        <v>3281.25</v>
      </c>
      <c r="H37" s="66" t="n">
        <f aca="false">'Capital Expenditure'!H$24-H24</f>
        <v>3208.33333333333</v>
      </c>
      <c r="I37" s="66" t="n">
        <f aca="false">'Capital Expenditure'!I$24-I24</f>
        <v>3135.41666666667</v>
      </c>
      <c r="J37" s="66" t="n">
        <f aca="false">'Capital Expenditure'!J$24-J24</f>
        <v>3062.5</v>
      </c>
      <c r="K37" s="66" t="n">
        <f aca="false">'Capital Expenditure'!K$24-K24</f>
        <v>2989.58333333333</v>
      </c>
      <c r="L37" s="66" t="n">
        <f aca="false">'Capital Expenditure'!L$24-L24</f>
        <v>2916.66666666667</v>
      </c>
      <c r="M37" s="66" t="n">
        <f aca="false">'Capital Expenditure'!M$24-M24</f>
        <v>2843.75</v>
      </c>
      <c r="N37" s="66" t="n">
        <f aca="false">'Capital Expenditure'!N$24-N24</f>
        <v>2770.83333333333</v>
      </c>
      <c r="O37" s="65" t="n">
        <f aca="false">AA37</f>
        <v>1895.83333333333</v>
      </c>
      <c r="P37" s="66" t="n">
        <f aca="false">'Capital Expenditure'!P$24-P24</f>
        <v>2697.91666666667</v>
      </c>
      <c r="Q37" s="66" t="n">
        <f aca="false">'Capital Expenditure'!Q$24-Q24</f>
        <v>2625</v>
      </c>
      <c r="R37" s="66" t="n">
        <f aca="false">'Capital Expenditure'!R$24-R24</f>
        <v>2552.08333333333</v>
      </c>
      <c r="S37" s="66" t="n">
        <f aca="false">'Capital Expenditure'!S$24-S24</f>
        <v>2479.16666666667</v>
      </c>
      <c r="T37" s="66" t="n">
        <f aca="false">'Capital Expenditure'!T$24-T24</f>
        <v>2406.25</v>
      </c>
      <c r="U37" s="66" t="n">
        <f aca="false">'Capital Expenditure'!U$24-U24</f>
        <v>2333.33333333333</v>
      </c>
      <c r="V37" s="66" t="n">
        <f aca="false">'Capital Expenditure'!V$24-V24</f>
        <v>2260.41666666667</v>
      </c>
      <c r="W37" s="66" t="n">
        <f aca="false">'Capital Expenditure'!W$24-W24</f>
        <v>2187.5</v>
      </c>
      <c r="X37" s="66" t="n">
        <f aca="false">'Capital Expenditure'!X$24-X24</f>
        <v>2114.58333333333</v>
      </c>
      <c r="Y37" s="66" t="n">
        <f aca="false">'Capital Expenditure'!Y$24-Y24</f>
        <v>2041.66666666667</v>
      </c>
      <c r="Z37" s="66" t="n">
        <f aca="false">'Capital Expenditure'!Z$24-Z24</f>
        <v>1968.75</v>
      </c>
      <c r="AA37" s="66" t="n">
        <f aca="false">'Capital Expenditure'!AA$24-AA24</f>
        <v>1895.83333333333</v>
      </c>
      <c r="AB37" s="65" t="n">
        <f aca="false">AN37</f>
        <v>1020.83333333333</v>
      </c>
      <c r="AC37" s="66" t="n">
        <f aca="false">'Capital Expenditure'!AC$24-AC24</f>
        <v>1822.91666666667</v>
      </c>
      <c r="AD37" s="66" t="n">
        <f aca="false">'Capital Expenditure'!AD$24-AD24</f>
        <v>1750</v>
      </c>
      <c r="AE37" s="66" t="n">
        <f aca="false">'Capital Expenditure'!AE$24-AE24</f>
        <v>1677.08333333333</v>
      </c>
      <c r="AF37" s="66" t="n">
        <f aca="false">'Capital Expenditure'!AF$24-AF24</f>
        <v>1604.16666666667</v>
      </c>
      <c r="AG37" s="66" t="n">
        <f aca="false">'Capital Expenditure'!AG$24-AG24</f>
        <v>1531.25</v>
      </c>
      <c r="AH37" s="66" t="n">
        <f aca="false">'Capital Expenditure'!AH$24-AH24</f>
        <v>1458.33333333333</v>
      </c>
      <c r="AI37" s="66" t="n">
        <f aca="false">'Capital Expenditure'!AI$24-AI24</f>
        <v>1385.41666666667</v>
      </c>
      <c r="AJ37" s="66" t="n">
        <f aca="false">'Capital Expenditure'!AJ$24-AJ24</f>
        <v>1312.5</v>
      </c>
      <c r="AK37" s="66" t="n">
        <f aca="false">'Capital Expenditure'!AK$24-AK24</f>
        <v>1239.58333333333</v>
      </c>
      <c r="AL37" s="66" t="n">
        <f aca="false">'Capital Expenditure'!AL$24-AL24</f>
        <v>1166.66666666667</v>
      </c>
      <c r="AM37" s="66" t="n">
        <f aca="false">'Capital Expenditure'!AM$24-AM24</f>
        <v>1093.75</v>
      </c>
      <c r="AN37" s="66" t="n">
        <f aca="false">'Capital Expenditure'!AN$24-AN24</f>
        <v>1020.83333333333</v>
      </c>
      <c r="AO37" s="65" t="n">
        <f aca="false">BA37</f>
        <v>145.833333333335</v>
      </c>
      <c r="AP37" s="66" t="n">
        <f aca="false">'Capital Expenditure'!AP$24-AP24</f>
        <v>947.916666666667</v>
      </c>
      <c r="AQ37" s="66" t="n">
        <f aca="false">'Capital Expenditure'!AQ$24-AQ24</f>
        <v>875.000000000001</v>
      </c>
      <c r="AR37" s="66" t="n">
        <f aca="false">'Capital Expenditure'!AR$24-AR24</f>
        <v>802.083333333334</v>
      </c>
      <c r="AS37" s="66" t="n">
        <f aca="false">'Capital Expenditure'!AS$24-AS24</f>
        <v>729.166666666667</v>
      </c>
      <c r="AT37" s="66" t="n">
        <f aca="false">'Capital Expenditure'!AT$24-AT24</f>
        <v>656.250000000001</v>
      </c>
      <c r="AU37" s="66" t="n">
        <f aca="false">'Capital Expenditure'!AU$24-AU24</f>
        <v>583.333333333334</v>
      </c>
      <c r="AV37" s="66" t="n">
        <f aca="false">'Capital Expenditure'!AV$24-AV24</f>
        <v>510.416666666668</v>
      </c>
      <c r="AW37" s="66" t="n">
        <f aca="false">'Capital Expenditure'!AW$24-AW24</f>
        <v>437.500000000001</v>
      </c>
      <c r="AX37" s="66" t="n">
        <f aca="false">'Capital Expenditure'!AX$24-AX24</f>
        <v>364.583333333335</v>
      </c>
      <c r="AY37" s="66" t="n">
        <f aca="false">'Capital Expenditure'!AY$24-AY24</f>
        <v>291.666666666668</v>
      </c>
      <c r="AZ37" s="66" t="n">
        <f aca="false">'Capital Expenditure'!AZ$24-AZ24</f>
        <v>218.750000000002</v>
      </c>
      <c r="BA37" s="66" t="n">
        <f aca="false">'Capital Expenditure'!BA$24-BA24</f>
        <v>145.833333333335</v>
      </c>
      <c r="BB37" s="65" t="n">
        <f aca="false">BN37</f>
        <v>0</v>
      </c>
      <c r="BC37" s="66" t="n">
        <f aca="false">'Capital Expenditure'!BC$24-BC24</f>
        <v>72.9166666666688</v>
      </c>
      <c r="BD37" s="66" t="n">
        <f aca="false">'Capital Expenditure'!BD$24-BD24</f>
        <v>0</v>
      </c>
      <c r="BE37" s="66" t="n">
        <f aca="false">'Capital Expenditure'!BE$24-BE24</f>
        <v>0</v>
      </c>
      <c r="BF37" s="66" t="n">
        <f aca="false">'Capital Expenditure'!BF$24-BF24</f>
        <v>0</v>
      </c>
      <c r="BG37" s="66" t="n">
        <f aca="false">'Capital Expenditure'!BG$24-BG24</f>
        <v>0</v>
      </c>
      <c r="BH37" s="66" t="n">
        <f aca="false">'Capital Expenditure'!BH$24-BH24</f>
        <v>0</v>
      </c>
      <c r="BI37" s="66" t="n">
        <f aca="false">'Capital Expenditure'!BI$24-BI24</f>
        <v>0</v>
      </c>
      <c r="BJ37" s="66" t="n">
        <f aca="false">'Capital Expenditure'!BJ$24-BJ24</f>
        <v>0</v>
      </c>
      <c r="BK37" s="66" t="n">
        <f aca="false">'Capital Expenditure'!BK$24-BK24</f>
        <v>0</v>
      </c>
      <c r="BL37" s="66" t="n">
        <f aca="false">'Capital Expenditure'!BL$24-BL24</f>
        <v>0</v>
      </c>
      <c r="BM37" s="66" t="n">
        <f aca="false">'Capital Expenditure'!BM$24-BM24</f>
        <v>0</v>
      </c>
      <c r="BN37" s="66" t="n">
        <f aca="false">'Capital Expenditure'!BN$24-BN24</f>
        <v>0</v>
      </c>
    </row>
    <row r="38" customFormat="false" ht="15" hidden="false" customHeight="false" outlineLevel="0" collapsed="false">
      <c r="A38" s="12" t="s">
        <v>499</v>
      </c>
      <c r="B38" s="65" t="n">
        <f aca="false">N38</f>
        <v>616.666666666667</v>
      </c>
      <c r="C38" s="66" t="n">
        <f aca="false">'Capital Expenditure'!C$25-C25</f>
        <v>800</v>
      </c>
      <c r="D38" s="66" t="n">
        <f aca="false">'Capital Expenditure'!D$25-D25</f>
        <v>783.333333333333</v>
      </c>
      <c r="E38" s="66" t="n">
        <f aca="false">'Capital Expenditure'!E$25-E25</f>
        <v>766.666666666667</v>
      </c>
      <c r="F38" s="66" t="n">
        <f aca="false">'Capital Expenditure'!F$25-F25</f>
        <v>750</v>
      </c>
      <c r="G38" s="66" t="n">
        <f aca="false">'Capital Expenditure'!G$25-G25</f>
        <v>733.333333333333</v>
      </c>
      <c r="H38" s="66" t="n">
        <f aca="false">'Capital Expenditure'!H$25-H25</f>
        <v>716.666666666667</v>
      </c>
      <c r="I38" s="66" t="n">
        <f aca="false">'Capital Expenditure'!I$25-I25</f>
        <v>700</v>
      </c>
      <c r="J38" s="66" t="n">
        <f aca="false">'Capital Expenditure'!J$25-J25</f>
        <v>683.333333333333</v>
      </c>
      <c r="K38" s="66" t="n">
        <f aca="false">'Capital Expenditure'!K$25-K25</f>
        <v>666.666666666667</v>
      </c>
      <c r="L38" s="66" t="n">
        <f aca="false">'Capital Expenditure'!L$25-L25</f>
        <v>650</v>
      </c>
      <c r="M38" s="66" t="n">
        <f aca="false">'Capital Expenditure'!M$25-M25</f>
        <v>633.333333333333</v>
      </c>
      <c r="N38" s="66" t="n">
        <f aca="false">'Capital Expenditure'!N$25-N25</f>
        <v>616.666666666667</v>
      </c>
      <c r="O38" s="65" t="n">
        <f aca="false">AA38</f>
        <v>416.666666666667</v>
      </c>
      <c r="P38" s="66" t="n">
        <f aca="false">'Capital Expenditure'!P$25-P25</f>
        <v>600</v>
      </c>
      <c r="Q38" s="66" t="n">
        <f aca="false">'Capital Expenditure'!Q$25-Q25</f>
        <v>583.333333333333</v>
      </c>
      <c r="R38" s="66" t="n">
        <f aca="false">'Capital Expenditure'!R$25-R25</f>
        <v>566.666666666667</v>
      </c>
      <c r="S38" s="66" t="n">
        <f aca="false">'Capital Expenditure'!S$25-S25</f>
        <v>550</v>
      </c>
      <c r="T38" s="66" t="n">
        <f aca="false">'Capital Expenditure'!T$25-T25</f>
        <v>533.333333333333</v>
      </c>
      <c r="U38" s="66" t="n">
        <f aca="false">'Capital Expenditure'!U$25-U25</f>
        <v>516.666666666667</v>
      </c>
      <c r="V38" s="66" t="n">
        <f aca="false">'Capital Expenditure'!V$25-V25</f>
        <v>500</v>
      </c>
      <c r="W38" s="66" t="n">
        <f aca="false">'Capital Expenditure'!W$25-W25</f>
        <v>483.333333333333</v>
      </c>
      <c r="X38" s="66" t="n">
        <f aca="false">'Capital Expenditure'!X$25-X25</f>
        <v>466.666666666667</v>
      </c>
      <c r="Y38" s="66" t="n">
        <f aca="false">'Capital Expenditure'!Y$25-Y25</f>
        <v>450</v>
      </c>
      <c r="Z38" s="66" t="n">
        <f aca="false">'Capital Expenditure'!Z$25-Z25</f>
        <v>433.333333333333</v>
      </c>
      <c r="AA38" s="66" t="n">
        <f aca="false">'Capital Expenditure'!AA$25-AA25</f>
        <v>416.666666666667</v>
      </c>
      <c r="AB38" s="65" t="n">
        <f aca="false">AN38</f>
        <v>216.666666666667</v>
      </c>
      <c r="AC38" s="66" t="n">
        <f aca="false">'Capital Expenditure'!AC$25-AC25</f>
        <v>400</v>
      </c>
      <c r="AD38" s="66" t="n">
        <f aca="false">'Capital Expenditure'!AD$25-AD25</f>
        <v>383.333333333333</v>
      </c>
      <c r="AE38" s="66" t="n">
        <f aca="false">'Capital Expenditure'!AE$25-AE25</f>
        <v>366.666666666667</v>
      </c>
      <c r="AF38" s="66" t="n">
        <f aca="false">'Capital Expenditure'!AF$25-AF25</f>
        <v>350</v>
      </c>
      <c r="AG38" s="66" t="n">
        <f aca="false">'Capital Expenditure'!AG$25-AG25</f>
        <v>333.333333333333</v>
      </c>
      <c r="AH38" s="66" t="n">
        <f aca="false">'Capital Expenditure'!AH$25-AH25</f>
        <v>316.666666666666</v>
      </c>
      <c r="AI38" s="66" t="n">
        <f aca="false">'Capital Expenditure'!AI$25-AI25</f>
        <v>300</v>
      </c>
      <c r="AJ38" s="66" t="n">
        <f aca="false">'Capital Expenditure'!AJ$25-AJ25</f>
        <v>283.333333333333</v>
      </c>
      <c r="AK38" s="66" t="n">
        <f aca="false">'Capital Expenditure'!AK$25-AK25</f>
        <v>266.666666666667</v>
      </c>
      <c r="AL38" s="66" t="n">
        <f aca="false">'Capital Expenditure'!AL$25-AL25</f>
        <v>250</v>
      </c>
      <c r="AM38" s="66" t="n">
        <f aca="false">'Capital Expenditure'!AM$25-AM25</f>
        <v>233.333333333333</v>
      </c>
      <c r="AN38" s="66" t="n">
        <f aca="false">'Capital Expenditure'!AN$25-AN25</f>
        <v>216.666666666667</v>
      </c>
      <c r="AO38" s="65" t="n">
        <f aca="false">BA38</f>
        <v>16.6666666666671</v>
      </c>
      <c r="AP38" s="66" t="n">
        <f aca="false">'Capital Expenditure'!AP$25-AP25</f>
        <v>200</v>
      </c>
      <c r="AQ38" s="66" t="n">
        <f aca="false">'Capital Expenditure'!AQ$25-AQ25</f>
        <v>183.333333333333</v>
      </c>
      <c r="AR38" s="66" t="n">
        <f aca="false">'Capital Expenditure'!AR$25-AR25</f>
        <v>166.666666666667</v>
      </c>
      <c r="AS38" s="66" t="n">
        <f aca="false">'Capital Expenditure'!AS$25-AS25</f>
        <v>150</v>
      </c>
      <c r="AT38" s="66" t="n">
        <f aca="false">'Capital Expenditure'!AT$25-AT25</f>
        <v>133.333333333333</v>
      </c>
      <c r="AU38" s="66" t="n">
        <f aca="false">'Capital Expenditure'!AU$25-AU25</f>
        <v>116.666666666667</v>
      </c>
      <c r="AV38" s="66" t="n">
        <f aca="false">'Capital Expenditure'!AV$25-AV25</f>
        <v>100</v>
      </c>
      <c r="AW38" s="66" t="n">
        <f aca="false">'Capital Expenditure'!AW$25-AW25</f>
        <v>83.3333333333336</v>
      </c>
      <c r="AX38" s="66" t="n">
        <f aca="false">'Capital Expenditure'!AX$25-AX25</f>
        <v>66.666666666667</v>
      </c>
      <c r="AY38" s="66" t="n">
        <f aca="false">'Capital Expenditure'!AY$25-AY25</f>
        <v>50.0000000000003</v>
      </c>
      <c r="AZ38" s="66" t="n">
        <f aca="false">'Capital Expenditure'!AZ$25-AZ25</f>
        <v>33.3333333333337</v>
      </c>
      <c r="BA38" s="66" t="n">
        <f aca="false">'Capital Expenditure'!BA$25-BA25</f>
        <v>16.6666666666671</v>
      </c>
      <c r="BB38" s="65" t="n">
        <f aca="false">BN38</f>
        <v>0</v>
      </c>
      <c r="BC38" s="66" t="n">
        <f aca="false">'Capital Expenditure'!BC$25-BC25</f>
        <v>0</v>
      </c>
      <c r="BD38" s="66" t="n">
        <f aca="false">'Capital Expenditure'!BD$25-BD25</f>
        <v>0</v>
      </c>
      <c r="BE38" s="66" t="n">
        <f aca="false">'Capital Expenditure'!BE$25-BE25</f>
        <v>0</v>
      </c>
      <c r="BF38" s="66" t="n">
        <f aca="false">'Capital Expenditure'!BF$25-BF25</f>
        <v>0</v>
      </c>
      <c r="BG38" s="66" t="n">
        <f aca="false">'Capital Expenditure'!BG$25-BG25</f>
        <v>0</v>
      </c>
      <c r="BH38" s="66" t="n">
        <f aca="false">'Capital Expenditure'!BH$25-BH25</f>
        <v>0</v>
      </c>
      <c r="BI38" s="66" t="n">
        <f aca="false">'Capital Expenditure'!BI$25-BI25</f>
        <v>0</v>
      </c>
      <c r="BJ38" s="66" t="n">
        <f aca="false">'Capital Expenditure'!BJ$25-BJ25</f>
        <v>0</v>
      </c>
      <c r="BK38" s="66" t="n">
        <f aca="false">'Capital Expenditure'!BK$25-BK25</f>
        <v>0</v>
      </c>
      <c r="BL38" s="66" t="n">
        <f aca="false">'Capital Expenditure'!BL$25-BL25</f>
        <v>0</v>
      </c>
      <c r="BM38" s="66" t="n">
        <f aca="false">'Capital Expenditure'!BM$25-BM25</f>
        <v>0</v>
      </c>
      <c r="BN38" s="66" t="n">
        <f aca="false">'Capital Expenditure'!BN$25-BN25</f>
        <v>0</v>
      </c>
    </row>
    <row r="39" customFormat="false" ht="15" hidden="false" customHeight="false" outlineLevel="0" collapsed="false">
      <c r="A39" s="12" t="s">
        <v>500</v>
      </c>
      <c r="B39" s="65" t="n">
        <f aca="false">N39</f>
        <v>3266.66666666667</v>
      </c>
      <c r="C39" s="66" t="n">
        <f aca="false">'Capital Expenditure'!C$26-C26</f>
        <v>4000</v>
      </c>
      <c r="D39" s="66" t="n">
        <f aca="false">'Capital Expenditure'!D$26-D26</f>
        <v>3933.33333333333</v>
      </c>
      <c r="E39" s="66" t="n">
        <f aca="false">'Capital Expenditure'!E$26-E26</f>
        <v>3866.66666666667</v>
      </c>
      <c r="F39" s="66" t="n">
        <f aca="false">'Capital Expenditure'!F$26-F26</f>
        <v>3800</v>
      </c>
      <c r="G39" s="66" t="n">
        <f aca="false">'Capital Expenditure'!G$26-G26</f>
        <v>3733.33333333333</v>
      </c>
      <c r="H39" s="66" t="n">
        <f aca="false">'Capital Expenditure'!H$26-H26</f>
        <v>3666.66666666667</v>
      </c>
      <c r="I39" s="66" t="n">
        <f aca="false">'Capital Expenditure'!I$26-I26</f>
        <v>3600</v>
      </c>
      <c r="J39" s="66" t="n">
        <f aca="false">'Capital Expenditure'!J$26-J26</f>
        <v>3533.33333333333</v>
      </c>
      <c r="K39" s="66" t="n">
        <f aca="false">'Capital Expenditure'!K$26-K26</f>
        <v>3466.66666666667</v>
      </c>
      <c r="L39" s="66" t="n">
        <f aca="false">'Capital Expenditure'!L$26-L26</f>
        <v>3400</v>
      </c>
      <c r="M39" s="66" t="n">
        <f aca="false">'Capital Expenditure'!M$26-M26</f>
        <v>3333.33333333333</v>
      </c>
      <c r="N39" s="66" t="n">
        <f aca="false">'Capital Expenditure'!N$26-N26</f>
        <v>3266.66666666667</v>
      </c>
      <c r="O39" s="65" t="n">
        <f aca="false">AA39</f>
        <v>2466.66666666667</v>
      </c>
      <c r="P39" s="66" t="n">
        <f aca="false">'Capital Expenditure'!P$26-P26</f>
        <v>3200</v>
      </c>
      <c r="Q39" s="66" t="n">
        <f aca="false">'Capital Expenditure'!Q$26-Q26</f>
        <v>3133.33333333333</v>
      </c>
      <c r="R39" s="66" t="n">
        <f aca="false">'Capital Expenditure'!R$26-R26</f>
        <v>3066.66666666667</v>
      </c>
      <c r="S39" s="66" t="n">
        <f aca="false">'Capital Expenditure'!S$26-S26</f>
        <v>3000</v>
      </c>
      <c r="T39" s="66" t="n">
        <f aca="false">'Capital Expenditure'!T$26-T26</f>
        <v>2933.33333333333</v>
      </c>
      <c r="U39" s="66" t="n">
        <f aca="false">'Capital Expenditure'!U$26-U26</f>
        <v>2866.66666666667</v>
      </c>
      <c r="V39" s="66" t="n">
        <f aca="false">'Capital Expenditure'!V$26-V26</f>
        <v>2800</v>
      </c>
      <c r="W39" s="66" t="n">
        <f aca="false">'Capital Expenditure'!W$26-W26</f>
        <v>2733.33333333333</v>
      </c>
      <c r="X39" s="66" t="n">
        <f aca="false">'Capital Expenditure'!X$26-X26</f>
        <v>2666.66666666667</v>
      </c>
      <c r="Y39" s="66" t="n">
        <f aca="false">'Capital Expenditure'!Y$26-Y26</f>
        <v>2600</v>
      </c>
      <c r="Z39" s="66" t="n">
        <f aca="false">'Capital Expenditure'!Z$26-Z26</f>
        <v>2533.33333333333</v>
      </c>
      <c r="AA39" s="66" t="n">
        <f aca="false">'Capital Expenditure'!AA$26-AA26</f>
        <v>2466.66666666667</v>
      </c>
      <c r="AB39" s="65" t="n">
        <f aca="false">AN39</f>
        <v>1666.66666666667</v>
      </c>
      <c r="AC39" s="66" t="n">
        <f aca="false">'Capital Expenditure'!AC$26-AC26</f>
        <v>2400</v>
      </c>
      <c r="AD39" s="66" t="n">
        <f aca="false">'Capital Expenditure'!AD$26-AD26</f>
        <v>2333.33333333333</v>
      </c>
      <c r="AE39" s="66" t="n">
        <f aca="false">'Capital Expenditure'!AE$26-AE26</f>
        <v>2266.66666666667</v>
      </c>
      <c r="AF39" s="66" t="n">
        <f aca="false">'Capital Expenditure'!AF$26-AF26</f>
        <v>2200</v>
      </c>
      <c r="AG39" s="66" t="n">
        <f aca="false">'Capital Expenditure'!AG$26-AG26</f>
        <v>2133.33333333333</v>
      </c>
      <c r="AH39" s="66" t="n">
        <f aca="false">'Capital Expenditure'!AH$26-AH26</f>
        <v>2066.66666666667</v>
      </c>
      <c r="AI39" s="66" t="n">
        <f aca="false">'Capital Expenditure'!AI$26-AI26</f>
        <v>2000</v>
      </c>
      <c r="AJ39" s="66" t="n">
        <f aca="false">'Capital Expenditure'!AJ$26-AJ26</f>
        <v>1933.33333333333</v>
      </c>
      <c r="AK39" s="66" t="n">
        <f aca="false">'Capital Expenditure'!AK$26-AK26</f>
        <v>1866.66666666667</v>
      </c>
      <c r="AL39" s="66" t="n">
        <f aca="false">'Capital Expenditure'!AL$26-AL26</f>
        <v>1800</v>
      </c>
      <c r="AM39" s="66" t="n">
        <f aca="false">'Capital Expenditure'!AM$26-AM26</f>
        <v>1733.33333333333</v>
      </c>
      <c r="AN39" s="66" t="n">
        <f aca="false">'Capital Expenditure'!AN$26-AN26</f>
        <v>1666.66666666667</v>
      </c>
      <c r="AO39" s="65" t="n">
        <f aca="false">BA39</f>
        <v>866.666666666668</v>
      </c>
      <c r="AP39" s="66" t="n">
        <f aca="false">'Capital Expenditure'!AP$26-AP26</f>
        <v>1600</v>
      </c>
      <c r="AQ39" s="66" t="n">
        <f aca="false">'Capital Expenditure'!AQ$26-AQ26</f>
        <v>1533.33333333333</v>
      </c>
      <c r="AR39" s="66" t="n">
        <f aca="false">'Capital Expenditure'!AR$26-AR26</f>
        <v>1466.66666666667</v>
      </c>
      <c r="AS39" s="66" t="n">
        <f aca="false">'Capital Expenditure'!AS$26-AS26</f>
        <v>1400</v>
      </c>
      <c r="AT39" s="66" t="n">
        <f aca="false">'Capital Expenditure'!AT$26-AT26</f>
        <v>1333.33333333333</v>
      </c>
      <c r="AU39" s="66" t="n">
        <f aca="false">'Capital Expenditure'!AU$26-AU26</f>
        <v>1266.66666666667</v>
      </c>
      <c r="AV39" s="66" t="n">
        <f aca="false">'Capital Expenditure'!AV$26-AV26</f>
        <v>1200</v>
      </c>
      <c r="AW39" s="66" t="n">
        <f aca="false">'Capital Expenditure'!AW$26-AW26</f>
        <v>1133.33333333333</v>
      </c>
      <c r="AX39" s="66" t="n">
        <f aca="false">'Capital Expenditure'!AX$26-AX26</f>
        <v>1066.66666666667</v>
      </c>
      <c r="AY39" s="66" t="n">
        <f aca="false">'Capital Expenditure'!AY$26-AY26</f>
        <v>1000</v>
      </c>
      <c r="AZ39" s="66" t="n">
        <f aca="false">'Capital Expenditure'!AZ$26-AZ26</f>
        <v>933.333333333335</v>
      </c>
      <c r="BA39" s="66" t="n">
        <f aca="false">'Capital Expenditure'!BA$26-BA26</f>
        <v>866.666666666668</v>
      </c>
      <c r="BB39" s="65" t="n">
        <f aca="false">BN39</f>
        <v>66.6666666666702</v>
      </c>
      <c r="BC39" s="66" t="n">
        <f aca="false">'Capital Expenditure'!BC$26-BC26</f>
        <v>800.000000000002</v>
      </c>
      <c r="BD39" s="66" t="n">
        <f aca="false">'Capital Expenditure'!BD$26-BD26</f>
        <v>733.333333333335</v>
      </c>
      <c r="BE39" s="66" t="n">
        <f aca="false">'Capital Expenditure'!BE$26-BE26</f>
        <v>666.666666666669</v>
      </c>
      <c r="BF39" s="66" t="n">
        <f aca="false">'Capital Expenditure'!BF$26-BF26</f>
        <v>600.000000000002</v>
      </c>
      <c r="BG39" s="66" t="n">
        <f aca="false">'Capital Expenditure'!BG$26-BG26</f>
        <v>533.333333333336</v>
      </c>
      <c r="BH39" s="66" t="n">
        <f aca="false">'Capital Expenditure'!BH$26-BH26</f>
        <v>466.666666666669</v>
      </c>
      <c r="BI39" s="66" t="n">
        <f aca="false">'Capital Expenditure'!BI$26-BI26</f>
        <v>400.000000000003</v>
      </c>
      <c r="BJ39" s="66" t="n">
        <f aca="false">'Capital Expenditure'!BJ$26-BJ26</f>
        <v>333.333333333336</v>
      </c>
      <c r="BK39" s="66" t="n">
        <f aca="false">'Capital Expenditure'!BK$26-BK26</f>
        <v>266.66666666667</v>
      </c>
      <c r="BL39" s="66" t="n">
        <f aca="false">'Capital Expenditure'!BL$26-BL26</f>
        <v>200.000000000003</v>
      </c>
      <c r="BM39" s="66" t="n">
        <f aca="false">'Capital Expenditure'!BM$26-BM26</f>
        <v>133.333333333337</v>
      </c>
      <c r="BN39" s="66" t="n">
        <f aca="false">'Capital Expenditure'!BN$26-BN26</f>
        <v>66.6666666666702</v>
      </c>
    </row>
    <row r="40" customFormat="false" ht="15" hidden="false" customHeight="false" outlineLevel="0" collapsed="false">
      <c r="A40" s="12" t="s">
        <v>501</v>
      </c>
      <c r="B40" s="65" t="n">
        <f aca="false">N40</f>
        <v>0</v>
      </c>
      <c r="C40" s="66" t="n">
        <f aca="false">'Capital Expenditure'!C$27-C27</f>
        <v>0</v>
      </c>
      <c r="D40" s="66" t="n">
        <f aca="false">'Capital Expenditure'!D$27-D27</f>
        <v>0</v>
      </c>
      <c r="E40" s="66" t="n">
        <f aca="false">'Capital Expenditure'!E$27-E27</f>
        <v>0</v>
      </c>
      <c r="F40" s="66" t="n">
        <f aca="false">'Capital Expenditure'!F$27-F27</f>
        <v>0</v>
      </c>
      <c r="G40" s="66" t="n">
        <f aca="false">'Capital Expenditure'!G$27-G27</f>
        <v>0</v>
      </c>
      <c r="H40" s="66" t="n">
        <f aca="false">'Capital Expenditure'!H$27-H27</f>
        <v>0</v>
      </c>
      <c r="I40" s="66" t="n">
        <f aca="false">'Capital Expenditure'!I$27-I27</f>
        <v>0</v>
      </c>
      <c r="J40" s="66" t="n">
        <f aca="false">'Capital Expenditure'!J$27-J27</f>
        <v>0</v>
      </c>
      <c r="K40" s="66" t="n">
        <f aca="false">'Capital Expenditure'!K$27-K27</f>
        <v>0</v>
      </c>
      <c r="L40" s="66" t="n">
        <f aca="false">'Capital Expenditure'!L$27-L27</f>
        <v>0</v>
      </c>
      <c r="M40" s="66" t="n">
        <f aca="false">'Capital Expenditure'!M$27-M27</f>
        <v>0</v>
      </c>
      <c r="N40" s="66" t="n">
        <f aca="false">'Capital Expenditure'!N$27-N27</f>
        <v>0</v>
      </c>
      <c r="O40" s="65" t="n">
        <f aca="false">AA40</f>
        <v>0</v>
      </c>
      <c r="P40" s="66" t="n">
        <f aca="false">'Capital Expenditure'!P$27-P27</f>
        <v>0</v>
      </c>
      <c r="Q40" s="66" t="n">
        <f aca="false">'Capital Expenditure'!Q$27-Q27</f>
        <v>0</v>
      </c>
      <c r="R40" s="66" t="n">
        <f aca="false">'Capital Expenditure'!R$27-R27</f>
        <v>0</v>
      </c>
      <c r="S40" s="66" t="n">
        <f aca="false">'Capital Expenditure'!S$27-S27</f>
        <v>0</v>
      </c>
      <c r="T40" s="66" t="n">
        <f aca="false">'Capital Expenditure'!T$27-T27</f>
        <v>0</v>
      </c>
      <c r="U40" s="66" t="n">
        <f aca="false">'Capital Expenditure'!U$27-U27</f>
        <v>0</v>
      </c>
      <c r="V40" s="66" t="n">
        <f aca="false">'Capital Expenditure'!V$27-V27</f>
        <v>0</v>
      </c>
      <c r="W40" s="66" t="n">
        <f aca="false">'Capital Expenditure'!W$27-W27</f>
        <v>0</v>
      </c>
      <c r="X40" s="66" t="n">
        <f aca="false">'Capital Expenditure'!X$27-X27</f>
        <v>0</v>
      </c>
      <c r="Y40" s="66" t="n">
        <f aca="false">'Capital Expenditure'!Y$27-Y27</f>
        <v>0</v>
      </c>
      <c r="Z40" s="66" t="n">
        <f aca="false">'Capital Expenditure'!Z$27-Z27</f>
        <v>0</v>
      </c>
      <c r="AA40" s="66" t="n">
        <f aca="false">'Capital Expenditure'!AA$27-AA27</f>
        <v>0</v>
      </c>
      <c r="AB40" s="65" t="n">
        <f aca="false">AN40</f>
        <v>4900</v>
      </c>
      <c r="AC40" s="66" t="n">
        <f aca="false">'Capital Expenditure'!AC$27-AC27</f>
        <v>6000</v>
      </c>
      <c r="AD40" s="66" t="n">
        <f aca="false">'Capital Expenditure'!AD$27-AD27</f>
        <v>5900</v>
      </c>
      <c r="AE40" s="66" t="n">
        <f aca="false">'Capital Expenditure'!AE$27-AE27</f>
        <v>5800</v>
      </c>
      <c r="AF40" s="66" t="n">
        <f aca="false">'Capital Expenditure'!AF$27-AF27</f>
        <v>5700</v>
      </c>
      <c r="AG40" s="66" t="n">
        <f aca="false">'Capital Expenditure'!AG$27-AG27</f>
        <v>5600</v>
      </c>
      <c r="AH40" s="66" t="n">
        <f aca="false">'Capital Expenditure'!AH$27-AH27</f>
        <v>5500</v>
      </c>
      <c r="AI40" s="66" t="n">
        <f aca="false">'Capital Expenditure'!AI$27-AI27</f>
        <v>5400</v>
      </c>
      <c r="AJ40" s="66" t="n">
        <f aca="false">'Capital Expenditure'!AJ$27-AJ27</f>
        <v>5300</v>
      </c>
      <c r="AK40" s="66" t="n">
        <f aca="false">'Capital Expenditure'!AK$27-AK27</f>
        <v>5200</v>
      </c>
      <c r="AL40" s="66" t="n">
        <f aca="false">'Capital Expenditure'!AL$27-AL27</f>
        <v>5100</v>
      </c>
      <c r="AM40" s="66" t="n">
        <f aca="false">'Capital Expenditure'!AM$27-AM27</f>
        <v>5000</v>
      </c>
      <c r="AN40" s="66" t="n">
        <f aca="false">'Capital Expenditure'!AN$27-AN27</f>
        <v>4900</v>
      </c>
      <c r="AO40" s="65" t="n">
        <f aca="false">BA40</f>
        <v>3700</v>
      </c>
      <c r="AP40" s="66" t="n">
        <f aca="false">'Capital Expenditure'!AP$27-AP27</f>
        <v>4800</v>
      </c>
      <c r="AQ40" s="66" t="n">
        <f aca="false">'Capital Expenditure'!AQ$27-AQ27</f>
        <v>4700</v>
      </c>
      <c r="AR40" s="66" t="n">
        <f aca="false">'Capital Expenditure'!AR$27-AR27</f>
        <v>4600</v>
      </c>
      <c r="AS40" s="66" t="n">
        <f aca="false">'Capital Expenditure'!AS$27-AS27</f>
        <v>4500</v>
      </c>
      <c r="AT40" s="66" t="n">
        <f aca="false">'Capital Expenditure'!AT$27-AT27</f>
        <v>4400</v>
      </c>
      <c r="AU40" s="66" t="n">
        <f aca="false">'Capital Expenditure'!AU$27-AU27</f>
        <v>4300</v>
      </c>
      <c r="AV40" s="66" t="n">
        <f aca="false">'Capital Expenditure'!AV$27-AV27</f>
        <v>4200</v>
      </c>
      <c r="AW40" s="66" t="n">
        <f aca="false">'Capital Expenditure'!AW$27-AW27</f>
        <v>4100</v>
      </c>
      <c r="AX40" s="66" t="n">
        <f aca="false">'Capital Expenditure'!AX$27-AX27</f>
        <v>4000</v>
      </c>
      <c r="AY40" s="66" t="n">
        <f aca="false">'Capital Expenditure'!AY$27-AY27</f>
        <v>3900</v>
      </c>
      <c r="AZ40" s="66" t="n">
        <f aca="false">'Capital Expenditure'!AZ$27-AZ27</f>
        <v>3800</v>
      </c>
      <c r="BA40" s="66" t="n">
        <f aca="false">'Capital Expenditure'!BA$27-BA27</f>
        <v>3700</v>
      </c>
      <c r="BB40" s="65" t="n">
        <f aca="false">BN40</f>
        <v>2500</v>
      </c>
      <c r="BC40" s="66" t="n">
        <f aca="false">'Capital Expenditure'!BC$27-BC27</f>
        <v>3600</v>
      </c>
      <c r="BD40" s="66" t="n">
        <f aca="false">'Capital Expenditure'!BD$27-BD27</f>
        <v>3500</v>
      </c>
      <c r="BE40" s="66" t="n">
        <f aca="false">'Capital Expenditure'!BE$27-BE27</f>
        <v>3400</v>
      </c>
      <c r="BF40" s="66" t="n">
        <f aca="false">'Capital Expenditure'!BF$27-BF27</f>
        <v>3300</v>
      </c>
      <c r="BG40" s="66" t="n">
        <f aca="false">'Capital Expenditure'!BG$27-BG27</f>
        <v>3200</v>
      </c>
      <c r="BH40" s="66" t="n">
        <f aca="false">'Capital Expenditure'!BH$27-BH27</f>
        <v>3100</v>
      </c>
      <c r="BI40" s="66" t="n">
        <f aca="false">'Capital Expenditure'!BI$27-BI27</f>
        <v>3000</v>
      </c>
      <c r="BJ40" s="66" t="n">
        <f aca="false">'Capital Expenditure'!BJ$27-BJ27</f>
        <v>2900</v>
      </c>
      <c r="BK40" s="66" t="n">
        <f aca="false">'Capital Expenditure'!BK$27-BK27</f>
        <v>2800</v>
      </c>
      <c r="BL40" s="66" t="n">
        <f aca="false">'Capital Expenditure'!BL$27-BL27</f>
        <v>2700</v>
      </c>
      <c r="BM40" s="66" t="n">
        <f aca="false">'Capital Expenditure'!BM$27-BM27</f>
        <v>2600</v>
      </c>
      <c r="BN40" s="66" t="n">
        <f aca="false">'Capital Expenditure'!BN$27-BN27</f>
        <v>2500</v>
      </c>
    </row>
    <row r="41" customFormat="false" ht="15" hidden="false" customHeight="false" outlineLevel="0" collapsed="false">
      <c r="A41" s="12" t="s">
        <v>502</v>
      </c>
      <c r="B41" s="65" t="n">
        <f aca="false">N41</f>
        <v>0</v>
      </c>
      <c r="C41" s="66" t="n">
        <f aca="false">'Capital Expenditure'!C$28-C28</f>
        <v>0</v>
      </c>
      <c r="D41" s="66" t="n">
        <f aca="false">'Capital Expenditure'!D$28-D28</f>
        <v>0</v>
      </c>
      <c r="E41" s="66" t="n">
        <f aca="false">'Capital Expenditure'!E$28-E28</f>
        <v>0</v>
      </c>
      <c r="F41" s="66" t="n">
        <f aca="false">'Capital Expenditure'!F$28-F28</f>
        <v>0</v>
      </c>
      <c r="G41" s="66" t="n">
        <f aca="false">'Capital Expenditure'!G$28-G28</f>
        <v>0</v>
      </c>
      <c r="H41" s="66" t="n">
        <f aca="false">'Capital Expenditure'!H$28-H28</f>
        <v>0</v>
      </c>
      <c r="I41" s="66" t="n">
        <f aca="false">'Capital Expenditure'!I$28-I28</f>
        <v>0</v>
      </c>
      <c r="J41" s="66" t="n">
        <f aca="false">'Capital Expenditure'!J$28-J28</f>
        <v>0</v>
      </c>
      <c r="K41" s="66" t="n">
        <f aca="false">'Capital Expenditure'!K$28-K28</f>
        <v>0</v>
      </c>
      <c r="L41" s="66" t="n">
        <f aca="false">'Capital Expenditure'!L$28-L28</f>
        <v>0</v>
      </c>
      <c r="M41" s="66" t="n">
        <f aca="false">'Capital Expenditure'!M$28-M28</f>
        <v>0</v>
      </c>
      <c r="N41" s="66" t="n">
        <f aca="false">'Capital Expenditure'!N$28-N28</f>
        <v>0</v>
      </c>
      <c r="O41" s="65" t="n">
        <f aca="false">AA41</f>
        <v>0</v>
      </c>
      <c r="P41" s="66" t="n">
        <f aca="false">'Capital Expenditure'!P$28-P28</f>
        <v>0</v>
      </c>
      <c r="Q41" s="66" t="n">
        <f aca="false">'Capital Expenditure'!Q$28-Q28</f>
        <v>0</v>
      </c>
      <c r="R41" s="66" t="n">
        <f aca="false">'Capital Expenditure'!R$28-R28</f>
        <v>0</v>
      </c>
      <c r="S41" s="66" t="n">
        <f aca="false">'Capital Expenditure'!S$28-S28</f>
        <v>0</v>
      </c>
      <c r="T41" s="66" t="n">
        <f aca="false">'Capital Expenditure'!T$28-T28</f>
        <v>0</v>
      </c>
      <c r="U41" s="66" t="n">
        <f aca="false">'Capital Expenditure'!U$28-U28</f>
        <v>0</v>
      </c>
      <c r="V41" s="66" t="n">
        <f aca="false">'Capital Expenditure'!V$28-V28</f>
        <v>0</v>
      </c>
      <c r="W41" s="66" t="n">
        <f aca="false">'Capital Expenditure'!W$28-W28</f>
        <v>0</v>
      </c>
      <c r="X41" s="66" t="n">
        <f aca="false">'Capital Expenditure'!X$28-X28</f>
        <v>0</v>
      </c>
      <c r="Y41" s="66" t="n">
        <f aca="false">'Capital Expenditure'!Y$28-Y28</f>
        <v>0</v>
      </c>
      <c r="Z41" s="66" t="n">
        <f aca="false">'Capital Expenditure'!Z$28-Z28</f>
        <v>0</v>
      </c>
      <c r="AA41" s="66" t="n">
        <f aca="false">'Capital Expenditure'!AA$28-AA28</f>
        <v>0</v>
      </c>
      <c r="AB41" s="65" t="n">
        <f aca="false">AN41</f>
        <v>7350</v>
      </c>
      <c r="AC41" s="66" t="n">
        <f aca="false">'Capital Expenditure'!AC$28-AC28</f>
        <v>9000</v>
      </c>
      <c r="AD41" s="66" t="n">
        <f aca="false">'Capital Expenditure'!AD$28-AD28</f>
        <v>8850</v>
      </c>
      <c r="AE41" s="66" t="n">
        <f aca="false">'Capital Expenditure'!AE$28-AE28</f>
        <v>8700</v>
      </c>
      <c r="AF41" s="66" t="n">
        <f aca="false">'Capital Expenditure'!AF$28-AF28</f>
        <v>8550</v>
      </c>
      <c r="AG41" s="66" t="n">
        <f aca="false">'Capital Expenditure'!AG$28-AG28</f>
        <v>8400</v>
      </c>
      <c r="AH41" s="66" t="n">
        <f aca="false">'Capital Expenditure'!AH$28-AH28</f>
        <v>8250</v>
      </c>
      <c r="AI41" s="66" t="n">
        <f aca="false">'Capital Expenditure'!AI$28-AI28</f>
        <v>8100</v>
      </c>
      <c r="AJ41" s="66" t="n">
        <f aca="false">'Capital Expenditure'!AJ$28-AJ28</f>
        <v>7950</v>
      </c>
      <c r="AK41" s="66" t="n">
        <f aca="false">'Capital Expenditure'!AK$28-AK28</f>
        <v>7800</v>
      </c>
      <c r="AL41" s="66" t="n">
        <f aca="false">'Capital Expenditure'!AL$28-AL28</f>
        <v>7650</v>
      </c>
      <c r="AM41" s="66" t="n">
        <f aca="false">'Capital Expenditure'!AM$28-AM28</f>
        <v>7500</v>
      </c>
      <c r="AN41" s="66" t="n">
        <f aca="false">'Capital Expenditure'!AN$28-AN28</f>
        <v>7350</v>
      </c>
      <c r="AO41" s="65" t="n">
        <f aca="false">BA41</f>
        <v>5550</v>
      </c>
      <c r="AP41" s="66" t="n">
        <f aca="false">'Capital Expenditure'!AP$28-AP28</f>
        <v>7200</v>
      </c>
      <c r="AQ41" s="66" t="n">
        <f aca="false">'Capital Expenditure'!AQ$28-AQ28</f>
        <v>7050</v>
      </c>
      <c r="AR41" s="66" t="n">
        <f aca="false">'Capital Expenditure'!AR$28-AR28</f>
        <v>6900</v>
      </c>
      <c r="AS41" s="66" t="n">
        <f aca="false">'Capital Expenditure'!AS$28-AS28</f>
        <v>6750</v>
      </c>
      <c r="AT41" s="66" t="n">
        <f aca="false">'Capital Expenditure'!AT$28-AT28</f>
        <v>6600</v>
      </c>
      <c r="AU41" s="66" t="n">
        <f aca="false">'Capital Expenditure'!AU$28-AU28</f>
        <v>6450</v>
      </c>
      <c r="AV41" s="66" t="n">
        <f aca="false">'Capital Expenditure'!AV$28-AV28</f>
        <v>6300</v>
      </c>
      <c r="AW41" s="66" t="n">
        <f aca="false">'Capital Expenditure'!AW$28-AW28</f>
        <v>6150</v>
      </c>
      <c r="AX41" s="66" t="n">
        <f aca="false">'Capital Expenditure'!AX$28-AX28</f>
        <v>6000</v>
      </c>
      <c r="AY41" s="66" t="n">
        <f aca="false">'Capital Expenditure'!AY$28-AY28</f>
        <v>5850</v>
      </c>
      <c r="AZ41" s="66" t="n">
        <f aca="false">'Capital Expenditure'!AZ$28-AZ28</f>
        <v>5700</v>
      </c>
      <c r="BA41" s="66" t="n">
        <f aca="false">'Capital Expenditure'!BA$28-BA28</f>
        <v>5550</v>
      </c>
      <c r="BB41" s="65" t="n">
        <f aca="false">BN41</f>
        <v>3750</v>
      </c>
      <c r="BC41" s="66" t="n">
        <f aca="false">'Capital Expenditure'!BC$28-BC28</f>
        <v>5400</v>
      </c>
      <c r="BD41" s="66" t="n">
        <f aca="false">'Capital Expenditure'!BD$28-BD28</f>
        <v>5250</v>
      </c>
      <c r="BE41" s="66" t="n">
        <f aca="false">'Capital Expenditure'!BE$28-BE28</f>
        <v>5100</v>
      </c>
      <c r="BF41" s="66" t="n">
        <f aca="false">'Capital Expenditure'!BF$28-BF28</f>
        <v>4950</v>
      </c>
      <c r="BG41" s="66" t="n">
        <f aca="false">'Capital Expenditure'!BG$28-BG28</f>
        <v>4800</v>
      </c>
      <c r="BH41" s="66" t="n">
        <f aca="false">'Capital Expenditure'!BH$28-BH28</f>
        <v>4650</v>
      </c>
      <c r="BI41" s="66" t="n">
        <f aca="false">'Capital Expenditure'!BI$28-BI28</f>
        <v>4500</v>
      </c>
      <c r="BJ41" s="66" t="n">
        <f aca="false">'Capital Expenditure'!BJ$28-BJ28</f>
        <v>4350</v>
      </c>
      <c r="BK41" s="66" t="n">
        <f aca="false">'Capital Expenditure'!BK$28-BK28</f>
        <v>4200</v>
      </c>
      <c r="BL41" s="66" t="n">
        <f aca="false">'Capital Expenditure'!BL$28-BL28</f>
        <v>4050</v>
      </c>
      <c r="BM41" s="66" t="n">
        <f aca="false">'Capital Expenditure'!BM$28-BM28</f>
        <v>3900</v>
      </c>
      <c r="BN41" s="66" t="n">
        <f aca="false">'Capital Expenditure'!BN$28-BN28</f>
        <v>3750</v>
      </c>
    </row>
    <row r="42" customFormat="false" ht="15" hidden="false" customHeight="false" outlineLevel="0" collapsed="false">
      <c r="A42" s="70" t="s">
        <v>797</v>
      </c>
      <c r="B42" s="65" t="n">
        <f aca="false">N42</f>
        <v>10312.5</v>
      </c>
      <c r="C42" s="71" t="n">
        <f aca="false">SUM(C33:C41)</f>
        <v>10200</v>
      </c>
      <c r="D42" s="71" t="n">
        <f aca="false">SUM(D33:D41)</f>
        <v>13458.3333333333</v>
      </c>
      <c r="E42" s="71" t="n">
        <f aca="false">SUM(E33:E41)</f>
        <v>13143.75</v>
      </c>
      <c r="F42" s="71" t="n">
        <f aca="false">SUM(F33:F41)</f>
        <v>12829.1666666667</v>
      </c>
      <c r="G42" s="71" t="n">
        <f aca="false">SUM(G33:G41)</f>
        <v>12514.5833333333</v>
      </c>
      <c r="H42" s="71" t="n">
        <f aca="false">SUM(H33:H41)</f>
        <v>12200</v>
      </c>
      <c r="I42" s="71" t="n">
        <f aca="false">SUM(I33:I41)</f>
        <v>11885.4166666667</v>
      </c>
      <c r="J42" s="71" t="n">
        <f aca="false">SUM(J33:J41)</f>
        <v>11570.8333333333</v>
      </c>
      <c r="K42" s="71" t="n">
        <f aca="false">SUM(K33:K41)</f>
        <v>11256.25</v>
      </c>
      <c r="L42" s="71" t="n">
        <f aca="false">SUM(L33:L41)</f>
        <v>10941.6666666667</v>
      </c>
      <c r="M42" s="71" t="n">
        <f aca="false">SUM(M33:M41)</f>
        <v>10627.0833333333</v>
      </c>
      <c r="N42" s="71" t="n">
        <f aca="false">SUM(N33:N41)</f>
        <v>10312.5</v>
      </c>
      <c r="O42" s="65" t="n">
        <f aca="false">AA42</f>
        <v>9281.25</v>
      </c>
      <c r="P42" s="71" t="n">
        <f aca="false">SUM(P33:P41)</f>
        <v>14047.9166666667</v>
      </c>
      <c r="Q42" s="71" t="n">
        <f aca="false">SUM(Q33:Q41)</f>
        <v>13614.5833333333</v>
      </c>
      <c r="R42" s="71" t="n">
        <f aca="false">SUM(R33:R41)</f>
        <v>13181.25</v>
      </c>
      <c r="S42" s="71" t="n">
        <f aca="false">SUM(S33:S41)</f>
        <v>12747.9166666667</v>
      </c>
      <c r="T42" s="71" t="n">
        <f aca="false">SUM(T33:T41)</f>
        <v>12314.5833333333</v>
      </c>
      <c r="U42" s="71" t="n">
        <f aca="false">SUM(U33:U41)</f>
        <v>11881.25</v>
      </c>
      <c r="V42" s="71" t="n">
        <f aca="false">SUM(V33:V41)</f>
        <v>11447.9166666667</v>
      </c>
      <c r="W42" s="71" t="n">
        <f aca="false">SUM(W33:W41)</f>
        <v>11014.5833333333</v>
      </c>
      <c r="X42" s="71" t="n">
        <f aca="false">SUM(X33:X41)</f>
        <v>10581.25</v>
      </c>
      <c r="Y42" s="71" t="n">
        <f aca="false">SUM(Y33:Y41)</f>
        <v>10147.9166666667</v>
      </c>
      <c r="Z42" s="71" t="n">
        <f aca="false">SUM(Z33:Z41)</f>
        <v>9714.58333333333</v>
      </c>
      <c r="AA42" s="71" t="n">
        <f aca="false">SUM(AA33:AA41)</f>
        <v>9281.25</v>
      </c>
      <c r="AB42" s="65" t="n">
        <f aca="false">AN42</f>
        <v>20904.1666666667</v>
      </c>
      <c r="AC42" s="71" t="n">
        <f aca="false">SUM(AC33:AC41)</f>
        <v>30597.9166666667</v>
      </c>
      <c r="AD42" s="71" t="n">
        <f aca="false">SUM(AD33:AD41)</f>
        <v>29716.6666666667</v>
      </c>
      <c r="AE42" s="71" t="n">
        <f aca="false">SUM(AE33:AE41)</f>
        <v>28835.4166666667</v>
      </c>
      <c r="AF42" s="71" t="n">
        <f aca="false">SUM(AF33:AF41)</f>
        <v>27954.1666666667</v>
      </c>
      <c r="AG42" s="71" t="n">
        <f aca="false">SUM(AG33:AG41)</f>
        <v>27072.9166666667</v>
      </c>
      <c r="AH42" s="71" t="n">
        <f aca="false">SUM(AH33:AH41)</f>
        <v>26191.6666666667</v>
      </c>
      <c r="AI42" s="71" t="n">
        <f aca="false">SUM(AI33:AI41)</f>
        <v>25310.4166666667</v>
      </c>
      <c r="AJ42" s="71" t="n">
        <f aca="false">SUM(AJ33:AJ41)</f>
        <v>24429.1666666667</v>
      </c>
      <c r="AK42" s="71" t="n">
        <f aca="false">SUM(AK33:AK41)</f>
        <v>23547.9166666667</v>
      </c>
      <c r="AL42" s="71" t="n">
        <f aca="false">SUM(AL33:AL41)</f>
        <v>22666.6666666667</v>
      </c>
      <c r="AM42" s="71" t="n">
        <f aca="false">SUM(AM33:AM41)</f>
        <v>21785.4166666667</v>
      </c>
      <c r="AN42" s="71" t="n">
        <f aca="false">SUM(AN33:AN41)</f>
        <v>20904.1666666667</v>
      </c>
      <c r="AO42" s="65" t="n">
        <f aca="false">BA42</f>
        <v>14695.8333333333</v>
      </c>
      <c r="AP42" s="71" t="n">
        <f aca="false">SUM(AP33:AP41)</f>
        <v>25422.9166666667</v>
      </c>
      <c r="AQ42" s="71" t="n">
        <f aca="false">SUM(AQ33:AQ41)</f>
        <v>24383.3333333333</v>
      </c>
      <c r="AR42" s="71" t="n">
        <f aca="false">SUM(AR33:AR41)</f>
        <v>23343.75</v>
      </c>
      <c r="AS42" s="71" t="n">
        <f aca="false">SUM(AS33:AS41)</f>
        <v>22304.1666666667</v>
      </c>
      <c r="AT42" s="71" t="n">
        <f aca="false">SUM(AT33:AT41)</f>
        <v>21264.5833333333</v>
      </c>
      <c r="AU42" s="71" t="n">
        <f aca="false">SUM(AU33:AU41)</f>
        <v>20225</v>
      </c>
      <c r="AV42" s="71" t="n">
        <f aca="false">SUM(AV33:AV41)</f>
        <v>19185.4166666667</v>
      </c>
      <c r="AW42" s="71" t="n">
        <f aca="false">SUM(AW33:AW41)</f>
        <v>18187.5</v>
      </c>
      <c r="AX42" s="71" t="n">
        <f aca="false">SUM(AX33:AX41)</f>
        <v>17314.5833333333</v>
      </c>
      <c r="AY42" s="71" t="n">
        <f aca="false">SUM(AY33:AY41)</f>
        <v>16441.6666666667</v>
      </c>
      <c r="AZ42" s="71" t="n">
        <f aca="false">SUM(AZ33:AZ41)</f>
        <v>15568.75</v>
      </c>
      <c r="BA42" s="71" t="n">
        <f aca="false">SUM(BA33:BA41)</f>
        <v>14695.8333333333</v>
      </c>
      <c r="BB42" s="65" t="n">
        <f aca="false">BN42</f>
        <v>8250</v>
      </c>
      <c r="BC42" s="71" t="n">
        <f aca="false">SUM(BC33:BC41)</f>
        <v>19222.9166666667</v>
      </c>
      <c r="BD42" s="71" t="n">
        <f aca="false">SUM(BD33:BD41)</f>
        <v>18041.6666666667</v>
      </c>
      <c r="BE42" s="71" t="n">
        <f aca="false">SUM(BE33:BE41)</f>
        <v>16933.3333333333</v>
      </c>
      <c r="BF42" s="71" t="n">
        <f aca="false">SUM(BF33:BF41)</f>
        <v>15825</v>
      </c>
      <c r="BG42" s="71" t="n">
        <f aca="false">SUM(BG33:BG41)</f>
        <v>14716.6666666667</v>
      </c>
      <c r="BH42" s="71" t="n">
        <f aca="false">SUM(BH33:BH41)</f>
        <v>13650</v>
      </c>
      <c r="BI42" s="71" t="n">
        <f aca="false">SUM(BI33:BI41)</f>
        <v>12750</v>
      </c>
      <c r="BJ42" s="71" t="n">
        <f aca="false">SUM(BJ33:BJ41)</f>
        <v>11850</v>
      </c>
      <c r="BK42" s="71" t="n">
        <f aca="false">SUM(BK33:BK41)</f>
        <v>10950</v>
      </c>
      <c r="BL42" s="71" t="n">
        <f aca="false">SUM(BL33:BL41)</f>
        <v>10050</v>
      </c>
      <c r="BM42" s="71" t="n">
        <f aca="false">SUM(BM33:BM41)</f>
        <v>9150</v>
      </c>
      <c r="BN42" s="71" t="n">
        <f aca="false">SUM(BN33:BN41)</f>
        <v>8250</v>
      </c>
    </row>
    <row r="44" customFormat="false" ht="15" hidden="false" customHeight="false" outlineLevel="0" collapsed="false">
      <c r="A44" s="18" t="s">
        <v>798</v>
      </c>
      <c r="B44" s="65" t="n">
        <f aca="false">N44</f>
        <v>7045.83333333333</v>
      </c>
      <c r="C44" s="78" t="n">
        <f aca="false">C33+C34+C35+C36+C37+C38+C40+C41</f>
        <v>6200</v>
      </c>
      <c r="D44" s="78" t="n">
        <f aca="false">D33+D34+D35+D36+D37+D38+D40+D41</f>
        <v>9525</v>
      </c>
      <c r="E44" s="78" t="n">
        <f aca="false">E33+E34+E35+E36+E37+E38+E40+E41</f>
        <v>9277.08333333333</v>
      </c>
      <c r="F44" s="78" t="n">
        <f aca="false">F33+F34+F35+F36+F37+F38+F40+F41</f>
        <v>9029.16666666667</v>
      </c>
      <c r="G44" s="78" t="n">
        <f aca="false">G33+G34+G35+G36+G37+G38+G40+G41</f>
        <v>8781.25</v>
      </c>
      <c r="H44" s="78" t="n">
        <f aca="false">H33+H34+H35+H36+H37+H38+H40+H41</f>
        <v>8533.33333333333</v>
      </c>
      <c r="I44" s="78" t="n">
        <f aca="false">I33+I34+I35+I36+I37+I38+I40+I41</f>
        <v>8285.41666666667</v>
      </c>
      <c r="J44" s="78" t="n">
        <f aca="false">J33+J34+J35+J36+J37+J38+J40+J41</f>
        <v>8037.5</v>
      </c>
      <c r="K44" s="78" t="n">
        <f aca="false">K33+K34+K35+K36+K37+K38+K40+K41</f>
        <v>7789.58333333333</v>
      </c>
      <c r="L44" s="78" t="n">
        <f aca="false">L33+L34+L35+L36+L37+L38+L40+L41</f>
        <v>7541.66666666667</v>
      </c>
      <c r="M44" s="78" t="n">
        <f aca="false">M33+M34+M35+M36+M37+M38+M40+M41</f>
        <v>7293.75</v>
      </c>
      <c r="N44" s="78" t="n">
        <f aca="false">N33+N34+N35+N36+N37+N38+N40+N41</f>
        <v>7045.83333333333</v>
      </c>
      <c r="O44" s="65" t="n">
        <f aca="false">AA44</f>
        <v>6814.58333333333</v>
      </c>
      <c r="P44" s="78" t="n">
        <f aca="false">P33+P34+P35+P36+P37+P38+P40+P41</f>
        <v>10847.9166666667</v>
      </c>
      <c r="Q44" s="78" t="n">
        <f aca="false">Q33+Q34+Q35+Q36+Q37+Q38+Q40+Q41</f>
        <v>10481.25</v>
      </c>
      <c r="R44" s="78" t="n">
        <f aca="false">R33+R34+R35+R36+R37+R38+R40+R41</f>
        <v>10114.5833333333</v>
      </c>
      <c r="S44" s="78" t="n">
        <f aca="false">S33+S34+S35+S36+S37+S38+S40+S41</f>
        <v>9747.91666666667</v>
      </c>
      <c r="T44" s="78" t="n">
        <f aca="false">T33+T34+T35+T36+T37+T38+T40+T41</f>
        <v>9381.25</v>
      </c>
      <c r="U44" s="78" t="n">
        <f aca="false">U33+U34+U35+U36+U37+U38+U40+U41</f>
        <v>9014.58333333333</v>
      </c>
      <c r="V44" s="78" t="n">
        <f aca="false">V33+V34+V35+V36+V37+V38+V40+V41</f>
        <v>8647.91666666667</v>
      </c>
      <c r="W44" s="78" t="n">
        <f aca="false">W33+W34+W35+W36+W37+W38+W40+W41</f>
        <v>8281.25</v>
      </c>
      <c r="X44" s="78" t="n">
        <f aca="false">X33+X34+X35+X36+X37+X38+X40+X41</f>
        <v>7914.58333333333</v>
      </c>
      <c r="Y44" s="78" t="n">
        <f aca="false">Y33+Y34+Y35+Y36+Y37+Y38+Y40+Y41</f>
        <v>7547.91666666667</v>
      </c>
      <c r="Z44" s="78" t="n">
        <f aca="false">Z33+Z34+Z35+Z36+Z37+Z38+Z40+Z41</f>
        <v>7181.25</v>
      </c>
      <c r="AA44" s="78" t="n">
        <f aca="false">AA33+AA34+AA35+AA36+AA37+AA38+AA40+AA41</f>
        <v>6814.58333333333</v>
      </c>
      <c r="AB44" s="65" t="n">
        <f aca="false">AN44</f>
        <v>19237.5</v>
      </c>
      <c r="AC44" s="78" t="n">
        <f aca="false">AC33+AC34+AC35+AC36+AC37+AC38+AC40+AC41</f>
        <v>28197.9166666667</v>
      </c>
      <c r="AD44" s="78" t="n">
        <f aca="false">AD33+AD34+AD35+AD36+AD37+AD38+AD40+AD41</f>
        <v>27383.3333333333</v>
      </c>
      <c r="AE44" s="78" t="n">
        <f aca="false">AE33+AE34+AE35+AE36+AE37+AE38+AE40+AE41</f>
        <v>26568.75</v>
      </c>
      <c r="AF44" s="78" t="n">
        <f aca="false">AF33+AF34+AF35+AF36+AF37+AF38+AF40+AF41</f>
        <v>25754.1666666667</v>
      </c>
      <c r="AG44" s="78" t="n">
        <f aca="false">AG33+AG34+AG35+AG36+AG37+AG38+AG40+AG41</f>
        <v>24939.5833333333</v>
      </c>
      <c r="AH44" s="78" t="n">
        <f aca="false">AH33+AH34+AH35+AH36+AH37+AH38+AH40+AH41</f>
        <v>24125</v>
      </c>
      <c r="AI44" s="78" t="n">
        <f aca="false">AI33+AI34+AI35+AI36+AI37+AI38+AI40+AI41</f>
        <v>23310.4166666667</v>
      </c>
      <c r="AJ44" s="78" t="n">
        <f aca="false">AJ33+AJ34+AJ35+AJ36+AJ37+AJ38+AJ40+AJ41</f>
        <v>22495.8333333333</v>
      </c>
      <c r="AK44" s="78" t="n">
        <f aca="false">AK33+AK34+AK35+AK36+AK37+AK38+AK40+AK41</f>
        <v>21681.25</v>
      </c>
      <c r="AL44" s="78" t="n">
        <f aca="false">AL33+AL34+AL35+AL36+AL37+AL38+AL40+AL41</f>
        <v>20866.6666666667</v>
      </c>
      <c r="AM44" s="78" t="n">
        <f aca="false">AM33+AM34+AM35+AM36+AM37+AM38+AM40+AM41</f>
        <v>20052.0833333333</v>
      </c>
      <c r="AN44" s="78" t="n">
        <f aca="false">AN33+AN34+AN35+AN36+AN37+AN38+AN40+AN41</f>
        <v>19237.5</v>
      </c>
      <c r="AO44" s="65" t="n">
        <f aca="false">BA44</f>
        <v>13829.1666666667</v>
      </c>
      <c r="AP44" s="78" t="n">
        <f aca="false">AP33+AP34+AP35+AP36+AP37+AP38+AP40+AP41</f>
        <v>23822.9166666667</v>
      </c>
      <c r="AQ44" s="78" t="n">
        <f aca="false">AQ33+AQ34+AQ35+AQ36+AQ37+AQ38+AQ40+AQ41</f>
        <v>22850</v>
      </c>
      <c r="AR44" s="78" t="n">
        <f aca="false">AR33+AR34+AR35+AR36+AR37+AR38+AR40+AR41</f>
        <v>21877.0833333333</v>
      </c>
      <c r="AS44" s="78" t="n">
        <f aca="false">AS33+AS34+AS35+AS36+AS37+AS38+AS40+AS41</f>
        <v>20904.1666666667</v>
      </c>
      <c r="AT44" s="78" t="n">
        <f aca="false">AT33+AT34+AT35+AT36+AT37+AT38+AT40+AT41</f>
        <v>19931.25</v>
      </c>
      <c r="AU44" s="78" t="n">
        <f aca="false">AU33+AU34+AU35+AU36+AU37+AU38+AU40+AU41</f>
        <v>18958.3333333333</v>
      </c>
      <c r="AV44" s="78" t="n">
        <f aca="false">AV33+AV34+AV35+AV36+AV37+AV38+AV40+AV41</f>
        <v>17985.4166666667</v>
      </c>
      <c r="AW44" s="78" t="n">
        <f aca="false">AW33+AW34+AW35+AW36+AW37+AW38+AW40+AW41</f>
        <v>17054.1666666667</v>
      </c>
      <c r="AX44" s="78" t="n">
        <f aca="false">AX33+AX34+AX35+AX36+AX37+AX38+AX40+AX41</f>
        <v>16247.9166666667</v>
      </c>
      <c r="AY44" s="78" t="n">
        <f aca="false">AY33+AY34+AY35+AY36+AY37+AY38+AY40+AY41</f>
        <v>15441.6666666667</v>
      </c>
      <c r="AZ44" s="78" t="n">
        <f aca="false">AZ33+AZ34+AZ35+AZ36+AZ37+AZ38+AZ40+AZ41</f>
        <v>14635.4166666667</v>
      </c>
      <c r="BA44" s="78" t="n">
        <f aca="false">BA33+BA34+BA35+BA36+BA37+BA38+BA40+BA41</f>
        <v>13829.1666666667</v>
      </c>
      <c r="BB44" s="65" t="n">
        <f aca="false">BN44</f>
        <v>8183.33333333333</v>
      </c>
      <c r="BC44" s="78" t="n">
        <f aca="false">BC33+BC34+BC35+BC36+BC37+BC38+BC40+BC41</f>
        <v>18422.9166666667</v>
      </c>
      <c r="BD44" s="78" t="n">
        <f aca="false">BD33+BD34+BD35+BD36+BD37+BD38+BD40+BD41</f>
        <v>17308.3333333333</v>
      </c>
      <c r="BE44" s="78" t="n">
        <f aca="false">BE33+BE34+BE35+BE36+BE37+BE38+BE40+BE41</f>
        <v>16266.6666666667</v>
      </c>
      <c r="BF44" s="78" t="n">
        <f aca="false">BF33+BF34+BF35+BF36+BF37+BF38+BF40+BF41</f>
        <v>15225</v>
      </c>
      <c r="BG44" s="78" t="n">
        <f aca="false">BG33+BG34+BG35+BG36+BG37+BG38+BG40+BG41</f>
        <v>14183.3333333333</v>
      </c>
      <c r="BH44" s="78" t="n">
        <f aca="false">BH33+BH34+BH35+BH36+BH37+BH38+BH40+BH41</f>
        <v>13183.3333333333</v>
      </c>
      <c r="BI44" s="78" t="n">
        <f aca="false">BI33+BI34+BI35+BI36+BI37+BI38+BI40+BI41</f>
        <v>12350</v>
      </c>
      <c r="BJ44" s="78" t="n">
        <f aca="false">BJ33+BJ34+BJ35+BJ36+BJ37+BJ38+BJ40+BJ41</f>
        <v>11516.6666666667</v>
      </c>
      <c r="BK44" s="78" t="n">
        <f aca="false">BK33+BK34+BK35+BK36+BK37+BK38+BK40+BK41</f>
        <v>10683.3333333333</v>
      </c>
      <c r="BL44" s="78" t="n">
        <f aca="false">BL33+BL34+BL35+BL36+BL37+BL38+BL40+BL41</f>
        <v>9850</v>
      </c>
      <c r="BM44" s="78" t="n">
        <f aca="false">BM33+BM34+BM35+BM36+BM37+BM38+BM40+BM41</f>
        <v>9016.66666666666</v>
      </c>
      <c r="BN44" s="78" t="n">
        <f aca="false">BN33+BN34+BN35+BN36+BN37+BN38+BN40+BN41</f>
        <v>8183.33333333333</v>
      </c>
    </row>
    <row r="45" customFormat="false" ht="15" hidden="false" customHeight="false" outlineLevel="0" collapsed="false">
      <c r="A45" s="18" t="s">
        <v>799</v>
      </c>
      <c r="B45" s="65" t="n">
        <f aca="false">N45</f>
        <v>3266.66666666667</v>
      </c>
      <c r="C45" s="78" t="n">
        <f aca="false">C39</f>
        <v>4000</v>
      </c>
      <c r="D45" s="78" t="n">
        <f aca="false">D39</f>
        <v>3933.33333333333</v>
      </c>
      <c r="E45" s="78" t="n">
        <f aca="false">E39</f>
        <v>3866.66666666667</v>
      </c>
      <c r="F45" s="78" t="n">
        <f aca="false">F39</f>
        <v>3800</v>
      </c>
      <c r="G45" s="78" t="n">
        <f aca="false">G39</f>
        <v>3733.33333333333</v>
      </c>
      <c r="H45" s="78" t="n">
        <f aca="false">H39</f>
        <v>3666.66666666667</v>
      </c>
      <c r="I45" s="78" t="n">
        <f aca="false">I39</f>
        <v>3600</v>
      </c>
      <c r="J45" s="78" t="n">
        <f aca="false">J39</f>
        <v>3533.33333333333</v>
      </c>
      <c r="K45" s="78" t="n">
        <f aca="false">K39</f>
        <v>3466.66666666667</v>
      </c>
      <c r="L45" s="78" t="n">
        <f aca="false">L39</f>
        <v>3400</v>
      </c>
      <c r="M45" s="78" t="n">
        <f aca="false">M39</f>
        <v>3333.33333333333</v>
      </c>
      <c r="N45" s="78" t="n">
        <f aca="false">N39</f>
        <v>3266.66666666667</v>
      </c>
      <c r="O45" s="65" t="n">
        <f aca="false">AA45</f>
        <v>2466.66666666667</v>
      </c>
      <c r="P45" s="78" t="n">
        <f aca="false">P39</f>
        <v>3200</v>
      </c>
      <c r="Q45" s="78" t="n">
        <f aca="false">Q39</f>
        <v>3133.33333333333</v>
      </c>
      <c r="R45" s="78" t="n">
        <f aca="false">R39</f>
        <v>3066.66666666667</v>
      </c>
      <c r="S45" s="78" t="n">
        <f aca="false">S39</f>
        <v>3000</v>
      </c>
      <c r="T45" s="78" t="n">
        <f aca="false">T39</f>
        <v>2933.33333333333</v>
      </c>
      <c r="U45" s="78" t="n">
        <f aca="false">U39</f>
        <v>2866.66666666667</v>
      </c>
      <c r="V45" s="78" t="n">
        <f aca="false">V39</f>
        <v>2800</v>
      </c>
      <c r="W45" s="78" t="n">
        <f aca="false">W39</f>
        <v>2733.33333333333</v>
      </c>
      <c r="X45" s="78" t="n">
        <f aca="false">X39</f>
        <v>2666.66666666667</v>
      </c>
      <c r="Y45" s="78" t="n">
        <f aca="false">Y39</f>
        <v>2600</v>
      </c>
      <c r="Z45" s="78" t="n">
        <f aca="false">Z39</f>
        <v>2533.33333333333</v>
      </c>
      <c r="AA45" s="78" t="n">
        <f aca="false">AA39</f>
        <v>2466.66666666667</v>
      </c>
      <c r="AB45" s="65" t="n">
        <f aca="false">AN45</f>
        <v>1666.66666666667</v>
      </c>
      <c r="AC45" s="78" t="n">
        <f aca="false">AC39</f>
        <v>2400</v>
      </c>
      <c r="AD45" s="78" t="n">
        <f aca="false">AD39</f>
        <v>2333.33333333333</v>
      </c>
      <c r="AE45" s="78" t="n">
        <f aca="false">AE39</f>
        <v>2266.66666666667</v>
      </c>
      <c r="AF45" s="78" t="n">
        <f aca="false">AF39</f>
        <v>2200</v>
      </c>
      <c r="AG45" s="78" t="n">
        <f aca="false">AG39</f>
        <v>2133.33333333333</v>
      </c>
      <c r="AH45" s="78" t="n">
        <f aca="false">AH39</f>
        <v>2066.66666666667</v>
      </c>
      <c r="AI45" s="78" t="n">
        <f aca="false">AI39</f>
        <v>2000</v>
      </c>
      <c r="AJ45" s="78" t="n">
        <f aca="false">AJ39</f>
        <v>1933.33333333333</v>
      </c>
      <c r="AK45" s="78" t="n">
        <f aca="false">AK39</f>
        <v>1866.66666666667</v>
      </c>
      <c r="AL45" s="78" t="n">
        <f aca="false">AL39</f>
        <v>1800</v>
      </c>
      <c r="AM45" s="78" t="n">
        <f aca="false">AM39</f>
        <v>1733.33333333333</v>
      </c>
      <c r="AN45" s="78" t="n">
        <f aca="false">AN39</f>
        <v>1666.66666666667</v>
      </c>
      <c r="AO45" s="65" t="n">
        <f aca="false">BA45</f>
        <v>866.666666666668</v>
      </c>
      <c r="AP45" s="78" t="n">
        <f aca="false">AP39</f>
        <v>1600</v>
      </c>
      <c r="AQ45" s="78" t="n">
        <f aca="false">AQ39</f>
        <v>1533.33333333333</v>
      </c>
      <c r="AR45" s="78" t="n">
        <f aca="false">AR39</f>
        <v>1466.66666666667</v>
      </c>
      <c r="AS45" s="78" t="n">
        <f aca="false">AS39</f>
        <v>1400</v>
      </c>
      <c r="AT45" s="78" t="n">
        <f aca="false">AT39</f>
        <v>1333.33333333333</v>
      </c>
      <c r="AU45" s="78" t="n">
        <f aca="false">AU39</f>
        <v>1266.66666666667</v>
      </c>
      <c r="AV45" s="78" t="n">
        <f aca="false">AV39</f>
        <v>1200</v>
      </c>
      <c r="AW45" s="78" t="n">
        <f aca="false">AW39</f>
        <v>1133.33333333333</v>
      </c>
      <c r="AX45" s="78" t="n">
        <f aca="false">AX39</f>
        <v>1066.66666666667</v>
      </c>
      <c r="AY45" s="78" t="n">
        <f aca="false">AY39</f>
        <v>1000</v>
      </c>
      <c r="AZ45" s="78" t="n">
        <f aca="false">AZ39</f>
        <v>933.333333333335</v>
      </c>
      <c r="BA45" s="78" t="n">
        <f aca="false">BA39</f>
        <v>866.666666666668</v>
      </c>
      <c r="BB45" s="65" t="n">
        <f aca="false">BN45</f>
        <v>66.6666666666702</v>
      </c>
      <c r="BC45" s="78" t="n">
        <f aca="false">BC39</f>
        <v>800.000000000002</v>
      </c>
      <c r="BD45" s="78" t="n">
        <f aca="false">BD39</f>
        <v>733.333333333335</v>
      </c>
      <c r="BE45" s="78" t="n">
        <f aca="false">BE39</f>
        <v>666.666666666669</v>
      </c>
      <c r="BF45" s="78" t="n">
        <f aca="false">BF39</f>
        <v>600.000000000002</v>
      </c>
      <c r="BG45" s="78" t="n">
        <f aca="false">BG39</f>
        <v>533.333333333336</v>
      </c>
      <c r="BH45" s="78" t="n">
        <f aca="false">BH39</f>
        <v>466.666666666669</v>
      </c>
      <c r="BI45" s="78" t="n">
        <f aca="false">BI39</f>
        <v>400.000000000003</v>
      </c>
      <c r="BJ45" s="78" t="n">
        <f aca="false">BJ39</f>
        <v>333.333333333336</v>
      </c>
      <c r="BK45" s="78" t="n">
        <f aca="false">BK39</f>
        <v>266.66666666667</v>
      </c>
      <c r="BL45" s="78" t="n">
        <f aca="false">BL39</f>
        <v>200.000000000003</v>
      </c>
      <c r="BM45" s="78" t="n">
        <f aca="false">BM39</f>
        <v>133.333333333337</v>
      </c>
      <c r="BN45" s="78" t="n">
        <f aca="false">BN39</f>
        <v>66.6666666666702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617</v>
      </c>
    </row>
    <row r="2" customFormat="false" ht="13.5" hidden="false" customHeight="true" outlineLevel="0" collapsed="false">
      <c r="A2" s="6" t="s">
        <v>800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801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802</v>
      </c>
      <c r="B7" s="65" t="n">
        <f aca="false">SUM(C7:N7)</f>
        <v>16800</v>
      </c>
      <c r="C7" s="66" t="n">
        <f aca="false">('Revenue Streams'!C$7+'Revenue Streams'!C$8+'Revenue Streams'!C$9)*'Assumption Setting'!$C$136*'Assumption Setting'!$C$137*'Assumption Setting'!$C$138</f>
        <v>1008</v>
      </c>
      <c r="D7" s="66" t="n">
        <f aca="false">('Revenue Streams'!D$7+'Revenue Streams'!D$8+'Revenue Streams'!D$9)*'Assumption Setting'!$C$136*'Assumption Setting'!$C$137*'Assumption Setting'!$C$138</f>
        <v>1188</v>
      </c>
      <c r="E7" s="66" t="n">
        <f aca="false">('Revenue Streams'!E$7+'Revenue Streams'!E$8+'Revenue Streams'!E$9)*'Assumption Setting'!$C$136*'Assumption Setting'!$C$137*'Assumption Setting'!$C$138</f>
        <v>1404</v>
      </c>
      <c r="F7" s="66" t="n">
        <f aca="false">('Revenue Streams'!F$7+'Revenue Streams'!F$8+'Revenue Streams'!F$9)*'Assumption Setting'!$C$136*'Assumption Setting'!$C$137*'Assumption Setting'!$C$138</f>
        <v>1008</v>
      </c>
      <c r="G7" s="66" t="n">
        <f aca="false">('Revenue Streams'!G$7+'Revenue Streams'!G$8+'Revenue Streams'!G$9)*'Assumption Setting'!$C$136*'Assumption Setting'!$C$137*'Assumption Setting'!$C$138</f>
        <v>1188</v>
      </c>
      <c r="H7" s="66" t="n">
        <f aca="false">('Revenue Streams'!H$7+'Revenue Streams'!H$8+'Revenue Streams'!H$9)*'Assumption Setting'!$C$136*'Assumption Setting'!$C$137*'Assumption Setting'!$C$138</f>
        <v>1404</v>
      </c>
      <c r="I7" s="66" t="n">
        <f aca="false">('Revenue Streams'!I$7+'Revenue Streams'!I$8+'Revenue Streams'!I$9)*'Assumption Setting'!$C$136*'Assumption Setting'!$C$137*'Assumption Setting'!$C$138</f>
        <v>1344</v>
      </c>
      <c r="J7" s="66" t="n">
        <f aca="false">('Revenue Streams'!J$7+'Revenue Streams'!J$8+'Revenue Streams'!J$9)*'Assumption Setting'!$C$136*'Assumption Setting'!$C$137*'Assumption Setting'!$C$138</f>
        <v>1584</v>
      </c>
      <c r="K7" s="66" t="n">
        <f aca="false">('Revenue Streams'!K$7+'Revenue Streams'!K$8+'Revenue Streams'!K$9)*'Assumption Setting'!$C$136*'Assumption Setting'!$C$137*'Assumption Setting'!$C$138</f>
        <v>1872</v>
      </c>
      <c r="L7" s="66" t="n">
        <f aca="false">('Revenue Streams'!L$7+'Revenue Streams'!L$8+'Revenue Streams'!L$9)*'Assumption Setting'!$C$136*'Assumption Setting'!$C$137*'Assumption Setting'!$C$138</f>
        <v>1344</v>
      </c>
      <c r="M7" s="66" t="n">
        <f aca="false">('Revenue Streams'!M$7+'Revenue Streams'!M$8+'Revenue Streams'!M$9)*'Assumption Setting'!$C$136*'Assumption Setting'!$C$137*'Assumption Setting'!$C$138</f>
        <v>1584</v>
      </c>
      <c r="N7" s="66" t="n">
        <f aca="false">('Revenue Streams'!N$7+'Revenue Streams'!N$8+'Revenue Streams'!N$9)*'Assumption Setting'!$C$136*'Assumption Setting'!$C$137*'Assumption Setting'!$C$138</f>
        <v>1872</v>
      </c>
      <c r="O7" s="65" t="n">
        <f aca="false">SUM(P7:AA7)</f>
        <v>47520</v>
      </c>
      <c r="P7" s="66" t="n">
        <f aca="false">('Revenue Streams'!P$7+'Revenue Streams'!P$8+'Revenue Streams'!P$9)*'Assumption Setting'!$D$136*'Assumption Setting'!$C$137*'Assumption Setting'!$C$138</f>
        <v>2217.6</v>
      </c>
      <c r="Q7" s="66" t="n">
        <f aca="false">('Revenue Streams'!Q$7+'Revenue Streams'!Q$8+'Revenue Streams'!Q$9)*'Assumption Setting'!$D$136*'Assumption Setting'!$C$137*'Assumption Setting'!$C$138</f>
        <v>2613.6</v>
      </c>
      <c r="R7" s="66" t="n">
        <f aca="false">('Revenue Streams'!R$7+'Revenue Streams'!R$8+'Revenue Streams'!R$9)*'Assumption Setting'!$D$136*'Assumption Setting'!$C$137*'Assumption Setting'!$C$138</f>
        <v>3088.8</v>
      </c>
      <c r="S7" s="66" t="n">
        <f aca="false">('Revenue Streams'!S$7+'Revenue Streams'!S$8+'Revenue Streams'!S$9)*'Assumption Setting'!$D$136*'Assumption Setting'!$C$137*'Assumption Setting'!$C$138</f>
        <v>2956.8</v>
      </c>
      <c r="T7" s="66" t="n">
        <f aca="false">('Revenue Streams'!T$7+'Revenue Streams'!T$8+'Revenue Streams'!T$9)*'Assumption Setting'!$D$136*'Assumption Setting'!$C$137*'Assumption Setting'!$C$138</f>
        <v>3484.8</v>
      </c>
      <c r="U7" s="66" t="n">
        <f aca="false">('Revenue Streams'!U$7+'Revenue Streams'!U$8+'Revenue Streams'!U$9)*'Assumption Setting'!$D$136*'Assumption Setting'!$C$137*'Assumption Setting'!$C$138</f>
        <v>4118.4</v>
      </c>
      <c r="V7" s="66" t="n">
        <f aca="false">('Revenue Streams'!V$7+'Revenue Streams'!V$8+'Revenue Streams'!V$9)*'Assumption Setting'!$D$136*'Assumption Setting'!$C$137*'Assumption Setting'!$C$138</f>
        <v>3696</v>
      </c>
      <c r="W7" s="66" t="n">
        <f aca="false">('Revenue Streams'!W$7+'Revenue Streams'!W$8+'Revenue Streams'!W$9)*'Assumption Setting'!$D$136*'Assumption Setting'!$C$137*'Assumption Setting'!$C$138</f>
        <v>4356</v>
      </c>
      <c r="X7" s="66" t="n">
        <f aca="false">('Revenue Streams'!X$7+'Revenue Streams'!X$8+'Revenue Streams'!X$9)*'Assumption Setting'!$D$136*'Assumption Setting'!$C$137*'Assumption Setting'!$C$138</f>
        <v>5148</v>
      </c>
      <c r="Y7" s="66" t="n">
        <f aca="false">('Revenue Streams'!Y$7+'Revenue Streams'!Y$8+'Revenue Streams'!Y$9)*'Assumption Setting'!$D$136*'Assumption Setting'!$C$137*'Assumption Setting'!$C$138</f>
        <v>4435.2</v>
      </c>
      <c r="Z7" s="66" t="n">
        <f aca="false">('Revenue Streams'!Z$7+'Revenue Streams'!Z$8+'Revenue Streams'!Z$9)*'Assumption Setting'!$D$136*'Assumption Setting'!$C$137*'Assumption Setting'!$C$138</f>
        <v>5227.2</v>
      </c>
      <c r="AA7" s="66" t="n">
        <f aca="false">('Revenue Streams'!AA$7+'Revenue Streams'!AA$8+'Revenue Streams'!AA$9)*'Assumption Setting'!$D$136*'Assumption Setting'!$C$137*'Assumption Setting'!$C$138</f>
        <v>6177.6</v>
      </c>
      <c r="AB7" s="65" t="n">
        <f aca="false">SUM(AC7:AN7)</f>
        <v>118080</v>
      </c>
      <c r="AC7" s="66" t="n">
        <f aca="false">('Revenue Streams'!AC$7+'Revenue Streams'!AC$8+'Revenue Streams'!AC$9)*'Assumption Setting'!$E$136*'Assumption Setting'!$C$137*'Assumption Setting'!$C$138</f>
        <v>6451.2</v>
      </c>
      <c r="AD7" s="66" t="n">
        <f aca="false">('Revenue Streams'!AD$7+'Revenue Streams'!AD$8+'Revenue Streams'!AD$9)*'Assumption Setting'!$E$136*'Assumption Setting'!$C$137*'Assumption Setting'!$C$138</f>
        <v>7603.2</v>
      </c>
      <c r="AE7" s="66" t="n">
        <f aca="false">('Revenue Streams'!AE$7+'Revenue Streams'!AE$8+'Revenue Streams'!AE$9)*'Assumption Setting'!$E$136*'Assumption Setting'!$C$137*'Assumption Setting'!$C$138</f>
        <v>8985.6</v>
      </c>
      <c r="AF7" s="66" t="n">
        <f aca="false">('Revenue Streams'!AF$7+'Revenue Streams'!AF$8+'Revenue Streams'!AF$9)*'Assumption Setting'!$E$136*'Assumption Setting'!$C$137*'Assumption Setting'!$C$138</f>
        <v>7660.8</v>
      </c>
      <c r="AG7" s="66" t="n">
        <f aca="false">('Revenue Streams'!AG$7+'Revenue Streams'!AG$8+'Revenue Streams'!AG$9)*'Assumption Setting'!$E$136*'Assumption Setting'!$C$137*'Assumption Setting'!$C$138</f>
        <v>9028.8</v>
      </c>
      <c r="AH7" s="66" t="n">
        <f aca="false">('Revenue Streams'!AH$7+'Revenue Streams'!AH$8+'Revenue Streams'!AH$9)*'Assumption Setting'!$E$136*'Assumption Setting'!$C$137*'Assumption Setting'!$C$138</f>
        <v>10670.4</v>
      </c>
      <c r="AI7" s="66" t="n">
        <f aca="false">('Revenue Streams'!AI$7+'Revenue Streams'!AI$8+'Revenue Streams'!AI$9)*'Assumption Setting'!$E$136*'Assumption Setting'!$C$137*'Assumption Setting'!$C$138</f>
        <v>8870.4</v>
      </c>
      <c r="AJ7" s="66" t="n">
        <f aca="false">('Revenue Streams'!AJ$7+'Revenue Streams'!AJ$8+'Revenue Streams'!AJ$9)*'Assumption Setting'!$E$136*'Assumption Setting'!$C$137*'Assumption Setting'!$C$138</f>
        <v>10454.4</v>
      </c>
      <c r="AK7" s="66" t="n">
        <f aca="false">('Revenue Streams'!AK$7+'Revenue Streams'!AK$8+'Revenue Streams'!AK$9)*'Assumption Setting'!$E$136*'Assumption Setting'!$C$137*'Assumption Setting'!$C$138</f>
        <v>12355.2</v>
      </c>
      <c r="AL7" s="66" t="n">
        <f aca="false">('Revenue Streams'!AL$7+'Revenue Streams'!AL$8+'Revenue Streams'!AL$9)*'Assumption Setting'!$E$136*'Assumption Setting'!$C$137*'Assumption Setting'!$C$138</f>
        <v>10080</v>
      </c>
      <c r="AM7" s="66" t="n">
        <f aca="false">('Revenue Streams'!AM$7+'Revenue Streams'!AM$8+'Revenue Streams'!AM$9)*'Assumption Setting'!$E$136*'Assumption Setting'!$C$137*'Assumption Setting'!$C$138</f>
        <v>11880</v>
      </c>
      <c r="AN7" s="66" t="n">
        <f aca="false">('Revenue Streams'!AN$7+'Revenue Streams'!AN$8+'Revenue Streams'!AN$9)*'Assumption Setting'!$E$136*'Assumption Setting'!$C$137*'Assumption Setting'!$C$138</f>
        <v>14040</v>
      </c>
      <c r="AO7" s="65" t="n">
        <f aca="false">SUM(AP7:BA7)</f>
        <v>195000</v>
      </c>
      <c r="AP7" s="66" t="n">
        <f aca="false">('Revenue Streams'!AP$7+'Revenue Streams'!AP$8+'Revenue Streams'!AP$9)*'Assumption Setting'!$F$136*'Assumption Setting'!$C$137*'Assumption Setting'!$C$138</f>
        <v>11760</v>
      </c>
      <c r="AQ7" s="66" t="n">
        <f aca="false">('Revenue Streams'!AQ$7+'Revenue Streams'!AQ$8+'Revenue Streams'!AQ$9)*'Assumption Setting'!$F$136*'Assumption Setting'!$C$137*'Assumption Setting'!$C$138</f>
        <v>13860</v>
      </c>
      <c r="AR7" s="66" t="n">
        <f aca="false">('Revenue Streams'!AR$7+'Revenue Streams'!AR$8+'Revenue Streams'!AR$9)*'Assumption Setting'!$F$136*'Assumption Setting'!$C$137*'Assumption Setting'!$C$138</f>
        <v>16380</v>
      </c>
      <c r="AS7" s="66" t="n">
        <f aca="false">('Revenue Streams'!AS$7+'Revenue Streams'!AS$8+'Revenue Streams'!AS$9)*'Assumption Setting'!$F$136*'Assumption Setting'!$C$137*'Assumption Setting'!$C$138</f>
        <v>13020</v>
      </c>
      <c r="AT7" s="66" t="n">
        <f aca="false">('Revenue Streams'!AT$7+'Revenue Streams'!AT$8+'Revenue Streams'!AT$9)*'Assumption Setting'!$F$136*'Assumption Setting'!$C$137*'Assumption Setting'!$C$138</f>
        <v>15345</v>
      </c>
      <c r="AU7" s="66" t="n">
        <f aca="false">('Revenue Streams'!AU$7+'Revenue Streams'!AU$8+'Revenue Streams'!AU$9)*'Assumption Setting'!$F$136*'Assumption Setting'!$C$137*'Assumption Setting'!$C$138</f>
        <v>18135</v>
      </c>
      <c r="AV7" s="66" t="n">
        <f aca="false">('Revenue Streams'!AV$7+'Revenue Streams'!AV$8+'Revenue Streams'!AV$9)*'Assumption Setting'!$F$136*'Assumption Setting'!$C$137*'Assumption Setting'!$C$138</f>
        <v>14280</v>
      </c>
      <c r="AW7" s="66" t="n">
        <f aca="false">('Revenue Streams'!AW$7+'Revenue Streams'!AW$8+'Revenue Streams'!AW$9)*'Assumption Setting'!$F$136*'Assumption Setting'!$C$137*'Assumption Setting'!$C$138</f>
        <v>16830</v>
      </c>
      <c r="AX7" s="66" t="n">
        <f aca="false">('Revenue Streams'!AX$7+'Revenue Streams'!AX$8+'Revenue Streams'!AX$9)*'Assumption Setting'!$F$136*'Assumption Setting'!$C$137*'Assumption Setting'!$C$138</f>
        <v>19890</v>
      </c>
      <c r="AY7" s="66" t="n">
        <f aca="false">('Revenue Streams'!AY$7+'Revenue Streams'!AY$8+'Revenue Streams'!AY$9)*'Assumption Setting'!$F$136*'Assumption Setting'!$C$137*'Assumption Setting'!$C$138</f>
        <v>15540</v>
      </c>
      <c r="AZ7" s="66" t="n">
        <f aca="false">('Revenue Streams'!AZ$7+'Revenue Streams'!AZ$8+'Revenue Streams'!AZ$9)*'Assumption Setting'!$F$136*'Assumption Setting'!$C$137*'Assumption Setting'!$C$138</f>
        <v>18315</v>
      </c>
      <c r="BA7" s="66" t="n">
        <f aca="false">('Revenue Streams'!BA$7+'Revenue Streams'!BA$8+'Revenue Streams'!BA$9)*'Assumption Setting'!$F$136*'Assumption Setting'!$C$137*'Assumption Setting'!$C$138</f>
        <v>21645</v>
      </c>
      <c r="BB7" s="65" t="n">
        <f aca="false">SUM(BC7:BN7)</f>
        <v>277680</v>
      </c>
      <c r="BC7" s="66" t="n">
        <f aca="false">('Revenue Streams'!BC$7+'Revenue Streams'!BC$8+'Revenue Streams'!BC$9)*'Assumption Setting'!$G$136*'Assumption Setting'!$C$137*'Assumption Setting'!$C$138</f>
        <v>17472</v>
      </c>
      <c r="BD7" s="66" t="n">
        <f aca="false">('Revenue Streams'!BD$7+'Revenue Streams'!BD$8+'Revenue Streams'!BD$9)*'Assumption Setting'!$G$136*'Assumption Setting'!$C$137*'Assumption Setting'!$C$138</f>
        <v>20592</v>
      </c>
      <c r="BE7" s="66" t="n">
        <f aca="false">('Revenue Streams'!BE$7+'Revenue Streams'!BE$8+'Revenue Streams'!BE$9)*'Assumption Setting'!$G$136*'Assumption Setting'!$C$137*'Assumption Setting'!$C$138</f>
        <v>24336</v>
      </c>
      <c r="BF7" s="66" t="n">
        <f aca="false">('Revenue Streams'!BF$7+'Revenue Streams'!BF$8+'Revenue Streams'!BF$9)*'Assumption Setting'!$G$136*'Assumption Setting'!$C$137*'Assumption Setting'!$C$138</f>
        <v>18782.4</v>
      </c>
      <c r="BG7" s="66" t="n">
        <f aca="false">('Revenue Streams'!BG$7+'Revenue Streams'!BG$8+'Revenue Streams'!BG$9)*'Assumption Setting'!$G$136*'Assumption Setting'!$C$137*'Assumption Setting'!$C$138</f>
        <v>22136.4</v>
      </c>
      <c r="BH7" s="66" t="n">
        <f aca="false">('Revenue Streams'!BH$7+'Revenue Streams'!BH$8+'Revenue Streams'!BH$9)*'Assumption Setting'!$G$136*'Assumption Setting'!$C$137*'Assumption Setting'!$C$138</f>
        <v>26161.2</v>
      </c>
      <c r="BI7" s="66" t="n">
        <f aca="false">('Revenue Streams'!BI$7+'Revenue Streams'!BI$8+'Revenue Streams'!BI$9)*'Assumption Setting'!$G$136*'Assumption Setting'!$C$137*'Assumption Setting'!$C$138</f>
        <v>20092.8</v>
      </c>
      <c r="BJ7" s="66" t="n">
        <f aca="false">('Revenue Streams'!BJ$7+'Revenue Streams'!BJ$8+'Revenue Streams'!BJ$9)*'Assumption Setting'!$G$136*'Assumption Setting'!$C$137*'Assumption Setting'!$C$138</f>
        <v>23680.8</v>
      </c>
      <c r="BK7" s="66" t="n">
        <f aca="false">('Revenue Streams'!BK$7+'Revenue Streams'!BK$8+'Revenue Streams'!BK$9)*'Assumption Setting'!$G$136*'Assumption Setting'!$C$137*'Assumption Setting'!$C$138</f>
        <v>27986.4</v>
      </c>
      <c r="BL7" s="66" t="n">
        <f aca="false">('Revenue Streams'!BL$7+'Revenue Streams'!BL$8+'Revenue Streams'!BL$9)*'Assumption Setting'!$G$136*'Assumption Setting'!$C$137*'Assumption Setting'!$C$138</f>
        <v>21403.2</v>
      </c>
      <c r="BM7" s="66" t="n">
        <f aca="false">('Revenue Streams'!BM$7+'Revenue Streams'!BM$8+'Revenue Streams'!BM$9)*'Assumption Setting'!$G$136*'Assumption Setting'!$C$137*'Assumption Setting'!$C$138</f>
        <v>25225.2</v>
      </c>
      <c r="BN7" s="66" t="n">
        <f aca="false">('Revenue Streams'!BN$7+'Revenue Streams'!BN$8+'Revenue Streams'!BN$9)*'Assumption Setting'!$G$136*'Assumption Setting'!$C$137*'Assumption Setting'!$C$138</f>
        <v>29811.6</v>
      </c>
    </row>
    <row r="8" customFormat="false" ht="15" hidden="false" customHeight="false" outlineLevel="0" collapsed="false">
      <c r="A8" s="12" t="s">
        <v>803</v>
      </c>
      <c r="B8" s="65" t="n">
        <f aca="false">SUM(C8:N8)</f>
        <v>0</v>
      </c>
      <c r="C8" s="66" t="n">
        <f aca="false">'Revenue Streams'!C$11*'Assumption Setting'!$C$136*'Assumption Setting'!$C$137*'Assumption Setting'!$C$139</f>
        <v>0</v>
      </c>
      <c r="D8" s="66" t="n">
        <f aca="false">'Revenue Streams'!D$11*'Assumption Setting'!$C$136*'Assumption Setting'!$C$137*'Assumption Setting'!$C$139</f>
        <v>0</v>
      </c>
      <c r="E8" s="66" t="n">
        <f aca="false">'Revenue Streams'!E$11*'Assumption Setting'!$C$136*'Assumption Setting'!$C$137*'Assumption Setting'!$C$139</f>
        <v>0</v>
      </c>
      <c r="F8" s="66" t="n">
        <f aca="false">'Revenue Streams'!F$11*'Assumption Setting'!$C$136*'Assumption Setting'!$C$137*'Assumption Setting'!$C$139</f>
        <v>0</v>
      </c>
      <c r="G8" s="66" t="n">
        <f aca="false">'Revenue Streams'!G$11*'Assumption Setting'!$C$136*'Assumption Setting'!$C$137*'Assumption Setting'!$C$139</f>
        <v>0</v>
      </c>
      <c r="H8" s="66" t="n">
        <f aca="false">'Revenue Streams'!H$11*'Assumption Setting'!$C$136*'Assumption Setting'!$C$137*'Assumption Setting'!$C$139</f>
        <v>0</v>
      </c>
      <c r="I8" s="66" t="n">
        <f aca="false">'Revenue Streams'!I$11*'Assumption Setting'!$C$136*'Assumption Setting'!$C$137*'Assumption Setting'!$C$139</f>
        <v>0</v>
      </c>
      <c r="J8" s="66" t="n">
        <f aca="false">'Revenue Streams'!J$11*'Assumption Setting'!$C$136*'Assumption Setting'!$C$137*'Assumption Setting'!$C$139</f>
        <v>0</v>
      </c>
      <c r="K8" s="66" t="n">
        <f aca="false">'Revenue Streams'!K$11*'Assumption Setting'!$C$136*'Assumption Setting'!$C$137*'Assumption Setting'!$C$139</f>
        <v>0</v>
      </c>
      <c r="L8" s="66" t="n">
        <f aca="false">'Revenue Streams'!L$11*'Assumption Setting'!$C$136*'Assumption Setting'!$C$137*'Assumption Setting'!$C$139</f>
        <v>0</v>
      </c>
      <c r="M8" s="66" t="n">
        <f aca="false">'Revenue Streams'!M$11*'Assumption Setting'!$C$136*'Assumption Setting'!$C$137*'Assumption Setting'!$C$139</f>
        <v>0</v>
      </c>
      <c r="N8" s="66" t="n">
        <f aca="false">'Revenue Streams'!N$11*'Assumption Setting'!$C$136*'Assumption Setting'!$C$137*'Assumption Setting'!$C$139</f>
        <v>0</v>
      </c>
      <c r="O8" s="65" t="n">
        <f aca="false">SUM(P8:AA8)</f>
        <v>7920</v>
      </c>
      <c r="P8" s="66" t="n">
        <f aca="false">'Revenue Streams'!P$11*'Assumption Setting'!$D$136*'Assumption Setting'!$C$137*'Assumption Setting'!$C$139</f>
        <v>0</v>
      </c>
      <c r="Q8" s="66" t="n">
        <f aca="false">'Revenue Streams'!Q$11*'Assumption Setting'!$D$136*'Assumption Setting'!$C$137*'Assumption Setting'!$C$139</f>
        <v>0</v>
      </c>
      <c r="R8" s="66" t="n">
        <f aca="false">'Revenue Streams'!R$11*'Assumption Setting'!$D$136*'Assumption Setting'!$C$137*'Assumption Setting'!$C$139</f>
        <v>0</v>
      </c>
      <c r="S8" s="66" t="n">
        <f aca="false">'Revenue Streams'!S$11*'Assumption Setting'!$D$136*'Assumption Setting'!$C$137*'Assumption Setting'!$C$139</f>
        <v>492.8</v>
      </c>
      <c r="T8" s="66" t="n">
        <f aca="false">'Revenue Streams'!T$11*'Assumption Setting'!$D$136*'Assumption Setting'!$C$137*'Assumption Setting'!$C$139</f>
        <v>580.8</v>
      </c>
      <c r="U8" s="66" t="n">
        <f aca="false">'Revenue Streams'!U$11*'Assumption Setting'!$D$136*'Assumption Setting'!$C$137*'Assumption Setting'!$C$139</f>
        <v>686.4</v>
      </c>
      <c r="V8" s="66" t="n">
        <f aca="false">'Revenue Streams'!V$11*'Assumption Setting'!$D$136*'Assumption Setting'!$C$137*'Assumption Setting'!$C$139</f>
        <v>739.2</v>
      </c>
      <c r="W8" s="66" t="n">
        <f aca="false">'Revenue Streams'!W$11*'Assumption Setting'!$D$136*'Assumption Setting'!$C$137*'Assumption Setting'!$C$139</f>
        <v>871.2</v>
      </c>
      <c r="X8" s="66" t="n">
        <f aca="false">'Revenue Streams'!X$11*'Assumption Setting'!$D$136*'Assumption Setting'!$C$137*'Assumption Setting'!$C$139</f>
        <v>1029.6</v>
      </c>
      <c r="Y8" s="66" t="n">
        <f aca="false">'Revenue Streams'!Y$11*'Assumption Setting'!$D$136*'Assumption Setting'!$C$137*'Assumption Setting'!$C$139</f>
        <v>985.6</v>
      </c>
      <c r="Z8" s="66" t="n">
        <f aca="false">'Revenue Streams'!Z$11*'Assumption Setting'!$D$136*'Assumption Setting'!$C$137*'Assumption Setting'!$C$139</f>
        <v>1161.6</v>
      </c>
      <c r="AA8" s="66" t="n">
        <f aca="false">'Revenue Streams'!AA$11*'Assumption Setting'!$D$136*'Assumption Setting'!$C$137*'Assumption Setting'!$C$139</f>
        <v>1372.8</v>
      </c>
      <c r="AB8" s="65" t="n">
        <f aca="false">SUM(AC8:AN8)</f>
        <v>34560</v>
      </c>
      <c r="AC8" s="66" t="n">
        <f aca="false">'Revenue Streams'!AC$11*'Assumption Setting'!$E$136*'Assumption Setting'!$C$137*'Assumption Setting'!$C$139</f>
        <v>1612.8</v>
      </c>
      <c r="AD8" s="66" t="n">
        <f aca="false">'Revenue Streams'!AD$11*'Assumption Setting'!$E$136*'Assumption Setting'!$C$137*'Assumption Setting'!$C$139</f>
        <v>1900.8</v>
      </c>
      <c r="AE8" s="66" t="n">
        <f aca="false">'Revenue Streams'!AE$11*'Assumption Setting'!$E$136*'Assumption Setting'!$C$137*'Assumption Setting'!$C$139</f>
        <v>2246.4</v>
      </c>
      <c r="AF8" s="66" t="n">
        <f aca="false">'Revenue Streams'!AF$11*'Assumption Setting'!$E$136*'Assumption Setting'!$C$137*'Assumption Setting'!$C$139</f>
        <v>2150.4</v>
      </c>
      <c r="AG8" s="66" t="n">
        <f aca="false">'Revenue Streams'!AG$11*'Assumption Setting'!$E$136*'Assumption Setting'!$C$137*'Assumption Setting'!$C$139</f>
        <v>2534.4</v>
      </c>
      <c r="AH8" s="66" t="n">
        <f aca="false">'Revenue Streams'!AH$11*'Assumption Setting'!$E$136*'Assumption Setting'!$C$137*'Assumption Setting'!$C$139</f>
        <v>2995.2</v>
      </c>
      <c r="AI8" s="66" t="n">
        <f aca="false">'Revenue Streams'!AI$11*'Assumption Setting'!$E$136*'Assumption Setting'!$C$137*'Assumption Setting'!$C$139</f>
        <v>2688</v>
      </c>
      <c r="AJ8" s="66" t="n">
        <f aca="false">'Revenue Streams'!AJ$11*'Assumption Setting'!$E$136*'Assumption Setting'!$C$137*'Assumption Setting'!$C$139</f>
        <v>3168</v>
      </c>
      <c r="AK8" s="66" t="n">
        <f aca="false">'Revenue Streams'!AK$11*'Assumption Setting'!$E$136*'Assumption Setting'!$C$137*'Assumption Setting'!$C$139</f>
        <v>3744</v>
      </c>
      <c r="AL8" s="66" t="n">
        <f aca="false">'Revenue Streams'!AL$11*'Assumption Setting'!$E$136*'Assumption Setting'!$C$137*'Assumption Setting'!$C$139</f>
        <v>3225.6</v>
      </c>
      <c r="AM8" s="66" t="n">
        <f aca="false">'Revenue Streams'!AM$11*'Assumption Setting'!$E$136*'Assumption Setting'!$C$137*'Assumption Setting'!$C$139</f>
        <v>3801.6</v>
      </c>
      <c r="AN8" s="66" t="n">
        <f aca="false">'Revenue Streams'!AN$11*'Assumption Setting'!$E$136*'Assumption Setting'!$C$137*'Assumption Setting'!$C$139</f>
        <v>4492.8</v>
      </c>
      <c r="AO8" s="65" t="n">
        <f aca="false">SUM(AP8:BA8)</f>
        <v>68000</v>
      </c>
      <c r="AP8" s="66" t="n">
        <f aca="false">'Revenue Streams'!AP$11*'Assumption Setting'!$F$136*'Assumption Setting'!$C$137*'Assumption Setting'!$C$139</f>
        <v>3920</v>
      </c>
      <c r="AQ8" s="66" t="n">
        <f aca="false">'Revenue Streams'!AQ$11*'Assumption Setting'!$F$136*'Assumption Setting'!$C$137*'Assumption Setting'!$C$139</f>
        <v>4620</v>
      </c>
      <c r="AR8" s="66" t="n">
        <f aca="false">'Revenue Streams'!AR$11*'Assumption Setting'!$F$136*'Assumption Setting'!$C$137*'Assumption Setting'!$C$139</f>
        <v>5460</v>
      </c>
      <c r="AS8" s="66" t="n">
        <f aca="false">'Revenue Streams'!AS$11*'Assumption Setting'!$F$136*'Assumption Setting'!$C$137*'Assumption Setting'!$C$139</f>
        <v>4480</v>
      </c>
      <c r="AT8" s="66" t="n">
        <f aca="false">'Revenue Streams'!AT$11*'Assumption Setting'!$F$136*'Assumption Setting'!$C$137*'Assumption Setting'!$C$139</f>
        <v>5280</v>
      </c>
      <c r="AU8" s="66" t="n">
        <f aca="false">'Revenue Streams'!AU$11*'Assumption Setting'!$F$136*'Assumption Setting'!$C$137*'Assumption Setting'!$C$139</f>
        <v>6240</v>
      </c>
      <c r="AV8" s="66" t="n">
        <f aca="false">'Revenue Streams'!AV$11*'Assumption Setting'!$F$136*'Assumption Setting'!$C$137*'Assumption Setting'!$C$139</f>
        <v>5040</v>
      </c>
      <c r="AW8" s="66" t="n">
        <f aca="false">'Revenue Streams'!AW$11*'Assumption Setting'!$F$136*'Assumption Setting'!$C$137*'Assumption Setting'!$C$139</f>
        <v>5940</v>
      </c>
      <c r="AX8" s="66" t="n">
        <f aca="false">'Revenue Streams'!AX$11*'Assumption Setting'!$F$136*'Assumption Setting'!$C$137*'Assumption Setting'!$C$139</f>
        <v>7020</v>
      </c>
      <c r="AY8" s="66" t="n">
        <f aca="false">'Revenue Streams'!AY$11*'Assumption Setting'!$F$136*'Assumption Setting'!$C$137*'Assumption Setting'!$C$139</f>
        <v>5600</v>
      </c>
      <c r="AZ8" s="66" t="n">
        <f aca="false">'Revenue Streams'!AZ$11*'Assumption Setting'!$F$136*'Assumption Setting'!$C$137*'Assumption Setting'!$C$139</f>
        <v>6600</v>
      </c>
      <c r="BA8" s="66" t="n">
        <f aca="false">'Revenue Streams'!BA$11*'Assumption Setting'!$F$136*'Assumption Setting'!$C$137*'Assumption Setting'!$C$139</f>
        <v>7800</v>
      </c>
      <c r="BB8" s="65" t="n">
        <f aca="false">SUM(BC8:BN8)</f>
        <v>104000</v>
      </c>
      <c r="BC8" s="66" t="n">
        <f aca="false">'Revenue Streams'!BC$11*'Assumption Setting'!$G$136*'Assumption Setting'!$C$137*'Assumption Setting'!$C$139</f>
        <v>6406.4</v>
      </c>
      <c r="BD8" s="66" t="n">
        <f aca="false">'Revenue Streams'!BD$11*'Assumption Setting'!$G$136*'Assumption Setting'!$C$137*'Assumption Setting'!$C$139</f>
        <v>7550.4</v>
      </c>
      <c r="BE8" s="66" t="n">
        <f aca="false">'Revenue Streams'!BE$11*'Assumption Setting'!$G$136*'Assumption Setting'!$C$137*'Assumption Setting'!$C$139</f>
        <v>8923.2</v>
      </c>
      <c r="BF8" s="66" t="n">
        <f aca="false">'Revenue Streams'!BF$11*'Assumption Setting'!$G$136*'Assumption Setting'!$C$137*'Assumption Setting'!$C$139</f>
        <v>6988.8</v>
      </c>
      <c r="BG8" s="66" t="n">
        <f aca="false">'Revenue Streams'!BG$11*'Assumption Setting'!$G$136*'Assumption Setting'!$C$137*'Assumption Setting'!$C$139</f>
        <v>8236.8</v>
      </c>
      <c r="BH8" s="66" t="n">
        <f aca="false">'Revenue Streams'!BH$11*'Assumption Setting'!$G$136*'Assumption Setting'!$C$137*'Assumption Setting'!$C$139</f>
        <v>9734.4</v>
      </c>
      <c r="BI8" s="66" t="n">
        <f aca="false">'Revenue Streams'!BI$11*'Assumption Setting'!$G$136*'Assumption Setting'!$C$137*'Assumption Setting'!$C$139</f>
        <v>7571.2</v>
      </c>
      <c r="BJ8" s="66" t="n">
        <f aca="false">'Revenue Streams'!BJ$11*'Assumption Setting'!$G$136*'Assumption Setting'!$C$137*'Assumption Setting'!$C$139</f>
        <v>8923.2</v>
      </c>
      <c r="BK8" s="66" t="n">
        <f aca="false">'Revenue Streams'!BK$11*'Assumption Setting'!$G$136*'Assumption Setting'!$C$137*'Assumption Setting'!$C$139</f>
        <v>10545.6</v>
      </c>
      <c r="BL8" s="66" t="n">
        <f aca="false">'Revenue Streams'!BL$11*'Assumption Setting'!$G$136*'Assumption Setting'!$C$137*'Assumption Setting'!$C$139</f>
        <v>8153.6</v>
      </c>
      <c r="BM8" s="66" t="n">
        <f aca="false">'Revenue Streams'!BM$11*'Assumption Setting'!$G$136*'Assumption Setting'!$C$137*'Assumption Setting'!$C$139</f>
        <v>9609.6</v>
      </c>
      <c r="BN8" s="66" t="n">
        <f aca="false">'Revenue Streams'!BN$11*'Assumption Setting'!$G$136*'Assumption Setting'!$C$137*'Assumption Setting'!$C$139</f>
        <v>11356.8</v>
      </c>
    </row>
    <row r="9" customFormat="false" ht="15" hidden="false" customHeight="false" outlineLevel="0" collapsed="false">
      <c r="A9" s="12" t="s">
        <v>804</v>
      </c>
      <c r="B9" s="65" t="n">
        <f aca="false">SUM(C9:N9)</f>
        <v>0</v>
      </c>
      <c r="C9" s="66" t="n">
        <f aca="false">'Revenue Streams'!C$13*'Assumption Setting'!$C$136*'Assumption Setting'!$C$137*'Assumption Setting'!$C$140</f>
        <v>0</v>
      </c>
      <c r="D9" s="66" t="n">
        <f aca="false">'Revenue Streams'!D$13*'Assumption Setting'!$C$136*'Assumption Setting'!$C$137*'Assumption Setting'!$C$140</f>
        <v>0</v>
      </c>
      <c r="E9" s="66" t="n">
        <f aca="false">'Revenue Streams'!E$13*'Assumption Setting'!$C$136*'Assumption Setting'!$C$137*'Assumption Setting'!$C$140</f>
        <v>0</v>
      </c>
      <c r="F9" s="66" t="n">
        <f aca="false">'Revenue Streams'!F$13*'Assumption Setting'!$C$136*'Assumption Setting'!$C$137*'Assumption Setting'!$C$140</f>
        <v>0</v>
      </c>
      <c r="G9" s="66" t="n">
        <f aca="false">'Revenue Streams'!G$13*'Assumption Setting'!$C$136*'Assumption Setting'!$C$137*'Assumption Setting'!$C$140</f>
        <v>0</v>
      </c>
      <c r="H9" s="66" t="n">
        <f aca="false">'Revenue Streams'!H$13*'Assumption Setting'!$C$136*'Assumption Setting'!$C$137*'Assumption Setting'!$C$140</f>
        <v>0</v>
      </c>
      <c r="I9" s="66" t="n">
        <f aca="false">'Revenue Streams'!I$13*'Assumption Setting'!$C$136*'Assumption Setting'!$C$137*'Assumption Setting'!$C$140</f>
        <v>0</v>
      </c>
      <c r="J9" s="66" t="n">
        <f aca="false">'Revenue Streams'!J$13*'Assumption Setting'!$C$136*'Assumption Setting'!$C$137*'Assumption Setting'!$C$140</f>
        <v>0</v>
      </c>
      <c r="K9" s="66" t="n">
        <f aca="false">'Revenue Streams'!K$13*'Assumption Setting'!$C$136*'Assumption Setting'!$C$137*'Assumption Setting'!$C$140</f>
        <v>0</v>
      </c>
      <c r="L9" s="66" t="n">
        <f aca="false">'Revenue Streams'!L$13*'Assumption Setting'!$C$136*'Assumption Setting'!$C$137*'Assumption Setting'!$C$140</f>
        <v>0</v>
      </c>
      <c r="M9" s="66" t="n">
        <f aca="false">'Revenue Streams'!M$13*'Assumption Setting'!$C$136*'Assumption Setting'!$C$137*'Assumption Setting'!$C$140</f>
        <v>0</v>
      </c>
      <c r="N9" s="66" t="n">
        <f aca="false">'Revenue Streams'!N$13*'Assumption Setting'!$C$136*'Assumption Setting'!$C$137*'Assumption Setting'!$C$140</f>
        <v>0</v>
      </c>
      <c r="O9" s="65" t="n">
        <f aca="false">SUM(P9:AA9)</f>
        <v>3300</v>
      </c>
      <c r="P9" s="66" t="n">
        <f aca="false">'Revenue Streams'!P$13*'Assumption Setting'!$D$136*'Assumption Setting'!$C$137*'Assumption Setting'!$C$140</f>
        <v>0</v>
      </c>
      <c r="Q9" s="66" t="n">
        <f aca="false">'Revenue Streams'!Q$13*'Assumption Setting'!$D$136*'Assumption Setting'!$C$137*'Assumption Setting'!$C$140</f>
        <v>0</v>
      </c>
      <c r="R9" s="66" t="n">
        <f aca="false">'Revenue Streams'!R$13*'Assumption Setting'!$D$136*'Assumption Setting'!$C$137*'Assumption Setting'!$C$140</f>
        <v>0</v>
      </c>
      <c r="S9" s="66" t="n">
        <f aca="false">'Revenue Streams'!S$13*'Assumption Setting'!$D$136*'Assumption Setting'!$C$137*'Assumption Setting'!$C$140</f>
        <v>0</v>
      </c>
      <c r="T9" s="66" t="n">
        <f aca="false">'Revenue Streams'!T$13*'Assumption Setting'!$D$136*'Assumption Setting'!$C$137*'Assumption Setting'!$C$140</f>
        <v>0</v>
      </c>
      <c r="U9" s="66" t="n">
        <f aca="false">'Revenue Streams'!U$13*'Assumption Setting'!$D$136*'Assumption Setting'!$C$137*'Assumption Setting'!$C$140</f>
        <v>0</v>
      </c>
      <c r="V9" s="66" t="n">
        <f aca="false">'Revenue Streams'!V$13*'Assumption Setting'!$D$136*'Assumption Setting'!$C$137*'Assumption Setting'!$C$140</f>
        <v>308</v>
      </c>
      <c r="W9" s="66" t="n">
        <f aca="false">'Revenue Streams'!W$13*'Assumption Setting'!$D$136*'Assumption Setting'!$C$137*'Assumption Setting'!$C$140</f>
        <v>363</v>
      </c>
      <c r="X9" s="66" t="n">
        <f aca="false">'Revenue Streams'!X$13*'Assumption Setting'!$D$136*'Assumption Setting'!$C$137*'Assumption Setting'!$C$140</f>
        <v>429</v>
      </c>
      <c r="Y9" s="66" t="n">
        <f aca="false">'Revenue Streams'!Y$13*'Assumption Setting'!$D$136*'Assumption Setting'!$C$137*'Assumption Setting'!$C$140</f>
        <v>616</v>
      </c>
      <c r="Z9" s="66" t="n">
        <f aca="false">'Revenue Streams'!Z$13*'Assumption Setting'!$D$136*'Assumption Setting'!$C$137*'Assumption Setting'!$C$140</f>
        <v>726</v>
      </c>
      <c r="AA9" s="66" t="n">
        <f aca="false">'Revenue Streams'!AA$13*'Assumption Setting'!$D$136*'Assumption Setting'!$C$137*'Assumption Setting'!$C$140</f>
        <v>858</v>
      </c>
      <c r="AB9" s="65" t="n">
        <f aca="false">SUM(AC9:AN9)</f>
        <v>21600</v>
      </c>
      <c r="AC9" s="66" t="n">
        <f aca="false">'Revenue Streams'!AC$13*'Assumption Setting'!$E$136*'Assumption Setting'!$C$137*'Assumption Setting'!$C$140</f>
        <v>1008</v>
      </c>
      <c r="AD9" s="66" t="n">
        <f aca="false">'Revenue Streams'!AD$13*'Assumption Setting'!$E$136*'Assumption Setting'!$C$137*'Assumption Setting'!$C$140</f>
        <v>1188</v>
      </c>
      <c r="AE9" s="66" t="n">
        <f aca="false">'Revenue Streams'!AE$13*'Assumption Setting'!$E$136*'Assumption Setting'!$C$137*'Assumption Setting'!$C$140</f>
        <v>1404</v>
      </c>
      <c r="AF9" s="66" t="n">
        <f aca="false">'Revenue Streams'!AF$13*'Assumption Setting'!$E$136*'Assumption Setting'!$C$137*'Assumption Setting'!$C$140</f>
        <v>1344</v>
      </c>
      <c r="AG9" s="66" t="n">
        <f aca="false">'Revenue Streams'!AG$13*'Assumption Setting'!$E$136*'Assumption Setting'!$C$137*'Assumption Setting'!$C$140</f>
        <v>1584</v>
      </c>
      <c r="AH9" s="66" t="n">
        <f aca="false">'Revenue Streams'!AH$13*'Assumption Setting'!$E$136*'Assumption Setting'!$C$137*'Assumption Setting'!$C$140</f>
        <v>1872</v>
      </c>
      <c r="AI9" s="66" t="n">
        <f aca="false">'Revenue Streams'!AI$13*'Assumption Setting'!$E$136*'Assumption Setting'!$C$137*'Assumption Setting'!$C$140</f>
        <v>1680</v>
      </c>
      <c r="AJ9" s="66" t="n">
        <f aca="false">'Revenue Streams'!AJ$13*'Assumption Setting'!$E$136*'Assumption Setting'!$C$137*'Assumption Setting'!$C$140</f>
        <v>1980</v>
      </c>
      <c r="AK9" s="66" t="n">
        <f aca="false">'Revenue Streams'!AK$13*'Assumption Setting'!$E$136*'Assumption Setting'!$C$137*'Assumption Setting'!$C$140</f>
        <v>2340</v>
      </c>
      <c r="AL9" s="66" t="n">
        <f aca="false">'Revenue Streams'!AL$13*'Assumption Setting'!$E$136*'Assumption Setting'!$C$137*'Assumption Setting'!$C$140</f>
        <v>2016</v>
      </c>
      <c r="AM9" s="66" t="n">
        <f aca="false">'Revenue Streams'!AM$13*'Assumption Setting'!$E$136*'Assumption Setting'!$C$137*'Assumption Setting'!$C$140</f>
        <v>2376</v>
      </c>
      <c r="AN9" s="66" t="n">
        <f aca="false">'Revenue Streams'!AN$13*'Assumption Setting'!$E$136*'Assumption Setting'!$C$137*'Assumption Setting'!$C$140</f>
        <v>2808</v>
      </c>
      <c r="AO9" s="65" t="n">
        <f aca="false">SUM(AP9:BA9)</f>
        <v>42500</v>
      </c>
      <c r="AP9" s="66" t="n">
        <f aca="false">'Revenue Streams'!AP$13*'Assumption Setting'!$F$136*'Assumption Setting'!$C$137*'Assumption Setting'!$C$140</f>
        <v>2450</v>
      </c>
      <c r="AQ9" s="66" t="n">
        <f aca="false">'Revenue Streams'!AQ$13*'Assumption Setting'!$F$136*'Assumption Setting'!$C$137*'Assumption Setting'!$C$140</f>
        <v>2887.5</v>
      </c>
      <c r="AR9" s="66" t="n">
        <f aca="false">'Revenue Streams'!AR$13*'Assumption Setting'!$F$136*'Assumption Setting'!$C$137*'Assumption Setting'!$C$140</f>
        <v>3412.5</v>
      </c>
      <c r="AS9" s="66" t="n">
        <f aca="false">'Revenue Streams'!AS$13*'Assumption Setting'!$F$136*'Assumption Setting'!$C$137*'Assumption Setting'!$C$140</f>
        <v>2800</v>
      </c>
      <c r="AT9" s="66" t="n">
        <f aca="false">'Revenue Streams'!AT$13*'Assumption Setting'!$F$136*'Assumption Setting'!$C$137*'Assumption Setting'!$C$140</f>
        <v>3300</v>
      </c>
      <c r="AU9" s="66" t="n">
        <f aca="false">'Revenue Streams'!AU$13*'Assumption Setting'!$F$136*'Assumption Setting'!$C$137*'Assumption Setting'!$C$140</f>
        <v>3900</v>
      </c>
      <c r="AV9" s="66" t="n">
        <f aca="false">'Revenue Streams'!AV$13*'Assumption Setting'!$F$136*'Assumption Setting'!$C$137*'Assumption Setting'!$C$140</f>
        <v>3150</v>
      </c>
      <c r="AW9" s="66" t="n">
        <f aca="false">'Revenue Streams'!AW$13*'Assumption Setting'!$F$136*'Assumption Setting'!$C$137*'Assumption Setting'!$C$140</f>
        <v>3712.5</v>
      </c>
      <c r="AX9" s="66" t="n">
        <f aca="false">'Revenue Streams'!AX$13*'Assumption Setting'!$F$136*'Assumption Setting'!$C$137*'Assumption Setting'!$C$140</f>
        <v>4387.5</v>
      </c>
      <c r="AY9" s="66" t="n">
        <f aca="false">'Revenue Streams'!AY$13*'Assumption Setting'!$F$136*'Assumption Setting'!$C$137*'Assumption Setting'!$C$140</f>
        <v>3500</v>
      </c>
      <c r="AZ9" s="66" t="n">
        <f aca="false">'Revenue Streams'!AZ$13*'Assumption Setting'!$F$136*'Assumption Setting'!$C$137*'Assumption Setting'!$C$140</f>
        <v>4125</v>
      </c>
      <c r="BA9" s="66" t="n">
        <f aca="false">'Revenue Streams'!BA$13*'Assumption Setting'!$F$136*'Assumption Setting'!$C$137*'Assumption Setting'!$C$140</f>
        <v>4875</v>
      </c>
      <c r="BB9" s="65" t="n">
        <f aca="false">SUM(BC9:BN9)</f>
        <v>65000</v>
      </c>
      <c r="BC9" s="66" t="n">
        <f aca="false">'Revenue Streams'!BC$13*'Assumption Setting'!$G$136*'Assumption Setting'!$C$137*'Assumption Setting'!$C$140</f>
        <v>4004</v>
      </c>
      <c r="BD9" s="66" t="n">
        <f aca="false">'Revenue Streams'!BD$13*'Assumption Setting'!$G$136*'Assumption Setting'!$C$137*'Assumption Setting'!$C$140</f>
        <v>4719</v>
      </c>
      <c r="BE9" s="66" t="n">
        <f aca="false">'Revenue Streams'!BE$13*'Assumption Setting'!$G$136*'Assumption Setting'!$C$137*'Assumption Setting'!$C$140</f>
        <v>5577</v>
      </c>
      <c r="BF9" s="66" t="n">
        <f aca="false">'Revenue Streams'!BF$13*'Assumption Setting'!$G$136*'Assumption Setting'!$C$137*'Assumption Setting'!$C$140</f>
        <v>4368</v>
      </c>
      <c r="BG9" s="66" t="n">
        <f aca="false">'Revenue Streams'!BG$13*'Assumption Setting'!$G$136*'Assumption Setting'!$C$137*'Assumption Setting'!$C$140</f>
        <v>5148</v>
      </c>
      <c r="BH9" s="66" t="n">
        <f aca="false">'Revenue Streams'!BH$13*'Assumption Setting'!$G$136*'Assumption Setting'!$C$137*'Assumption Setting'!$C$140</f>
        <v>6084</v>
      </c>
      <c r="BI9" s="66" t="n">
        <f aca="false">'Revenue Streams'!BI$13*'Assumption Setting'!$G$136*'Assumption Setting'!$C$137*'Assumption Setting'!$C$140</f>
        <v>4732</v>
      </c>
      <c r="BJ9" s="66" t="n">
        <f aca="false">'Revenue Streams'!BJ$13*'Assumption Setting'!$G$136*'Assumption Setting'!$C$137*'Assumption Setting'!$C$140</f>
        <v>5577</v>
      </c>
      <c r="BK9" s="66" t="n">
        <f aca="false">'Revenue Streams'!BK$13*'Assumption Setting'!$G$136*'Assumption Setting'!$C$137*'Assumption Setting'!$C$140</f>
        <v>6591</v>
      </c>
      <c r="BL9" s="66" t="n">
        <f aca="false">'Revenue Streams'!BL$13*'Assumption Setting'!$G$136*'Assumption Setting'!$C$137*'Assumption Setting'!$C$140</f>
        <v>5096</v>
      </c>
      <c r="BM9" s="66" t="n">
        <f aca="false">'Revenue Streams'!BM$13*'Assumption Setting'!$G$136*'Assumption Setting'!$C$137*'Assumption Setting'!$C$140</f>
        <v>6006</v>
      </c>
      <c r="BN9" s="66" t="n">
        <f aca="false">'Revenue Streams'!BN$13*'Assumption Setting'!$G$136*'Assumption Setting'!$C$137*'Assumption Setting'!$C$140</f>
        <v>7098</v>
      </c>
    </row>
    <row r="10" customFormat="false" ht="15" hidden="false" customHeight="false" outlineLevel="0" collapsed="false">
      <c r="A10" s="12" t="s">
        <v>805</v>
      </c>
      <c r="B10" s="65" t="n">
        <f aca="false">SUM(C10:N10)</f>
        <v>5880</v>
      </c>
      <c r="C10" s="66" t="n">
        <f aca="false">('Revenue Streams'!C$7+'Revenue Streams'!C$8+'Revenue Streams'!C$9)*'Assumption Setting'!$C$141+'Revenue Streams'!C$11*'Assumption Setting'!$C$142+'Revenue Streams'!C$13*'Assumption Setting'!$C$143</f>
        <v>352.8</v>
      </c>
      <c r="D10" s="66" t="n">
        <f aca="false">('Revenue Streams'!D$7+'Revenue Streams'!D$8+'Revenue Streams'!D$9)*'Assumption Setting'!$C$141+'Revenue Streams'!D$11*'Assumption Setting'!$C$142+'Revenue Streams'!D$13*'Assumption Setting'!$C$143</f>
        <v>415.8</v>
      </c>
      <c r="E10" s="66" t="n">
        <f aca="false">('Revenue Streams'!E$7+'Revenue Streams'!E$8+'Revenue Streams'!E$9)*'Assumption Setting'!$C$141+'Revenue Streams'!E$11*'Assumption Setting'!$C$142+'Revenue Streams'!E$13*'Assumption Setting'!$C$143</f>
        <v>491.4</v>
      </c>
      <c r="F10" s="66" t="n">
        <f aca="false">('Revenue Streams'!F$7+'Revenue Streams'!F$8+'Revenue Streams'!F$9)*'Assumption Setting'!$C$141+'Revenue Streams'!F$11*'Assumption Setting'!$C$142+'Revenue Streams'!F$13*'Assumption Setting'!$C$143</f>
        <v>352.8</v>
      </c>
      <c r="G10" s="66" t="n">
        <f aca="false">('Revenue Streams'!G$7+'Revenue Streams'!G$8+'Revenue Streams'!G$9)*'Assumption Setting'!$C$141+'Revenue Streams'!G$11*'Assumption Setting'!$C$142+'Revenue Streams'!G$13*'Assumption Setting'!$C$143</f>
        <v>415.8</v>
      </c>
      <c r="H10" s="66" t="n">
        <f aca="false">('Revenue Streams'!H$7+'Revenue Streams'!H$8+'Revenue Streams'!H$9)*'Assumption Setting'!$C$141+'Revenue Streams'!H$11*'Assumption Setting'!$C$142+'Revenue Streams'!H$13*'Assumption Setting'!$C$143</f>
        <v>491.4</v>
      </c>
      <c r="I10" s="66" t="n">
        <f aca="false">('Revenue Streams'!I$7+'Revenue Streams'!I$8+'Revenue Streams'!I$9)*'Assumption Setting'!$C$141+'Revenue Streams'!I$11*'Assumption Setting'!$C$142+'Revenue Streams'!I$13*'Assumption Setting'!$C$143</f>
        <v>470.4</v>
      </c>
      <c r="J10" s="66" t="n">
        <f aca="false">('Revenue Streams'!J$7+'Revenue Streams'!J$8+'Revenue Streams'!J$9)*'Assumption Setting'!$C$141+'Revenue Streams'!J$11*'Assumption Setting'!$C$142+'Revenue Streams'!J$13*'Assumption Setting'!$C$143</f>
        <v>554.4</v>
      </c>
      <c r="K10" s="66" t="n">
        <f aca="false">('Revenue Streams'!K$7+'Revenue Streams'!K$8+'Revenue Streams'!K$9)*'Assumption Setting'!$C$141+'Revenue Streams'!K$11*'Assumption Setting'!$C$142+'Revenue Streams'!K$13*'Assumption Setting'!$C$143</f>
        <v>655.2</v>
      </c>
      <c r="L10" s="66" t="n">
        <f aca="false">('Revenue Streams'!L$7+'Revenue Streams'!L$8+'Revenue Streams'!L$9)*'Assumption Setting'!$C$141+'Revenue Streams'!L$11*'Assumption Setting'!$C$142+'Revenue Streams'!L$13*'Assumption Setting'!$C$143</f>
        <v>470.4</v>
      </c>
      <c r="M10" s="66" t="n">
        <f aca="false">('Revenue Streams'!M$7+'Revenue Streams'!M$8+'Revenue Streams'!M$9)*'Assumption Setting'!$C$141+'Revenue Streams'!M$11*'Assumption Setting'!$C$142+'Revenue Streams'!M$13*'Assumption Setting'!$C$143</f>
        <v>554.4</v>
      </c>
      <c r="N10" s="66" t="n">
        <f aca="false">('Revenue Streams'!N$7+'Revenue Streams'!N$8+'Revenue Streams'!N$9)*'Assumption Setting'!$C$141+'Revenue Streams'!N$11*'Assumption Setting'!$C$142+'Revenue Streams'!N$13*'Assumption Setting'!$C$143</f>
        <v>655.2</v>
      </c>
      <c r="O10" s="65" t="n">
        <f aca="false">SUM(P10:AA10)</f>
        <v>21240</v>
      </c>
      <c r="P10" s="66" t="n">
        <f aca="false">('Revenue Streams'!P$7+'Revenue Streams'!P$8+'Revenue Streams'!P$9)*'Assumption Setting'!$D$141+'Revenue Streams'!P$11*'Assumption Setting'!$C$142+'Revenue Streams'!P$13*'Assumption Setting'!$C$143</f>
        <v>789.6</v>
      </c>
      <c r="Q10" s="66" t="n">
        <f aca="false">('Revenue Streams'!Q$7+'Revenue Streams'!Q$8+'Revenue Streams'!Q$9)*'Assumption Setting'!$D$141+'Revenue Streams'!Q$11*'Assumption Setting'!$C$142+'Revenue Streams'!Q$13*'Assumption Setting'!$C$143</f>
        <v>930.6</v>
      </c>
      <c r="R10" s="66" t="n">
        <f aca="false">('Revenue Streams'!R$7+'Revenue Streams'!R$8+'Revenue Streams'!R$9)*'Assumption Setting'!$D$141+'Revenue Streams'!R$11*'Assumption Setting'!$C$142+'Revenue Streams'!R$13*'Assumption Setting'!$C$143</f>
        <v>1099.8</v>
      </c>
      <c r="S10" s="66" t="n">
        <f aca="false">('Revenue Streams'!S$7+'Revenue Streams'!S$8+'Revenue Streams'!S$9)*'Assumption Setting'!$D$141+'Revenue Streams'!S$11*'Assumption Setting'!$C$142+'Revenue Streams'!S$13*'Assumption Setting'!$C$143</f>
        <v>1248.8</v>
      </c>
      <c r="T10" s="66" t="n">
        <f aca="false">('Revenue Streams'!T$7+'Revenue Streams'!T$8+'Revenue Streams'!T$9)*'Assumption Setting'!$D$141+'Revenue Streams'!T$11*'Assumption Setting'!$C$142+'Revenue Streams'!T$13*'Assumption Setting'!$C$143</f>
        <v>1471.8</v>
      </c>
      <c r="U10" s="66" t="n">
        <f aca="false">('Revenue Streams'!U$7+'Revenue Streams'!U$8+'Revenue Streams'!U$9)*'Assumption Setting'!$D$141+'Revenue Streams'!U$11*'Assumption Setting'!$C$142+'Revenue Streams'!U$13*'Assumption Setting'!$C$143</f>
        <v>1739.4</v>
      </c>
      <c r="V10" s="66" t="n">
        <f aca="false">('Revenue Streams'!V$7+'Revenue Streams'!V$8+'Revenue Streams'!V$9)*'Assumption Setting'!$D$141+'Revenue Streams'!V$11*'Assumption Setting'!$C$142+'Revenue Streams'!V$13*'Assumption Setting'!$C$143</f>
        <v>1719.2</v>
      </c>
      <c r="W10" s="66" t="n">
        <f aca="false">('Revenue Streams'!W$7+'Revenue Streams'!W$8+'Revenue Streams'!W$9)*'Assumption Setting'!$D$141+'Revenue Streams'!W$11*'Assumption Setting'!$C$142+'Revenue Streams'!W$13*'Assumption Setting'!$C$143</f>
        <v>2026.2</v>
      </c>
      <c r="X10" s="66" t="n">
        <f aca="false">('Revenue Streams'!X$7+'Revenue Streams'!X$8+'Revenue Streams'!X$9)*'Assumption Setting'!$D$141+'Revenue Streams'!X$11*'Assumption Setting'!$C$142+'Revenue Streams'!X$13*'Assumption Setting'!$C$143</f>
        <v>2394.6</v>
      </c>
      <c r="Y10" s="66" t="n">
        <f aca="false">('Revenue Streams'!Y$7+'Revenue Streams'!Y$8+'Revenue Streams'!Y$9)*'Assumption Setting'!$D$141+'Revenue Streams'!Y$11*'Assumption Setting'!$C$142+'Revenue Streams'!Y$13*'Assumption Setting'!$C$143</f>
        <v>2189.6</v>
      </c>
      <c r="Z10" s="66" t="n">
        <f aca="false">('Revenue Streams'!Z$7+'Revenue Streams'!Z$8+'Revenue Streams'!Z$9)*'Assumption Setting'!$D$141+'Revenue Streams'!Z$11*'Assumption Setting'!$C$142+'Revenue Streams'!Z$13*'Assumption Setting'!$C$143</f>
        <v>2580.6</v>
      </c>
      <c r="AA10" s="66" t="n">
        <f aca="false">('Revenue Streams'!AA$7+'Revenue Streams'!AA$8+'Revenue Streams'!AA$9)*'Assumption Setting'!$D$141+'Revenue Streams'!AA$11*'Assumption Setting'!$C$142+'Revenue Streams'!AA$13*'Assumption Setting'!$C$143</f>
        <v>3049.8</v>
      </c>
      <c r="AB10" s="65" t="n">
        <f aca="false">SUM(AC10:AN10)</f>
        <v>62260</v>
      </c>
      <c r="AC10" s="66" t="n">
        <f aca="false">('Revenue Streams'!AC$7+'Revenue Streams'!AC$8+'Revenue Streams'!AC$9)*'Assumption Setting'!$E$141+'Revenue Streams'!AC$11*'Assumption Setting'!$C$142+'Revenue Streams'!AC$13*'Assumption Setting'!$C$143</f>
        <v>3245.2</v>
      </c>
      <c r="AD10" s="66" t="n">
        <f aca="false">('Revenue Streams'!AD$7+'Revenue Streams'!AD$8+'Revenue Streams'!AD$9)*'Assumption Setting'!$E$141+'Revenue Streams'!AD$11*'Assumption Setting'!$C$142+'Revenue Streams'!AD$13*'Assumption Setting'!$C$143</f>
        <v>3824.7</v>
      </c>
      <c r="AE10" s="66" t="n">
        <f aca="false">('Revenue Streams'!AE$7+'Revenue Streams'!AE$8+'Revenue Streams'!AE$9)*'Assumption Setting'!$E$141+'Revenue Streams'!AE$11*'Assumption Setting'!$C$142+'Revenue Streams'!AE$13*'Assumption Setting'!$C$143</f>
        <v>4520.1</v>
      </c>
      <c r="AF10" s="66" t="n">
        <f aca="false">('Revenue Streams'!AF$7+'Revenue Streams'!AF$8+'Revenue Streams'!AF$9)*'Assumption Setting'!$E$141+'Revenue Streams'!AF$11*'Assumption Setting'!$C$142+'Revenue Streams'!AF$13*'Assumption Setting'!$C$143</f>
        <v>3987.2</v>
      </c>
      <c r="AG10" s="66" t="n">
        <f aca="false">('Revenue Streams'!AG$7+'Revenue Streams'!AG$8+'Revenue Streams'!AG$9)*'Assumption Setting'!$E$141+'Revenue Streams'!AG$11*'Assumption Setting'!$C$142+'Revenue Streams'!AG$13*'Assumption Setting'!$C$143</f>
        <v>4699.2</v>
      </c>
      <c r="AH10" s="66" t="n">
        <f aca="false">('Revenue Streams'!AH$7+'Revenue Streams'!AH$8+'Revenue Streams'!AH$9)*'Assumption Setting'!$E$141+'Revenue Streams'!AH$11*'Assumption Setting'!$C$142+'Revenue Streams'!AH$13*'Assumption Setting'!$C$143</f>
        <v>5553.6</v>
      </c>
      <c r="AI10" s="66" t="n">
        <f aca="false">('Revenue Streams'!AI$7+'Revenue Streams'!AI$8+'Revenue Streams'!AI$9)*'Assumption Setting'!$E$141+'Revenue Streams'!AI$11*'Assumption Setting'!$C$142+'Revenue Streams'!AI$13*'Assumption Setting'!$C$143</f>
        <v>4729.2</v>
      </c>
      <c r="AJ10" s="66" t="n">
        <f aca="false">('Revenue Streams'!AJ$7+'Revenue Streams'!AJ$8+'Revenue Streams'!AJ$9)*'Assumption Setting'!$E$141+'Revenue Streams'!AJ$11*'Assumption Setting'!$C$142+'Revenue Streams'!AJ$13*'Assumption Setting'!$C$143</f>
        <v>5573.7</v>
      </c>
      <c r="AK10" s="66" t="n">
        <f aca="false">('Revenue Streams'!AK$7+'Revenue Streams'!AK$8+'Revenue Streams'!AK$9)*'Assumption Setting'!$E$141+'Revenue Streams'!AK$11*'Assumption Setting'!$C$142+'Revenue Streams'!AK$13*'Assumption Setting'!$C$143</f>
        <v>6587.1</v>
      </c>
      <c r="AL10" s="66" t="n">
        <f aca="false">('Revenue Streams'!AL$7+'Revenue Streams'!AL$8+'Revenue Streams'!AL$9)*'Assumption Setting'!$E$141+'Revenue Streams'!AL$11*'Assumption Setting'!$C$142+'Revenue Streams'!AL$13*'Assumption Setting'!$C$143</f>
        <v>5471.2</v>
      </c>
      <c r="AM10" s="66" t="n">
        <f aca="false">('Revenue Streams'!AM$7+'Revenue Streams'!AM$8+'Revenue Streams'!AM$9)*'Assumption Setting'!$E$141+'Revenue Streams'!AM$11*'Assumption Setting'!$C$142+'Revenue Streams'!AM$13*'Assumption Setting'!$C$143</f>
        <v>6448.2</v>
      </c>
      <c r="AN10" s="66" t="n">
        <f aca="false">('Revenue Streams'!AN$7+'Revenue Streams'!AN$8+'Revenue Streams'!AN$9)*'Assumption Setting'!$E$141+'Revenue Streams'!AN$11*'Assumption Setting'!$C$142+'Revenue Streams'!AN$13*'Assumption Setting'!$C$143</f>
        <v>7620.6</v>
      </c>
      <c r="AO10" s="65" t="n">
        <f aca="false">SUM(AP10:BA10)</f>
        <v>108560</v>
      </c>
      <c r="AP10" s="66" t="n">
        <f aca="false">('Revenue Streams'!AP$7+'Revenue Streams'!AP$8+'Revenue Streams'!AP$9)*'Assumption Setting'!$F$141+'Revenue Streams'!AP$11*'Assumption Setting'!$C$142+'Revenue Streams'!AP$13*'Assumption Setting'!$C$143</f>
        <v>6448.4</v>
      </c>
      <c r="AQ10" s="66" t="n">
        <f aca="false">('Revenue Streams'!AQ$7+'Revenue Streams'!AQ$8+'Revenue Streams'!AQ$9)*'Assumption Setting'!$F$141+'Revenue Streams'!AQ$11*'Assumption Setting'!$C$142+'Revenue Streams'!AQ$13*'Assumption Setting'!$C$143</f>
        <v>7599.9</v>
      </c>
      <c r="AR10" s="66" t="n">
        <f aca="false">('Revenue Streams'!AR$7+'Revenue Streams'!AR$8+'Revenue Streams'!AR$9)*'Assumption Setting'!$F$141+'Revenue Streams'!AR$11*'Assumption Setting'!$C$142+'Revenue Streams'!AR$13*'Assumption Setting'!$C$143</f>
        <v>8981.7</v>
      </c>
      <c r="AS10" s="66" t="n">
        <f aca="false">('Revenue Streams'!AS$7+'Revenue Streams'!AS$8+'Revenue Streams'!AS$9)*'Assumption Setting'!$F$141+'Revenue Streams'!AS$11*'Assumption Setting'!$C$142+'Revenue Streams'!AS$13*'Assumption Setting'!$C$143</f>
        <v>7215.6</v>
      </c>
      <c r="AT10" s="66" t="n">
        <f aca="false">('Revenue Streams'!AT$7+'Revenue Streams'!AT$8+'Revenue Streams'!AT$9)*'Assumption Setting'!$F$141+'Revenue Streams'!AT$11*'Assumption Setting'!$C$142+'Revenue Streams'!AT$13*'Assumption Setting'!$C$143</f>
        <v>8504.1</v>
      </c>
      <c r="AU10" s="66" t="n">
        <f aca="false">('Revenue Streams'!AU$7+'Revenue Streams'!AU$8+'Revenue Streams'!AU$9)*'Assumption Setting'!$F$141+'Revenue Streams'!AU$11*'Assumption Setting'!$C$142+'Revenue Streams'!AU$13*'Assumption Setting'!$C$143</f>
        <v>10050.3</v>
      </c>
      <c r="AV10" s="66" t="n">
        <f aca="false">('Revenue Streams'!AV$7+'Revenue Streams'!AV$8+'Revenue Streams'!AV$9)*'Assumption Setting'!$F$141+'Revenue Streams'!AV$11*'Assumption Setting'!$C$142+'Revenue Streams'!AV$13*'Assumption Setting'!$C$143</f>
        <v>7982.8</v>
      </c>
      <c r="AW10" s="66" t="n">
        <f aca="false">('Revenue Streams'!AW$7+'Revenue Streams'!AW$8+'Revenue Streams'!AW$9)*'Assumption Setting'!$F$141+'Revenue Streams'!AW$11*'Assumption Setting'!$C$142+'Revenue Streams'!AW$13*'Assumption Setting'!$C$143</f>
        <v>9408.3</v>
      </c>
      <c r="AX10" s="66" t="n">
        <f aca="false">('Revenue Streams'!AX$7+'Revenue Streams'!AX$8+'Revenue Streams'!AX$9)*'Assumption Setting'!$F$141+'Revenue Streams'!AX$11*'Assumption Setting'!$C$142+'Revenue Streams'!AX$13*'Assumption Setting'!$C$143</f>
        <v>11118.9</v>
      </c>
      <c r="AY10" s="66" t="n">
        <f aca="false">('Revenue Streams'!AY$7+'Revenue Streams'!AY$8+'Revenue Streams'!AY$9)*'Assumption Setting'!$F$141+'Revenue Streams'!AY$11*'Assumption Setting'!$C$142+'Revenue Streams'!AY$13*'Assumption Setting'!$C$143</f>
        <v>8750</v>
      </c>
      <c r="AZ10" s="66" t="n">
        <f aca="false">('Revenue Streams'!AZ$7+'Revenue Streams'!AZ$8+'Revenue Streams'!AZ$9)*'Assumption Setting'!$F$141+'Revenue Streams'!AZ$11*'Assumption Setting'!$C$142+'Revenue Streams'!AZ$13*'Assumption Setting'!$C$143</f>
        <v>10312.5</v>
      </c>
      <c r="BA10" s="66" t="n">
        <f aca="false">('Revenue Streams'!BA$7+'Revenue Streams'!BA$8+'Revenue Streams'!BA$9)*'Assumption Setting'!$F$141+'Revenue Streams'!BA$11*'Assumption Setting'!$C$142+'Revenue Streams'!BA$13*'Assumption Setting'!$C$143</f>
        <v>12187.5</v>
      </c>
      <c r="BB10" s="65" t="n">
        <f aca="false">SUM(BC10:BN10)</f>
        <v>157740</v>
      </c>
      <c r="BC10" s="66" t="n">
        <f aca="false">('Revenue Streams'!BC$7+'Revenue Streams'!BC$8+'Revenue Streams'!BC$9)*'Assumption Setting'!$G$141+'Revenue Streams'!BC$11*'Assumption Setting'!$C$142+'Revenue Streams'!BC$13*'Assumption Setting'!$C$143</f>
        <v>9853.2</v>
      </c>
      <c r="BD10" s="66" t="n">
        <f aca="false">('Revenue Streams'!BD$7+'Revenue Streams'!BD$8+'Revenue Streams'!BD$9)*'Assumption Setting'!$G$141+'Revenue Streams'!BD$11*'Assumption Setting'!$C$142+'Revenue Streams'!BD$13*'Assumption Setting'!$C$143</f>
        <v>11612.7</v>
      </c>
      <c r="BE10" s="66" t="n">
        <f aca="false">('Revenue Streams'!BE$7+'Revenue Streams'!BE$8+'Revenue Streams'!BE$9)*'Assumption Setting'!$G$141+'Revenue Streams'!BE$11*'Assumption Setting'!$C$142+'Revenue Streams'!BE$13*'Assumption Setting'!$C$143</f>
        <v>13724.1</v>
      </c>
      <c r="BF10" s="66" t="n">
        <f aca="false">('Revenue Streams'!BF$7+'Revenue Streams'!BF$8+'Revenue Streams'!BF$9)*'Assumption Setting'!$G$141+'Revenue Streams'!BF$11*'Assumption Setting'!$C$142+'Revenue Streams'!BF$13*'Assumption Setting'!$C$143</f>
        <v>10645.6</v>
      </c>
      <c r="BG10" s="66" t="n">
        <f aca="false">('Revenue Streams'!BG$7+'Revenue Streams'!BG$8+'Revenue Streams'!BG$9)*'Assumption Setting'!$G$141+'Revenue Streams'!BG$11*'Assumption Setting'!$C$142+'Revenue Streams'!BG$13*'Assumption Setting'!$C$143</f>
        <v>12546.6</v>
      </c>
      <c r="BH10" s="66" t="n">
        <f aca="false">('Revenue Streams'!BH$7+'Revenue Streams'!BH$8+'Revenue Streams'!BH$9)*'Assumption Setting'!$G$141+'Revenue Streams'!BH$11*'Assumption Setting'!$C$142+'Revenue Streams'!BH$13*'Assumption Setting'!$C$143</f>
        <v>14827.8</v>
      </c>
      <c r="BI10" s="66" t="n">
        <f aca="false">('Revenue Streams'!BI$7+'Revenue Streams'!BI$8+'Revenue Streams'!BI$9)*'Assumption Setting'!$G$141+'Revenue Streams'!BI$11*'Assumption Setting'!$C$142+'Revenue Streams'!BI$13*'Assumption Setting'!$C$143</f>
        <v>11438</v>
      </c>
      <c r="BJ10" s="66" t="n">
        <f aca="false">('Revenue Streams'!BJ$7+'Revenue Streams'!BJ$8+'Revenue Streams'!BJ$9)*'Assumption Setting'!$G$141+'Revenue Streams'!BJ$11*'Assumption Setting'!$C$142+'Revenue Streams'!BJ$13*'Assumption Setting'!$C$143</f>
        <v>13480.5</v>
      </c>
      <c r="BK10" s="66" t="n">
        <f aca="false">('Revenue Streams'!BK$7+'Revenue Streams'!BK$8+'Revenue Streams'!BK$9)*'Assumption Setting'!$G$141+'Revenue Streams'!BK$11*'Assumption Setting'!$C$142+'Revenue Streams'!BK$13*'Assumption Setting'!$C$143</f>
        <v>15931.5</v>
      </c>
      <c r="BL10" s="66" t="n">
        <f aca="false">('Revenue Streams'!BL$7+'Revenue Streams'!BL$8+'Revenue Streams'!BL$9)*'Assumption Setting'!$G$141+'Revenue Streams'!BL$11*'Assumption Setting'!$C$142+'Revenue Streams'!BL$13*'Assumption Setting'!$C$143</f>
        <v>12230.4</v>
      </c>
      <c r="BM10" s="66" t="n">
        <f aca="false">('Revenue Streams'!BM$7+'Revenue Streams'!BM$8+'Revenue Streams'!BM$9)*'Assumption Setting'!$G$141+'Revenue Streams'!BM$11*'Assumption Setting'!$C$142+'Revenue Streams'!BM$13*'Assumption Setting'!$C$143</f>
        <v>14414.4</v>
      </c>
      <c r="BN10" s="66" t="n">
        <f aca="false">('Revenue Streams'!BN$7+'Revenue Streams'!BN$8+'Revenue Streams'!BN$9)*'Assumption Setting'!$G$141+'Revenue Streams'!BN$11*'Assumption Setting'!$C$142+'Revenue Streams'!BN$13*'Assumption Setting'!$C$143</f>
        <v>17035.2</v>
      </c>
    </row>
    <row r="11" customFormat="false" ht="15" hidden="false" customHeight="false" outlineLevel="0" collapsed="false">
      <c r="A11" s="12" t="s">
        <v>806</v>
      </c>
      <c r="B11" s="65" t="n">
        <f aca="false">SUM(C11:N11)</f>
        <v>6000</v>
      </c>
      <c r="C11" s="66" t="n">
        <f aca="false">'Revenue Streams'!C$18*'Assumption Setting'!$C$144</f>
        <v>0</v>
      </c>
      <c r="D11" s="66" t="n">
        <f aca="false">'Revenue Streams'!D$18*'Assumption Setting'!$C$144</f>
        <v>0</v>
      </c>
      <c r="E11" s="66" t="n">
        <f aca="false">'Revenue Streams'!E$18*'Assumption Setting'!$C$144</f>
        <v>0</v>
      </c>
      <c r="F11" s="66" t="n">
        <f aca="false">'Revenue Streams'!F$18*'Assumption Setting'!$C$144</f>
        <v>0</v>
      </c>
      <c r="G11" s="66" t="n">
        <f aca="false">'Revenue Streams'!G$18*'Assumption Setting'!$C$144</f>
        <v>0</v>
      </c>
      <c r="H11" s="66" t="n">
        <f aca="false">'Revenue Streams'!H$18*'Assumption Setting'!$C$144</f>
        <v>0</v>
      </c>
      <c r="I11" s="66" t="n">
        <f aca="false">'Revenue Streams'!I$18*'Assumption Setting'!$C$144</f>
        <v>0</v>
      </c>
      <c r="J11" s="66" t="n">
        <f aca="false">'Revenue Streams'!J$18*'Assumption Setting'!$C$144</f>
        <v>0</v>
      </c>
      <c r="K11" s="66" t="n">
        <f aca="false">'Revenue Streams'!K$18*'Assumption Setting'!$C$144</f>
        <v>0</v>
      </c>
      <c r="L11" s="66" t="n">
        <f aca="false">'Revenue Streams'!L$18*'Assumption Setting'!$C$144</f>
        <v>1680</v>
      </c>
      <c r="M11" s="66" t="n">
        <f aca="false">'Revenue Streams'!M$18*'Assumption Setting'!$C$144</f>
        <v>1980</v>
      </c>
      <c r="N11" s="66" t="n">
        <f aca="false">'Revenue Streams'!N$18*'Assumption Setting'!$C$144</f>
        <v>2340</v>
      </c>
      <c r="O11" s="65" t="n">
        <f aca="false">SUM(P11:AA11)</f>
        <v>35000</v>
      </c>
      <c r="P11" s="66" t="n">
        <f aca="false">'Revenue Streams'!P$18*'Assumption Setting'!$D$144</f>
        <v>1960</v>
      </c>
      <c r="Q11" s="66" t="n">
        <f aca="false">'Revenue Streams'!Q$18*'Assumption Setting'!$D$144</f>
        <v>2310</v>
      </c>
      <c r="R11" s="66" t="n">
        <f aca="false">'Revenue Streams'!R$18*'Assumption Setting'!$D$144</f>
        <v>2730</v>
      </c>
      <c r="S11" s="66" t="n">
        <f aca="false">'Revenue Streams'!S$18*'Assumption Setting'!$D$144</f>
        <v>1960</v>
      </c>
      <c r="T11" s="66" t="n">
        <f aca="false">'Revenue Streams'!T$18*'Assumption Setting'!$D$144</f>
        <v>2310</v>
      </c>
      <c r="U11" s="66" t="n">
        <f aca="false">'Revenue Streams'!U$18*'Assumption Setting'!$D$144</f>
        <v>2730</v>
      </c>
      <c r="V11" s="66" t="n">
        <f aca="false">'Revenue Streams'!V$18*'Assumption Setting'!$D$144</f>
        <v>1960</v>
      </c>
      <c r="W11" s="66" t="n">
        <f aca="false">'Revenue Streams'!W$18*'Assumption Setting'!$D$144</f>
        <v>2310</v>
      </c>
      <c r="X11" s="66" t="n">
        <f aca="false">'Revenue Streams'!X$18*'Assumption Setting'!$D$144</f>
        <v>2730</v>
      </c>
      <c r="Y11" s="66" t="n">
        <f aca="false">'Revenue Streams'!Y$18*'Assumption Setting'!$D$144</f>
        <v>3920</v>
      </c>
      <c r="Z11" s="66" t="n">
        <f aca="false">'Revenue Streams'!Z$18*'Assumption Setting'!$D$144</f>
        <v>4620</v>
      </c>
      <c r="AA11" s="66" t="n">
        <f aca="false">'Revenue Streams'!AA$18*'Assumption Setting'!$D$144</f>
        <v>5460</v>
      </c>
      <c r="AB11" s="65" t="n">
        <f aca="false">SUM(AC11:AN11)</f>
        <v>80000</v>
      </c>
      <c r="AC11" s="66" t="n">
        <f aca="false">'Revenue Streams'!AC$18*'Assumption Setting'!$E$144</f>
        <v>4480</v>
      </c>
      <c r="AD11" s="66" t="n">
        <f aca="false">'Revenue Streams'!AD$18*'Assumption Setting'!$E$144</f>
        <v>5280</v>
      </c>
      <c r="AE11" s="66" t="n">
        <f aca="false">'Revenue Streams'!AE$18*'Assumption Setting'!$E$144</f>
        <v>6240</v>
      </c>
      <c r="AF11" s="66" t="n">
        <f aca="false">'Revenue Streams'!AF$18*'Assumption Setting'!$E$144</f>
        <v>4480</v>
      </c>
      <c r="AG11" s="66" t="n">
        <f aca="false">'Revenue Streams'!AG$18*'Assumption Setting'!$E$144</f>
        <v>5280</v>
      </c>
      <c r="AH11" s="66" t="n">
        <f aca="false">'Revenue Streams'!AH$18*'Assumption Setting'!$E$144</f>
        <v>6240</v>
      </c>
      <c r="AI11" s="66" t="n">
        <f aca="false">'Revenue Streams'!AI$18*'Assumption Setting'!$E$144</f>
        <v>6720</v>
      </c>
      <c r="AJ11" s="66" t="n">
        <f aca="false">'Revenue Streams'!AJ$18*'Assumption Setting'!$E$144</f>
        <v>7920</v>
      </c>
      <c r="AK11" s="66" t="n">
        <f aca="false">'Revenue Streams'!AK$18*'Assumption Setting'!$E$144</f>
        <v>9360</v>
      </c>
      <c r="AL11" s="66" t="n">
        <f aca="false">'Revenue Streams'!AL$18*'Assumption Setting'!$E$144</f>
        <v>6720</v>
      </c>
      <c r="AM11" s="66" t="n">
        <f aca="false">'Revenue Streams'!AM$18*'Assumption Setting'!$E$144</f>
        <v>7920</v>
      </c>
      <c r="AN11" s="66" t="n">
        <f aca="false">'Revenue Streams'!AN$18*'Assumption Setting'!$E$144</f>
        <v>9360</v>
      </c>
      <c r="AO11" s="65" t="n">
        <f aca="false">SUM(AP11:BA11)</f>
        <v>136000</v>
      </c>
      <c r="AP11" s="66" t="n">
        <f aca="false">'Revenue Streams'!AP$18*'Assumption Setting'!$F$144</f>
        <v>7140</v>
      </c>
      <c r="AQ11" s="66" t="n">
        <f aca="false">'Revenue Streams'!AQ$18*'Assumption Setting'!$F$144</f>
        <v>8415</v>
      </c>
      <c r="AR11" s="66" t="n">
        <f aca="false">'Revenue Streams'!AR$18*'Assumption Setting'!$F$144</f>
        <v>9945</v>
      </c>
      <c r="AS11" s="66" t="n">
        <f aca="false">'Revenue Streams'!AS$18*'Assumption Setting'!$F$144</f>
        <v>9520</v>
      </c>
      <c r="AT11" s="66" t="n">
        <f aca="false">'Revenue Streams'!AT$18*'Assumption Setting'!$F$144</f>
        <v>11220</v>
      </c>
      <c r="AU11" s="66" t="n">
        <f aca="false">'Revenue Streams'!AU$18*'Assumption Setting'!$F$144</f>
        <v>13260</v>
      </c>
      <c r="AV11" s="66" t="n">
        <f aca="false">'Revenue Streams'!AV$18*'Assumption Setting'!$F$144</f>
        <v>9520</v>
      </c>
      <c r="AW11" s="66" t="n">
        <f aca="false">'Revenue Streams'!AW$18*'Assumption Setting'!$F$144</f>
        <v>11220</v>
      </c>
      <c r="AX11" s="66" t="n">
        <f aca="false">'Revenue Streams'!AX$18*'Assumption Setting'!$F$144</f>
        <v>13260</v>
      </c>
      <c r="AY11" s="66" t="n">
        <f aca="false">'Revenue Streams'!AY$18*'Assumption Setting'!$F$144</f>
        <v>11900</v>
      </c>
      <c r="AZ11" s="66" t="n">
        <f aca="false">'Revenue Streams'!AZ$18*'Assumption Setting'!$F$144</f>
        <v>14025</v>
      </c>
      <c r="BA11" s="66" t="n">
        <f aca="false">'Revenue Streams'!BA$18*'Assumption Setting'!$F$144</f>
        <v>16575</v>
      </c>
      <c r="BB11" s="65" t="n">
        <f aca="false">SUM(BC11:BN11)</f>
        <v>198000</v>
      </c>
      <c r="BC11" s="66" t="n">
        <f aca="false">'Revenue Streams'!BC$18*'Assumption Setting'!$G$144</f>
        <v>12600</v>
      </c>
      <c r="BD11" s="66" t="n">
        <f aca="false">'Revenue Streams'!BD$18*'Assumption Setting'!$G$144</f>
        <v>14850</v>
      </c>
      <c r="BE11" s="66" t="n">
        <f aca="false">'Revenue Streams'!BE$18*'Assumption Setting'!$G$144</f>
        <v>17550</v>
      </c>
      <c r="BF11" s="66" t="n">
        <f aca="false">'Revenue Streams'!BF$18*'Assumption Setting'!$G$144</f>
        <v>12600</v>
      </c>
      <c r="BG11" s="66" t="n">
        <f aca="false">'Revenue Streams'!BG$18*'Assumption Setting'!$G$144</f>
        <v>14850</v>
      </c>
      <c r="BH11" s="66" t="n">
        <f aca="false">'Revenue Streams'!BH$18*'Assumption Setting'!$G$144</f>
        <v>17550</v>
      </c>
      <c r="BI11" s="66" t="n">
        <f aca="false">'Revenue Streams'!BI$18*'Assumption Setting'!$G$144</f>
        <v>15120</v>
      </c>
      <c r="BJ11" s="66" t="n">
        <f aca="false">'Revenue Streams'!BJ$18*'Assumption Setting'!$G$144</f>
        <v>17820</v>
      </c>
      <c r="BK11" s="66" t="n">
        <f aca="false">'Revenue Streams'!BK$18*'Assumption Setting'!$G$144</f>
        <v>21060</v>
      </c>
      <c r="BL11" s="66" t="n">
        <f aca="false">'Revenue Streams'!BL$18*'Assumption Setting'!$G$144</f>
        <v>15120</v>
      </c>
      <c r="BM11" s="66" t="n">
        <f aca="false">'Revenue Streams'!BM$18*'Assumption Setting'!$G$144</f>
        <v>17820</v>
      </c>
      <c r="BN11" s="66" t="n">
        <f aca="false">'Revenue Streams'!BN$18*'Assumption Setting'!$G$144</f>
        <v>21060</v>
      </c>
    </row>
    <row r="12" customFormat="false" ht="15" hidden="false" customHeight="false" outlineLevel="0" collapsed="false">
      <c r="A12" s="12" t="s">
        <v>807</v>
      </c>
      <c r="B12" s="65" t="n">
        <f aca="false">SUM(C12:N12)</f>
        <v>4061.85567010309</v>
      </c>
      <c r="C12" s="66" t="n">
        <f aca="false">'Revenue Streams'!C$17*('Assumption Setting'!$C$145+'Assumption Setting'!$C$21)</f>
        <v>1137.31958762887</v>
      </c>
      <c r="D12" s="66" t="n">
        <f aca="false">'Revenue Streams'!D$17*('Assumption Setting'!$C$145+'Assumption Setting'!$C$21)</f>
        <v>1340.41237113402</v>
      </c>
      <c r="E12" s="66" t="n">
        <f aca="false">'Revenue Streams'!E$17*('Assumption Setting'!$C$145+'Assumption Setting'!$C$21)</f>
        <v>1584.12371134021</v>
      </c>
      <c r="F12" s="66" t="n">
        <f aca="false">'Revenue Streams'!F$17*('Assumption Setting'!$C$145+'Assumption Setting'!$C$21)</f>
        <v>0</v>
      </c>
      <c r="G12" s="66" t="n">
        <f aca="false">'Revenue Streams'!G$17*('Assumption Setting'!$C$145+'Assumption Setting'!$C$21)</f>
        <v>0</v>
      </c>
      <c r="H12" s="66" t="n">
        <f aca="false">'Revenue Streams'!H$17*('Assumption Setting'!$C$145+'Assumption Setting'!$C$21)</f>
        <v>0</v>
      </c>
      <c r="I12" s="66" t="n">
        <f aca="false">'Revenue Streams'!I$17*('Assumption Setting'!$C$145+'Assumption Setting'!$C$21)</f>
        <v>0</v>
      </c>
      <c r="J12" s="66" t="n">
        <f aca="false">'Revenue Streams'!J$17*('Assumption Setting'!$C$145+'Assumption Setting'!$C$21)</f>
        <v>0</v>
      </c>
      <c r="K12" s="66" t="n">
        <f aca="false">'Revenue Streams'!K$17*('Assumption Setting'!$C$145+'Assumption Setting'!$C$21)</f>
        <v>0</v>
      </c>
      <c r="L12" s="66" t="n">
        <f aca="false">'Revenue Streams'!L$17*('Assumption Setting'!$C$145+'Assumption Setting'!$C$21)</f>
        <v>0</v>
      </c>
      <c r="M12" s="66" t="n">
        <f aca="false">'Revenue Streams'!M$17*('Assumption Setting'!$C$145+'Assumption Setting'!$C$21)</f>
        <v>0</v>
      </c>
      <c r="N12" s="66" t="n">
        <f aca="false">'Revenue Streams'!N$17*('Assumption Setting'!$C$145+'Assumption Setting'!$C$21)</f>
        <v>0</v>
      </c>
      <c r="O12" s="65" t="n">
        <f aca="false">SUM(P12:AA12)</f>
        <v>0</v>
      </c>
      <c r="P12" s="66" t="n">
        <f aca="false">'Revenue Streams'!P$17*('Assumption Setting'!$C$145+'Assumption Setting'!$C$21)</f>
        <v>0</v>
      </c>
      <c r="Q12" s="66" t="n">
        <f aca="false">'Revenue Streams'!Q$17*('Assumption Setting'!$C$145+'Assumption Setting'!$C$21)</f>
        <v>0</v>
      </c>
      <c r="R12" s="66" t="n">
        <f aca="false">'Revenue Streams'!R$17*('Assumption Setting'!$C$145+'Assumption Setting'!$C$21)</f>
        <v>0</v>
      </c>
      <c r="S12" s="66" t="n">
        <f aca="false">'Revenue Streams'!S$17*('Assumption Setting'!$C$145+'Assumption Setting'!$C$21)</f>
        <v>0</v>
      </c>
      <c r="T12" s="66" t="n">
        <f aca="false">'Revenue Streams'!T$17*('Assumption Setting'!$C$145+'Assumption Setting'!$C$21)</f>
        <v>0</v>
      </c>
      <c r="U12" s="66" t="n">
        <f aca="false">'Revenue Streams'!U$17*('Assumption Setting'!$C$145+'Assumption Setting'!$C$21)</f>
        <v>0</v>
      </c>
      <c r="V12" s="66" t="n">
        <f aca="false">'Revenue Streams'!V$17*('Assumption Setting'!$C$145+'Assumption Setting'!$C$21)</f>
        <v>0</v>
      </c>
      <c r="W12" s="66" t="n">
        <f aca="false">'Revenue Streams'!W$17*('Assumption Setting'!$C$145+'Assumption Setting'!$C$21)</f>
        <v>0</v>
      </c>
      <c r="X12" s="66" t="n">
        <f aca="false">'Revenue Streams'!X$17*('Assumption Setting'!$C$145+'Assumption Setting'!$C$21)</f>
        <v>0</v>
      </c>
      <c r="Y12" s="66" t="n">
        <f aca="false">'Revenue Streams'!Y$17*('Assumption Setting'!$C$145+'Assumption Setting'!$C$21)</f>
        <v>0</v>
      </c>
      <c r="Z12" s="66" t="n">
        <f aca="false">'Revenue Streams'!Z$17*('Assumption Setting'!$C$145+'Assumption Setting'!$C$21)</f>
        <v>0</v>
      </c>
      <c r="AA12" s="66" t="n">
        <f aca="false">'Revenue Streams'!AA$17*('Assumption Setting'!$C$145+'Assumption Setting'!$C$21)</f>
        <v>0</v>
      </c>
      <c r="AB12" s="65" t="n">
        <f aca="false">SUM(AC12:AN12)</f>
        <v>0</v>
      </c>
      <c r="AC12" s="66" t="n">
        <f aca="false">'Revenue Streams'!AC$17*('Assumption Setting'!$C$145+'Assumption Setting'!$C$21)</f>
        <v>0</v>
      </c>
      <c r="AD12" s="66" t="n">
        <f aca="false">'Revenue Streams'!AD$17*('Assumption Setting'!$C$145+'Assumption Setting'!$C$21)</f>
        <v>0</v>
      </c>
      <c r="AE12" s="66" t="n">
        <f aca="false">'Revenue Streams'!AE$17*('Assumption Setting'!$C$145+'Assumption Setting'!$C$21)</f>
        <v>0</v>
      </c>
      <c r="AF12" s="66" t="n">
        <f aca="false">'Revenue Streams'!AF$17*('Assumption Setting'!$C$145+'Assumption Setting'!$C$21)</f>
        <v>0</v>
      </c>
      <c r="AG12" s="66" t="n">
        <f aca="false">'Revenue Streams'!AG$17*('Assumption Setting'!$C$145+'Assumption Setting'!$C$21)</f>
        <v>0</v>
      </c>
      <c r="AH12" s="66" t="n">
        <f aca="false">'Revenue Streams'!AH$17*('Assumption Setting'!$C$145+'Assumption Setting'!$C$21)</f>
        <v>0</v>
      </c>
      <c r="AI12" s="66" t="n">
        <f aca="false">'Revenue Streams'!AI$17*('Assumption Setting'!$C$145+'Assumption Setting'!$C$21)</f>
        <v>0</v>
      </c>
      <c r="AJ12" s="66" t="n">
        <f aca="false">'Revenue Streams'!AJ$17*('Assumption Setting'!$C$145+'Assumption Setting'!$C$21)</f>
        <v>0</v>
      </c>
      <c r="AK12" s="66" t="n">
        <f aca="false">'Revenue Streams'!AK$17*('Assumption Setting'!$C$145+'Assumption Setting'!$C$21)</f>
        <v>0</v>
      </c>
      <c r="AL12" s="66" t="n">
        <f aca="false">'Revenue Streams'!AL$17*('Assumption Setting'!$C$145+'Assumption Setting'!$C$21)</f>
        <v>0</v>
      </c>
      <c r="AM12" s="66" t="n">
        <f aca="false">'Revenue Streams'!AM$17*('Assumption Setting'!$C$145+'Assumption Setting'!$C$21)</f>
        <v>0</v>
      </c>
      <c r="AN12" s="66" t="n">
        <f aca="false">'Revenue Streams'!AN$17*('Assumption Setting'!$C$145+'Assumption Setting'!$C$21)</f>
        <v>0</v>
      </c>
      <c r="AO12" s="65" t="n">
        <f aca="false">SUM(AP12:BA12)</f>
        <v>0</v>
      </c>
      <c r="AP12" s="66" t="n">
        <f aca="false">'Revenue Streams'!AP$17*('Assumption Setting'!$C$145+'Assumption Setting'!$C$21)</f>
        <v>0</v>
      </c>
      <c r="AQ12" s="66" t="n">
        <f aca="false">'Revenue Streams'!AQ$17*('Assumption Setting'!$C$145+'Assumption Setting'!$C$21)</f>
        <v>0</v>
      </c>
      <c r="AR12" s="66" t="n">
        <f aca="false">'Revenue Streams'!AR$17*('Assumption Setting'!$C$145+'Assumption Setting'!$C$21)</f>
        <v>0</v>
      </c>
      <c r="AS12" s="66" t="n">
        <f aca="false">'Revenue Streams'!AS$17*('Assumption Setting'!$C$145+'Assumption Setting'!$C$21)</f>
        <v>0</v>
      </c>
      <c r="AT12" s="66" t="n">
        <f aca="false">'Revenue Streams'!AT$17*('Assumption Setting'!$C$145+'Assumption Setting'!$C$21)</f>
        <v>0</v>
      </c>
      <c r="AU12" s="66" t="n">
        <f aca="false">'Revenue Streams'!AU$17*('Assumption Setting'!$C$145+'Assumption Setting'!$C$21)</f>
        <v>0</v>
      </c>
      <c r="AV12" s="66" t="n">
        <f aca="false">'Revenue Streams'!AV$17*('Assumption Setting'!$C$145+'Assumption Setting'!$C$21)</f>
        <v>0</v>
      </c>
      <c r="AW12" s="66" t="n">
        <f aca="false">'Revenue Streams'!AW$17*('Assumption Setting'!$C$145+'Assumption Setting'!$C$21)</f>
        <v>0</v>
      </c>
      <c r="AX12" s="66" t="n">
        <f aca="false">'Revenue Streams'!AX$17*('Assumption Setting'!$C$145+'Assumption Setting'!$C$21)</f>
        <v>0</v>
      </c>
      <c r="AY12" s="66" t="n">
        <f aca="false">'Revenue Streams'!AY$17*('Assumption Setting'!$C$145+'Assumption Setting'!$C$21)</f>
        <v>0</v>
      </c>
      <c r="AZ12" s="66" t="n">
        <f aca="false">'Revenue Streams'!AZ$17*('Assumption Setting'!$C$145+'Assumption Setting'!$C$21)</f>
        <v>0</v>
      </c>
      <c r="BA12" s="66" t="n">
        <f aca="false">'Revenue Streams'!BA$17*('Assumption Setting'!$C$145+'Assumption Setting'!$C$21)</f>
        <v>0</v>
      </c>
      <c r="BB12" s="65" t="n">
        <f aca="false">SUM(BC12:BN12)</f>
        <v>0</v>
      </c>
      <c r="BC12" s="66" t="n">
        <f aca="false">'Revenue Streams'!BC$17*('Assumption Setting'!$C$145+'Assumption Setting'!$C$21)</f>
        <v>0</v>
      </c>
      <c r="BD12" s="66" t="n">
        <f aca="false">'Revenue Streams'!BD$17*('Assumption Setting'!$C$145+'Assumption Setting'!$C$21)</f>
        <v>0</v>
      </c>
      <c r="BE12" s="66" t="n">
        <f aca="false">'Revenue Streams'!BE$17*('Assumption Setting'!$C$145+'Assumption Setting'!$C$21)</f>
        <v>0</v>
      </c>
      <c r="BF12" s="66" t="n">
        <f aca="false">'Revenue Streams'!BF$17*('Assumption Setting'!$C$145+'Assumption Setting'!$C$21)</f>
        <v>0</v>
      </c>
      <c r="BG12" s="66" t="n">
        <f aca="false">'Revenue Streams'!BG$17*('Assumption Setting'!$C$145+'Assumption Setting'!$C$21)</f>
        <v>0</v>
      </c>
      <c r="BH12" s="66" t="n">
        <f aca="false">'Revenue Streams'!BH$17*('Assumption Setting'!$C$145+'Assumption Setting'!$C$21)</f>
        <v>0</v>
      </c>
      <c r="BI12" s="66" t="n">
        <f aca="false">'Revenue Streams'!BI$17*('Assumption Setting'!$C$145+'Assumption Setting'!$C$21)</f>
        <v>0</v>
      </c>
      <c r="BJ12" s="66" t="n">
        <f aca="false">'Revenue Streams'!BJ$17*('Assumption Setting'!$C$145+'Assumption Setting'!$C$21)</f>
        <v>0</v>
      </c>
      <c r="BK12" s="66" t="n">
        <f aca="false">'Revenue Streams'!BK$17*('Assumption Setting'!$C$145+'Assumption Setting'!$C$21)</f>
        <v>0</v>
      </c>
      <c r="BL12" s="66" t="n">
        <f aca="false">'Revenue Streams'!BL$17*('Assumption Setting'!$C$145+'Assumption Setting'!$C$21)</f>
        <v>0</v>
      </c>
      <c r="BM12" s="66" t="n">
        <f aca="false">'Revenue Streams'!BM$17*('Assumption Setting'!$C$145+'Assumption Setting'!$C$21)</f>
        <v>0</v>
      </c>
      <c r="BN12" s="66" t="n">
        <f aca="false">'Revenue Streams'!BN$17*('Assumption Setting'!$C$145+'Assumption Setting'!$C$21)</f>
        <v>0</v>
      </c>
    </row>
    <row r="13" customFormat="false" ht="15" hidden="false" customHeight="false" outlineLevel="0" collapsed="false">
      <c r="A13" s="12" t="s">
        <v>808</v>
      </c>
      <c r="B13" s="65" t="n">
        <f aca="false">SUM(C13:N13)</f>
        <v>4000</v>
      </c>
      <c r="C13" s="66" t="n">
        <f aca="false">'Assumption Setting'!$C$147/12*'Assumption Setting'!$C$146</f>
        <v>333.333333333333</v>
      </c>
      <c r="D13" s="66" t="n">
        <f aca="false">'Assumption Setting'!$C$147/12*'Assumption Setting'!$C$146</f>
        <v>333.333333333333</v>
      </c>
      <c r="E13" s="66" t="n">
        <f aca="false">'Assumption Setting'!$C$147/12*'Assumption Setting'!$C$146</f>
        <v>333.333333333333</v>
      </c>
      <c r="F13" s="66" t="n">
        <f aca="false">'Assumption Setting'!$C$147/12*'Assumption Setting'!$C$146</f>
        <v>333.333333333333</v>
      </c>
      <c r="G13" s="66" t="n">
        <f aca="false">'Assumption Setting'!$C$147/12*'Assumption Setting'!$C$146</f>
        <v>333.333333333333</v>
      </c>
      <c r="H13" s="66" t="n">
        <f aca="false">'Assumption Setting'!$C$147/12*'Assumption Setting'!$C$146</f>
        <v>333.333333333333</v>
      </c>
      <c r="I13" s="66" t="n">
        <f aca="false">'Assumption Setting'!$C$147/12*'Assumption Setting'!$C$146</f>
        <v>333.333333333333</v>
      </c>
      <c r="J13" s="66" t="n">
        <f aca="false">'Assumption Setting'!$C$147/12*'Assumption Setting'!$C$146</f>
        <v>333.333333333333</v>
      </c>
      <c r="K13" s="66" t="n">
        <f aca="false">'Assumption Setting'!$C$147/12*'Assumption Setting'!$C$146</f>
        <v>333.333333333333</v>
      </c>
      <c r="L13" s="66" t="n">
        <f aca="false">'Assumption Setting'!$C$147/12*'Assumption Setting'!$C$146</f>
        <v>333.333333333333</v>
      </c>
      <c r="M13" s="66" t="n">
        <f aca="false">'Assumption Setting'!$C$147/12*'Assumption Setting'!$C$146</f>
        <v>333.333333333333</v>
      </c>
      <c r="N13" s="66" t="n">
        <f aca="false">'Assumption Setting'!$C$147/12*'Assumption Setting'!$C$146</f>
        <v>333.333333333333</v>
      </c>
      <c r="O13" s="65" t="n">
        <f aca="false">SUM(P13:AA13)</f>
        <v>12000</v>
      </c>
      <c r="P13" s="66" t="n">
        <f aca="false">'Assumption Setting'!$D$147/12*'Assumption Setting'!$D$146</f>
        <v>1000</v>
      </c>
      <c r="Q13" s="66" t="n">
        <f aca="false">'Assumption Setting'!$D$147/12*'Assumption Setting'!$D$146</f>
        <v>1000</v>
      </c>
      <c r="R13" s="66" t="n">
        <f aca="false">'Assumption Setting'!$D$147/12*'Assumption Setting'!$D$146</f>
        <v>1000</v>
      </c>
      <c r="S13" s="66" t="n">
        <f aca="false">'Assumption Setting'!$D$147/12*'Assumption Setting'!$D$146</f>
        <v>1000</v>
      </c>
      <c r="T13" s="66" t="n">
        <f aca="false">'Assumption Setting'!$D$147/12*'Assumption Setting'!$D$146</f>
        <v>1000</v>
      </c>
      <c r="U13" s="66" t="n">
        <f aca="false">'Assumption Setting'!$D$147/12*'Assumption Setting'!$D$146</f>
        <v>1000</v>
      </c>
      <c r="V13" s="66" t="n">
        <f aca="false">'Assumption Setting'!$D$147/12*'Assumption Setting'!$D$146</f>
        <v>1000</v>
      </c>
      <c r="W13" s="66" t="n">
        <f aca="false">'Assumption Setting'!$D$147/12*'Assumption Setting'!$D$146</f>
        <v>1000</v>
      </c>
      <c r="X13" s="66" t="n">
        <f aca="false">'Assumption Setting'!$D$147/12*'Assumption Setting'!$D$146</f>
        <v>1000</v>
      </c>
      <c r="Y13" s="66" t="n">
        <f aca="false">'Assumption Setting'!$D$147/12*'Assumption Setting'!$D$146</f>
        <v>1000</v>
      </c>
      <c r="Z13" s="66" t="n">
        <f aca="false">'Assumption Setting'!$D$147/12*'Assumption Setting'!$D$146</f>
        <v>1000</v>
      </c>
      <c r="AA13" s="66" t="n">
        <f aca="false">'Assumption Setting'!$D$147/12*'Assumption Setting'!$D$146</f>
        <v>1000</v>
      </c>
      <c r="AB13" s="65" t="n">
        <f aca="false">SUM(AC13:AN13)</f>
        <v>24000</v>
      </c>
      <c r="AC13" s="66" t="n">
        <f aca="false">'Assumption Setting'!$E$147/12*'Assumption Setting'!$E$146</f>
        <v>2000</v>
      </c>
      <c r="AD13" s="66" t="n">
        <f aca="false">'Assumption Setting'!$E$147/12*'Assumption Setting'!$E$146</f>
        <v>2000</v>
      </c>
      <c r="AE13" s="66" t="n">
        <f aca="false">'Assumption Setting'!$E$147/12*'Assumption Setting'!$E$146</f>
        <v>2000</v>
      </c>
      <c r="AF13" s="66" t="n">
        <f aca="false">'Assumption Setting'!$E$147/12*'Assumption Setting'!$E$146</f>
        <v>2000</v>
      </c>
      <c r="AG13" s="66" t="n">
        <f aca="false">'Assumption Setting'!$E$147/12*'Assumption Setting'!$E$146</f>
        <v>2000</v>
      </c>
      <c r="AH13" s="66" t="n">
        <f aca="false">'Assumption Setting'!$E$147/12*'Assumption Setting'!$E$146</f>
        <v>2000</v>
      </c>
      <c r="AI13" s="66" t="n">
        <f aca="false">'Assumption Setting'!$E$147/12*'Assumption Setting'!$E$146</f>
        <v>2000</v>
      </c>
      <c r="AJ13" s="66" t="n">
        <f aca="false">'Assumption Setting'!$E$147/12*'Assumption Setting'!$E$146</f>
        <v>2000</v>
      </c>
      <c r="AK13" s="66" t="n">
        <f aca="false">'Assumption Setting'!$E$147/12*'Assumption Setting'!$E$146</f>
        <v>2000</v>
      </c>
      <c r="AL13" s="66" t="n">
        <f aca="false">'Assumption Setting'!$E$147/12*'Assumption Setting'!$E$146</f>
        <v>2000</v>
      </c>
      <c r="AM13" s="66" t="n">
        <f aca="false">'Assumption Setting'!$E$147/12*'Assumption Setting'!$E$146</f>
        <v>2000</v>
      </c>
      <c r="AN13" s="66" t="n">
        <f aca="false">'Assumption Setting'!$E$147/12*'Assumption Setting'!$E$146</f>
        <v>2000</v>
      </c>
      <c r="AO13" s="65" t="n">
        <f aca="false">SUM(AP13:BA13)</f>
        <v>27000</v>
      </c>
      <c r="AP13" s="66" t="n">
        <f aca="false">'Assumption Setting'!$F$147/12*'Assumption Setting'!$F$146</f>
        <v>2250</v>
      </c>
      <c r="AQ13" s="66" t="n">
        <f aca="false">'Assumption Setting'!$F$147/12*'Assumption Setting'!$F$146</f>
        <v>2250</v>
      </c>
      <c r="AR13" s="66" t="n">
        <f aca="false">'Assumption Setting'!$F$147/12*'Assumption Setting'!$F$146</f>
        <v>2250</v>
      </c>
      <c r="AS13" s="66" t="n">
        <f aca="false">'Assumption Setting'!$F$147/12*'Assumption Setting'!$F$146</f>
        <v>2250</v>
      </c>
      <c r="AT13" s="66" t="n">
        <f aca="false">'Assumption Setting'!$F$147/12*'Assumption Setting'!$F$146</f>
        <v>2250</v>
      </c>
      <c r="AU13" s="66" t="n">
        <f aca="false">'Assumption Setting'!$F$147/12*'Assumption Setting'!$F$146</f>
        <v>2250</v>
      </c>
      <c r="AV13" s="66" t="n">
        <f aca="false">'Assumption Setting'!$F$147/12*'Assumption Setting'!$F$146</f>
        <v>2250</v>
      </c>
      <c r="AW13" s="66" t="n">
        <f aca="false">'Assumption Setting'!$F$147/12*'Assumption Setting'!$F$146</f>
        <v>2250</v>
      </c>
      <c r="AX13" s="66" t="n">
        <f aca="false">'Assumption Setting'!$F$147/12*'Assumption Setting'!$F$146</f>
        <v>2250</v>
      </c>
      <c r="AY13" s="66" t="n">
        <f aca="false">'Assumption Setting'!$F$147/12*'Assumption Setting'!$F$146</f>
        <v>2250</v>
      </c>
      <c r="AZ13" s="66" t="n">
        <f aca="false">'Assumption Setting'!$F$147/12*'Assumption Setting'!$F$146</f>
        <v>2250</v>
      </c>
      <c r="BA13" s="66" t="n">
        <f aca="false">'Assumption Setting'!$F$147/12*'Assumption Setting'!$F$146</f>
        <v>2250</v>
      </c>
      <c r="BB13" s="65" t="n">
        <f aca="false">SUM(BC13:BN13)</f>
        <v>30000</v>
      </c>
      <c r="BC13" s="66" t="n">
        <f aca="false">'Assumption Setting'!$G$147/12*'Assumption Setting'!$G$146</f>
        <v>2500</v>
      </c>
      <c r="BD13" s="66" t="n">
        <f aca="false">'Assumption Setting'!$G$147/12*'Assumption Setting'!$G$146</f>
        <v>2500</v>
      </c>
      <c r="BE13" s="66" t="n">
        <f aca="false">'Assumption Setting'!$G$147/12*'Assumption Setting'!$G$146</f>
        <v>2500</v>
      </c>
      <c r="BF13" s="66" t="n">
        <f aca="false">'Assumption Setting'!$G$147/12*'Assumption Setting'!$G$146</f>
        <v>2500</v>
      </c>
      <c r="BG13" s="66" t="n">
        <f aca="false">'Assumption Setting'!$G$147/12*'Assumption Setting'!$G$146</f>
        <v>2500</v>
      </c>
      <c r="BH13" s="66" t="n">
        <f aca="false">'Assumption Setting'!$G$147/12*'Assumption Setting'!$G$146</f>
        <v>2500</v>
      </c>
      <c r="BI13" s="66" t="n">
        <f aca="false">'Assumption Setting'!$G$147/12*'Assumption Setting'!$G$146</f>
        <v>2500</v>
      </c>
      <c r="BJ13" s="66" t="n">
        <f aca="false">'Assumption Setting'!$G$147/12*'Assumption Setting'!$G$146</f>
        <v>2500</v>
      </c>
      <c r="BK13" s="66" t="n">
        <f aca="false">'Assumption Setting'!$G$147/12*'Assumption Setting'!$G$146</f>
        <v>2500</v>
      </c>
      <c r="BL13" s="66" t="n">
        <f aca="false">'Assumption Setting'!$G$147/12*'Assumption Setting'!$G$146</f>
        <v>2500</v>
      </c>
      <c r="BM13" s="66" t="n">
        <f aca="false">'Assumption Setting'!$G$147/12*'Assumption Setting'!$G$146</f>
        <v>2500</v>
      </c>
      <c r="BN13" s="66" t="n">
        <f aca="false">'Assumption Setting'!$G$147/12*'Assumption Setting'!$G$146</f>
        <v>2500</v>
      </c>
    </row>
    <row r="14" customFormat="false" ht="15" hidden="false" customHeight="false" outlineLevel="0" collapsed="false">
      <c r="A14" s="12" t="s">
        <v>809</v>
      </c>
      <c r="B14" s="65" t="n">
        <f aca="false">SUM(C14:N14)</f>
        <v>0</v>
      </c>
      <c r="C14" s="66" t="n">
        <f aca="false">'Revenue Streams'!C$16*'Assumption Setting'!$C$148</f>
        <v>0</v>
      </c>
      <c r="D14" s="66" t="n">
        <f aca="false">'Revenue Streams'!D$16*'Assumption Setting'!$C$148</f>
        <v>0</v>
      </c>
      <c r="E14" s="66" t="n">
        <f aca="false">'Revenue Streams'!E$16*'Assumption Setting'!$C$148</f>
        <v>0</v>
      </c>
      <c r="F14" s="66" t="n">
        <f aca="false">'Revenue Streams'!F$16*'Assumption Setting'!$C$148</f>
        <v>0</v>
      </c>
      <c r="G14" s="66" t="n">
        <f aca="false">'Revenue Streams'!G$16*'Assumption Setting'!$C$148</f>
        <v>0</v>
      </c>
      <c r="H14" s="66" t="n">
        <f aca="false">'Revenue Streams'!H$16*'Assumption Setting'!$C$148</f>
        <v>0</v>
      </c>
      <c r="I14" s="66" t="n">
        <f aca="false">'Revenue Streams'!I$16*'Assumption Setting'!$C$148</f>
        <v>0</v>
      </c>
      <c r="J14" s="66" t="n">
        <f aca="false">'Revenue Streams'!J$16*'Assumption Setting'!$C$148</f>
        <v>0</v>
      </c>
      <c r="K14" s="66" t="n">
        <f aca="false">'Revenue Streams'!K$16*'Assumption Setting'!$C$148</f>
        <v>0</v>
      </c>
      <c r="L14" s="66" t="n">
        <f aca="false">'Revenue Streams'!L$16*'Assumption Setting'!$C$148</f>
        <v>0</v>
      </c>
      <c r="M14" s="66" t="n">
        <f aca="false">'Revenue Streams'!M$16*'Assumption Setting'!$C$148</f>
        <v>0</v>
      </c>
      <c r="N14" s="66" t="n">
        <f aca="false">'Revenue Streams'!N$16*'Assumption Setting'!$C$148</f>
        <v>0</v>
      </c>
      <c r="O14" s="65" t="n">
        <f aca="false">SUM(P14:AA14)</f>
        <v>30000</v>
      </c>
      <c r="P14" s="66" t="n">
        <f aca="false">'Revenue Streams'!P$16*'Assumption Setting'!$D$148</f>
        <v>0</v>
      </c>
      <c r="Q14" s="66" t="n">
        <f aca="false">'Revenue Streams'!Q$16*'Assumption Setting'!$D$148</f>
        <v>0</v>
      </c>
      <c r="R14" s="66" t="n">
        <f aca="false">'Revenue Streams'!R$16*'Assumption Setting'!$D$148</f>
        <v>0</v>
      </c>
      <c r="S14" s="66" t="n">
        <f aca="false">'Revenue Streams'!S$16*'Assumption Setting'!$D$148</f>
        <v>2100</v>
      </c>
      <c r="T14" s="66" t="n">
        <f aca="false">'Revenue Streams'!T$16*'Assumption Setting'!$D$148</f>
        <v>2475</v>
      </c>
      <c r="U14" s="66" t="n">
        <f aca="false">'Revenue Streams'!U$16*'Assumption Setting'!$D$148</f>
        <v>2925</v>
      </c>
      <c r="V14" s="66" t="n">
        <f aca="false">'Revenue Streams'!V$16*'Assumption Setting'!$D$148</f>
        <v>2100</v>
      </c>
      <c r="W14" s="66" t="n">
        <f aca="false">'Revenue Streams'!W$16*'Assumption Setting'!$D$148</f>
        <v>2475</v>
      </c>
      <c r="X14" s="66" t="n">
        <f aca="false">'Revenue Streams'!X$16*'Assumption Setting'!$D$148</f>
        <v>2925</v>
      </c>
      <c r="Y14" s="66" t="n">
        <f aca="false">'Revenue Streams'!Y$16*'Assumption Setting'!$D$148</f>
        <v>4200</v>
      </c>
      <c r="Z14" s="66" t="n">
        <f aca="false">'Revenue Streams'!Z$16*'Assumption Setting'!$D$148</f>
        <v>4950</v>
      </c>
      <c r="AA14" s="66" t="n">
        <f aca="false">'Revenue Streams'!AA$16*'Assumption Setting'!$D$148</f>
        <v>5850</v>
      </c>
      <c r="AB14" s="65" t="n">
        <f aca="false">SUM(AC14:AN14)</f>
        <v>108000</v>
      </c>
      <c r="AC14" s="66" t="n">
        <f aca="false">'Revenue Streams'!AC$16*'Assumption Setting'!$E$148</f>
        <v>5040</v>
      </c>
      <c r="AD14" s="66" t="n">
        <f aca="false">'Revenue Streams'!AD$16*'Assumption Setting'!$E$148</f>
        <v>5940</v>
      </c>
      <c r="AE14" s="66" t="n">
        <f aca="false">'Revenue Streams'!AE$16*'Assumption Setting'!$E$148</f>
        <v>7020</v>
      </c>
      <c r="AF14" s="66" t="n">
        <f aca="false">'Revenue Streams'!AF$16*'Assumption Setting'!$E$148</f>
        <v>7560</v>
      </c>
      <c r="AG14" s="66" t="n">
        <f aca="false">'Revenue Streams'!AG$16*'Assumption Setting'!$E$148</f>
        <v>8910</v>
      </c>
      <c r="AH14" s="66" t="n">
        <f aca="false">'Revenue Streams'!AH$16*'Assumption Setting'!$E$148</f>
        <v>10530</v>
      </c>
      <c r="AI14" s="66" t="n">
        <f aca="false">'Revenue Streams'!AI$16*'Assumption Setting'!$E$148</f>
        <v>7560</v>
      </c>
      <c r="AJ14" s="66" t="n">
        <f aca="false">'Revenue Streams'!AJ$16*'Assumption Setting'!$E$148</f>
        <v>8910</v>
      </c>
      <c r="AK14" s="66" t="n">
        <f aca="false">'Revenue Streams'!AK$16*'Assumption Setting'!$E$148</f>
        <v>10530</v>
      </c>
      <c r="AL14" s="66" t="n">
        <f aca="false">'Revenue Streams'!AL$16*'Assumption Setting'!$E$148</f>
        <v>10080</v>
      </c>
      <c r="AM14" s="66" t="n">
        <f aca="false">'Revenue Streams'!AM$16*'Assumption Setting'!$E$148</f>
        <v>11880</v>
      </c>
      <c r="AN14" s="66" t="n">
        <f aca="false">'Revenue Streams'!AN$16*'Assumption Setting'!$E$148</f>
        <v>14040</v>
      </c>
      <c r="AO14" s="65" t="n">
        <f aca="false">SUM(AP14:BA14)</f>
        <v>190000</v>
      </c>
      <c r="AP14" s="66" t="n">
        <f aca="false">'Revenue Streams'!AP$16*'Assumption Setting'!$F$148</f>
        <v>10640</v>
      </c>
      <c r="AQ14" s="66" t="n">
        <f aca="false">'Revenue Streams'!AQ$16*'Assumption Setting'!$F$148</f>
        <v>12540</v>
      </c>
      <c r="AR14" s="66" t="n">
        <f aca="false">'Revenue Streams'!AR$16*'Assumption Setting'!$F$148</f>
        <v>14820</v>
      </c>
      <c r="AS14" s="66" t="n">
        <f aca="false">'Revenue Streams'!AS$16*'Assumption Setting'!$F$148</f>
        <v>13300</v>
      </c>
      <c r="AT14" s="66" t="n">
        <f aca="false">'Revenue Streams'!AT$16*'Assumption Setting'!$F$148</f>
        <v>15675</v>
      </c>
      <c r="AU14" s="66" t="n">
        <f aca="false">'Revenue Streams'!AU$16*'Assumption Setting'!$F$148</f>
        <v>18525</v>
      </c>
      <c r="AV14" s="66" t="n">
        <f aca="false">'Revenue Streams'!AV$16*'Assumption Setting'!$F$148</f>
        <v>13300</v>
      </c>
      <c r="AW14" s="66" t="n">
        <f aca="false">'Revenue Streams'!AW$16*'Assumption Setting'!$F$148</f>
        <v>15675</v>
      </c>
      <c r="AX14" s="66" t="n">
        <f aca="false">'Revenue Streams'!AX$16*'Assumption Setting'!$F$148</f>
        <v>18525</v>
      </c>
      <c r="AY14" s="66" t="n">
        <f aca="false">'Revenue Streams'!AY$16*'Assumption Setting'!$F$148</f>
        <v>15960</v>
      </c>
      <c r="AZ14" s="66" t="n">
        <f aca="false">'Revenue Streams'!AZ$16*'Assumption Setting'!$F$148</f>
        <v>18810</v>
      </c>
      <c r="BA14" s="66" t="n">
        <f aca="false">'Revenue Streams'!BA$16*'Assumption Setting'!$F$148</f>
        <v>22230</v>
      </c>
      <c r="BB14" s="65" t="n">
        <f aca="false">SUM(BC14:BN14)</f>
        <v>280000</v>
      </c>
      <c r="BC14" s="66" t="n">
        <f aca="false">'Revenue Streams'!BC$16*'Assumption Setting'!$G$148</f>
        <v>16800</v>
      </c>
      <c r="BD14" s="66" t="n">
        <f aca="false">'Revenue Streams'!BD$16*'Assumption Setting'!$G$148</f>
        <v>19800</v>
      </c>
      <c r="BE14" s="66" t="n">
        <f aca="false">'Revenue Streams'!BE$16*'Assumption Setting'!$G$148</f>
        <v>23400</v>
      </c>
      <c r="BF14" s="66" t="n">
        <f aca="false">'Revenue Streams'!BF$16*'Assumption Setting'!$G$148</f>
        <v>19600</v>
      </c>
      <c r="BG14" s="66" t="n">
        <f aca="false">'Revenue Streams'!BG$16*'Assumption Setting'!$G$148</f>
        <v>23100</v>
      </c>
      <c r="BH14" s="66" t="n">
        <f aca="false">'Revenue Streams'!BH$16*'Assumption Setting'!$G$148</f>
        <v>27300</v>
      </c>
      <c r="BI14" s="66" t="n">
        <f aca="false">'Revenue Streams'!BI$16*'Assumption Setting'!$G$148</f>
        <v>19600</v>
      </c>
      <c r="BJ14" s="66" t="n">
        <f aca="false">'Revenue Streams'!BJ$16*'Assumption Setting'!$G$148</f>
        <v>23100</v>
      </c>
      <c r="BK14" s="66" t="n">
        <f aca="false">'Revenue Streams'!BK$16*'Assumption Setting'!$G$148</f>
        <v>27300</v>
      </c>
      <c r="BL14" s="66" t="n">
        <f aca="false">'Revenue Streams'!BL$16*'Assumption Setting'!$G$148</f>
        <v>22400</v>
      </c>
      <c r="BM14" s="66" t="n">
        <f aca="false">'Revenue Streams'!BM$16*'Assumption Setting'!$G$148</f>
        <v>26400</v>
      </c>
      <c r="BN14" s="66" t="n">
        <f aca="false">'Revenue Streams'!BN$16*'Assumption Setting'!$G$148</f>
        <v>31200</v>
      </c>
    </row>
    <row r="15" customFormat="false" ht="15" hidden="false" customHeight="false" outlineLevel="0" collapsed="false">
      <c r="A15" s="12" t="s">
        <v>810</v>
      </c>
      <c r="B15" s="65" t="n">
        <f aca="false">SUM(C15:N15)</f>
        <v>0</v>
      </c>
      <c r="C15" s="66" t="n">
        <f aca="false">'Revenue Streams'!C$19*'Assumption Setting'!$C$149</f>
        <v>0</v>
      </c>
      <c r="D15" s="66" t="n">
        <f aca="false">'Revenue Streams'!D$19*'Assumption Setting'!$C$149</f>
        <v>0</v>
      </c>
      <c r="E15" s="66" t="n">
        <f aca="false">'Revenue Streams'!E$19*'Assumption Setting'!$C$149</f>
        <v>0</v>
      </c>
      <c r="F15" s="66" t="n">
        <f aca="false">'Revenue Streams'!F$19*'Assumption Setting'!$C$149</f>
        <v>0</v>
      </c>
      <c r="G15" s="66" t="n">
        <f aca="false">'Revenue Streams'!G$19*'Assumption Setting'!$C$149</f>
        <v>0</v>
      </c>
      <c r="H15" s="66" t="n">
        <f aca="false">'Revenue Streams'!H$19*'Assumption Setting'!$C$149</f>
        <v>0</v>
      </c>
      <c r="I15" s="66" t="n">
        <f aca="false">'Revenue Streams'!I$19*'Assumption Setting'!$C$149</f>
        <v>0</v>
      </c>
      <c r="J15" s="66" t="n">
        <f aca="false">'Revenue Streams'!J$19*'Assumption Setting'!$C$149</f>
        <v>0</v>
      </c>
      <c r="K15" s="66" t="n">
        <f aca="false">'Revenue Streams'!K$19*'Assumption Setting'!$C$149</f>
        <v>0</v>
      </c>
      <c r="L15" s="66" t="n">
        <f aca="false">'Revenue Streams'!L$19*'Assumption Setting'!$C$149</f>
        <v>0</v>
      </c>
      <c r="M15" s="66" t="n">
        <f aca="false">'Revenue Streams'!M$19*'Assumption Setting'!$C$149</f>
        <v>0</v>
      </c>
      <c r="N15" s="66" t="n">
        <f aca="false">'Revenue Streams'!N$19*'Assumption Setting'!$C$149</f>
        <v>0</v>
      </c>
      <c r="O15" s="65" t="n">
        <f aca="false">SUM(P15:AA15)</f>
        <v>9000</v>
      </c>
      <c r="P15" s="66" t="n">
        <f aca="false">'Revenue Streams'!P$19*'Assumption Setting'!$D$149</f>
        <v>0</v>
      </c>
      <c r="Q15" s="66" t="n">
        <f aca="false">'Revenue Streams'!Q$19*'Assumption Setting'!$D$149</f>
        <v>0</v>
      </c>
      <c r="R15" s="66" t="n">
        <f aca="false">'Revenue Streams'!R$19*'Assumption Setting'!$D$149</f>
        <v>0</v>
      </c>
      <c r="S15" s="66" t="n">
        <f aca="false">'Revenue Streams'!S$19*'Assumption Setting'!$D$149</f>
        <v>0</v>
      </c>
      <c r="T15" s="66" t="n">
        <f aca="false">'Revenue Streams'!T$19*'Assumption Setting'!$D$149</f>
        <v>0</v>
      </c>
      <c r="U15" s="66" t="n">
        <f aca="false">'Revenue Streams'!U$19*'Assumption Setting'!$D$149</f>
        <v>0</v>
      </c>
      <c r="V15" s="66" t="n">
        <f aca="false">'Revenue Streams'!V$19*'Assumption Setting'!$D$149</f>
        <v>0</v>
      </c>
      <c r="W15" s="66" t="n">
        <f aca="false">'Revenue Streams'!W$19*'Assumption Setting'!$D$149</f>
        <v>0</v>
      </c>
      <c r="X15" s="66" t="n">
        <f aca="false">'Revenue Streams'!X$19*'Assumption Setting'!$D$149</f>
        <v>0</v>
      </c>
      <c r="Y15" s="66" t="n">
        <f aca="false">'Revenue Streams'!Y$19*'Assumption Setting'!$D$149</f>
        <v>2520</v>
      </c>
      <c r="Z15" s="66" t="n">
        <f aca="false">'Revenue Streams'!Z$19*'Assumption Setting'!$D$149</f>
        <v>2970</v>
      </c>
      <c r="AA15" s="66" t="n">
        <f aca="false">'Revenue Streams'!AA$19*'Assumption Setting'!$D$149</f>
        <v>3510</v>
      </c>
      <c r="AB15" s="65" t="n">
        <f aca="false">SUM(AC15:AN15)</f>
        <v>66000</v>
      </c>
      <c r="AC15" s="66" t="n">
        <f aca="false">'Revenue Streams'!AC$19*'Assumption Setting'!$E$149</f>
        <v>3080</v>
      </c>
      <c r="AD15" s="66" t="n">
        <f aca="false">'Revenue Streams'!AD$19*'Assumption Setting'!$E$149</f>
        <v>3630</v>
      </c>
      <c r="AE15" s="66" t="n">
        <f aca="false">'Revenue Streams'!AE$19*'Assumption Setting'!$E$149</f>
        <v>4290</v>
      </c>
      <c r="AF15" s="66" t="n">
        <f aca="false">'Revenue Streams'!AF$19*'Assumption Setting'!$E$149</f>
        <v>3080</v>
      </c>
      <c r="AG15" s="66" t="n">
        <f aca="false">'Revenue Streams'!AG$19*'Assumption Setting'!$E$149</f>
        <v>3630</v>
      </c>
      <c r="AH15" s="66" t="n">
        <f aca="false">'Revenue Streams'!AH$19*'Assumption Setting'!$E$149</f>
        <v>4290</v>
      </c>
      <c r="AI15" s="66" t="n">
        <f aca="false">'Revenue Streams'!AI$19*'Assumption Setting'!$E$149</f>
        <v>6160</v>
      </c>
      <c r="AJ15" s="66" t="n">
        <f aca="false">'Revenue Streams'!AJ$19*'Assumption Setting'!$E$149</f>
        <v>7260</v>
      </c>
      <c r="AK15" s="66" t="n">
        <f aca="false">'Revenue Streams'!AK$19*'Assumption Setting'!$E$149</f>
        <v>8580</v>
      </c>
      <c r="AL15" s="66" t="n">
        <f aca="false">'Revenue Streams'!AL$19*'Assumption Setting'!$E$149</f>
        <v>6160</v>
      </c>
      <c r="AM15" s="66" t="n">
        <f aca="false">'Revenue Streams'!AM$19*'Assumption Setting'!$E$149</f>
        <v>7260</v>
      </c>
      <c r="AN15" s="66" t="n">
        <f aca="false">'Revenue Streams'!AN$19*'Assumption Setting'!$E$149</f>
        <v>8580</v>
      </c>
      <c r="AO15" s="65" t="n">
        <f aca="false">SUM(AP15:BA15)</f>
        <v>144000</v>
      </c>
      <c r="AP15" s="66" t="n">
        <f aca="false">'Revenue Streams'!AP$19*'Assumption Setting'!$F$149</f>
        <v>6720</v>
      </c>
      <c r="AQ15" s="66" t="n">
        <f aca="false">'Revenue Streams'!AQ$19*'Assumption Setting'!$F$149</f>
        <v>7920</v>
      </c>
      <c r="AR15" s="66" t="n">
        <f aca="false">'Revenue Streams'!AR$19*'Assumption Setting'!$F$149</f>
        <v>9360</v>
      </c>
      <c r="AS15" s="66" t="n">
        <f aca="false">'Revenue Streams'!AS$19*'Assumption Setting'!$F$149</f>
        <v>10080</v>
      </c>
      <c r="AT15" s="66" t="n">
        <f aca="false">'Revenue Streams'!AT$19*'Assumption Setting'!$F$149</f>
        <v>11880</v>
      </c>
      <c r="AU15" s="66" t="n">
        <f aca="false">'Revenue Streams'!AU$19*'Assumption Setting'!$F$149</f>
        <v>14040</v>
      </c>
      <c r="AV15" s="66" t="n">
        <f aca="false">'Revenue Streams'!AV$19*'Assumption Setting'!$F$149</f>
        <v>10080</v>
      </c>
      <c r="AW15" s="66" t="n">
        <f aca="false">'Revenue Streams'!AW$19*'Assumption Setting'!$F$149</f>
        <v>11880</v>
      </c>
      <c r="AX15" s="66" t="n">
        <f aca="false">'Revenue Streams'!AX$19*'Assumption Setting'!$F$149</f>
        <v>14040</v>
      </c>
      <c r="AY15" s="66" t="n">
        <f aca="false">'Revenue Streams'!AY$19*'Assumption Setting'!$F$149</f>
        <v>13440</v>
      </c>
      <c r="AZ15" s="66" t="n">
        <f aca="false">'Revenue Streams'!AZ$19*'Assumption Setting'!$F$149</f>
        <v>15840</v>
      </c>
      <c r="BA15" s="66" t="n">
        <f aca="false">'Revenue Streams'!BA$19*'Assumption Setting'!$F$149</f>
        <v>18720</v>
      </c>
      <c r="BB15" s="65" t="n">
        <f aca="false">SUM(BC15:BN15)</f>
        <v>234000</v>
      </c>
      <c r="BC15" s="66" t="n">
        <f aca="false">'Revenue Streams'!BC$19*'Assumption Setting'!$G$149</f>
        <v>14560</v>
      </c>
      <c r="BD15" s="66" t="n">
        <f aca="false">'Revenue Streams'!BD$19*'Assumption Setting'!$G$149</f>
        <v>17160</v>
      </c>
      <c r="BE15" s="66" t="n">
        <f aca="false">'Revenue Streams'!BE$19*'Assumption Setting'!$G$149</f>
        <v>20280</v>
      </c>
      <c r="BF15" s="66" t="n">
        <f aca="false">'Revenue Streams'!BF$19*'Assumption Setting'!$G$149</f>
        <v>14560</v>
      </c>
      <c r="BG15" s="66" t="n">
        <f aca="false">'Revenue Streams'!BG$19*'Assumption Setting'!$G$149</f>
        <v>17160</v>
      </c>
      <c r="BH15" s="66" t="n">
        <f aca="false">'Revenue Streams'!BH$19*'Assumption Setting'!$G$149</f>
        <v>20280</v>
      </c>
      <c r="BI15" s="66" t="n">
        <f aca="false">'Revenue Streams'!BI$19*'Assumption Setting'!$G$149</f>
        <v>18200</v>
      </c>
      <c r="BJ15" s="66" t="n">
        <f aca="false">'Revenue Streams'!BJ$19*'Assumption Setting'!$G$149</f>
        <v>21450</v>
      </c>
      <c r="BK15" s="66" t="n">
        <f aca="false">'Revenue Streams'!BK$19*'Assumption Setting'!$G$149</f>
        <v>25350</v>
      </c>
      <c r="BL15" s="66" t="n">
        <f aca="false">'Revenue Streams'!BL$19*'Assumption Setting'!$G$149</f>
        <v>18200</v>
      </c>
      <c r="BM15" s="66" t="n">
        <f aca="false">'Revenue Streams'!BM$19*'Assumption Setting'!$G$149</f>
        <v>21450</v>
      </c>
      <c r="BN15" s="66" t="n">
        <f aca="false">'Revenue Streams'!BN$19*'Assumption Setting'!$G$149</f>
        <v>25350</v>
      </c>
    </row>
    <row r="16" customFormat="false" ht="15" hidden="false" customHeight="false" outlineLevel="0" collapsed="false">
      <c r="A16" s="12" t="s">
        <v>811</v>
      </c>
      <c r="B16" s="65" t="n">
        <f aca="false">SUM(C16:N16)</f>
        <v>0</v>
      </c>
      <c r="C16" s="66" t="n">
        <f aca="false">'Revenue Streams'!C$15*'Assumption Setting'!$C$150</f>
        <v>0</v>
      </c>
      <c r="D16" s="66" t="n">
        <f aca="false">'Revenue Streams'!D$15*'Assumption Setting'!$C$150</f>
        <v>0</v>
      </c>
      <c r="E16" s="66" t="n">
        <f aca="false">'Revenue Streams'!E$15*'Assumption Setting'!$C$150</f>
        <v>0</v>
      </c>
      <c r="F16" s="66" t="n">
        <f aca="false">'Revenue Streams'!F$15*'Assumption Setting'!$C$150</f>
        <v>0</v>
      </c>
      <c r="G16" s="66" t="n">
        <f aca="false">'Revenue Streams'!G$15*'Assumption Setting'!$C$150</f>
        <v>0</v>
      </c>
      <c r="H16" s="66" t="n">
        <f aca="false">'Revenue Streams'!H$15*'Assumption Setting'!$C$150</f>
        <v>0</v>
      </c>
      <c r="I16" s="66" t="n">
        <f aca="false">'Revenue Streams'!I$15*'Assumption Setting'!$C$150</f>
        <v>0</v>
      </c>
      <c r="J16" s="66" t="n">
        <f aca="false">'Revenue Streams'!J$15*'Assumption Setting'!$C$150</f>
        <v>0</v>
      </c>
      <c r="K16" s="66" t="n">
        <f aca="false">'Revenue Streams'!K$15*'Assumption Setting'!$C$150</f>
        <v>0</v>
      </c>
      <c r="L16" s="66" t="n">
        <f aca="false">'Revenue Streams'!L$15*'Assumption Setting'!$C$150</f>
        <v>0</v>
      </c>
      <c r="M16" s="66" t="n">
        <f aca="false">'Revenue Streams'!M$15*'Assumption Setting'!$C$150</f>
        <v>0</v>
      </c>
      <c r="N16" s="66" t="n">
        <f aca="false">'Revenue Streams'!N$15*'Assumption Setting'!$C$150</f>
        <v>0</v>
      </c>
      <c r="O16" s="65" t="n">
        <f aca="false">SUM(P16:AA16)</f>
        <v>5600</v>
      </c>
      <c r="P16" s="66" t="n">
        <f aca="false">'Revenue Streams'!P$15*'Assumption Setting'!$D$150</f>
        <v>0</v>
      </c>
      <c r="Q16" s="66" t="n">
        <f aca="false">'Revenue Streams'!Q$15*'Assumption Setting'!$D$150</f>
        <v>0</v>
      </c>
      <c r="R16" s="66" t="n">
        <f aca="false">'Revenue Streams'!R$15*'Assumption Setting'!$D$150</f>
        <v>0</v>
      </c>
      <c r="S16" s="66" t="n">
        <f aca="false">'Revenue Streams'!S$15*'Assumption Setting'!$D$150</f>
        <v>0</v>
      </c>
      <c r="T16" s="66" t="n">
        <f aca="false">'Revenue Streams'!T$15*'Assumption Setting'!$D$150</f>
        <v>0</v>
      </c>
      <c r="U16" s="66" t="n">
        <f aca="false">'Revenue Streams'!U$15*'Assumption Setting'!$D$150</f>
        <v>0</v>
      </c>
      <c r="V16" s="66" t="n">
        <f aca="false">'Revenue Streams'!V$15*'Assumption Setting'!$D$150</f>
        <v>784</v>
      </c>
      <c r="W16" s="66" t="n">
        <f aca="false">'Revenue Streams'!W$15*'Assumption Setting'!$D$150</f>
        <v>924</v>
      </c>
      <c r="X16" s="66" t="n">
        <f aca="false">'Revenue Streams'!X$15*'Assumption Setting'!$D$150</f>
        <v>1092</v>
      </c>
      <c r="Y16" s="66" t="n">
        <f aca="false">'Revenue Streams'!Y$15*'Assumption Setting'!$D$150</f>
        <v>784</v>
      </c>
      <c r="Z16" s="66" t="n">
        <f aca="false">'Revenue Streams'!Z$15*'Assumption Setting'!$D$150</f>
        <v>924</v>
      </c>
      <c r="AA16" s="66" t="n">
        <f aca="false">'Revenue Streams'!AA$15*'Assumption Setting'!$D$150</f>
        <v>1092</v>
      </c>
      <c r="AB16" s="65" t="n">
        <f aca="false">SUM(AC16:AN16)</f>
        <v>32000</v>
      </c>
      <c r="AC16" s="66" t="n">
        <f aca="false">'Revenue Streams'!AC$15*'Assumption Setting'!$E$150</f>
        <v>1792</v>
      </c>
      <c r="AD16" s="66" t="n">
        <f aca="false">'Revenue Streams'!AD$15*'Assumption Setting'!$E$150</f>
        <v>2112</v>
      </c>
      <c r="AE16" s="66" t="n">
        <f aca="false">'Revenue Streams'!AE$15*'Assumption Setting'!$E$150</f>
        <v>2496</v>
      </c>
      <c r="AF16" s="66" t="n">
        <f aca="false">'Revenue Streams'!AF$15*'Assumption Setting'!$E$150</f>
        <v>1792</v>
      </c>
      <c r="AG16" s="66" t="n">
        <f aca="false">'Revenue Streams'!AG$15*'Assumption Setting'!$E$150</f>
        <v>2112</v>
      </c>
      <c r="AH16" s="66" t="n">
        <f aca="false">'Revenue Streams'!AH$15*'Assumption Setting'!$E$150</f>
        <v>2496</v>
      </c>
      <c r="AI16" s="66" t="n">
        <f aca="false">'Revenue Streams'!AI$15*'Assumption Setting'!$E$150</f>
        <v>2688</v>
      </c>
      <c r="AJ16" s="66" t="n">
        <f aca="false">'Revenue Streams'!AJ$15*'Assumption Setting'!$E$150</f>
        <v>3168</v>
      </c>
      <c r="AK16" s="66" t="n">
        <f aca="false">'Revenue Streams'!AK$15*'Assumption Setting'!$E$150</f>
        <v>3744</v>
      </c>
      <c r="AL16" s="66" t="n">
        <f aca="false">'Revenue Streams'!AL$15*'Assumption Setting'!$E$150</f>
        <v>2688</v>
      </c>
      <c r="AM16" s="66" t="n">
        <f aca="false">'Revenue Streams'!AM$15*'Assumption Setting'!$E$150</f>
        <v>3168</v>
      </c>
      <c r="AN16" s="66" t="n">
        <f aca="false">'Revenue Streams'!AN$15*'Assumption Setting'!$E$150</f>
        <v>3744</v>
      </c>
      <c r="AO16" s="65" t="n">
        <f aca="false">SUM(AP16:BA16)</f>
        <v>61200</v>
      </c>
      <c r="AP16" s="66" t="n">
        <f aca="false">'Revenue Streams'!AP$15*'Assumption Setting'!$F$150</f>
        <v>3808</v>
      </c>
      <c r="AQ16" s="66" t="n">
        <f aca="false">'Revenue Streams'!AQ$15*'Assumption Setting'!$F$150</f>
        <v>4488</v>
      </c>
      <c r="AR16" s="66" t="n">
        <f aca="false">'Revenue Streams'!AR$15*'Assumption Setting'!$F$150</f>
        <v>5304</v>
      </c>
      <c r="AS16" s="66" t="n">
        <f aca="false">'Revenue Streams'!AS$15*'Assumption Setting'!$F$150</f>
        <v>3808</v>
      </c>
      <c r="AT16" s="66" t="n">
        <f aca="false">'Revenue Streams'!AT$15*'Assumption Setting'!$F$150</f>
        <v>4488</v>
      </c>
      <c r="AU16" s="66" t="n">
        <f aca="false">'Revenue Streams'!AU$15*'Assumption Setting'!$F$150</f>
        <v>5304</v>
      </c>
      <c r="AV16" s="66" t="n">
        <f aca="false">'Revenue Streams'!AV$15*'Assumption Setting'!$F$150</f>
        <v>4760</v>
      </c>
      <c r="AW16" s="66" t="n">
        <f aca="false">'Revenue Streams'!AW$15*'Assumption Setting'!$F$150</f>
        <v>5610</v>
      </c>
      <c r="AX16" s="66" t="n">
        <f aca="false">'Revenue Streams'!AX$15*'Assumption Setting'!$F$150</f>
        <v>6630</v>
      </c>
      <c r="AY16" s="66" t="n">
        <f aca="false">'Revenue Streams'!AY$15*'Assumption Setting'!$F$150</f>
        <v>4760</v>
      </c>
      <c r="AZ16" s="66" t="n">
        <f aca="false">'Revenue Streams'!AZ$15*'Assumption Setting'!$F$150</f>
        <v>5610</v>
      </c>
      <c r="BA16" s="66" t="n">
        <f aca="false">'Revenue Streams'!BA$15*'Assumption Setting'!$F$150</f>
        <v>6630</v>
      </c>
      <c r="BB16" s="65" t="n">
        <f aca="false">SUM(BC16:BN16)</f>
        <v>93600</v>
      </c>
      <c r="BC16" s="66" t="n">
        <f aca="false">'Revenue Streams'!BC$15*'Assumption Setting'!$G$150</f>
        <v>6048</v>
      </c>
      <c r="BD16" s="66" t="n">
        <f aca="false">'Revenue Streams'!BD$15*'Assumption Setting'!$G$150</f>
        <v>7128</v>
      </c>
      <c r="BE16" s="66" t="n">
        <f aca="false">'Revenue Streams'!BE$15*'Assumption Setting'!$G$150</f>
        <v>8424</v>
      </c>
      <c r="BF16" s="66" t="n">
        <f aca="false">'Revenue Streams'!BF$15*'Assumption Setting'!$G$150</f>
        <v>6048</v>
      </c>
      <c r="BG16" s="66" t="n">
        <f aca="false">'Revenue Streams'!BG$15*'Assumption Setting'!$G$150</f>
        <v>7128</v>
      </c>
      <c r="BH16" s="66" t="n">
        <f aca="false">'Revenue Streams'!BH$15*'Assumption Setting'!$G$150</f>
        <v>8424</v>
      </c>
      <c r="BI16" s="66" t="n">
        <f aca="false">'Revenue Streams'!BI$15*'Assumption Setting'!$G$150</f>
        <v>7056</v>
      </c>
      <c r="BJ16" s="66" t="n">
        <f aca="false">'Revenue Streams'!BJ$15*'Assumption Setting'!$G$150</f>
        <v>8316</v>
      </c>
      <c r="BK16" s="66" t="n">
        <f aca="false">'Revenue Streams'!BK$15*'Assumption Setting'!$G$150</f>
        <v>9828</v>
      </c>
      <c r="BL16" s="66" t="n">
        <f aca="false">'Revenue Streams'!BL$15*'Assumption Setting'!$G$150</f>
        <v>7056</v>
      </c>
      <c r="BM16" s="66" t="n">
        <f aca="false">'Revenue Streams'!BM$15*'Assumption Setting'!$G$150</f>
        <v>8316</v>
      </c>
      <c r="BN16" s="66" t="n">
        <f aca="false">'Revenue Streams'!BN$15*'Assumption Setting'!$G$150</f>
        <v>9828</v>
      </c>
    </row>
    <row r="17" customFormat="false" ht="15" hidden="false" customHeight="false" outlineLevel="0" collapsed="false">
      <c r="A17" s="12" t="s">
        <v>812</v>
      </c>
      <c r="B17" s="65" t="n">
        <f aca="false">SUM(C17:N17)</f>
        <v>0</v>
      </c>
      <c r="C17" s="66" t="n">
        <f aca="false">'Revenue Streams'!C$14*'Assumption Setting'!$C$151</f>
        <v>0</v>
      </c>
      <c r="D17" s="66" t="n">
        <f aca="false">'Revenue Streams'!D$14*'Assumption Setting'!$C$151</f>
        <v>0</v>
      </c>
      <c r="E17" s="66" t="n">
        <f aca="false">'Revenue Streams'!E$14*'Assumption Setting'!$C$151</f>
        <v>0</v>
      </c>
      <c r="F17" s="66" t="n">
        <f aca="false">'Revenue Streams'!F$14*'Assumption Setting'!$C$151</f>
        <v>0</v>
      </c>
      <c r="G17" s="66" t="n">
        <f aca="false">'Revenue Streams'!G$14*'Assumption Setting'!$C$151</f>
        <v>0</v>
      </c>
      <c r="H17" s="66" t="n">
        <f aca="false">'Revenue Streams'!H$14*'Assumption Setting'!$C$151</f>
        <v>0</v>
      </c>
      <c r="I17" s="66" t="n">
        <f aca="false">'Revenue Streams'!I$14*'Assumption Setting'!$C$151</f>
        <v>0</v>
      </c>
      <c r="J17" s="66" t="n">
        <f aca="false">'Revenue Streams'!J$14*'Assumption Setting'!$C$151</f>
        <v>0</v>
      </c>
      <c r="K17" s="66" t="n">
        <f aca="false">'Revenue Streams'!K$14*'Assumption Setting'!$C$151</f>
        <v>0</v>
      </c>
      <c r="L17" s="66" t="n">
        <f aca="false">'Revenue Streams'!L$14*'Assumption Setting'!$C$151</f>
        <v>0</v>
      </c>
      <c r="M17" s="66" t="n">
        <f aca="false">'Revenue Streams'!M$14*'Assumption Setting'!$C$151</f>
        <v>0</v>
      </c>
      <c r="N17" s="66" t="n">
        <f aca="false">'Revenue Streams'!N$14*'Assumption Setting'!$C$151</f>
        <v>0</v>
      </c>
      <c r="O17" s="65" t="n">
        <f aca="false">SUM(P17:AA17)</f>
        <v>20800</v>
      </c>
      <c r="P17" s="66" t="n">
        <f aca="false">'Revenue Streams'!P$14*'Assumption Setting'!$D$151</f>
        <v>0</v>
      </c>
      <c r="Q17" s="66" t="n">
        <f aca="false">'Revenue Streams'!Q$14*'Assumption Setting'!$D$151</f>
        <v>0</v>
      </c>
      <c r="R17" s="66" t="n">
        <f aca="false">'Revenue Streams'!R$14*'Assumption Setting'!$D$151</f>
        <v>0</v>
      </c>
      <c r="S17" s="66" t="n">
        <f aca="false">'Revenue Streams'!S$14*'Assumption Setting'!$D$151</f>
        <v>0</v>
      </c>
      <c r="T17" s="66" t="n">
        <f aca="false">'Revenue Streams'!T$14*'Assumption Setting'!$D$151</f>
        <v>0</v>
      </c>
      <c r="U17" s="66" t="n">
        <f aca="false">'Revenue Streams'!U$14*'Assumption Setting'!$D$151</f>
        <v>0</v>
      </c>
      <c r="V17" s="66" t="n">
        <f aca="false">'Revenue Streams'!V$14*'Assumption Setting'!$D$151</f>
        <v>2184</v>
      </c>
      <c r="W17" s="66" t="n">
        <f aca="false">'Revenue Streams'!W$14*'Assumption Setting'!$D$151</f>
        <v>2574</v>
      </c>
      <c r="X17" s="66" t="n">
        <f aca="false">'Revenue Streams'!X$14*'Assumption Setting'!$D$151</f>
        <v>3042</v>
      </c>
      <c r="Y17" s="66" t="n">
        <f aca="false">'Revenue Streams'!Y$14*'Assumption Setting'!$D$151</f>
        <v>3640</v>
      </c>
      <c r="Z17" s="66" t="n">
        <f aca="false">'Revenue Streams'!Z$14*'Assumption Setting'!$D$151</f>
        <v>4290</v>
      </c>
      <c r="AA17" s="66" t="n">
        <f aca="false">'Revenue Streams'!AA$14*'Assumption Setting'!$D$151</f>
        <v>5070</v>
      </c>
      <c r="AB17" s="65" t="n">
        <f aca="false">SUM(AC17:AN17)</f>
        <v>134400</v>
      </c>
      <c r="AC17" s="66" t="n">
        <f aca="false">'Revenue Streams'!AC$14*'Assumption Setting'!$E$151</f>
        <v>5376</v>
      </c>
      <c r="AD17" s="66" t="n">
        <f aca="false">'Revenue Streams'!AD$14*'Assumption Setting'!$E$151</f>
        <v>6336</v>
      </c>
      <c r="AE17" s="66" t="n">
        <f aca="false">'Revenue Streams'!AE$14*'Assumption Setting'!$E$151</f>
        <v>7488</v>
      </c>
      <c r="AF17" s="66" t="n">
        <f aca="false">'Revenue Streams'!AF$14*'Assumption Setting'!$E$151</f>
        <v>8064</v>
      </c>
      <c r="AG17" s="66" t="n">
        <f aca="false">'Revenue Streams'!AG$14*'Assumption Setting'!$E$151</f>
        <v>9504</v>
      </c>
      <c r="AH17" s="66" t="n">
        <f aca="false">'Revenue Streams'!AH$14*'Assumption Setting'!$E$151</f>
        <v>11232</v>
      </c>
      <c r="AI17" s="66" t="n">
        <f aca="false">'Revenue Streams'!AI$14*'Assumption Setting'!$E$151</f>
        <v>10752</v>
      </c>
      <c r="AJ17" s="66" t="n">
        <f aca="false">'Revenue Streams'!AJ$14*'Assumption Setting'!$E$151</f>
        <v>12672</v>
      </c>
      <c r="AK17" s="66" t="n">
        <f aca="false">'Revenue Streams'!AK$14*'Assumption Setting'!$E$151</f>
        <v>14976</v>
      </c>
      <c r="AL17" s="66" t="n">
        <f aca="false">'Revenue Streams'!AL$14*'Assumption Setting'!$E$151</f>
        <v>13440</v>
      </c>
      <c r="AM17" s="66" t="n">
        <f aca="false">'Revenue Streams'!AM$14*'Assumption Setting'!$E$151</f>
        <v>15840</v>
      </c>
      <c r="AN17" s="66" t="n">
        <f aca="false">'Revenue Streams'!AN$14*'Assumption Setting'!$E$151</f>
        <v>18720</v>
      </c>
      <c r="AO17" s="65" t="n">
        <f aca="false">SUM(AP17:BA17)</f>
        <v>333000</v>
      </c>
      <c r="AP17" s="66" t="n">
        <f aca="false">'Revenue Streams'!AP$14*'Assumption Setting'!$F$151</f>
        <v>17640</v>
      </c>
      <c r="AQ17" s="66" t="n">
        <f aca="false">'Revenue Streams'!AQ$14*'Assumption Setting'!$F$151</f>
        <v>20790</v>
      </c>
      <c r="AR17" s="66" t="n">
        <f aca="false">'Revenue Streams'!AR$14*'Assumption Setting'!$F$151</f>
        <v>24570</v>
      </c>
      <c r="AS17" s="66" t="n">
        <f aca="false">'Revenue Streams'!AS$14*'Assumption Setting'!$F$151</f>
        <v>21420</v>
      </c>
      <c r="AT17" s="66" t="n">
        <f aca="false">'Revenue Streams'!AT$14*'Assumption Setting'!$F$151</f>
        <v>25245</v>
      </c>
      <c r="AU17" s="66" t="n">
        <f aca="false">'Revenue Streams'!AU$14*'Assumption Setting'!$F$151</f>
        <v>29835</v>
      </c>
      <c r="AV17" s="66" t="n">
        <f aca="false">'Revenue Streams'!AV$14*'Assumption Setting'!$F$151</f>
        <v>25200</v>
      </c>
      <c r="AW17" s="66" t="n">
        <f aca="false">'Revenue Streams'!AW$14*'Assumption Setting'!$F$151</f>
        <v>29700</v>
      </c>
      <c r="AX17" s="66" t="n">
        <f aca="false">'Revenue Streams'!AX$14*'Assumption Setting'!$F$151</f>
        <v>35100</v>
      </c>
      <c r="AY17" s="66" t="n">
        <f aca="false">'Revenue Streams'!AY$14*'Assumption Setting'!$F$151</f>
        <v>28980</v>
      </c>
      <c r="AZ17" s="66" t="n">
        <f aca="false">'Revenue Streams'!AZ$14*'Assumption Setting'!$F$151</f>
        <v>34155</v>
      </c>
      <c r="BA17" s="66" t="n">
        <f aca="false">'Revenue Streams'!BA$14*'Assumption Setting'!$F$151</f>
        <v>40365</v>
      </c>
      <c r="BB17" s="65" t="n">
        <f aca="false">SUM(BC17:BN17)</f>
        <v>524600</v>
      </c>
      <c r="BC17" s="66" t="n">
        <f aca="false">'Revenue Streams'!BC$14*'Assumption Setting'!$G$151</f>
        <v>31304</v>
      </c>
      <c r="BD17" s="66" t="n">
        <f aca="false">'Revenue Streams'!BD$14*'Assumption Setting'!$G$151</f>
        <v>36894</v>
      </c>
      <c r="BE17" s="66" t="n">
        <f aca="false">'Revenue Streams'!BE$14*'Assumption Setting'!$G$151</f>
        <v>43602</v>
      </c>
      <c r="BF17" s="66" t="n">
        <f aca="false">'Revenue Streams'!BF$14*'Assumption Setting'!$G$151</f>
        <v>34916</v>
      </c>
      <c r="BG17" s="66" t="n">
        <f aca="false">'Revenue Streams'!BG$14*'Assumption Setting'!$G$151</f>
        <v>41151</v>
      </c>
      <c r="BH17" s="66" t="n">
        <f aca="false">'Revenue Streams'!BH$14*'Assumption Setting'!$G$151</f>
        <v>48633</v>
      </c>
      <c r="BI17" s="66" t="n">
        <f aca="false">'Revenue Streams'!BI$14*'Assumption Setting'!$G$151</f>
        <v>38528</v>
      </c>
      <c r="BJ17" s="66" t="n">
        <f aca="false">'Revenue Streams'!BJ$14*'Assumption Setting'!$G$151</f>
        <v>45408</v>
      </c>
      <c r="BK17" s="66" t="n">
        <f aca="false">'Revenue Streams'!BK$14*'Assumption Setting'!$G$151</f>
        <v>53664</v>
      </c>
      <c r="BL17" s="66" t="n">
        <f aca="false">'Revenue Streams'!BL$14*'Assumption Setting'!$G$151</f>
        <v>42140</v>
      </c>
      <c r="BM17" s="66" t="n">
        <f aca="false">'Revenue Streams'!BM$14*'Assumption Setting'!$G$151</f>
        <v>49665</v>
      </c>
      <c r="BN17" s="66" t="n">
        <f aca="false">'Revenue Streams'!BN$14*'Assumption Setting'!$G$151</f>
        <v>58695</v>
      </c>
    </row>
    <row r="18" customFormat="false" ht="15" hidden="false" customHeight="false" outlineLevel="0" collapsed="false">
      <c r="A18" s="12" t="s">
        <v>813</v>
      </c>
      <c r="B18" s="65" t="n">
        <f aca="false">SUM(C18:N18)</f>
        <v>1080</v>
      </c>
      <c r="C18" s="66" t="n">
        <f aca="false">'Revenue Streams'!C$22*'Assumption Setting'!$C$152</f>
        <v>0</v>
      </c>
      <c r="D18" s="66" t="n">
        <f aca="false">'Revenue Streams'!D$22*'Assumption Setting'!$C$152</f>
        <v>0</v>
      </c>
      <c r="E18" s="66" t="n">
        <f aca="false">'Revenue Streams'!E$22*'Assumption Setting'!$C$152</f>
        <v>0</v>
      </c>
      <c r="F18" s="66" t="n">
        <f aca="false">'Revenue Streams'!F$22*'Assumption Setting'!$C$152</f>
        <v>75.6</v>
      </c>
      <c r="G18" s="66" t="n">
        <f aca="false">'Revenue Streams'!G$22*'Assumption Setting'!$C$152</f>
        <v>89.1</v>
      </c>
      <c r="H18" s="66" t="n">
        <f aca="false">'Revenue Streams'!H$22*'Assumption Setting'!$C$152</f>
        <v>105.3</v>
      </c>
      <c r="I18" s="66" t="n">
        <f aca="false">'Revenue Streams'!I$22*'Assumption Setting'!$C$152</f>
        <v>75.6</v>
      </c>
      <c r="J18" s="66" t="n">
        <f aca="false">'Revenue Streams'!J$22*'Assumption Setting'!$C$152</f>
        <v>89.1</v>
      </c>
      <c r="K18" s="66" t="n">
        <f aca="false">'Revenue Streams'!K$22*'Assumption Setting'!$C$152</f>
        <v>105.3</v>
      </c>
      <c r="L18" s="66" t="n">
        <f aca="false">'Revenue Streams'!L$22*'Assumption Setting'!$C$152</f>
        <v>151.2</v>
      </c>
      <c r="M18" s="66" t="n">
        <f aca="false">'Revenue Streams'!M$22*'Assumption Setting'!$C$152</f>
        <v>178.2</v>
      </c>
      <c r="N18" s="66" t="n">
        <f aca="false">'Revenue Streams'!N$22*'Assumption Setting'!$C$152</f>
        <v>210.6</v>
      </c>
      <c r="O18" s="65" t="n">
        <f aca="false">SUM(P18:AA18)</f>
        <v>5670</v>
      </c>
      <c r="P18" s="66" t="n">
        <f aca="false">'Revenue Streams'!P$22*'Assumption Setting'!$C$152</f>
        <v>264.6</v>
      </c>
      <c r="Q18" s="66" t="n">
        <f aca="false">'Revenue Streams'!Q$22*'Assumption Setting'!$C$152</f>
        <v>311.85</v>
      </c>
      <c r="R18" s="66" t="n">
        <f aca="false">'Revenue Streams'!R$22*'Assumption Setting'!$C$152</f>
        <v>368.55</v>
      </c>
      <c r="S18" s="66" t="n">
        <f aca="false">'Revenue Streams'!S$22*'Assumption Setting'!$C$152</f>
        <v>352.8</v>
      </c>
      <c r="T18" s="66" t="n">
        <f aca="false">'Revenue Streams'!T$22*'Assumption Setting'!$C$152</f>
        <v>415.8</v>
      </c>
      <c r="U18" s="66" t="n">
        <f aca="false">'Revenue Streams'!U$22*'Assumption Setting'!$C$152</f>
        <v>491.4</v>
      </c>
      <c r="V18" s="66" t="n">
        <f aca="false">'Revenue Streams'!V$22*'Assumption Setting'!$C$152</f>
        <v>441</v>
      </c>
      <c r="W18" s="66" t="n">
        <f aca="false">'Revenue Streams'!W$22*'Assumption Setting'!$C$152</f>
        <v>519.75</v>
      </c>
      <c r="X18" s="66" t="n">
        <f aca="false">'Revenue Streams'!X$22*'Assumption Setting'!$C$152</f>
        <v>614.25</v>
      </c>
      <c r="Y18" s="66" t="n">
        <f aca="false">'Revenue Streams'!Y$22*'Assumption Setting'!$C$152</f>
        <v>529.2</v>
      </c>
      <c r="Z18" s="66" t="n">
        <f aca="false">'Revenue Streams'!Z$22*'Assumption Setting'!$C$152</f>
        <v>623.7</v>
      </c>
      <c r="AA18" s="66" t="n">
        <f aca="false">'Revenue Streams'!AA$22*'Assumption Setting'!$C$152</f>
        <v>737.1</v>
      </c>
      <c r="AB18" s="65" t="n">
        <f aca="false">SUM(AC18:AN18)</f>
        <v>12240</v>
      </c>
      <c r="AC18" s="66" t="n">
        <f aca="false">'Revenue Streams'!AC$22*'Assumption Setting'!$C$152</f>
        <v>705.6</v>
      </c>
      <c r="AD18" s="66" t="n">
        <f aca="false">'Revenue Streams'!AD$22*'Assumption Setting'!$C$152</f>
        <v>831.6</v>
      </c>
      <c r="AE18" s="66" t="n">
        <f aca="false">'Revenue Streams'!AE$22*'Assumption Setting'!$C$152</f>
        <v>982.8</v>
      </c>
      <c r="AF18" s="66" t="n">
        <f aca="false">'Revenue Streams'!AF$22*'Assumption Setting'!$C$152</f>
        <v>806.4</v>
      </c>
      <c r="AG18" s="66" t="n">
        <f aca="false">'Revenue Streams'!AG$22*'Assumption Setting'!$C$152</f>
        <v>950.4</v>
      </c>
      <c r="AH18" s="66" t="n">
        <f aca="false">'Revenue Streams'!AH$22*'Assumption Setting'!$C$152</f>
        <v>1123.2</v>
      </c>
      <c r="AI18" s="66" t="n">
        <f aca="false">'Revenue Streams'!AI$22*'Assumption Setting'!$C$152</f>
        <v>907.2</v>
      </c>
      <c r="AJ18" s="66" t="n">
        <f aca="false">'Revenue Streams'!AJ$22*'Assumption Setting'!$C$152</f>
        <v>1069.2</v>
      </c>
      <c r="AK18" s="66" t="n">
        <f aca="false">'Revenue Streams'!AK$22*'Assumption Setting'!$C$152</f>
        <v>1263.6</v>
      </c>
      <c r="AL18" s="66" t="n">
        <f aca="false">'Revenue Streams'!AL$22*'Assumption Setting'!$C$152</f>
        <v>1008</v>
      </c>
      <c r="AM18" s="66" t="n">
        <f aca="false">'Revenue Streams'!AM$22*'Assumption Setting'!$C$152</f>
        <v>1188</v>
      </c>
      <c r="AN18" s="66" t="n">
        <f aca="false">'Revenue Streams'!AN$22*'Assumption Setting'!$C$152</f>
        <v>1404</v>
      </c>
      <c r="AO18" s="65" t="n">
        <f aca="false">SUM(AP18:BA18)</f>
        <v>19125</v>
      </c>
      <c r="AP18" s="66" t="n">
        <f aca="false">'Revenue Streams'!AP$22*'Assumption Setting'!$C$152</f>
        <v>1178.1</v>
      </c>
      <c r="AQ18" s="66" t="n">
        <f aca="false">'Revenue Streams'!AQ$22*'Assumption Setting'!$C$152</f>
        <v>1388.475</v>
      </c>
      <c r="AR18" s="66" t="n">
        <f aca="false">'Revenue Streams'!AR$22*'Assumption Setting'!$C$152</f>
        <v>1640.925</v>
      </c>
      <c r="AS18" s="66" t="n">
        <f aca="false">'Revenue Streams'!AS$22*'Assumption Setting'!$C$152</f>
        <v>1285.2</v>
      </c>
      <c r="AT18" s="66" t="n">
        <f aca="false">'Revenue Streams'!AT$22*'Assumption Setting'!$C$152</f>
        <v>1514.7</v>
      </c>
      <c r="AU18" s="66" t="n">
        <f aca="false">'Revenue Streams'!AU$22*'Assumption Setting'!$C$152</f>
        <v>1790.1</v>
      </c>
      <c r="AV18" s="66" t="n">
        <f aca="false">'Revenue Streams'!AV$22*'Assumption Setting'!$C$152</f>
        <v>1392.3</v>
      </c>
      <c r="AW18" s="66" t="n">
        <f aca="false">'Revenue Streams'!AW$22*'Assumption Setting'!$C$152</f>
        <v>1640.925</v>
      </c>
      <c r="AX18" s="66" t="n">
        <f aca="false">'Revenue Streams'!AX$22*'Assumption Setting'!$C$152</f>
        <v>1939.275</v>
      </c>
      <c r="AY18" s="66" t="n">
        <f aca="false">'Revenue Streams'!AY$22*'Assumption Setting'!$C$152</f>
        <v>1499.4</v>
      </c>
      <c r="AZ18" s="66" t="n">
        <f aca="false">'Revenue Streams'!AZ$22*'Assumption Setting'!$C$152</f>
        <v>1767.15</v>
      </c>
      <c r="BA18" s="66" t="n">
        <f aca="false">'Revenue Streams'!BA$22*'Assumption Setting'!$C$152</f>
        <v>2088.45</v>
      </c>
      <c r="BB18" s="65" t="n">
        <f aca="false">SUM(BC18:BN18)</f>
        <v>26730</v>
      </c>
      <c r="BC18" s="66" t="n">
        <f aca="false">'Revenue Streams'!BC$22*'Assumption Setting'!$C$152</f>
        <v>1701</v>
      </c>
      <c r="BD18" s="66" t="n">
        <f aca="false">'Revenue Streams'!BD$22*'Assumption Setting'!$C$152</f>
        <v>2004.75</v>
      </c>
      <c r="BE18" s="66" t="n">
        <f aca="false">'Revenue Streams'!BE$22*'Assumption Setting'!$C$152</f>
        <v>2369.25</v>
      </c>
      <c r="BF18" s="66" t="n">
        <f aca="false">'Revenue Streams'!BF$22*'Assumption Setting'!$C$152</f>
        <v>1814.4</v>
      </c>
      <c r="BG18" s="66" t="n">
        <f aca="false">'Revenue Streams'!BG$22*'Assumption Setting'!$C$152</f>
        <v>2138.4</v>
      </c>
      <c r="BH18" s="66" t="n">
        <f aca="false">'Revenue Streams'!BH$22*'Assumption Setting'!$C$152</f>
        <v>2527.2</v>
      </c>
      <c r="BI18" s="66" t="n">
        <f aca="false">'Revenue Streams'!BI$22*'Assumption Setting'!$C$152</f>
        <v>1927.8</v>
      </c>
      <c r="BJ18" s="66" t="n">
        <f aca="false">'Revenue Streams'!BJ$22*'Assumption Setting'!$C$152</f>
        <v>2272.05</v>
      </c>
      <c r="BK18" s="66" t="n">
        <f aca="false">'Revenue Streams'!BK$22*'Assumption Setting'!$C$152</f>
        <v>2685.15</v>
      </c>
      <c r="BL18" s="66" t="n">
        <f aca="false">'Revenue Streams'!BL$22*'Assumption Setting'!$C$152</f>
        <v>2041.2</v>
      </c>
      <c r="BM18" s="66" t="n">
        <f aca="false">'Revenue Streams'!BM$22*'Assumption Setting'!$C$152</f>
        <v>2405.7</v>
      </c>
      <c r="BN18" s="66" t="n">
        <f aca="false">'Revenue Streams'!BN$22*'Assumption Setting'!$C$152</f>
        <v>2843.1</v>
      </c>
    </row>
    <row r="19" customFormat="false" ht="15" hidden="false" customHeight="false" outlineLevel="0" collapsed="false">
      <c r="A19" s="12" t="s">
        <v>814</v>
      </c>
      <c r="B19" s="65" t="n">
        <f aca="false">SUM(C19:N19)</f>
        <v>599.576181857549</v>
      </c>
      <c r="C19" s="66" t="n">
        <f aca="false">Acquisitions!C$75*'Assumption Setting'!$C$153</f>
        <v>12.8375605681818</v>
      </c>
      <c r="D19" s="66" t="n">
        <f aca="false">Acquisitions!D$75*'Assumption Setting'!$C$153</f>
        <v>25.2444931079546</v>
      </c>
      <c r="E19" s="66" t="n">
        <f aca="false">Acquisitions!E$75*'Assumption Setting'!$C$153</f>
        <v>38.8445790207386</v>
      </c>
      <c r="F19" s="66" t="n">
        <f aca="false">Acquisitions!F$75*'Assumption Setting'!$C$153</f>
        <v>41.4511106378835</v>
      </c>
      <c r="G19" s="66" t="n">
        <f aca="false">Acquisitions!G$75*'Assumption Setting'!$C$153</f>
        <v>44.1905656741712</v>
      </c>
      <c r="H19" s="66" t="n">
        <f aca="false">Acquisitions!H$75*'Assumption Setting'!$C$153</f>
        <v>47.1089479586444</v>
      </c>
      <c r="I19" s="66" t="n">
        <f aca="false">Acquisitions!I$75*'Assumption Setting'!$C$153</f>
        <v>49.575261128894</v>
      </c>
      <c r="J19" s="66" t="n">
        <f aca="false">Acquisitions!J$75*'Assumption Setting'!$C$153</f>
        <v>52.2302586406311</v>
      </c>
      <c r="K19" s="66" t="n">
        <f aca="false">Acquisitions!K$75*'Assumption Setting'!$C$153</f>
        <v>55.1269062767814</v>
      </c>
      <c r="L19" s="66" t="n">
        <f aca="false">Acquisitions!L$75*'Assumption Setting'!$C$153</f>
        <v>65.4915215311241</v>
      </c>
      <c r="M19" s="66" t="n">
        <f aca="false">Acquisitions!M$75*'Assumption Setting'!$C$153</f>
        <v>77.1319060227498</v>
      </c>
      <c r="N19" s="66" t="n">
        <f aca="false">Acquisitions!N$75*'Assumption Setting'!$C$153</f>
        <v>90.3430712897941</v>
      </c>
      <c r="O19" s="65" t="n">
        <f aca="false">SUM(P19:AA19)</f>
        <v>4046.52353938856</v>
      </c>
      <c r="P19" s="66" t="n">
        <f aca="false">Acquisitions!P$75*'Assumption Setting'!$C$153</f>
        <v>120.506504240456</v>
      </c>
      <c r="Q19" s="66" t="n">
        <f aca="false">Acquisitions!Q$75*'Assumption Setting'!$C$153</f>
        <v>151.573265543585</v>
      </c>
      <c r="R19" s="66" t="n">
        <f aca="false">Acquisitions!R$75*'Assumption Setting'!$C$153</f>
        <v>183.980488781557</v>
      </c>
      <c r="S19" s="66" t="n">
        <f aca="false">Acquisitions!S$75*'Assumption Setting'!$C$153</f>
        <v>213.538850857631</v>
      </c>
      <c r="T19" s="66" t="n">
        <f aca="false">Acquisitions!T$75*'Assumption Setting'!$C$153</f>
        <v>244.758794829901</v>
      </c>
      <c r="U19" s="66" t="n">
        <f aca="false">Acquisitions!U$75*'Assumption Setting'!$C$153</f>
        <v>278.185141603557</v>
      </c>
      <c r="V19" s="66" t="n">
        <f aca="false">Acquisitions!V$75*'Assumption Setting'!$C$153</f>
        <v>324.436471038531</v>
      </c>
      <c r="W19" s="66" t="n">
        <f aca="false">Acquisitions!W$75*'Assumption Setting'!$C$153</f>
        <v>375.336734001756</v>
      </c>
      <c r="X19" s="66" t="n">
        <f aca="false">Acquisitions!X$75*'Assumption Setting'!$C$153</f>
        <v>432.045783816819</v>
      </c>
      <c r="Y19" s="66" t="n">
        <f aca="false">Acquisitions!Y$75*'Assumption Setting'!$C$153</f>
        <v>497.10328114113</v>
      </c>
      <c r="Z19" s="66" t="n">
        <f aca="false">Acquisitions!Z$75*'Assumption Setting'!$C$153</f>
        <v>570.601403599225</v>
      </c>
      <c r="AA19" s="66" t="n">
        <f aca="false">Acquisitions!AA$75*'Assumption Setting'!$C$153</f>
        <v>654.456819934415</v>
      </c>
      <c r="AB19" s="65" t="n">
        <f aca="false">SUM(AC19:AN19)</f>
        <v>20369.5218519927</v>
      </c>
      <c r="AC19" s="66" t="n">
        <f aca="false">Acquisitions!AC$75*'Assumption Setting'!$C$153</f>
        <v>785.585227301331</v>
      </c>
      <c r="AD19" s="66" t="n">
        <f aca="false">Acquisitions!AD$75*'Assumption Setting'!$C$153</f>
        <v>928.279214299901</v>
      </c>
      <c r="AE19" s="66" t="n">
        <f aca="false">Acquisitions!AE$75*'Assumption Setting'!$C$153</f>
        <v>1085.58490194854</v>
      </c>
      <c r="AF19" s="66" t="n">
        <f aca="false">Acquisitions!AF$75*'Assumption Setting'!$C$153</f>
        <v>1229.88250521475</v>
      </c>
      <c r="AG19" s="66" t="n">
        <f aca="false">Acquisitions!AG$75*'Assumption Setting'!$C$153</f>
        <v>1391.28822831765</v>
      </c>
      <c r="AH19" s="66" t="n">
        <f aca="false">Acquisitions!AH$75*'Assumption Setting'!$C$153</f>
        <v>1573.8112652654</v>
      </c>
      <c r="AI19" s="66" t="n">
        <f aca="false">Acquisitions!AI$75*'Assumption Setting'!$C$153</f>
        <v>1737.45035036577</v>
      </c>
      <c r="AJ19" s="66" t="n">
        <f aca="false">Acquisitions!AJ$75*'Assumption Setting'!$C$153</f>
        <v>1925.04348121112</v>
      </c>
      <c r="AK19" s="66" t="n">
        <f aca="false">Acquisitions!AK$75*'Assumption Setting'!$C$153</f>
        <v>2141.8201555142</v>
      </c>
      <c r="AL19" s="66" t="n">
        <f aca="false">Acquisitions!AL$75*'Assumption Setting'!$C$153</f>
        <v>2311.78439610212</v>
      </c>
      <c r="AM19" s="66" t="n">
        <f aca="false">Acquisitions!AM$75*'Assumption Setting'!$C$153</f>
        <v>2511.58742466065</v>
      </c>
      <c r="AN19" s="66" t="n">
        <f aca="false">Acquisitions!AN$75*'Assumption Setting'!$C$153</f>
        <v>2747.40470179126</v>
      </c>
      <c r="AO19" s="65" t="n">
        <f aca="false">SUM(AP19:BA19)</f>
        <v>59657.0856117493</v>
      </c>
      <c r="AP19" s="66" t="n">
        <f aca="false">Acquisitions!AP$75*'Assumption Setting'!$C$153</f>
        <v>3031.92968424715</v>
      </c>
      <c r="AQ19" s="66" t="n">
        <f aca="false">Acquisitions!AQ$75*'Assumption Setting'!$C$153</f>
        <v>3356.69711758025</v>
      </c>
      <c r="AR19" s="66" t="n">
        <f aca="false">Acquisitions!AR$75*'Assumption Setting'!$C$153</f>
        <v>3730.58861924669</v>
      </c>
      <c r="AS19" s="66" t="n">
        <f aca="false">Acquisitions!AS$75*'Assumption Setting'!$C$153</f>
        <v>4032.42080582981</v>
      </c>
      <c r="AT19" s="66" t="n">
        <f aca="false">Acquisitions!AT$75*'Assumption Setting'!$C$153</f>
        <v>4385.49908308377</v>
      </c>
      <c r="AU19" s="66" t="n">
        <f aca="false">Acquisitions!AU$75*'Assumption Setting'!$C$153</f>
        <v>4800.52868647504</v>
      </c>
      <c r="AV19" s="66" t="n">
        <f aca="false">Acquisitions!AV$75*'Assumption Setting'!$C$153</f>
        <v>5100.91586969674</v>
      </c>
      <c r="AW19" s="66" t="n">
        <f aca="false">Acquisitions!AW$75*'Assumption Setting'!$C$153</f>
        <v>5461.91639375736</v>
      </c>
      <c r="AX19" s="66" t="n">
        <f aca="false">Acquisitions!AX$75*'Assumption Setting'!$C$153</f>
        <v>5895.62613161495</v>
      </c>
      <c r="AY19" s="66" t="n">
        <f aca="false">Acquisitions!AY$75*'Assumption Setting'!$C$153</f>
        <v>6207.72484257965</v>
      </c>
      <c r="AZ19" s="66" t="n">
        <f aca="false">Acquisitions!AZ$75*'Assumption Setting'!$C$153</f>
        <v>6591.72031799613</v>
      </c>
      <c r="BA19" s="66" t="n">
        <f aca="false">Acquisitions!BA$75*'Assumption Setting'!$C$153</f>
        <v>7061.51805964177</v>
      </c>
      <c r="BB19" s="65" t="n">
        <f aca="false">SUM(BC19:BN19)</f>
        <v>123574.541346771</v>
      </c>
      <c r="BC19" s="66" t="n">
        <f aca="false">Acquisitions!BC$75*'Assumption Setting'!$C$153</f>
        <v>7483.7351365208</v>
      </c>
      <c r="BD19" s="66" t="n">
        <f aca="false">Acquisitions!BD$75*'Assumption Setting'!$C$153</f>
        <v>7989.56935955587</v>
      </c>
      <c r="BE19" s="66" t="n">
        <f aca="false">Acquisitions!BE$75*'Assumption Setting'!$C$153</f>
        <v>8595.78547143918</v>
      </c>
      <c r="BF19" s="66" t="n">
        <f aca="false">Acquisitions!BF$75*'Assumption Setting'!$C$153</f>
        <v>8999.98872772834</v>
      </c>
      <c r="BG19" s="66" t="n">
        <f aca="false">Acquisitions!BG$75*'Assumption Setting'!$C$153</f>
        <v>9499.19188370303</v>
      </c>
      <c r="BH19" s="66" t="n">
        <f aca="false">Acquisitions!BH$75*'Assumption Setting'!$C$153</f>
        <v>10111.686956879</v>
      </c>
      <c r="BI19" s="66" t="n">
        <f aca="false">Acquisitions!BI$75*'Assumption Setting'!$C$153</f>
        <v>10509.5144888962</v>
      </c>
      <c r="BJ19" s="66" t="n">
        <f aca="false">Acquisitions!BJ$75*'Assumption Setting'!$C$153</f>
        <v>11015.0570193125</v>
      </c>
      <c r="BK19" s="66" t="n">
        <f aca="false">Acquisitions!BK$75*'Assumption Setting'!$C$153</f>
        <v>11648.4500732079</v>
      </c>
      <c r="BL19" s="66" t="n">
        <f aca="false">Acquisitions!BL$75*'Assumption Setting'!$C$153</f>
        <v>12028.1389994087</v>
      </c>
      <c r="BM19" s="66" t="n">
        <f aca="false">Acquisitions!BM$75*'Assumption Setting'!$C$153</f>
        <v>12526.9319167993</v>
      </c>
      <c r="BN19" s="66" t="n">
        <f aca="false">Acquisitions!BN$75*'Assumption Setting'!$C$153</f>
        <v>13166.4913133205</v>
      </c>
    </row>
    <row r="20" customFormat="false" ht="15" hidden="false" customHeight="false" outlineLevel="0" collapsed="false">
      <c r="A20" s="12" t="s">
        <v>815</v>
      </c>
      <c r="B20" s="65" t="n">
        <f aca="false">SUM(C20:N20)</f>
        <v>0</v>
      </c>
      <c r="C20" s="66" t="n">
        <f aca="false">('Revenue Streams'!C$29+'Revenue Streams'!C$31+'Revenue Streams'!C$33)*'Assumption Setting'!$C$158*'Assumption Setting'!$C$159</f>
        <v>0</v>
      </c>
      <c r="D20" s="66" t="n">
        <f aca="false">('Revenue Streams'!D$29+'Revenue Streams'!D$31+'Revenue Streams'!D$33)*'Assumption Setting'!$C$158*'Assumption Setting'!$C$159</f>
        <v>0</v>
      </c>
      <c r="E20" s="66" t="n">
        <f aca="false">('Revenue Streams'!E$29+'Revenue Streams'!E$31+'Revenue Streams'!E$33)*'Assumption Setting'!$C$158*'Assumption Setting'!$C$159</f>
        <v>0</v>
      </c>
      <c r="F20" s="66" t="n">
        <f aca="false">('Revenue Streams'!F$29+'Revenue Streams'!F$31+'Revenue Streams'!F$33)*'Assumption Setting'!$C$158*'Assumption Setting'!$C$159</f>
        <v>0</v>
      </c>
      <c r="G20" s="66" t="n">
        <f aca="false">('Revenue Streams'!G$29+'Revenue Streams'!G$31+'Revenue Streams'!G$33)*'Assumption Setting'!$C$158*'Assumption Setting'!$C$159</f>
        <v>0</v>
      </c>
      <c r="H20" s="66" t="n">
        <f aca="false">('Revenue Streams'!H$29+'Revenue Streams'!H$31+'Revenue Streams'!H$33)*'Assumption Setting'!$C$158*'Assumption Setting'!$C$159</f>
        <v>0</v>
      </c>
      <c r="I20" s="66" t="n">
        <f aca="false">('Revenue Streams'!I$29+'Revenue Streams'!I$31+'Revenue Streams'!I$33)*'Assumption Setting'!$C$158*'Assumption Setting'!$C$159</f>
        <v>0</v>
      </c>
      <c r="J20" s="66" t="n">
        <f aca="false">('Revenue Streams'!J$29+'Revenue Streams'!J$31+'Revenue Streams'!J$33)*'Assumption Setting'!$C$158*'Assumption Setting'!$C$159</f>
        <v>0</v>
      </c>
      <c r="K20" s="66" t="n">
        <f aca="false">('Revenue Streams'!K$29+'Revenue Streams'!K$31+'Revenue Streams'!K$33)*'Assumption Setting'!$C$158*'Assumption Setting'!$C$159</f>
        <v>0</v>
      </c>
      <c r="L20" s="66" t="n">
        <f aca="false">('Revenue Streams'!L$29+'Revenue Streams'!L$31+'Revenue Streams'!L$33)*'Assumption Setting'!$C$158*'Assumption Setting'!$C$159</f>
        <v>0</v>
      </c>
      <c r="M20" s="66" t="n">
        <f aca="false">('Revenue Streams'!M$29+'Revenue Streams'!M$31+'Revenue Streams'!M$33)*'Assumption Setting'!$C$158*'Assumption Setting'!$C$159</f>
        <v>0</v>
      </c>
      <c r="N20" s="66" t="n">
        <f aca="false">('Revenue Streams'!N$29+'Revenue Streams'!N$31+'Revenue Streams'!N$33)*'Assumption Setting'!$C$158*'Assumption Setting'!$C$159</f>
        <v>0</v>
      </c>
      <c r="O20" s="65" t="n">
        <f aca="false">SUM(P20:AA20)</f>
        <v>11280</v>
      </c>
      <c r="P20" s="66" t="n">
        <f aca="false">('Revenue Streams'!P$29+'Revenue Streams'!P$31+'Revenue Streams'!P$33)*'Assumption Setting'!$D$158*'Assumption Setting'!$C$159</f>
        <v>403.2</v>
      </c>
      <c r="Q20" s="66" t="n">
        <f aca="false">('Revenue Streams'!Q$29+'Revenue Streams'!Q$31+'Revenue Streams'!Q$33)*'Assumption Setting'!$D$158*'Assumption Setting'!$C$159</f>
        <v>475.2</v>
      </c>
      <c r="R20" s="66" t="n">
        <f aca="false">('Revenue Streams'!R$29+'Revenue Streams'!R$31+'Revenue Streams'!R$33)*'Assumption Setting'!$D$158*'Assumption Setting'!$C$159</f>
        <v>561.6</v>
      </c>
      <c r="S20" s="66" t="n">
        <f aca="false">('Revenue Streams'!S$29+'Revenue Streams'!S$31+'Revenue Streams'!S$33)*'Assumption Setting'!$D$158*'Assumption Setting'!$C$159</f>
        <v>658.56</v>
      </c>
      <c r="T20" s="66" t="n">
        <f aca="false">('Revenue Streams'!T$29+'Revenue Streams'!T$31+'Revenue Streams'!T$33)*'Assumption Setting'!$D$158*'Assumption Setting'!$C$159</f>
        <v>776.16</v>
      </c>
      <c r="U20" s="66" t="n">
        <f aca="false">('Revenue Streams'!U$29+'Revenue Streams'!U$31+'Revenue Streams'!U$33)*'Assumption Setting'!$D$158*'Assumption Setting'!$C$159</f>
        <v>917.28</v>
      </c>
      <c r="V20" s="66" t="n">
        <f aca="false">('Revenue Streams'!V$29+'Revenue Streams'!V$31+'Revenue Streams'!V$33)*'Assumption Setting'!$D$158*'Assumption Setting'!$C$159</f>
        <v>918.4</v>
      </c>
      <c r="W20" s="66" t="n">
        <f aca="false">('Revenue Streams'!W$29+'Revenue Streams'!W$31+'Revenue Streams'!W$33)*'Assumption Setting'!$D$158*'Assumption Setting'!$C$159</f>
        <v>1082.4</v>
      </c>
      <c r="X20" s="66" t="n">
        <f aca="false">('Revenue Streams'!X$29+'Revenue Streams'!X$31+'Revenue Streams'!X$33)*'Assumption Setting'!$D$158*'Assumption Setting'!$C$159</f>
        <v>1279.2</v>
      </c>
      <c r="Y20" s="66" t="n">
        <f aca="false">('Revenue Streams'!Y$29+'Revenue Streams'!Y$31+'Revenue Streams'!Y$33)*'Assumption Setting'!$D$158*'Assumption Setting'!$C$159</f>
        <v>1178.24</v>
      </c>
      <c r="Z20" s="66" t="n">
        <f aca="false">('Revenue Streams'!Z$29+'Revenue Streams'!Z$31+'Revenue Streams'!Z$33)*'Assumption Setting'!$D$158*'Assumption Setting'!$C$159</f>
        <v>1388.64</v>
      </c>
      <c r="AA20" s="66" t="n">
        <f aca="false">('Revenue Streams'!AA$29+'Revenue Streams'!AA$31+'Revenue Streams'!AA$33)*'Assumption Setting'!$D$158*'Assumption Setting'!$C$159</f>
        <v>1641.12</v>
      </c>
      <c r="AB20" s="65" t="n">
        <f aca="false">SUM(AC20:AN20)</f>
        <v>104616</v>
      </c>
      <c r="AC20" s="66" t="n">
        <f aca="false">('Revenue Streams'!AC$29+'Revenue Streams'!AC$31+'Revenue Streams'!AC$33)*'Assumption Setting'!$E$158*'Assumption Setting'!$C$159</f>
        <v>5412.96</v>
      </c>
      <c r="AD20" s="66" t="n">
        <f aca="false">('Revenue Streams'!AD$29+'Revenue Streams'!AD$31+'Revenue Streams'!AD$33)*'Assumption Setting'!$E$158*'Assumption Setting'!$C$159</f>
        <v>6379.56</v>
      </c>
      <c r="AE20" s="66" t="n">
        <f aca="false">('Revenue Streams'!AE$29+'Revenue Streams'!AE$31+'Revenue Streams'!AE$33)*'Assumption Setting'!$E$158*'Assumption Setting'!$C$159</f>
        <v>7539.48</v>
      </c>
      <c r="AF20" s="66" t="n">
        <f aca="false">('Revenue Streams'!AF$29+'Revenue Streams'!AF$31+'Revenue Streams'!AF$33)*'Assumption Setting'!$E$158*'Assumption Setting'!$C$159</f>
        <v>6686.4</v>
      </c>
      <c r="AG20" s="66" t="n">
        <f aca="false">('Revenue Streams'!AG$29+'Revenue Streams'!AG$31+'Revenue Streams'!AG$33)*'Assumption Setting'!$E$158*'Assumption Setting'!$C$159</f>
        <v>7880.4</v>
      </c>
      <c r="AH20" s="66" t="n">
        <f aca="false">('Revenue Streams'!AH$29+'Revenue Streams'!AH$31+'Revenue Streams'!AH$33)*'Assumption Setting'!$E$158*'Assumption Setting'!$C$159</f>
        <v>9313.2</v>
      </c>
      <c r="AI20" s="66" t="n">
        <f aca="false">('Revenue Streams'!AI$29+'Revenue Streams'!AI$31+'Revenue Streams'!AI$33)*'Assumption Setting'!$E$158*'Assumption Setting'!$C$159</f>
        <v>7959.84</v>
      </c>
      <c r="AJ20" s="66" t="n">
        <f aca="false">('Revenue Streams'!AJ$29+'Revenue Streams'!AJ$31+'Revenue Streams'!AJ$33)*'Assumption Setting'!$E$158*'Assumption Setting'!$C$159</f>
        <v>9381.24</v>
      </c>
      <c r="AK20" s="66" t="n">
        <f aca="false">('Revenue Streams'!AK$29+'Revenue Streams'!AK$31+'Revenue Streams'!AK$33)*'Assumption Setting'!$E$158*'Assumption Setting'!$C$159</f>
        <v>11086.92</v>
      </c>
      <c r="AL20" s="66" t="n">
        <f aca="false">('Revenue Streams'!AL$29+'Revenue Streams'!AL$31+'Revenue Streams'!AL$33)*'Assumption Setting'!$E$158*'Assumption Setting'!$C$159</f>
        <v>9233.28</v>
      </c>
      <c r="AM20" s="66" t="n">
        <f aca="false">('Revenue Streams'!AM$29+'Revenue Streams'!AM$31+'Revenue Streams'!AM$33)*'Assumption Setting'!$E$158*'Assumption Setting'!$C$159</f>
        <v>10882.08</v>
      </c>
      <c r="AN20" s="66" t="n">
        <f aca="false">('Revenue Streams'!AN$29+'Revenue Streams'!AN$31+'Revenue Streams'!AN$33)*'Assumption Setting'!$E$158*'Assumption Setting'!$C$159</f>
        <v>12860.64</v>
      </c>
      <c r="AO20" s="65" t="n">
        <f aca="false">SUM(AP20:BA20)</f>
        <v>282924</v>
      </c>
      <c r="AP20" s="66" t="n">
        <f aca="false">('Revenue Streams'!AP$29+'Revenue Streams'!AP$31+'Revenue Streams'!AP$33)*'Assumption Setting'!$F$158*'Assumption Setting'!$C$159</f>
        <v>16758</v>
      </c>
      <c r="AQ20" s="66" t="n">
        <f aca="false">('Revenue Streams'!AQ$29+'Revenue Streams'!AQ$31+'Revenue Streams'!AQ$33)*'Assumption Setting'!$F$158*'Assumption Setting'!$C$159</f>
        <v>19750.5</v>
      </c>
      <c r="AR20" s="66" t="n">
        <f aca="false">('Revenue Streams'!AR$29+'Revenue Streams'!AR$31+'Revenue Streams'!AR$33)*'Assumption Setting'!$F$158*'Assumption Setting'!$C$159</f>
        <v>23341.5</v>
      </c>
      <c r="AS20" s="66" t="n">
        <f aca="false">('Revenue Streams'!AS$29+'Revenue Streams'!AS$31+'Revenue Streams'!AS$33)*'Assumption Setting'!$F$158*'Assumption Setting'!$C$159</f>
        <v>18789.12</v>
      </c>
      <c r="AT20" s="66" t="n">
        <f aca="false">('Revenue Streams'!AT$29+'Revenue Streams'!AT$31+'Revenue Streams'!AT$33)*'Assumption Setting'!$F$158*'Assumption Setting'!$C$159</f>
        <v>22144.32</v>
      </c>
      <c r="AU20" s="66" t="n">
        <f aca="false">('Revenue Streams'!AU$29+'Revenue Streams'!AU$31+'Revenue Streams'!AU$33)*'Assumption Setting'!$F$158*'Assumption Setting'!$C$159</f>
        <v>26170.56</v>
      </c>
      <c r="AV20" s="66" t="n">
        <f aca="false">('Revenue Streams'!AV$29+'Revenue Streams'!AV$31+'Revenue Streams'!AV$33)*'Assumption Setting'!$F$158*'Assumption Setting'!$C$159</f>
        <v>20820.24</v>
      </c>
      <c r="AW20" s="66" t="n">
        <f aca="false">('Revenue Streams'!AW$29+'Revenue Streams'!AW$31+'Revenue Streams'!AW$33)*'Assumption Setting'!$F$158*'Assumption Setting'!$C$159</f>
        <v>24538.14</v>
      </c>
      <c r="AX20" s="66" t="n">
        <f aca="false">('Revenue Streams'!AX$29+'Revenue Streams'!AX$31+'Revenue Streams'!AX$33)*'Assumption Setting'!$F$158*'Assumption Setting'!$C$159</f>
        <v>28999.62</v>
      </c>
      <c r="AY20" s="66" t="n">
        <f aca="false">('Revenue Streams'!AY$29+'Revenue Streams'!AY$31+'Revenue Streams'!AY$33)*'Assumption Setting'!$F$158*'Assumption Setting'!$C$159</f>
        <v>22851.36</v>
      </c>
      <c r="AZ20" s="66" t="n">
        <f aca="false">('Revenue Streams'!AZ$29+'Revenue Streams'!AZ$31+'Revenue Streams'!AZ$33)*'Assumption Setting'!$F$158*'Assumption Setting'!$C$159</f>
        <v>26931.96</v>
      </c>
      <c r="BA20" s="66" t="n">
        <f aca="false">('Revenue Streams'!BA$29+'Revenue Streams'!BA$31+'Revenue Streams'!BA$33)*'Assumption Setting'!$F$158*'Assumption Setting'!$C$159</f>
        <v>31828.68</v>
      </c>
      <c r="BB20" s="65" t="n">
        <f aca="false">SUM(BC20:BN20)</f>
        <v>516692</v>
      </c>
      <c r="BC20" s="66" t="n">
        <f aca="false">('Revenue Streams'!BC$29+'Revenue Streams'!BC$31+'Revenue Streams'!BC$33)*'Assumption Setting'!$G$158*'Assumption Setting'!$C$159</f>
        <v>32222.96</v>
      </c>
      <c r="BD20" s="66" t="n">
        <f aca="false">('Revenue Streams'!BD$29+'Revenue Streams'!BD$31+'Revenue Streams'!BD$33)*'Assumption Setting'!$G$158*'Assumption Setting'!$C$159</f>
        <v>37977.06</v>
      </c>
      <c r="BE20" s="66" t="n">
        <f aca="false">('Revenue Streams'!BE$29+'Revenue Streams'!BE$31+'Revenue Streams'!BE$33)*'Assumption Setting'!$G$158*'Assumption Setting'!$C$159</f>
        <v>44881.98</v>
      </c>
      <c r="BF20" s="66" t="n">
        <f aca="false">('Revenue Streams'!BF$29+'Revenue Streams'!BF$31+'Revenue Streams'!BF$33)*'Assumption Setting'!$G$158*'Assumption Setting'!$C$159</f>
        <v>34853.28</v>
      </c>
      <c r="BG20" s="66" t="n">
        <f aca="false">('Revenue Streams'!BG$29+'Revenue Streams'!BG$31+'Revenue Streams'!BG$33)*'Assumption Setting'!$G$158*'Assumption Setting'!$C$159</f>
        <v>41077.08</v>
      </c>
      <c r="BH20" s="66" t="n">
        <f aca="false">('Revenue Streams'!BH$29+'Revenue Streams'!BH$31+'Revenue Streams'!BH$33)*'Assumption Setting'!$G$158*'Assumption Setting'!$C$159</f>
        <v>48545.64</v>
      </c>
      <c r="BI20" s="66" t="n">
        <f aca="false">('Revenue Streams'!BI$29+'Revenue Streams'!BI$31+'Revenue Streams'!BI$33)*'Assumption Setting'!$G$158*'Assumption Setting'!$C$159</f>
        <v>37483.6</v>
      </c>
      <c r="BJ20" s="66" t="n">
        <f aca="false">('Revenue Streams'!BJ$29+'Revenue Streams'!BJ$31+'Revenue Streams'!BJ$33)*'Assumption Setting'!$G$158*'Assumption Setting'!$C$159</f>
        <v>44177.1</v>
      </c>
      <c r="BK20" s="66" t="n">
        <f aca="false">('Revenue Streams'!BK$29+'Revenue Streams'!BK$31+'Revenue Streams'!BK$33)*'Assumption Setting'!$G$158*'Assumption Setting'!$C$159</f>
        <v>52209.3</v>
      </c>
      <c r="BL20" s="66" t="n">
        <f aca="false">('Revenue Streams'!BL$29+'Revenue Streams'!BL$31+'Revenue Streams'!BL$33)*'Assumption Setting'!$G$158*'Assumption Setting'!$C$159</f>
        <v>40113.92</v>
      </c>
      <c r="BM20" s="66" t="n">
        <f aca="false">('Revenue Streams'!BM$29+'Revenue Streams'!BM$31+'Revenue Streams'!BM$33)*'Assumption Setting'!$G$158*'Assumption Setting'!$C$159</f>
        <v>47277.12</v>
      </c>
      <c r="BN20" s="66" t="n">
        <f aca="false">('Revenue Streams'!BN$29+'Revenue Streams'!BN$31+'Revenue Streams'!BN$33)*'Assumption Setting'!$G$158*'Assumption Setting'!$C$159</f>
        <v>55872.96</v>
      </c>
    </row>
    <row r="21" customFormat="false" ht="15" hidden="false" customHeight="false" outlineLevel="0" collapsed="false">
      <c r="A21" s="12" t="s">
        <v>816</v>
      </c>
      <c r="B21" s="65" t="n">
        <f aca="false">SUM(C21:N21)</f>
        <v>3504</v>
      </c>
      <c r="C21" s="66" t="n">
        <f aca="false">'Revenue Streams'!C$37*'Assumption Setting'!$C$160+'Revenue Streams'!C$39*'Assumption Setting'!$C$161</f>
        <v>0</v>
      </c>
      <c r="D21" s="66" t="n">
        <f aca="false">'Revenue Streams'!D$37*'Assumption Setting'!$C$160+'Revenue Streams'!D$39*'Assumption Setting'!$C$161</f>
        <v>0</v>
      </c>
      <c r="E21" s="66" t="n">
        <f aca="false">'Revenue Streams'!E$37*'Assumption Setting'!$C$160+'Revenue Streams'!E$39*'Assumption Setting'!$C$161</f>
        <v>0</v>
      </c>
      <c r="F21" s="66" t="n">
        <f aca="false">'Revenue Streams'!F$37*'Assumption Setting'!$C$160+'Revenue Streams'!F$39*'Assumption Setting'!$C$161</f>
        <v>60.48</v>
      </c>
      <c r="G21" s="66" t="n">
        <f aca="false">'Revenue Streams'!G$37*'Assumption Setting'!$C$160+'Revenue Streams'!G$39*'Assumption Setting'!$C$161</f>
        <v>71.28</v>
      </c>
      <c r="H21" s="66" t="n">
        <f aca="false">'Revenue Streams'!H$37*'Assumption Setting'!$C$160+'Revenue Streams'!H$39*'Assumption Setting'!$C$161</f>
        <v>84.24</v>
      </c>
      <c r="I21" s="66" t="n">
        <f aca="false">'Revenue Streams'!I$37*'Assumption Setting'!$C$160+'Revenue Streams'!I$39*'Assumption Setting'!$C$161</f>
        <v>60.48</v>
      </c>
      <c r="J21" s="66" t="n">
        <f aca="false">'Revenue Streams'!J$37*'Assumption Setting'!$C$160+'Revenue Streams'!J$39*'Assumption Setting'!$C$161</f>
        <v>71.28</v>
      </c>
      <c r="K21" s="66" t="n">
        <f aca="false">'Revenue Streams'!K$37*'Assumption Setting'!$C$160+'Revenue Streams'!K$39*'Assumption Setting'!$C$161</f>
        <v>84.24</v>
      </c>
      <c r="L21" s="66" t="n">
        <f aca="false">'Revenue Streams'!L$37*'Assumption Setting'!$C$160+'Revenue Streams'!L$39*'Assumption Setting'!$C$161</f>
        <v>860.16</v>
      </c>
      <c r="M21" s="66" t="n">
        <f aca="false">'Revenue Streams'!M$37*'Assumption Setting'!$C$160+'Revenue Streams'!M$39*'Assumption Setting'!$C$161</f>
        <v>1013.76</v>
      </c>
      <c r="N21" s="66" t="n">
        <f aca="false">'Revenue Streams'!N$37*'Assumption Setting'!$C$160+'Revenue Streams'!N$39*'Assumption Setting'!$C$161</f>
        <v>1198.08</v>
      </c>
      <c r="O21" s="65" t="n">
        <f aca="false">SUM(P21:AA21)</f>
        <v>20640</v>
      </c>
      <c r="P21" s="66" t="n">
        <f aca="false">'Revenue Streams'!P$37*'Assumption Setting'!$D$160+'Revenue Streams'!P$39*'Assumption Setting'!$C$161</f>
        <v>1108.8</v>
      </c>
      <c r="Q21" s="66" t="n">
        <f aca="false">'Revenue Streams'!Q$37*'Assumption Setting'!$D$160+'Revenue Streams'!Q$39*'Assumption Setting'!$C$161</f>
        <v>1306.8</v>
      </c>
      <c r="R21" s="66" t="n">
        <f aca="false">'Revenue Streams'!R$37*'Assumption Setting'!$D$160+'Revenue Streams'!R$39*'Assumption Setting'!$C$161</f>
        <v>1544.4</v>
      </c>
      <c r="S21" s="66" t="n">
        <f aca="false">'Revenue Streams'!S$37*'Assumption Setting'!$D$160+'Revenue Streams'!S$39*'Assumption Setting'!$C$161</f>
        <v>1187.2</v>
      </c>
      <c r="T21" s="66" t="n">
        <f aca="false">'Revenue Streams'!T$37*'Assumption Setting'!$D$160+'Revenue Streams'!T$39*'Assumption Setting'!$C$161</f>
        <v>1399.2</v>
      </c>
      <c r="U21" s="66" t="n">
        <f aca="false">'Revenue Streams'!U$37*'Assumption Setting'!$D$160+'Revenue Streams'!U$39*'Assumption Setting'!$C$161</f>
        <v>1653.6</v>
      </c>
      <c r="V21" s="66" t="n">
        <f aca="false">'Revenue Streams'!V$37*'Assumption Setting'!$D$160+'Revenue Streams'!V$39*'Assumption Setting'!$C$161</f>
        <v>1265.6</v>
      </c>
      <c r="W21" s="66" t="n">
        <f aca="false">'Revenue Streams'!W$37*'Assumption Setting'!$D$160+'Revenue Streams'!W$39*'Assumption Setting'!$C$161</f>
        <v>1491.6</v>
      </c>
      <c r="X21" s="66" t="n">
        <f aca="false">'Revenue Streams'!X$37*'Assumption Setting'!$D$160+'Revenue Streams'!X$39*'Assumption Setting'!$C$161</f>
        <v>1762.8</v>
      </c>
      <c r="Y21" s="66" t="n">
        <f aca="false">'Revenue Streams'!Y$37*'Assumption Setting'!$D$160+'Revenue Streams'!Y$39*'Assumption Setting'!$C$161</f>
        <v>2217.6</v>
      </c>
      <c r="Z21" s="66" t="n">
        <f aca="false">'Revenue Streams'!Z$37*'Assumption Setting'!$D$160+'Revenue Streams'!Z$39*'Assumption Setting'!$C$161</f>
        <v>2613.6</v>
      </c>
      <c r="AA21" s="66" t="n">
        <f aca="false">'Revenue Streams'!AA$37*'Assumption Setting'!$D$160+'Revenue Streams'!AA$39*'Assumption Setting'!$C$161</f>
        <v>3088.8</v>
      </c>
      <c r="AB21" s="65" t="n">
        <f aca="false">SUM(AC21:AN21)</f>
        <v>47424</v>
      </c>
      <c r="AC21" s="66" t="n">
        <f aca="false">'Revenue Streams'!AC$37*'Assumption Setting'!$E$160+'Revenue Streams'!AC$39*'Assumption Setting'!$C$161</f>
        <v>2674.56</v>
      </c>
      <c r="AD21" s="66" t="n">
        <f aca="false">'Revenue Streams'!AD$37*'Assumption Setting'!$E$160+'Revenue Streams'!AD$39*'Assumption Setting'!$C$161</f>
        <v>3152.16</v>
      </c>
      <c r="AE21" s="66" t="n">
        <f aca="false">'Revenue Streams'!AE$37*'Assumption Setting'!$E$160+'Revenue Streams'!AE$39*'Assumption Setting'!$C$161</f>
        <v>3725.28</v>
      </c>
      <c r="AF21" s="66" t="n">
        <f aca="false">'Revenue Streams'!AF$37*'Assumption Setting'!$E$160+'Revenue Streams'!AF$39*'Assumption Setting'!$C$161</f>
        <v>2768.64</v>
      </c>
      <c r="AG21" s="66" t="n">
        <f aca="false">'Revenue Streams'!AG$37*'Assumption Setting'!$E$160+'Revenue Streams'!AG$39*'Assumption Setting'!$C$161</f>
        <v>3263.04</v>
      </c>
      <c r="AH21" s="66" t="n">
        <f aca="false">'Revenue Streams'!AH$37*'Assumption Setting'!$E$160+'Revenue Streams'!AH$39*'Assumption Setting'!$C$161</f>
        <v>3856.32</v>
      </c>
      <c r="AI21" s="66" t="n">
        <f aca="false">'Revenue Streams'!AI$37*'Assumption Setting'!$E$160+'Revenue Streams'!AI$39*'Assumption Setting'!$C$161</f>
        <v>3870.72</v>
      </c>
      <c r="AJ21" s="66" t="n">
        <f aca="false">'Revenue Streams'!AJ$37*'Assumption Setting'!$E$160+'Revenue Streams'!AJ$39*'Assumption Setting'!$C$161</f>
        <v>4561.92</v>
      </c>
      <c r="AK21" s="66" t="n">
        <f aca="false">'Revenue Streams'!AK$37*'Assumption Setting'!$E$160+'Revenue Streams'!AK$39*'Assumption Setting'!$C$161</f>
        <v>5391.36</v>
      </c>
      <c r="AL21" s="66" t="n">
        <f aca="false">'Revenue Streams'!AL$37*'Assumption Setting'!$E$160+'Revenue Streams'!AL$39*'Assumption Setting'!$C$161</f>
        <v>3964.8</v>
      </c>
      <c r="AM21" s="66" t="n">
        <f aca="false">'Revenue Streams'!AM$37*'Assumption Setting'!$E$160+'Revenue Streams'!AM$39*'Assumption Setting'!$C$161</f>
        <v>4672.8</v>
      </c>
      <c r="AN21" s="66" t="n">
        <f aca="false">'Revenue Streams'!AN$37*'Assumption Setting'!$E$160+'Revenue Streams'!AN$39*'Assumption Setting'!$C$161</f>
        <v>5522.4</v>
      </c>
      <c r="AO21" s="65" t="n">
        <f aca="false">SUM(AP21:BA21)</f>
        <v>78540</v>
      </c>
      <c r="AP21" s="66" t="n">
        <f aca="false">'Revenue Streams'!AP$37*'Assumption Setting'!$F$160+'Revenue Streams'!AP$39*'Assumption Setting'!$C$161</f>
        <v>4293.52</v>
      </c>
      <c r="AQ21" s="66" t="n">
        <f aca="false">'Revenue Streams'!AQ$37*'Assumption Setting'!$F$160+'Revenue Streams'!AQ$39*'Assumption Setting'!$C$161</f>
        <v>5060.22</v>
      </c>
      <c r="AR21" s="66" t="n">
        <f aca="false">'Revenue Streams'!AR$37*'Assumption Setting'!$F$160+'Revenue Streams'!AR$39*'Assumption Setting'!$C$161</f>
        <v>5980.26</v>
      </c>
      <c r="AS21" s="66" t="n">
        <f aca="false">'Revenue Streams'!AS$37*'Assumption Setting'!$F$160+'Revenue Streams'!AS$39*'Assumption Setting'!$C$161</f>
        <v>5445.44</v>
      </c>
      <c r="AT21" s="66" t="n">
        <f aca="false">'Revenue Streams'!AT$37*'Assumption Setting'!$F$160+'Revenue Streams'!AT$39*'Assumption Setting'!$C$161</f>
        <v>6417.84</v>
      </c>
      <c r="AU21" s="66" t="n">
        <f aca="false">'Revenue Streams'!AU$37*'Assumption Setting'!$F$160+'Revenue Streams'!AU$39*'Assumption Setting'!$C$161</f>
        <v>7584.72</v>
      </c>
      <c r="AV21" s="66" t="n">
        <f aca="false">'Revenue Streams'!AV$37*'Assumption Setting'!$F$160+'Revenue Streams'!AV$39*'Assumption Setting'!$C$161</f>
        <v>5550.16</v>
      </c>
      <c r="AW21" s="66" t="n">
        <f aca="false">'Revenue Streams'!AW$37*'Assumption Setting'!$F$160+'Revenue Streams'!AW$39*'Assumption Setting'!$C$161</f>
        <v>6541.26</v>
      </c>
      <c r="AX21" s="66" t="n">
        <f aca="false">'Revenue Streams'!AX$37*'Assumption Setting'!$F$160+'Revenue Streams'!AX$39*'Assumption Setting'!$C$161</f>
        <v>7730.58</v>
      </c>
      <c r="AY21" s="66" t="n">
        <f aca="false">'Revenue Streams'!AY$37*'Assumption Setting'!$F$160+'Revenue Streams'!AY$39*'Assumption Setting'!$C$161</f>
        <v>6702.08</v>
      </c>
      <c r="AZ21" s="66" t="n">
        <f aca="false">'Revenue Streams'!AZ$37*'Assumption Setting'!$F$160+'Revenue Streams'!AZ$39*'Assumption Setting'!$C$161</f>
        <v>7898.88</v>
      </c>
      <c r="BA21" s="66" t="n">
        <f aca="false">'Revenue Streams'!BA$37*'Assumption Setting'!$F$160+'Revenue Streams'!BA$39*'Assumption Setting'!$C$161</f>
        <v>9335.04</v>
      </c>
      <c r="BB21" s="65" t="n">
        <f aca="false">SUM(BC21:BN21)</f>
        <v>116864</v>
      </c>
      <c r="BC21" s="66" t="n">
        <f aca="false">'Revenue Streams'!BC$37*'Assumption Setting'!$G$160+'Revenue Streams'!BC$39*'Assumption Setting'!$C$161</f>
        <v>7436.8</v>
      </c>
      <c r="BD21" s="66" t="n">
        <f aca="false">'Revenue Streams'!BD$37*'Assumption Setting'!$G$160+'Revenue Streams'!BD$39*'Assumption Setting'!$C$161</f>
        <v>8764.8</v>
      </c>
      <c r="BE21" s="66" t="n">
        <f aca="false">'Revenue Streams'!BE$37*'Assumption Setting'!$G$160+'Revenue Streams'!BE$39*'Assumption Setting'!$C$161</f>
        <v>10358.4</v>
      </c>
      <c r="BF21" s="66" t="n">
        <f aca="false">'Revenue Streams'!BF$37*'Assumption Setting'!$G$160+'Revenue Streams'!BF$39*'Assumption Setting'!$C$161</f>
        <v>7552.72</v>
      </c>
      <c r="BG21" s="66" t="n">
        <f aca="false">'Revenue Streams'!BG$37*'Assumption Setting'!$G$160+'Revenue Streams'!BG$39*'Assumption Setting'!$C$161</f>
        <v>8901.42</v>
      </c>
      <c r="BH21" s="66" t="n">
        <f aca="false">'Revenue Streams'!BH$37*'Assumption Setting'!$G$160+'Revenue Streams'!BH$39*'Assumption Setting'!$C$161</f>
        <v>10519.86</v>
      </c>
      <c r="BI21" s="66" t="n">
        <f aca="false">'Revenue Streams'!BI$37*'Assumption Setting'!$G$160+'Revenue Streams'!BI$39*'Assumption Setting'!$C$161</f>
        <v>8808.24</v>
      </c>
      <c r="BJ21" s="66" t="n">
        <f aca="false">'Revenue Streams'!BJ$37*'Assumption Setting'!$G$160+'Revenue Streams'!BJ$39*'Assumption Setting'!$C$161</f>
        <v>10381.14</v>
      </c>
      <c r="BK21" s="66" t="n">
        <f aca="false">'Revenue Streams'!BK$37*'Assumption Setting'!$G$160+'Revenue Streams'!BK$39*'Assumption Setting'!$C$161</f>
        <v>12268.62</v>
      </c>
      <c r="BL21" s="66" t="n">
        <f aca="false">'Revenue Streams'!BL$37*'Assumption Setting'!$G$160+'Revenue Streams'!BL$39*'Assumption Setting'!$C$161</f>
        <v>8924.16</v>
      </c>
      <c r="BM21" s="66" t="n">
        <f aca="false">'Revenue Streams'!BM$37*'Assumption Setting'!$G$160+'Revenue Streams'!BM$39*'Assumption Setting'!$C$161</f>
        <v>10517.76</v>
      </c>
      <c r="BN21" s="66" t="n">
        <f aca="false">'Revenue Streams'!BN$37*'Assumption Setting'!$G$160+'Revenue Streams'!BN$39*'Assumption Setting'!$C$161</f>
        <v>12430.08</v>
      </c>
    </row>
    <row r="22" customFormat="false" ht="15" hidden="false" customHeight="false" outlineLevel="0" collapsed="false">
      <c r="A22" s="12" t="s">
        <v>817</v>
      </c>
      <c r="B22" s="65" t="n">
        <f aca="false">SUM(C22:N22)</f>
        <v>225.827122619318</v>
      </c>
      <c r="C22" s="66" t="n">
        <f aca="false">'Revenue Streams'!C$34*'Assumption Setting'!$C$162+'Revenue Streams'!C$49*'Assumption Setting'!$C$163</f>
        <v>3.67574846306818</v>
      </c>
      <c r="D22" s="66" t="n">
        <f aca="false">'Revenue Streams'!D$34*'Assumption Setting'!$C$162+'Revenue Streams'!D$49*'Assumption Setting'!$C$163</f>
        <v>7.83296567613637</v>
      </c>
      <c r="E22" s="66" t="n">
        <f aca="false">'Revenue Streams'!E$34*'Assumption Setting'!$C$162+'Revenue Streams'!E$49*'Assumption Setting'!$C$163</f>
        <v>12.5679453892045</v>
      </c>
      <c r="F22" s="66" t="n">
        <f aca="false">'Revenue Streams'!F$34*'Assumption Setting'!$C$162+'Revenue Streams'!F$49*'Assumption Setting'!$C$163</f>
        <v>14.0171338522727</v>
      </c>
      <c r="G22" s="66" t="n">
        <f aca="false">'Revenue Streams'!G$34*'Assumption Setting'!$C$162+'Revenue Streams'!G$49*'Assumption Setting'!$C$163</f>
        <v>15.5501910653409</v>
      </c>
      <c r="H22" s="66" t="n">
        <f aca="false">'Revenue Streams'!H$34*'Assumption Setting'!$C$162+'Revenue Streams'!H$49*'Assumption Setting'!$C$163</f>
        <v>17.1838907784091</v>
      </c>
      <c r="I22" s="66" t="n">
        <f aca="false">'Revenue Streams'!I$34*'Assumption Setting'!$C$162+'Revenue Streams'!I$49*'Assumption Setting'!$C$163</f>
        <v>18.7200542414773</v>
      </c>
      <c r="J22" s="66" t="n">
        <f aca="false">'Revenue Streams'!J$34*'Assumption Setting'!$C$162+'Revenue Streams'!J$49*'Assumption Setting'!$C$163</f>
        <v>20.3556177045455</v>
      </c>
      <c r="K22" s="66" t="n">
        <f aca="false">'Revenue Streams'!K$34*'Assumption Setting'!$C$162+'Revenue Streams'!K$49*'Assumption Setting'!$C$163</f>
        <v>22.1104611676136</v>
      </c>
      <c r="L22" s="66" t="n">
        <f aca="false">'Revenue Streams'!L$34*'Assumption Setting'!$C$162+'Revenue Streams'!L$49*'Assumption Setting'!$C$163</f>
        <v>26.2906646306818</v>
      </c>
      <c r="M22" s="66" t="n">
        <f aca="false">'Revenue Streams'!M$34*'Assumption Setting'!$C$162+'Revenue Streams'!M$49*'Assumption Setting'!$C$163</f>
        <v>31.04241809375</v>
      </c>
      <c r="N22" s="66" t="n">
        <f aca="false">'Revenue Streams'!N$34*'Assumption Setting'!$C$162+'Revenue Streams'!N$49*'Assumption Setting'!$C$163</f>
        <v>36.4800315568182</v>
      </c>
      <c r="O22" s="65" t="n">
        <f aca="false">SUM(P22:AA22)</f>
        <v>9101.05440096402</v>
      </c>
      <c r="P22" s="66" t="n">
        <f aca="false">'Revenue Streams'!P$34*'Assumption Setting'!$D$162+'Revenue Streams'!P$49*'Assumption Setting'!$C$163</f>
        <v>43.8531622591541</v>
      </c>
      <c r="Q22" s="66" t="n">
        <f aca="false">'Revenue Streams'!Q$34*'Assumption Setting'!$D$162+'Revenue Streams'!Q$49*'Assumption Setting'!$C$163</f>
        <v>51.5131033781566</v>
      </c>
      <c r="R22" s="66" t="n">
        <f aca="false">'Revenue Streams'!R$34*'Assumption Setting'!$D$162+'Revenue Streams'!R$49*'Assumption Setting'!$C$163</f>
        <v>59.5172169971591</v>
      </c>
      <c r="S22" s="66" t="n">
        <f aca="false">'Revenue Streams'!S$34*'Assumption Setting'!$D$162+'Revenue Streams'!S$49*'Assumption Setting'!$C$163</f>
        <v>70.4157343661616</v>
      </c>
      <c r="T22" s="66" t="n">
        <f aca="false">'Revenue Streams'!T$34*'Assumption Setting'!$D$162+'Revenue Streams'!T$49*'Assumption Setting'!$C$163</f>
        <v>82.2305954851642</v>
      </c>
      <c r="U22" s="66" t="n">
        <f aca="false">'Revenue Streams'!U$34*'Assumption Setting'!$D$162+'Revenue Streams'!U$49*'Assumption Setting'!$C$163</f>
        <v>95.1450691041667</v>
      </c>
      <c r="V22" s="66" t="n">
        <f aca="false">'Revenue Streams'!V$34*'Assumption Setting'!$D$162+'Revenue Streams'!V$49*'Assumption Setting'!$C$163</f>
        <v>919.17545147317</v>
      </c>
      <c r="W22" s="66" t="n">
        <f aca="false">'Revenue Streams'!W$34*'Assumption Setting'!$D$162+'Revenue Streams'!W$49*'Assumption Setting'!$C$163</f>
        <v>1082.92429634217</v>
      </c>
      <c r="X22" s="66" t="n">
        <f aca="false">'Revenue Streams'!X$34*'Assumption Setting'!$D$162+'Revenue Streams'!X$49*'Assumption Setting'!$C$163</f>
        <v>1278.01529621117</v>
      </c>
      <c r="Y22" s="66" t="n">
        <f aca="false">'Revenue Streams'!Y$34*'Assumption Setting'!$D$162+'Revenue Streams'!Y$49*'Assumption Setting'!$C$163</f>
        <v>1522.24401191351</v>
      </c>
      <c r="Z22" s="66" t="n">
        <f aca="false">'Revenue Streams'!Z$34*'Assumption Setting'!$D$162+'Revenue Streams'!Z$49*'Assumption Setting'!$C$163</f>
        <v>1788.82660678251</v>
      </c>
      <c r="AA22" s="66" t="n">
        <f aca="false">'Revenue Streams'!AA$34*'Assumption Setting'!$D$162+'Revenue Streams'!AA$49*'Assumption Setting'!$C$163</f>
        <v>2107.19385665152</v>
      </c>
      <c r="AB22" s="65" t="n">
        <f aca="false">SUM(AC22:AN22)</f>
        <v>51906.293866753</v>
      </c>
      <c r="AC22" s="66" t="n">
        <f aca="false">'Revenue Streams'!AC$34*'Assumption Setting'!$E$162+'Revenue Streams'!AC$49*'Assumption Setting'!$C$163</f>
        <v>2068.34630468914</v>
      </c>
      <c r="AD22" s="66" t="n">
        <f aca="false">'Revenue Streams'!AD$34*'Assumption Setting'!$E$162+'Revenue Streams'!AD$49*'Assumption Setting'!$C$163</f>
        <v>2434.50395689343</v>
      </c>
      <c r="AE22" s="66" t="n">
        <f aca="false">'Revenue Streams'!AE$34*'Assumption Setting'!$E$162+'Revenue Streams'!AE$49*'Assumption Setting'!$C$163</f>
        <v>2870.66785409773</v>
      </c>
      <c r="AF22" s="66" t="n">
        <f aca="false">'Revenue Streams'!AF$34*'Assumption Setting'!$E$162+'Revenue Streams'!AF$49*'Assumption Setting'!$C$163</f>
        <v>3113.58469546869</v>
      </c>
      <c r="AG22" s="66" t="n">
        <f aca="false">'Revenue Streams'!AG$34*'Assumption Setting'!$E$162+'Revenue Streams'!AG$49*'Assumption Setting'!$C$163</f>
        <v>3651.25038267298</v>
      </c>
      <c r="AH22" s="66" t="n">
        <f aca="false">'Revenue Streams'!AH$34*'Assumption Setting'!$E$162+'Revenue Streams'!AH$49*'Assumption Setting'!$C$163</f>
        <v>4293.01468487727</v>
      </c>
      <c r="AI22" s="66" t="n">
        <f aca="false">'Revenue Streams'!AI$34*'Assumption Setting'!$E$162+'Revenue Streams'!AI$49*'Assumption Setting'!$C$163</f>
        <v>4191.05187958157</v>
      </c>
      <c r="AJ22" s="66" t="n">
        <f aca="false">'Revenue Streams'!AJ$34*'Assumption Setting'!$E$162+'Revenue Streams'!AJ$49*'Assumption Setting'!$C$163</f>
        <v>4897.10941178586</v>
      </c>
      <c r="AK22" s="66" t="n">
        <f aca="false">'Revenue Streams'!AK$34*'Assumption Setting'!$E$162+'Revenue Streams'!AK$49*'Assumption Setting'!$C$163</f>
        <v>5740.79134899015</v>
      </c>
      <c r="AL22" s="66" t="n">
        <f aca="false">'Revenue Streams'!AL$34*'Assumption Setting'!$E$162+'Revenue Streams'!AL$49*'Assumption Setting'!$C$163</f>
        <v>5289.44939036111</v>
      </c>
      <c r="AM22" s="66" t="n">
        <f aca="false">'Revenue Streams'!AM$34*'Assumption Setting'!$E$162+'Revenue Streams'!AM$49*'Assumption Setting'!$C$163</f>
        <v>6158.5957775654</v>
      </c>
      <c r="AN22" s="66" t="n">
        <f aca="false">'Revenue Streams'!AN$34*'Assumption Setting'!$E$162+'Revenue Streams'!AN$49*'Assumption Setting'!$C$163</f>
        <v>7197.9281797697</v>
      </c>
      <c r="AO22" s="65" t="n">
        <f aca="false">SUM(AP22:BA22)</f>
        <v>112671.152877405</v>
      </c>
      <c r="AP22" s="66" t="n">
        <f aca="false">'Revenue Streams'!AP$34*'Assumption Setting'!$F$162+'Revenue Streams'!AP$49*'Assumption Setting'!$C$163</f>
        <v>5979.33834174621</v>
      </c>
      <c r="AQ22" s="66" t="n">
        <f aca="false">'Revenue Streams'!AQ$34*'Assumption Setting'!$F$162+'Revenue Streams'!AQ$49*'Assumption Setting'!$C$163</f>
        <v>6955.12818955606</v>
      </c>
      <c r="AR22" s="66" t="n">
        <f aca="false">'Revenue Streams'!AR$34*'Assumption Setting'!$F$162+'Revenue Streams'!AR$49*'Assumption Setting'!$C$163</f>
        <v>8121.21366036591</v>
      </c>
      <c r="AS22" s="66" t="n">
        <f aca="false">'Revenue Streams'!AS$34*'Assumption Setting'!$F$162+'Revenue Streams'!AS$49*'Assumption Setting'!$C$163</f>
        <v>7331.53611567576</v>
      </c>
      <c r="AT22" s="66" t="n">
        <f aca="false">'Revenue Streams'!AT$34*'Assumption Setting'!$F$162+'Revenue Streams'!AT$49*'Assumption Setting'!$C$163</f>
        <v>8508.24402348561</v>
      </c>
      <c r="AU22" s="66" t="n">
        <f aca="false">'Revenue Streams'!AU$34*'Assumption Setting'!$F$162+'Revenue Streams'!AU$49*'Assumption Setting'!$C$163</f>
        <v>9915.21447429546</v>
      </c>
      <c r="AV22" s="66" t="n">
        <f aca="false">'Revenue Streams'!AV$34*'Assumption Setting'!$F$162+'Revenue Streams'!AV$49*'Assumption Setting'!$C$163</f>
        <v>8712.38096960531</v>
      </c>
      <c r="AW22" s="66" t="n">
        <f aca="false">'Revenue Streams'!AW$34*'Assumption Setting'!$F$162+'Revenue Streams'!AW$49*'Assumption Setting'!$C$163</f>
        <v>10081.2050674152</v>
      </c>
      <c r="AX22" s="66" t="n">
        <f aca="false">'Revenue Streams'!AX$34*'Assumption Setting'!$F$162+'Revenue Streams'!AX$49*'Assumption Setting'!$C$163</f>
        <v>11718.658288225</v>
      </c>
      <c r="AY22" s="66" t="n">
        <f aca="false">'Revenue Streams'!AY$34*'Assumption Setting'!$F$162+'Revenue Streams'!AY$49*'Assumption Setting'!$C$163</f>
        <v>10110.1370768682</v>
      </c>
      <c r="AZ22" s="66" t="n">
        <f aca="false">'Revenue Streams'!AZ$34*'Assumption Setting'!$F$162+'Revenue Streams'!AZ$49*'Assumption Setting'!$C$163</f>
        <v>11679.879234678</v>
      </c>
      <c r="BA22" s="66" t="n">
        <f aca="false">'Revenue Streams'!BA$34*'Assumption Setting'!$F$162+'Revenue Streams'!BA$49*'Assumption Setting'!$C$163</f>
        <v>13558.2174354879</v>
      </c>
      <c r="BB22" s="65" t="n">
        <f aca="false">SUM(BC22:BN22)</f>
        <v>182213.077381524</v>
      </c>
      <c r="BC22" s="66" t="n">
        <f aca="false">'Revenue Streams'!BC$34*'Assumption Setting'!$G$162+'Revenue Streams'!BC$49*'Assumption Setting'!$C$163</f>
        <v>11031.8063379692</v>
      </c>
      <c r="BD22" s="66" t="n">
        <f aca="false">'Revenue Streams'!BD$34*'Assumption Setting'!$G$162+'Revenue Streams'!BD$49*'Assumption Setting'!$C$163</f>
        <v>12707.4073379505</v>
      </c>
      <c r="BE22" s="66" t="n">
        <f aca="false">'Revenue Streams'!BE$34*'Assumption Setting'!$G$162+'Revenue Streams'!BE$49*'Assumption Setting'!$C$163</f>
        <v>14711.6228549319</v>
      </c>
      <c r="BF22" s="66" t="n">
        <f aca="false">'Revenue Streams'!BF$34*'Assumption Setting'!$G$162+'Revenue Streams'!BF$49*'Assumption Setting'!$C$163</f>
        <v>12417.9373186632</v>
      </c>
      <c r="BG22" s="66" t="n">
        <f aca="false">'Revenue Streams'!BG$34*'Assumption Setting'!$G$162+'Revenue Streams'!BG$49*'Assumption Setting'!$C$163</f>
        <v>14269.1220158321</v>
      </c>
      <c r="BH22" s="66" t="n">
        <f aca="false">'Revenue Streams'!BH$34*'Assumption Setting'!$G$162+'Revenue Streams'!BH$49*'Assumption Setting'!$C$163</f>
        <v>16484.0909931259</v>
      </c>
      <c r="BI22" s="66" t="n">
        <f aca="false">'Revenue Streams'!BI$34*'Assumption Setting'!$G$162+'Revenue Streams'!BI$49*'Assumption Setting'!$C$163</f>
        <v>13803.2385164406</v>
      </c>
      <c r="BJ22" s="66" t="n">
        <f aca="false">'Revenue Streams'!BJ$34*'Assumption Setting'!$G$162+'Revenue Streams'!BJ$49*'Assumption Setting'!$C$163</f>
        <v>15839.4443195469</v>
      </c>
      <c r="BK22" s="66" t="n">
        <f aca="false">'Revenue Streams'!BK$34*'Assumption Setting'!$G$162+'Revenue Streams'!BK$49*'Assumption Setting'!$C$163</f>
        <v>18276.3200584032</v>
      </c>
      <c r="BL22" s="66" t="n">
        <f aca="false">'Revenue Streams'!BL$34*'Assumption Setting'!$G$162+'Revenue Streams'!BL$49*'Assumption Setting'!$C$163</f>
        <v>15200.2931429679</v>
      </c>
      <c r="BM22" s="66" t="n">
        <f aca="false">'Revenue Streams'!BM$34*'Assumption Setting'!$G$162+'Revenue Streams'!BM$49*'Assumption Setting'!$C$163</f>
        <v>17412.0826432617</v>
      </c>
      <c r="BN22" s="66" t="n">
        <f aca="false">'Revenue Streams'!BN$34*'Assumption Setting'!$G$162+'Revenue Streams'!BN$49*'Assumption Setting'!$C$163</f>
        <v>20059.7118424306</v>
      </c>
    </row>
    <row r="23" customFormat="false" ht="15" hidden="false" customHeight="false" outlineLevel="0" collapsed="false">
      <c r="A23" s="70" t="s">
        <v>818</v>
      </c>
      <c r="B23" s="65" t="n">
        <f aca="false">SUM(C23:N23)</f>
        <v>42151.25897458</v>
      </c>
      <c r="C23" s="71" t="n">
        <f aca="false">SUM(C7:C22)</f>
        <v>2847.96622999345</v>
      </c>
      <c r="D23" s="71" t="n">
        <f aca="false">SUM(D7:D22)</f>
        <v>3310.62316325144</v>
      </c>
      <c r="E23" s="71" t="n">
        <f aca="false">SUM(E7:E22)</f>
        <v>3864.26956908348</v>
      </c>
      <c r="F23" s="71" t="n">
        <f aca="false">SUM(F7:F22)</f>
        <v>1885.68157782349</v>
      </c>
      <c r="G23" s="71" t="n">
        <f aca="false">SUM(G7:G22)</f>
        <v>2157.25409007285</v>
      </c>
      <c r="H23" s="71" t="n">
        <f aca="false">SUM(H7:H22)</f>
        <v>2482.56617207039</v>
      </c>
      <c r="I23" s="71" t="n">
        <f aca="false">SUM(I7:I22)</f>
        <v>2352.1086487037</v>
      </c>
      <c r="J23" s="71" t="n">
        <f aca="false">SUM(J7:J22)</f>
        <v>2704.69920967851</v>
      </c>
      <c r="K23" s="71" t="n">
        <f aca="false">SUM(K7:K22)</f>
        <v>3127.31070077773</v>
      </c>
      <c r="L23" s="71" t="n">
        <f aca="false">SUM(L7:L22)</f>
        <v>4930.87551949514</v>
      </c>
      <c r="M23" s="71" t="n">
        <f aca="false">SUM(M7:M22)</f>
        <v>5751.86765744983</v>
      </c>
      <c r="N23" s="71" t="n">
        <f aca="false">SUM(N7:N22)</f>
        <v>6736.03643617995</v>
      </c>
      <c r="O23" s="65" t="n">
        <f aca="false">SUM(P23:AA23)</f>
        <v>243117.577940353</v>
      </c>
      <c r="P23" s="71" t="n">
        <f aca="false">SUM(P7:P22)</f>
        <v>7908.15966649961</v>
      </c>
      <c r="Q23" s="71" t="n">
        <f aca="false">SUM(Q7:Q22)</f>
        <v>9151.13636892174</v>
      </c>
      <c r="R23" s="71" t="n">
        <f aca="false">SUM(R7:R22)</f>
        <v>10636.6477057787</v>
      </c>
      <c r="S23" s="71" t="n">
        <f aca="false">SUM(S7:S22)</f>
        <v>12240.9145852238</v>
      </c>
      <c r="T23" s="71" t="n">
        <f aca="false">SUM(T7:T22)</f>
        <v>14240.5493903151</v>
      </c>
      <c r="U23" s="71" t="n">
        <f aca="false">SUM(U7:U22)</f>
        <v>16634.8102107077</v>
      </c>
      <c r="V23" s="71" t="n">
        <f aca="false">SUM(V7:V22)</f>
        <v>18359.0119225117</v>
      </c>
      <c r="W23" s="71" t="n">
        <f aca="false">SUM(W7:W22)</f>
        <v>21451.4110303439</v>
      </c>
      <c r="X23" s="71" t="n">
        <f aca="false">SUM(X7:X22)</f>
        <v>25156.511080028</v>
      </c>
      <c r="Y23" s="71" t="n">
        <f aca="false">SUM(Y7:Y22)</f>
        <v>30234.7872930546</v>
      </c>
      <c r="Z23" s="71" t="n">
        <f aca="false">SUM(Z7:Z22)</f>
        <v>35434.7680103817</v>
      </c>
      <c r="AA23" s="71" t="n">
        <f aca="false">SUM(AA7:AA22)</f>
        <v>41668.8706765859</v>
      </c>
      <c r="AB23" s="65" t="n">
        <f aca="false">SUM(AC23:AN23)</f>
        <v>917455.815718746</v>
      </c>
      <c r="AC23" s="71" t="n">
        <f aca="false">SUM(AC7:AC22)</f>
        <v>45732.2515319905</v>
      </c>
      <c r="AD23" s="71" t="n">
        <f aca="false">SUM(AD7:AD22)</f>
        <v>53540.8031711933</v>
      </c>
      <c r="AE23" s="71" t="n">
        <f aca="false">SUM(AE7:AE22)</f>
        <v>62893.9127560463</v>
      </c>
      <c r="AF23" s="71" t="n">
        <f aca="false">SUM(AF7:AF22)</f>
        <v>56723.3072006834</v>
      </c>
      <c r="AG23" s="71" t="n">
        <f aca="false">SUM(AG7:AG22)</f>
        <v>66418.7786109906</v>
      </c>
      <c r="AH23" s="71" t="n">
        <f aca="false">SUM(AH7:AH22)</f>
        <v>78038.7459501427</v>
      </c>
      <c r="AI23" s="71" t="n">
        <f aca="false">SUM(AI7:AI22)</f>
        <v>72513.8622299474</v>
      </c>
      <c r="AJ23" s="71" t="n">
        <f aca="false">SUM(AJ7:AJ22)</f>
        <v>84940.612892997</v>
      </c>
      <c r="AK23" s="71" t="n">
        <f aca="false">SUM(AK7:AK22)</f>
        <v>99840.7915045044</v>
      </c>
      <c r="AL23" s="71" t="n">
        <f aca="false">SUM(AL7:AL22)</f>
        <v>83688.1137864633</v>
      </c>
      <c r="AM23" s="71" t="n">
        <f aca="false">SUM(AM7:AM22)</f>
        <v>97986.8632022261</v>
      </c>
      <c r="AN23" s="71" t="n">
        <f aca="false">SUM(AN7:AN22)</f>
        <v>115137.772881561</v>
      </c>
      <c r="AO23" s="65" t="n">
        <f aca="false">SUM(AP23:BA23)</f>
        <v>1858177.23848915</v>
      </c>
      <c r="AP23" s="71" t="n">
        <f aca="false">SUM(AP7:AP22)</f>
        <v>104017.288025993</v>
      </c>
      <c r="AQ23" s="71" t="n">
        <f aca="false">SUM(AQ7:AQ22)</f>
        <v>121881.420307136</v>
      </c>
      <c r="AR23" s="71" t="n">
        <f aca="false">SUM(AR7:AR22)</f>
        <v>143297.687279613</v>
      </c>
      <c r="AS23" s="71" t="n">
        <f aca="false">SUM(AS7:AS22)</f>
        <v>124777.316921506</v>
      </c>
      <c r="AT23" s="71" t="n">
        <f aca="false">SUM(AT7:AT22)</f>
        <v>146157.703106569</v>
      </c>
      <c r="AU23" s="71" t="n">
        <f aca="false">SUM(AU7:AU22)</f>
        <v>171800.423160771</v>
      </c>
      <c r="AV23" s="71" t="n">
        <f aca="false">SUM(AV7:AV22)</f>
        <v>137138.796839302</v>
      </c>
      <c r="AW23" s="71" t="n">
        <f aca="false">SUM(AW7:AW22)</f>
        <v>160489.246461173</v>
      </c>
      <c r="AX23" s="71" t="n">
        <f aca="false">SUM(AX7:AX22)</f>
        <v>188505.15941984</v>
      </c>
      <c r="AY23" s="71" t="n">
        <f aca="false">SUM(AY7:AY22)</f>
        <v>158050.701919448</v>
      </c>
      <c r="AZ23" s="71" t="n">
        <f aca="false">SUM(AZ7:AZ22)</f>
        <v>184912.089552674</v>
      </c>
      <c r="BA23" s="71" t="n">
        <f aca="false">SUM(BA7:BA22)</f>
        <v>217149.40549513</v>
      </c>
      <c r="BB23" s="65" t="n">
        <f aca="false">SUM(BC23:BN23)</f>
        <v>2930693.6187283</v>
      </c>
      <c r="BC23" s="71" t="n">
        <f aca="false">SUM(BC7:BC22)</f>
        <v>181423.90147449</v>
      </c>
      <c r="BD23" s="71" t="n">
        <f aca="false">SUM(BD7:BD22)</f>
        <v>212249.686697506</v>
      </c>
      <c r="BE23" s="71" t="n">
        <f aca="false">SUM(BE7:BE22)</f>
        <v>249233.338326371</v>
      </c>
      <c r="BF23" s="71" t="n">
        <f aca="false">SUM(BF7:BF22)</f>
        <v>196647.126046392</v>
      </c>
      <c r="BG23" s="71" t="n">
        <f aca="false">SUM(BG7:BG22)</f>
        <v>229842.013899535</v>
      </c>
      <c r="BH23" s="71" t="n">
        <f aca="false">SUM(BH7:BH22)</f>
        <v>269682.877950005</v>
      </c>
      <c r="BI23" s="71" t="n">
        <f aca="false">SUM(BI7:BI22)</f>
        <v>217370.393005337</v>
      </c>
      <c r="BJ23" s="71" t="n">
        <f aca="false">SUM(BJ7:BJ22)</f>
        <v>253940.291338859</v>
      </c>
      <c r="BK23" s="71" t="n">
        <f aca="false">SUM(BK7:BK22)</f>
        <v>297844.340131611</v>
      </c>
      <c r="BL23" s="71" t="n">
        <f aca="false">SUM(BL7:BL22)</f>
        <v>232606.912142377</v>
      </c>
      <c r="BM23" s="71" t="n">
        <f aca="false">SUM(BM7:BM22)</f>
        <v>271545.794560061</v>
      </c>
      <c r="BN23" s="71" t="n">
        <f aca="false">SUM(BN7:BN22)</f>
        <v>318306.943155751</v>
      </c>
    </row>
    <row r="24" customFormat="false" ht="15" hidden="false" customHeight="false" outlineLevel="0" collapsed="false">
      <c r="A24" s="67" t="s">
        <v>86</v>
      </c>
      <c r="B24" s="68" t="n">
        <f aca="false">SUM(C24:N24)</f>
        <v>68940.9445288291</v>
      </c>
      <c r="C24" s="69" t="n">
        <f aca="false">'Total Revenue'!C$25-C23</f>
        <v>-922.944845334358</v>
      </c>
      <c r="D24" s="69" t="n">
        <f aca="false">'Total Revenue'!D$25-D23</f>
        <v>-941.824143933263</v>
      </c>
      <c r="E24" s="69" t="n">
        <f aca="false">'Total Revenue'!E$25-E23</f>
        <v>-970.18541510621</v>
      </c>
      <c r="F24" s="69" t="n">
        <f aca="false">'Total Revenue'!F$25-F23</f>
        <v>2759.60796081287</v>
      </c>
      <c r="G24" s="69" t="n">
        <f aca="false">'Total Revenue'!G$25-G23</f>
        <v>3289.83708322261</v>
      </c>
      <c r="H24" s="69" t="n">
        <f aca="false">'Total Revenue'!H$25-H23</f>
        <v>3920.80213588416</v>
      </c>
      <c r="I24" s="69" t="n">
        <f aca="false">'Total Revenue'!I$25-I23</f>
        <v>4247.55004390993</v>
      </c>
      <c r="J24" s="69" t="n">
        <f aca="false">'Total Revenue'!J$25-J23</f>
        <v>5024.68986759422</v>
      </c>
      <c r="K24" s="69" t="n">
        <f aca="false">'Total Revenue'!K$25-K23</f>
        <v>5951.81676115409</v>
      </c>
      <c r="L24" s="69" t="n">
        <f aca="false">'Total Revenue'!L$25-L23</f>
        <v>12989.8863270958</v>
      </c>
      <c r="M24" s="69" t="n">
        <f aca="false">'Total Revenue'!M$25-M23</f>
        <v>15370.6585738002</v>
      </c>
      <c r="N24" s="69" t="n">
        <f aca="false">'Total Revenue'!N$25-N23</f>
        <v>18221.0501797291</v>
      </c>
      <c r="O24" s="68" t="n">
        <f aca="false">SUM(P24:AA24)</f>
        <v>653883.976372905</v>
      </c>
      <c r="P24" s="69" t="n">
        <f aca="false">'Total Revenue'!P$25-P23</f>
        <v>16976.7878266191</v>
      </c>
      <c r="Q24" s="69" t="n">
        <f aca="false">'Total Revenue'!Q$25-Q23</f>
        <v>20172.6665847399</v>
      </c>
      <c r="R24" s="69" t="n">
        <f aca="false">'Total Revenue'!R$25-R23</f>
        <v>23979.8442084258</v>
      </c>
      <c r="S24" s="69" t="n">
        <f aca="false">'Total Revenue'!S$25-S23</f>
        <v>30090.9635395237</v>
      </c>
      <c r="T24" s="69" t="n">
        <f aca="false">'Total Revenue'!T$25-T23</f>
        <v>35628.8961949753</v>
      </c>
      <c r="U24" s="69" t="n">
        <f aca="false">'Total Revenue'!U$25-U23</f>
        <v>42243.6203351256</v>
      </c>
      <c r="V24" s="69" t="n">
        <f aca="false">'Total Revenue'!V$25-V23</f>
        <v>52063.1438338646</v>
      </c>
      <c r="W24" s="69" t="n">
        <f aca="false">'Total Revenue'!W$25-W23</f>
        <v>61534.9974365753</v>
      </c>
      <c r="X24" s="69" t="n">
        <f aca="false">'Total Revenue'!X$25-X23</f>
        <v>72866.7830974341</v>
      </c>
      <c r="Y24" s="69" t="n">
        <f aca="false">'Total Revenue'!Y$25-Y23</f>
        <v>83497.8987616171</v>
      </c>
      <c r="Z24" s="69" t="n">
        <f aca="false">'Total Revenue'!Z$25-Z23</f>
        <v>98457.4207548329</v>
      </c>
      <c r="AA24" s="69" t="n">
        <f aca="false">'Total Revenue'!AA$25-AA23</f>
        <v>116370.953799172</v>
      </c>
      <c r="AB24" s="68" t="n">
        <f aca="false">SUM(AC24:AN24)</f>
        <v>2424621.15190277</v>
      </c>
      <c r="AC24" s="69" t="n">
        <f aca="false">'Total Revenue'!AC$25-AC23</f>
        <v>122496.957173414</v>
      </c>
      <c r="AD24" s="69" t="n">
        <f aca="false">'Total Revenue'!AD$25-AD23</f>
        <v>144638.195597191</v>
      </c>
      <c r="AE24" s="69" t="n">
        <f aca="false">'Total Revenue'!AE$25-AE23</f>
        <v>171132.683075317</v>
      </c>
      <c r="AF24" s="69" t="n">
        <f aca="false">'Total Revenue'!AF$25-AF23</f>
        <v>148322.655526993</v>
      </c>
      <c r="AG24" s="69" t="n">
        <f aca="false">'Total Revenue'!AG$25-AG23</f>
        <v>174718.775179666</v>
      </c>
      <c r="AH24" s="69" t="n">
        <f aca="false">'Total Revenue'!AH$25-AH23</f>
        <v>206310.587903494</v>
      </c>
      <c r="AI24" s="69" t="n">
        <f aca="false">'Total Revenue'!AI$25-AI23</f>
        <v>194209.677186669</v>
      </c>
      <c r="AJ24" s="69" t="n">
        <f aca="false">'Total Revenue'!AJ$25-AJ23</f>
        <v>228202.284586599</v>
      </c>
      <c r="AK24" s="69" t="n">
        <f aca="false">'Total Revenue'!AK$25-AK23</f>
        <v>268902.847038071</v>
      </c>
      <c r="AL24" s="69" t="n">
        <f aca="false">'Total Revenue'!AL$25-AL23</f>
        <v>215771.011652426</v>
      </c>
      <c r="AM24" s="69" t="n">
        <f aca="false">'Total Revenue'!AM$25-AM23</f>
        <v>252792.873299643</v>
      </c>
      <c r="AN24" s="69" t="n">
        <f aca="false">'Total Revenue'!AN$25-AN23</f>
        <v>297122.603683288</v>
      </c>
      <c r="AO24" s="68" t="n">
        <f aca="false">SUM(AP24:BA24)</f>
        <v>4793798.55800812</v>
      </c>
      <c r="AP24" s="69" t="n">
        <f aca="false">'Total Revenue'!AP$25-AP23</f>
        <v>271400.150309613</v>
      </c>
      <c r="AQ24" s="69" t="n">
        <f aca="false">'Total Revenue'!AQ$25-AQ23</f>
        <v>317947.727965894</v>
      </c>
      <c r="AR24" s="69" t="n">
        <f aca="false">'Total Revenue'!AR$25-AR23</f>
        <v>373686.588730842</v>
      </c>
      <c r="AS24" s="69" t="n">
        <f aca="false">'Total Revenue'!AS$25-AS23</f>
        <v>321205.543526373</v>
      </c>
      <c r="AT24" s="69" t="n">
        <f aca="false">'Total Revenue'!AT$25-AT23</f>
        <v>375679.383278734</v>
      </c>
      <c r="AU24" s="69" t="n">
        <f aca="false">'Total Revenue'!AU$25-AU23</f>
        <v>440916.618961957</v>
      </c>
      <c r="AV24" s="69" t="n">
        <f aca="false">'Total Revenue'!AV$25-AV23</f>
        <v>359507.97372085</v>
      </c>
      <c r="AW24" s="69" t="n">
        <f aca="false">'Total Revenue'!AW$25-AW23</f>
        <v>419502.784036403</v>
      </c>
      <c r="AX24" s="69" t="n">
        <f aca="false">'Total Revenue'!AX$25-AX23</f>
        <v>491354.44881516</v>
      </c>
      <c r="AY24" s="69" t="n">
        <f aca="false">'Total Revenue'!AY$25-AY23</f>
        <v>403183.157419643</v>
      </c>
      <c r="AZ24" s="69" t="n">
        <f aca="false">'Total Revenue'!AZ$25-AZ23</f>
        <v>469809.545723841</v>
      </c>
      <c r="BA24" s="69" t="n">
        <f aca="false">'Total Revenue'!BA$25-BA23</f>
        <v>549604.63551881</v>
      </c>
      <c r="BB24" s="68" t="n">
        <f aca="false">SUM(BC24:BN24)</f>
        <v>7390234.30645809</v>
      </c>
      <c r="BC24" s="69" t="n">
        <f aca="false">'Total Revenue'!BC$25-BC23</f>
        <v>463666.565324631</v>
      </c>
      <c r="BD24" s="69" t="n">
        <f aca="false">'Total Revenue'!BD$25-BD23</f>
        <v>539625.094386795</v>
      </c>
      <c r="BE24" s="69" t="n">
        <f aca="false">'Total Revenue'!BE$25-BE23</f>
        <v>630596.743243111</v>
      </c>
      <c r="BF24" s="69" t="n">
        <f aca="false">'Total Revenue'!BF$25-BF23</f>
        <v>498082.283058272</v>
      </c>
      <c r="BG24" s="69" t="n">
        <f aca="false">'Total Revenue'!BG$25-BG23</f>
        <v>578480.386552809</v>
      </c>
      <c r="BH24" s="69" t="n">
        <f aca="false">'Total Revenue'!BH$25-BH23</f>
        <v>674766.75042502</v>
      </c>
      <c r="BI24" s="69" t="n">
        <f aca="false">'Total Revenue'!BI$25-BI23</f>
        <v>557354.250321536</v>
      </c>
      <c r="BJ24" s="69" t="n">
        <f aca="false">'Total Revenue'!BJ$25-BJ23</f>
        <v>646880.660648195</v>
      </c>
      <c r="BK24" s="69" t="n">
        <f aca="false">'Total Revenue'!BK$25-BK23</f>
        <v>754104.432965624</v>
      </c>
      <c r="BL24" s="69" t="n">
        <f aca="false">'Total Revenue'!BL$25-BL23</f>
        <v>583668.777656706</v>
      </c>
      <c r="BM24" s="69" t="n">
        <f aca="false">'Total Revenue'!BM$25-BM23</f>
        <v>676134.880961702</v>
      </c>
      <c r="BN24" s="69" t="n">
        <f aca="false">'Total Revenue'!BN$25-BN23</f>
        <v>786873.480913693</v>
      </c>
    </row>
    <row r="25" customFormat="false" ht="15" hidden="false" customHeight="false" outlineLevel="0" collapsed="false">
      <c r="A25" s="12" t="s">
        <v>819</v>
      </c>
      <c r="B25" s="107" t="n">
        <f aca="false">IFERROR(AVERAGE(C25:N25),0)</f>
        <v>0.39416017263649</v>
      </c>
      <c r="C25" s="108" t="n">
        <f aca="false">IFERROR(C24/'Total Revenue'!C$25,0)</f>
        <v>-0.479446541575852</v>
      </c>
      <c r="D25" s="108" t="n">
        <f aca="false">IFERROR(D24/'Total Revenue'!D$25,0)</f>
        <v>-0.397595632323569</v>
      </c>
      <c r="E25" s="108" t="n">
        <f aca="false">IFERROR(E24/'Total Revenue'!E$25,0)</f>
        <v>-0.335230547381598</v>
      </c>
      <c r="F25" s="108" t="n">
        <f aca="false">IFERROR(F24/'Total Revenue'!F$25,0)</f>
        <v>0.594065867769991</v>
      </c>
      <c r="G25" s="108" t="n">
        <f aca="false">IFERROR(G24/'Total Revenue'!G$25,0)</f>
        <v>0.603962184321633</v>
      </c>
      <c r="H25" s="108" t="n">
        <f aca="false">IFERROR(H24/'Total Revenue'!H$25,0)</f>
        <v>0.612303079773432</v>
      </c>
      <c r="I25" s="108" t="n">
        <f aca="false">IFERROR(I24/'Total Revenue'!I$25,0)</f>
        <v>0.643601471188776</v>
      </c>
      <c r="J25" s="108" t="n">
        <f aca="false">IFERROR(J24/'Total Revenue'!J$25,0)</f>
        <v>0.650075939684376</v>
      </c>
      <c r="K25" s="108" t="n">
        <f aca="false">IFERROR(K24/'Total Revenue'!K$25,0)</f>
        <v>0.655549422134414</v>
      </c>
      <c r="L25" s="108" t="n">
        <f aca="false">IFERROR(L24/'Total Revenue'!L$25,0)</f>
        <v>0.724851233351268</v>
      </c>
      <c r="M25" s="108" t="n">
        <f aca="false">IFERROR(M24/'Total Revenue'!M$25,0)</f>
        <v>0.727690353204999</v>
      </c>
      <c r="N25" s="108" t="n">
        <f aca="false">IFERROR(N24/'Total Revenue'!N$25,0)</f>
        <v>0.730095241490006</v>
      </c>
      <c r="O25" s="107" t="n">
        <f aca="false">IFERROR(AVERAGE(P25:AA25),0)</f>
        <v>0.719636215354444</v>
      </c>
      <c r="P25" s="108" t="n">
        <f aca="false">IFERROR(P24/'Total Revenue'!P$25,0)</f>
        <v>0.682211117034247</v>
      </c>
      <c r="Q25" s="108" t="n">
        <f aca="false">IFERROR(Q24/'Total Revenue'!Q$25,0)</f>
        <v>0.687928050008294</v>
      </c>
      <c r="R25" s="108" t="n">
        <f aca="false">IFERROR(R24/'Total Revenue'!R$25,0)</f>
        <v>0.692728895459968</v>
      </c>
      <c r="S25" s="108" t="n">
        <f aca="false">IFERROR(S24/'Total Revenue'!S$25,0)</f>
        <v>0.710834597294475</v>
      </c>
      <c r="T25" s="108" t="n">
        <f aca="false">IFERROR(T24/'Total Revenue'!T$25,0)</f>
        <v>0.714443398694701</v>
      </c>
      <c r="U25" s="108" t="n">
        <f aca="false">IFERROR(U24/'Total Revenue'!U$25,0)</f>
        <v>0.717471915326301</v>
      </c>
      <c r="V25" s="108" t="n">
        <f aca="false">IFERROR(V24/'Total Revenue'!V$25,0)</f>
        <v>0.739300625984466</v>
      </c>
      <c r="W25" s="108" t="n">
        <f aca="false">IFERROR(W24/'Total Revenue'!W$25,0)</f>
        <v>0.741506935573732</v>
      </c>
      <c r="X25" s="108" t="n">
        <f aca="false">IFERROR(X24/'Total Revenue'!X$25,0)</f>
        <v>0.743361909114333</v>
      </c>
      <c r="Y25" s="108" t="n">
        <f aca="false">IFERROR(Y24/'Total Revenue'!Y$25,0)</f>
        <v>0.734159208386931</v>
      </c>
      <c r="Z25" s="108" t="n">
        <f aca="false">IFERROR(Z24/'Total Revenue'!Z$25,0)</f>
        <v>0.735348504366315</v>
      </c>
      <c r="AA25" s="108" t="n">
        <f aca="false">IFERROR(AA24/'Total Revenue'!AA$25,0)</f>
        <v>0.736339427009566</v>
      </c>
      <c r="AB25" s="107" t="n">
        <f aca="false">IFERROR(AVERAGE(AC25:AN25),0)</f>
        <v>0.725896038707254</v>
      </c>
      <c r="AC25" s="108" t="n">
        <f aca="false">IFERROR(AC24/'Total Revenue'!AC$25,0)</f>
        <v>0.728155105264301</v>
      </c>
      <c r="AD25" s="108" t="n">
        <f aca="false">IFERROR(AD24/'Total Revenue'!AD$25,0)</f>
        <v>0.729836140539959</v>
      </c>
      <c r="AE25" s="108" t="n">
        <f aca="false">IFERROR(AE24/'Total Revenue'!AE$25,0)</f>
        <v>0.731253140128711</v>
      </c>
      <c r="AF25" s="108" t="n">
        <f aca="false">IFERROR(AF24/'Total Revenue'!AF$25,0)</f>
        <v>0.723362964839166</v>
      </c>
      <c r="AG25" s="108" t="n">
        <f aca="false">IFERROR(AG24/'Total Revenue'!AG$25,0)</f>
        <v>0.724560618755169</v>
      </c>
      <c r="AH25" s="108" t="n">
        <f aca="false">IFERROR(AH24/'Total Revenue'!AH$25,0)</f>
        <v>0.725553266144412</v>
      </c>
      <c r="AI25" s="108" t="n">
        <f aca="false">IFERROR(AI24/'Total Revenue'!AI$25,0)</f>
        <v>0.728130998904141</v>
      </c>
      <c r="AJ25" s="108" t="n">
        <f aca="false">IFERROR(AJ24/'Total Revenue'!AJ$25,0)</f>
        <v>0.728748077709374</v>
      </c>
      <c r="AK25" s="108" t="n">
        <f aca="false">IFERROR(AK24/'Total Revenue'!AK$25,0)</f>
        <v>0.729240640193508</v>
      </c>
      <c r="AL25" s="108" t="n">
        <f aca="false">IFERROR(AL24/'Total Revenue'!AL$25,0)</f>
        <v>0.720535770403358</v>
      </c>
      <c r="AM25" s="108" t="n">
        <f aca="false">IFERROR(AM24/'Total Revenue'!AM$25,0)</f>
        <v>0.720659852876923</v>
      </c>
      <c r="AN25" s="108" t="n">
        <f aca="false">IFERROR(AN24/'Total Revenue'!AN$25,0)</f>
        <v>0.720715888728031</v>
      </c>
      <c r="AO25" s="107" t="n">
        <f aca="false">IFERROR(AVERAGE(AP25:BA25),0)</f>
        <v>0.720918868014102</v>
      </c>
      <c r="AP25" s="108" t="n">
        <f aca="false">IFERROR(AP24/'Total Revenue'!AP$25,0)</f>
        <v>0.722928992091714</v>
      </c>
      <c r="AQ25" s="108" t="n">
        <f aca="false">IFERROR(AQ24/'Total Revenue'!AQ$25,0)</f>
        <v>0.722889170065926</v>
      </c>
      <c r="AR25" s="108" t="n">
        <f aca="false">IFERROR(AR24/'Total Revenue'!AR$25,0)</f>
        <v>0.722820027747392</v>
      </c>
      <c r="AS25" s="108" t="n">
        <f aca="false">IFERROR(AS24/'Total Revenue'!AS$25,0)</f>
        <v>0.720219479295241</v>
      </c>
      <c r="AT25" s="108" t="n">
        <f aca="false">IFERROR(AT24/'Total Revenue'!AT$25,0)</f>
        <v>0.719916987657998</v>
      </c>
      <c r="AU25" s="108" t="n">
        <f aca="false">IFERROR(AU24/'Total Revenue'!AU$25,0)</f>
        <v>0.719608871061303</v>
      </c>
      <c r="AV25" s="108" t="n">
        <f aca="false">IFERROR(AV24/'Total Revenue'!AV$25,0)</f>
        <v>0.723870555556764</v>
      </c>
      <c r="AW25" s="108" t="n">
        <f aca="false">IFERROR(AW24/'Total Revenue'!AW$25,0)</f>
        <v>0.72329060052172</v>
      </c>
      <c r="AX25" s="108" t="n">
        <f aca="false">IFERROR(AX24/'Total Revenue'!AX$25,0)</f>
        <v>0.722729285375222</v>
      </c>
      <c r="AY25" s="108" t="n">
        <f aca="false">IFERROR(AY24/'Total Revenue'!AY$25,0)</f>
        <v>0.718387087148362</v>
      </c>
      <c r="AZ25" s="108" t="n">
        <f aca="false">IFERROR(AZ24/'Total Revenue'!AZ$25,0)</f>
        <v>0.717571438624327</v>
      </c>
      <c r="BA25" s="108" t="n">
        <f aca="false">IFERROR(BA24/'Total Revenue'!BA$25,0)</f>
        <v>0.716793921023258</v>
      </c>
      <c r="BB25" s="107" t="n">
        <f aca="false">IFERROR(AVERAGE(BC25:BN25),0)</f>
        <v>0.716260367598175</v>
      </c>
      <c r="BC25" s="108" t="n">
        <f aca="false">IFERROR(BC24/'Total Revenue'!BC$25,0)</f>
        <v>0.718762079410817</v>
      </c>
      <c r="BD25" s="108" t="n">
        <f aca="false">IFERROR(BD24/'Total Revenue'!BD$25,0)</f>
        <v>0.717706070163153</v>
      </c>
      <c r="BE25" s="108" t="n">
        <f aca="false">IFERROR(BE24/'Total Revenue'!BE$25,0)</f>
        <v>0.716725600150228</v>
      </c>
      <c r="BF25" s="108" t="n">
        <f aca="false">IFERROR(BF24/'Total Revenue'!BF$25,0)</f>
        <v>0.716944290152015</v>
      </c>
      <c r="BG25" s="108" t="n">
        <f aca="false">IFERROR(BG24/'Total Revenue'!BG$25,0)</f>
        <v>0.71565551842815</v>
      </c>
      <c r="BH25" s="108" t="n">
        <f aca="false">IFERROR(BH24/'Total Revenue'!BH$25,0)</f>
        <v>0.714454990665825</v>
      </c>
      <c r="BI25" s="108" t="n">
        <f aca="false">IFERROR(BI24/'Total Revenue'!BI$25,0)</f>
        <v>0.719422384614112</v>
      </c>
      <c r="BJ25" s="108" t="n">
        <f aca="false">IFERROR(BJ24/'Total Revenue'!BJ$25,0)</f>
        <v>0.718101259990999</v>
      </c>
      <c r="BK25" s="108" t="n">
        <f aca="false">IFERROR(BK24/'Total Revenue'!BK$25,0)</f>
        <v>0.716864216444045</v>
      </c>
      <c r="BL25" s="108" t="n">
        <f aca="false">IFERROR(BL24/'Total Revenue'!BL$25,0)</f>
        <v>0.715038785242238</v>
      </c>
      <c r="BM25" s="108" t="n">
        <f aca="false">IFERROR(BM24/'Total Revenue'!BM$25,0)</f>
        <v>0.713462771190774</v>
      </c>
      <c r="BN25" s="108" t="n">
        <f aca="false">IFERROR(BN24/'Total Revenue'!BN$25,0)</f>
        <v>0.711986444725744</v>
      </c>
    </row>
    <row r="27" customFormat="false" ht="16.5" hidden="false" customHeight="true" outlineLevel="0" collapsed="false">
      <c r="A27" s="15" t="s">
        <v>820</v>
      </c>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row>
    <row r="28" customFormat="false" ht="15" hidden="false" customHeight="true" outlineLevel="0" collapsed="false">
      <c r="A28" s="26" t="s">
        <v>505</v>
      </c>
      <c r="B28" s="62" t="s">
        <v>80</v>
      </c>
      <c r="C28" s="63" t="s">
        <v>506</v>
      </c>
      <c r="D28" s="63" t="s">
        <v>507</v>
      </c>
      <c r="E28" s="63" t="s">
        <v>508</v>
      </c>
      <c r="F28" s="63" t="s">
        <v>509</v>
      </c>
      <c r="G28" s="63" t="s">
        <v>510</v>
      </c>
      <c r="H28" s="63" t="s">
        <v>511</v>
      </c>
      <c r="I28" s="63" t="s">
        <v>512</v>
      </c>
      <c r="J28" s="63" t="s">
        <v>513</v>
      </c>
      <c r="K28" s="63" t="s">
        <v>514</v>
      </c>
      <c r="L28" s="63" t="s">
        <v>515</v>
      </c>
      <c r="M28" s="63" t="s">
        <v>516</v>
      </c>
      <c r="N28" s="63" t="s">
        <v>517</v>
      </c>
      <c r="O28" s="62" t="s">
        <v>81</v>
      </c>
      <c r="P28" s="64" t="s">
        <v>518</v>
      </c>
      <c r="Q28" s="64" t="s">
        <v>519</v>
      </c>
      <c r="R28" s="64" t="s">
        <v>520</v>
      </c>
      <c r="S28" s="64" t="s">
        <v>521</v>
      </c>
      <c r="T28" s="64" t="s">
        <v>522</v>
      </c>
      <c r="U28" s="64" t="s">
        <v>523</v>
      </c>
      <c r="V28" s="64" t="s">
        <v>524</v>
      </c>
      <c r="W28" s="64" t="s">
        <v>525</v>
      </c>
      <c r="X28" s="64" t="s">
        <v>526</v>
      </c>
      <c r="Y28" s="64" t="s">
        <v>527</v>
      </c>
      <c r="Z28" s="64" t="s">
        <v>528</v>
      </c>
      <c r="AA28" s="64" t="s">
        <v>529</v>
      </c>
      <c r="AB28" s="62" t="s">
        <v>82</v>
      </c>
      <c r="AC28" s="63" t="s">
        <v>530</v>
      </c>
      <c r="AD28" s="63" t="s">
        <v>531</v>
      </c>
      <c r="AE28" s="63" t="s">
        <v>532</v>
      </c>
      <c r="AF28" s="63" t="s">
        <v>533</v>
      </c>
      <c r="AG28" s="63" t="s">
        <v>534</v>
      </c>
      <c r="AH28" s="63" t="s">
        <v>535</v>
      </c>
      <c r="AI28" s="63" t="s">
        <v>536</v>
      </c>
      <c r="AJ28" s="63" t="s">
        <v>537</v>
      </c>
      <c r="AK28" s="63" t="s">
        <v>538</v>
      </c>
      <c r="AL28" s="63" t="s">
        <v>539</v>
      </c>
      <c r="AM28" s="63" t="s">
        <v>540</v>
      </c>
      <c r="AN28" s="63" t="s">
        <v>541</v>
      </c>
      <c r="AO28" s="62" t="s">
        <v>83</v>
      </c>
      <c r="AP28" s="64" t="s">
        <v>542</v>
      </c>
      <c r="AQ28" s="64" t="s">
        <v>543</v>
      </c>
      <c r="AR28" s="64" t="s">
        <v>544</v>
      </c>
      <c r="AS28" s="64" t="s">
        <v>545</v>
      </c>
      <c r="AT28" s="64" t="s">
        <v>546</v>
      </c>
      <c r="AU28" s="64" t="s">
        <v>547</v>
      </c>
      <c r="AV28" s="64" t="s">
        <v>548</v>
      </c>
      <c r="AW28" s="64" t="s">
        <v>549</v>
      </c>
      <c r="AX28" s="64" t="s">
        <v>550</v>
      </c>
      <c r="AY28" s="64" t="s">
        <v>551</v>
      </c>
      <c r="AZ28" s="64" t="s">
        <v>552</v>
      </c>
      <c r="BA28" s="64" t="s">
        <v>553</v>
      </c>
      <c r="BB28" s="62" t="s">
        <v>84</v>
      </c>
      <c r="BC28" s="63" t="s">
        <v>554</v>
      </c>
      <c r="BD28" s="63" t="s">
        <v>555</v>
      </c>
      <c r="BE28" s="63" t="s">
        <v>556</v>
      </c>
      <c r="BF28" s="63" t="s">
        <v>557</v>
      </c>
      <c r="BG28" s="63" t="s">
        <v>558</v>
      </c>
      <c r="BH28" s="63" t="s">
        <v>559</v>
      </c>
      <c r="BI28" s="63" t="s">
        <v>560</v>
      </c>
      <c r="BJ28" s="63" t="s">
        <v>561</v>
      </c>
      <c r="BK28" s="63" t="s">
        <v>562</v>
      </c>
      <c r="BL28" s="63" t="s">
        <v>563</v>
      </c>
      <c r="BM28" s="63" t="s">
        <v>564</v>
      </c>
      <c r="BN28" s="63" t="s">
        <v>565</v>
      </c>
    </row>
    <row r="29" customFormat="false" ht="15" hidden="false" customHeight="false" outlineLevel="0" collapsed="false">
      <c r="A29" s="12" t="s">
        <v>821</v>
      </c>
      <c r="B29" s="65" t="n">
        <f aca="false">SUM(C29:N29)</f>
        <v>45045</v>
      </c>
      <c r="C29" s="77" t="n">
        <f aca="false">Payroll!C$51</f>
        <v>3753.75</v>
      </c>
      <c r="D29" s="77" t="n">
        <f aca="false">Payroll!D$51</f>
        <v>3753.75</v>
      </c>
      <c r="E29" s="77" t="n">
        <f aca="false">Payroll!E$51</f>
        <v>3753.75</v>
      </c>
      <c r="F29" s="77" t="n">
        <f aca="false">Payroll!F$51</f>
        <v>3753.75</v>
      </c>
      <c r="G29" s="77" t="n">
        <f aca="false">Payroll!G$51</f>
        <v>3753.75</v>
      </c>
      <c r="H29" s="77" t="n">
        <f aca="false">Payroll!H$51</f>
        <v>3753.75</v>
      </c>
      <c r="I29" s="77" t="n">
        <f aca="false">Payroll!I$51</f>
        <v>3753.75</v>
      </c>
      <c r="J29" s="77" t="n">
        <f aca="false">Payroll!J$51</f>
        <v>3753.75</v>
      </c>
      <c r="K29" s="77" t="n">
        <f aca="false">Payroll!K$51</f>
        <v>3753.75</v>
      </c>
      <c r="L29" s="77" t="n">
        <f aca="false">Payroll!L$51</f>
        <v>3753.75</v>
      </c>
      <c r="M29" s="77" t="n">
        <f aca="false">Payroll!M$51</f>
        <v>3753.75</v>
      </c>
      <c r="N29" s="77" t="n">
        <f aca="false">Payroll!N$51</f>
        <v>3753.75</v>
      </c>
      <c r="O29" s="65" t="n">
        <f aca="false">SUM(P29:AA29)</f>
        <v>169092</v>
      </c>
      <c r="P29" s="77" t="n">
        <f aca="false">Payroll!P$51</f>
        <v>14091</v>
      </c>
      <c r="Q29" s="77" t="n">
        <f aca="false">Payroll!Q$51</f>
        <v>14091</v>
      </c>
      <c r="R29" s="77" t="n">
        <f aca="false">Payroll!R$51</f>
        <v>14091</v>
      </c>
      <c r="S29" s="77" t="n">
        <f aca="false">Payroll!S$51</f>
        <v>14091</v>
      </c>
      <c r="T29" s="77" t="n">
        <f aca="false">Payroll!T$51</f>
        <v>14091</v>
      </c>
      <c r="U29" s="77" t="n">
        <f aca="false">Payroll!U$51</f>
        <v>14091</v>
      </c>
      <c r="V29" s="77" t="n">
        <f aca="false">Payroll!V$51</f>
        <v>14091</v>
      </c>
      <c r="W29" s="77" t="n">
        <f aca="false">Payroll!W$51</f>
        <v>14091</v>
      </c>
      <c r="X29" s="77" t="n">
        <f aca="false">Payroll!X$51</f>
        <v>14091</v>
      </c>
      <c r="Y29" s="77" t="n">
        <f aca="false">Payroll!Y$51</f>
        <v>14091</v>
      </c>
      <c r="Z29" s="77" t="n">
        <f aca="false">Payroll!Z$51</f>
        <v>14091</v>
      </c>
      <c r="AA29" s="77" t="n">
        <f aca="false">Payroll!AA$51</f>
        <v>14091</v>
      </c>
      <c r="AB29" s="65" t="n">
        <f aca="false">SUM(AC29:AN29)</f>
        <v>400554</v>
      </c>
      <c r="AC29" s="77" t="n">
        <f aca="false">Payroll!AC$51</f>
        <v>33379.5</v>
      </c>
      <c r="AD29" s="77" t="n">
        <f aca="false">Payroll!AD$51</f>
        <v>33379.5</v>
      </c>
      <c r="AE29" s="77" t="n">
        <f aca="false">Payroll!AE$51</f>
        <v>33379.5</v>
      </c>
      <c r="AF29" s="77" t="n">
        <f aca="false">Payroll!AF$51</f>
        <v>33379.5</v>
      </c>
      <c r="AG29" s="77" t="n">
        <f aca="false">Payroll!AG$51</f>
        <v>33379.5</v>
      </c>
      <c r="AH29" s="77" t="n">
        <f aca="false">Payroll!AH$51</f>
        <v>33379.5</v>
      </c>
      <c r="AI29" s="77" t="n">
        <f aca="false">Payroll!AI$51</f>
        <v>33379.5</v>
      </c>
      <c r="AJ29" s="77" t="n">
        <f aca="false">Payroll!AJ$51</f>
        <v>33379.5</v>
      </c>
      <c r="AK29" s="77" t="n">
        <f aca="false">Payroll!AK$51</f>
        <v>33379.5</v>
      </c>
      <c r="AL29" s="77" t="n">
        <f aca="false">Payroll!AL$51</f>
        <v>33379.5</v>
      </c>
      <c r="AM29" s="77" t="n">
        <f aca="false">Payroll!AM$51</f>
        <v>33379.5</v>
      </c>
      <c r="AN29" s="77" t="n">
        <f aca="false">Payroll!AN$51</f>
        <v>33379.5</v>
      </c>
      <c r="AO29" s="65" t="n">
        <f aca="false">SUM(AP29:BA29)</f>
        <v>557865</v>
      </c>
      <c r="AP29" s="77" t="n">
        <f aca="false">Payroll!AP$51</f>
        <v>46488.75</v>
      </c>
      <c r="AQ29" s="77" t="n">
        <f aca="false">Payroll!AQ$51</f>
        <v>46488.75</v>
      </c>
      <c r="AR29" s="77" t="n">
        <f aca="false">Payroll!AR$51</f>
        <v>46488.75</v>
      </c>
      <c r="AS29" s="77" t="n">
        <f aca="false">Payroll!AS$51</f>
        <v>46488.75</v>
      </c>
      <c r="AT29" s="77" t="n">
        <f aca="false">Payroll!AT$51</f>
        <v>46488.75</v>
      </c>
      <c r="AU29" s="77" t="n">
        <f aca="false">Payroll!AU$51</f>
        <v>46488.75</v>
      </c>
      <c r="AV29" s="77" t="n">
        <f aca="false">Payroll!AV$51</f>
        <v>46488.75</v>
      </c>
      <c r="AW29" s="77" t="n">
        <f aca="false">Payroll!AW$51</f>
        <v>46488.75</v>
      </c>
      <c r="AX29" s="77" t="n">
        <f aca="false">Payroll!AX$51</f>
        <v>46488.75</v>
      </c>
      <c r="AY29" s="77" t="n">
        <f aca="false">Payroll!AY$51</f>
        <v>46488.75</v>
      </c>
      <c r="AZ29" s="77" t="n">
        <f aca="false">Payroll!AZ$51</f>
        <v>46488.75</v>
      </c>
      <c r="BA29" s="77" t="n">
        <f aca="false">Payroll!BA$51</f>
        <v>46488.75</v>
      </c>
      <c r="BB29" s="65" t="n">
        <f aca="false">SUM(BC29:BN29)</f>
        <v>661122</v>
      </c>
      <c r="BC29" s="77" t="n">
        <f aca="false">Payroll!BC$51</f>
        <v>55093.5</v>
      </c>
      <c r="BD29" s="77" t="n">
        <f aca="false">Payroll!BD$51</f>
        <v>55093.5</v>
      </c>
      <c r="BE29" s="77" t="n">
        <f aca="false">Payroll!BE$51</f>
        <v>55093.5</v>
      </c>
      <c r="BF29" s="77" t="n">
        <f aca="false">Payroll!BF$51</f>
        <v>55093.5</v>
      </c>
      <c r="BG29" s="77" t="n">
        <f aca="false">Payroll!BG$51</f>
        <v>55093.5</v>
      </c>
      <c r="BH29" s="77" t="n">
        <f aca="false">Payroll!BH$51</f>
        <v>55093.5</v>
      </c>
      <c r="BI29" s="77" t="n">
        <f aca="false">Payroll!BI$51</f>
        <v>55093.5</v>
      </c>
      <c r="BJ29" s="77" t="n">
        <f aca="false">Payroll!BJ$51</f>
        <v>55093.5</v>
      </c>
      <c r="BK29" s="77" t="n">
        <f aca="false">Payroll!BK$51</f>
        <v>55093.5</v>
      </c>
      <c r="BL29" s="77" t="n">
        <f aca="false">Payroll!BL$51</f>
        <v>55093.5</v>
      </c>
      <c r="BM29" s="77" t="n">
        <f aca="false">Payroll!BM$51</f>
        <v>55093.5</v>
      </c>
      <c r="BN29" s="77" t="n">
        <f aca="false">Payroll!BN$51</f>
        <v>55093.5</v>
      </c>
    </row>
    <row r="30" customFormat="false" ht="15" hidden="false" customHeight="false" outlineLevel="0" collapsed="false">
      <c r="A30" s="12" t="s">
        <v>822</v>
      </c>
      <c r="B30" s="65" t="n">
        <f aca="false">SUM(C30:N30)</f>
        <v>5232</v>
      </c>
      <c r="C30" s="66" t="n">
        <f aca="false">'Revenue Streams'!C$41*'Assumption Setting'!$C$181</f>
        <v>91</v>
      </c>
      <c r="D30" s="66" t="n">
        <f aca="false">'Revenue Streams'!D$41*'Assumption Setting'!$C$181</f>
        <v>107.25</v>
      </c>
      <c r="E30" s="66" t="n">
        <f aca="false">'Revenue Streams'!E$41*'Assumption Setting'!$C$181</f>
        <v>126.75</v>
      </c>
      <c r="F30" s="66" t="n">
        <f aca="false">'Revenue Streams'!F$41*'Assumption Setting'!$C$181</f>
        <v>212.24</v>
      </c>
      <c r="G30" s="66" t="n">
        <f aca="false">'Revenue Streams'!G$41*'Assumption Setting'!$C$181</f>
        <v>250.14</v>
      </c>
      <c r="H30" s="66" t="n">
        <f aca="false">'Revenue Streams'!H$41*'Assumption Setting'!$C$181</f>
        <v>295.62</v>
      </c>
      <c r="I30" s="66" t="n">
        <f aca="false">'Revenue Streams'!I$41*'Assumption Setting'!$C$181</f>
        <v>303.24</v>
      </c>
      <c r="J30" s="66" t="n">
        <f aca="false">'Revenue Streams'!J$41*'Assumption Setting'!$C$181</f>
        <v>357.39</v>
      </c>
      <c r="K30" s="66" t="n">
        <f aca="false">'Revenue Streams'!K$41*'Assumption Setting'!$C$181</f>
        <v>422.37</v>
      </c>
      <c r="L30" s="66" t="n">
        <f aca="false">'Revenue Streams'!L$41*'Assumption Setting'!$C$181</f>
        <v>858.48</v>
      </c>
      <c r="M30" s="66" t="n">
        <f aca="false">'Revenue Streams'!M$41*'Assumption Setting'!$C$181</f>
        <v>1011.78</v>
      </c>
      <c r="N30" s="66" t="n">
        <f aca="false">'Revenue Streams'!N$41*'Assumption Setting'!$C$181</f>
        <v>1195.74</v>
      </c>
      <c r="O30" s="65" t="n">
        <f aca="false">SUM(P30:AA30)</f>
        <v>42820</v>
      </c>
      <c r="P30" s="66" t="n">
        <f aca="false">'Revenue Streams'!P$41*'Assumption Setting'!$C$181</f>
        <v>1181.6</v>
      </c>
      <c r="Q30" s="66" t="n">
        <f aca="false">'Revenue Streams'!Q$41*'Assumption Setting'!$C$181</f>
        <v>1392.6</v>
      </c>
      <c r="R30" s="66" t="n">
        <f aca="false">'Revenue Streams'!R$41*'Assumption Setting'!$C$181</f>
        <v>1645.8</v>
      </c>
      <c r="S30" s="66" t="n">
        <f aca="false">'Revenue Streams'!S$41*'Assumption Setting'!$C$181</f>
        <v>2016</v>
      </c>
      <c r="T30" s="66" t="n">
        <f aca="false">'Revenue Streams'!T$41*'Assumption Setting'!$C$181</f>
        <v>2376</v>
      </c>
      <c r="U30" s="66" t="n">
        <f aca="false">'Revenue Streams'!U$41*'Assumption Setting'!$C$181</f>
        <v>2808</v>
      </c>
      <c r="V30" s="66" t="n">
        <f aca="false">'Revenue Streams'!V$41*'Assumption Setting'!$C$181</f>
        <v>3360</v>
      </c>
      <c r="W30" s="66" t="n">
        <f aca="false">'Revenue Streams'!W$41*'Assumption Setting'!$C$181</f>
        <v>3960</v>
      </c>
      <c r="X30" s="66" t="n">
        <f aca="false">'Revenue Streams'!X$41*'Assumption Setting'!$C$181</f>
        <v>4680</v>
      </c>
      <c r="Y30" s="66" t="n">
        <f aca="false">'Revenue Streams'!Y$41*'Assumption Setting'!$C$181</f>
        <v>5432</v>
      </c>
      <c r="Z30" s="66" t="n">
        <f aca="false">'Revenue Streams'!Z$41*'Assumption Setting'!$C$181</f>
        <v>6402</v>
      </c>
      <c r="AA30" s="66" t="n">
        <f aca="false">'Revenue Streams'!AA$41*'Assumption Setting'!$C$181</f>
        <v>7566</v>
      </c>
      <c r="AB30" s="65" t="n">
        <f aca="false">SUM(AC30:AN30)</f>
        <v>156952</v>
      </c>
      <c r="AC30" s="66" t="n">
        <f aca="false">'Revenue Streams'!AC$41*'Assumption Setting'!$C$181</f>
        <v>8016.68</v>
      </c>
      <c r="AD30" s="66" t="n">
        <f aca="false">'Revenue Streams'!AD$41*'Assumption Setting'!$C$181</f>
        <v>9448.23</v>
      </c>
      <c r="AE30" s="66" t="n">
        <f aca="false">'Revenue Streams'!AE$41*'Assumption Setting'!$C$181</f>
        <v>11166.09</v>
      </c>
      <c r="AF30" s="66" t="n">
        <f aca="false">'Revenue Streams'!AF$41*'Assumption Setting'!$C$181</f>
        <v>9644.32</v>
      </c>
      <c r="AG30" s="66" t="n">
        <f aca="false">'Revenue Streams'!AG$41*'Assumption Setting'!$C$181</f>
        <v>11366.52</v>
      </c>
      <c r="AH30" s="66" t="n">
        <f aca="false">'Revenue Streams'!AH$41*'Assumption Setting'!$C$181</f>
        <v>13433.16</v>
      </c>
      <c r="AI30" s="66" t="n">
        <f aca="false">'Revenue Streams'!AI$41*'Assumption Setting'!$C$181</f>
        <v>12468.96</v>
      </c>
      <c r="AJ30" s="66" t="n">
        <f aca="false">'Revenue Streams'!AJ$41*'Assumption Setting'!$C$181</f>
        <v>14695.56</v>
      </c>
      <c r="AK30" s="66" t="n">
        <f aca="false">'Revenue Streams'!AK$41*'Assumption Setting'!$C$181</f>
        <v>17367.48</v>
      </c>
      <c r="AL30" s="66" t="n">
        <f aca="false">'Revenue Streams'!AL$41*'Assumption Setting'!$C$181</f>
        <v>13816.6</v>
      </c>
      <c r="AM30" s="66" t="n">
        <f aca="false">'Revenue Streams'!AM$41*'Assumption Setting'!$C$181</f>
        <v>16283.85</v>
      </c>
      <c r="AN30" s="66" t="n">
        <f aca="false">'Revenue Streams'!AN$41*'Assumption Setting'!$C$181</f>
        <v>19244.55</v>
      </c>
      <c r="AO30" s="65" t="n">
        <f aca="false">SUM(AP30:BA30)</f>
        <v>304840</v>
      </c>
      <c r="AP30" s="66" t="n">
        <f aca="false">'Revenue Streams'!AP$41*'Assumption Setting'!$C$181</f>
        <v>17284.96</v>
      </c>
      <c r="AQ30" s="66" t="n">
        <f aca="false">'Revenue Streams'!AQ$41*'Assumption Setting'!$C$181</f>
        <v>20371.56</v>
      </c>
      <c r="AR30" s="66" t="n">
        <f aca="false">'Revenue Streams'!AR$41*'Assumption Setting'!$C$181</f>
        <v>24075.48</v>
      </c>
      <c r="AS30" s="66" t="n">
        <f aca="false">'Revenue Streams'!AS$41*'Assumption Setting'!$C$181</f>
        <v>20393.52</v>
      </c>
      <c r="AT30" s="66" t="n">
        <f aca="false">'Revenue Streams'!AT$41*'Assumption Setting'!$C$181</f>
        <v>24035.22</v>
      </c>
      <c r="AU30" s="66" t="n">
        <f aca="false">'Revenue Streams'!AU$41*'Assumption Setting'!$C$181</f>
        <v>28405.26</v>
      </c>
      <c r="AV30" s="66" t="n">
        <f aca="false">'Revenue Streams'!AV$41*'Assumption Setting'!$C$181</f>
        <v>22466.08</v>
      </c>
      <c r="AW30" s="66" t="n">
        <f aca="false">'Revenue Streams'!AW$41*'Assumption Setting'!$C$181</f>
        <v>26477.88</v>
      </c>
      <c r="AX30" s="66" t="n">
        <f aca="false">'Revenue Streams'!AX$41*'Assumption Setting'!$C$181</f>
        <v>31292.04</v>
      </c>
      <c r="AY30" s="66" t="n">
        <f aca="false">'Revenue Streams'!AY$41*'Assumption Setting'!$C$181</f>
        <v>25210.64</v>
      </c>
      <c r="AZ30" s="66" t="n">
        <f aca="false">'Revenue Streams'!AZ$41*'Assumption Setting'!$C$181</f>
        <v>29712.54</v>
      </c>
      <c r="BA30" s="66" t="n">
        <f aca="false">'Revenue Streams'!BA$41*'Assumption Setting'!$C$181</f>
        <v>35114.82</v>
      </c>
      <c r="BB30" s="65" t="n">
        <f aca="false">SUM(BC30:BN30)</f>
        <v>463142</v>
      </c>
      <c r="BC30" s="66" t="n">
        <f aca="false">'Revenue Streams'!BC$41*'Assumption Setting'!$C$181</f>
        <v>28870.8</v>
      </c>
      <c r="BD30" s="66" t="n">
        <f aca="false">'Revenue Streams'!BD$41*'Assumption Setting'!$C$181</f>
        <v>34026.3</v>
      </c>
      <c r="BE30" s="66" t="n">
        <f aca="false">'Revenue Streams'!BE$41*'Assumption Setting'!$C$181</f>
        <v>40212.9</v>
      </c>
      <c r="BF30" s="66" t="n">
        <f aca="false">'Revenue Streams'!BF$41*'Assumption Setting'!$C$181</f>
        <v>30800.56</v>
      </c>
      <c r="BG30" s="66" t="n">
        <f aca="false">'Revenue Streams'!BG$41*'Assumption Setting'!$C$181</f>
        <v>36300.66</v>
      </c>
      <c r="BH30" s="66" t="n">
        <f aca="false">'Revenue Streams'!BH$41*'Assumption Setting'!$C$181</f>
        <v>42900.78</v>
      </c>
      <c r="BI30" s="66" t="n">
        <f aca="false">'Revenue Streams'!BI$41*'Assumption Setting'!$C$181</f>
        <v>34249.32</v>
      </c>
      <c r="BJ30" s="66" t="n">
        <f aca="false">'Revenue Streams'!BJ$41*'Assumption Setting'!$C$181</f>
        <v>40365.27</v>
      </c>
      <c r="BK30" s="66" t="n">
        <f aca="false">'Revenue Streams'!BK$41*'Assumption Setting'!$C$181</f>
        <v>47704.41</v>
      </c>
      <c r="BL30" s="66" t="n">
        <f aca="false">'Revenue Streams'!BL$41*'Assumption Setting'!$C$181</f>
        <v>35759.08</v>
      </c>
      <c r="BM30" s="66" t="n">
        <f aca="false">'Revenue Streams'!BM$41*'Assumption Setting'!$C$181</f>
        <v>42144.63</v>
      </c>
      <c r="BN30" s="66" t="n">
        <f aca="false">'Revenue Streams'!BN$41*'Assumption Setting'!$C$181</f>
        <v>49807.29</v>
      </c>
    </row>
    <row r="31" customFormat="false" ht="15" hidden="false" customHeight="false" outlineLevel="0" collapsed="false">
      <c r="A31" s="12" t="s">
        <v>823</v>
      </c>
      <c r="B31" s="65" t="n">
        <f aca="false">SUM(C31:N31)</f>
        <v>7320</v>
      </c>
      <c r="C31" s="77" t="n">
        <f aca="false">Acquisitions!C$58</f>
        <v>610</v>
      </c>
      <c r="D31" s="77" t="n">
        <f aca="false">Acquisitions!D$58</f>
        <v>610</v>
      </c>
      <c r="E31" s="77" t="n">
        <f aca="false">Acquisitions!E$58</f>
        <v>610</v>
      </c>
      <c r="F31" s="77" t="n">
        <f aca="false">Acquisitions!F$58</f>
        <v>610</v>
      </c>
      <c r="G31" s="77" t="n">
        <f aca="false">Acquisitions!G$58</f>
        <v>610</v>
      </c>
      <c r="H31" s="77" t="n">
        <f aca="false">Acquisitions!H$58</f>
        <v>610</v>
      </c>
      <c r="I31" s="77" t="n">
        <f aca="false">Acquisitions!I$58</f>
        <v>610</v>
      </c>
      <c r="J31" s="77" t="n">
        <f aca="false">Acquisitions!J$58</f>
        <v>610</v>
      </c>
      <c r="K31" s="77" t="n">
        <f aca="false">Acquisitions!K$58</f>
        <v>610</v>
      </c>
      <c r="L31" s="77" t="n">
        <f aca="false">Acquisitions!L$58</f>
        <v>610</v>
      </c>
      <c r="M31" s="77" t="n">
        <f aca="false">Acquisitions!M$58</f>
        <v>610</v>
      </c>
      <c r="N31" s="77" t="n">
        <f aca="false">Acquisitions!N$58</f>
        <v>610</v>
      </c>
      <c r="O31" s="65" t="n">
        <f aca="false">SUM(P31:AA31)</f>
        <v>34200</v>
      </c>
      <c r="P31" s="77" t="n">
        <f aca="false">Acquisitions!P$58</f>
        <v>2850</v>
      </c>
      <c r="Q31" s="77" t="n">
        <f aca="false">Acquisitions!Q$58</f>
        <v>2850</v>
      </c>
      <c r="R31" s="77" t="n">
        <f aca="false">Acquisitions!R$58</f>
        <v>2850</v>
      </c>
      <c r="S31" s="77" t="n">
        <f aca="false">Acquisitions!S$58</f>
        <v>2850</v>
      </c>
      <c r="T31" s="77" t="n">
        <f aca="false">Acquisitions!T$58</f>
        <v>2850</v>
      </c>
      <c r="U31" s="77" t="n">
        <f aca="false">Acquisitions!U$58</f>
        <v>2850</v>
      </c>
      <c r="V31" s="77" t="n">
        <f aca="false">Acquisitions!V$58</f>
        <v>2850</v>
      </c>
      <c r="W31" s="77" t="n">
        <f aca="false">Acquisitions!W$58</f>
        <v>2850</v>
      </c>
      <c r="X31" s="77" t="n">
        <f aca="false">Acquisitions!X$58</f>
        <v>2850</v>
      </c>
      <c r="Y31" s="77" t="n">
        <f aca="false">Acquisitions!Y$58</f>
        <v>2850</v>
      </c>
      <c r="Z31" s="77" t="n">
        <f aca="false">Acquisitions!Z$58</f>
        <v>2850</v>
      </c>
      <c r="AA31" s="77" t="n">
        <f aca="false">Acquisitions!AA$58</f>
        <v>2850</v>
      </c>
      <c r="AB31" s="65" t="n">
        <f aca="false">SUM(AC31:AN31)</f>
        <v>67200</v>
      </c>
      <c r="AC31" s="77" t="n">
        <f aca="false">Acquisitions!AC$58</f>
        <v>5600</v>
      </c>
      <c r="AD31" s="77" t="n">
        <f aca="false">Acquisitions!AD$58</f>
        <v>5600</v>
      </c>
      <c r="AE31" s="77" t="n">
        <f aca="false">Acquisitions!AE$58</f>
        <v>5600</v>
      </c>
      <c r="AF31" s="77" t="n">
        <f aca="false">Acquisitions!AF$58</f>
        <v>5600</v>
      </c>
      <c r="AG31" s="77" t="n">
        <f aca="false">Acquisitions!AG$58</f>
        <v>5600</v>
      </c>
      <c r="AH31" s="77" t="n">
        <f aca="false">Acquisitions!AH$58</f>
        <v>5600</v>
      </c>
      <c r="AI31" s="77" t="n">
        <f aca="false">Acquisitions!AI$58</f>
        <v>5600</v>
      </c>
      <c r="AJ31" s="77" t="n">
        <f aca="false">Acquisitions!AJ$58</f>
        <v>5600</v>
      </c>
      <c r="AK31" s="77" t="n">
        <f aca="false">Acquisitions!AK$58</f>
        <v>5600</v>
      </c>
      <c r="AL31" s="77" t="n">
        <f aca="false">Acquisitions!AL$58</f>
        <v>5600</v>
      </c>
      <c r="AM31" s="77" t="n">
        <f aca="false">Acquisitions!AM$58</f>
        <v>5600</v>
      </c>
      <c r="AN31" s="77" t="n">
        <f aca="false">Acquisitions!AN$58</f>
        <v>5600</v>
      </c>
      <c r="AO31" s="65" t="n">
        <f aca="false">SUM(AP31:BA31)</f>
        <v>94200</v>
      </c>
      <c r="AP31" s="77" t="n">
        <f aca="false">Acquisitions!AP$58</f>
        <v>7850</v>
      </c>
      <c r="AQ31" s="77" t="n">
        <f aca="false">Acquisitions!AQ$58</f>
        <v>7850</v>
      </c>
      <c r="AR31" s="77" t="n">
        <f aca="false">Acquisitions!AR$58</f>
        <v>7850</v>
      </c>
      <c r="AS31" s="77" t="n">
        <f aca="false">Acquisitions!AS$58</f>
        <v>7850</v>
      </c>
      <c r="AT31" s="77" t="n">
        <f aca="false">Acquisitions!AT$58</f>
        <v>7850</v>
      </c>
      <c r="AU31" s="77" t="n">
        <f aca="false">Acquisitions!AU$58</f>
        <v>7850</v>
      </c>
      <c r="AV31" s="77" t="n">
        <f aca="false">Acquisitions!AV$58</f>
        <v>7850</v>
      </c>
      <c r="AW31" s="77" t="n">
        <f aca="false">Acquisitions!AW$58</f>
        <v>7850</v>
      </c>
      <c r="AX31" s="77" t="n">
        <f aca="false">Acquisitions!AX$58</f>
        <v>7850</v>
      </c>
      <c r="AY31" s="77" t="n">
        <f aca="false">Acquisitions!AY$58</f>
        <v>7850</v>
      </c>
      <c r="AZ31" s="77" t="n">
        <f aca="false">Acquisitions!AZ$58</f>
        <v>7850</v>
      </c>
      <c r="BA31" s="77" t="n">
        <f aca="false">Acquisitions!BA$58</f>
        <v>7850</v>
      </c>
      <c r="BB31" s="65" t="n">
        <f aca="false">SUM(BC31:BN31)</f>
        <v>121200</v>
      </c>
      <c r="BC31" s="77" t="n">
        <f aca="false">Acquisitions!BC$58</f>
        <v>10100</v>
      </c>
      <c r="BD31" s="77" t="n">
        <f aca="false">Acquisitions!BD$58</f>
        <v>10100</v>
      </c>
      <c r="BE31" s="77" t="n">
        <f aca="false">Acquisitions!BE$58</f>
        <v>10100</v>
      </c>
      <c r="BF31" s="77" t="n">
        <f aca="false">Acquisitions!BF$58</f>
        <v>10100</v>
      </c>
      <c r="BG31" s="77" t="n">
        <f aca="false">Acquisitions!BG$58</f>
        <v>10100</v>
      </c>
      <c r="BH31" s="77" t="n">
        <f aca="false">Acquisitions!BH$58</f>
        <v>10100</v>
      </c>
      <c r="BI31" s="77" t="n">
        <f aca="false">Acquisitions!BI$58</f>
        <v>10100</v>
      </c>
      <c r="BJ31" s="77" t="n">
        <f aca="false">Acquisitions!BJ$58</f>
        <v>10100</v>
      </c>
      <c r="BK31" s="77" t="n">
        <f aca="false">Acquisitions!BK$58</f>
        <v>10100</v>
      </c>
      <c r="BL31" s="77" t="n">
        <f aca="false">Acquisitions!BL$58</f>
        <v>10100</v>
      </c>
      <c r="BM31" s="77" t="n">
        <f aca="false">Acquisitions!BM$58</f>
        <v>10100</v>
      </c>
      <c r="BN31" s="77" t="n">
        <f aca="false">Acquisitions!BN$58</f>
        <v>10100</v>
      </c>
    </row>
    <row r="32" customFormat="false" ht="15" hidden="false" customHeight="false" outlineLevel="0" collapsed="false">
      <c r="A32" s="12" t="s">
        <v>824</v>
      </c>
      <c r="B32" s="65" t="n">
        <f aca="false">SUM(C32:N32)</f>
        <v>8640</v>
      </c>
      <c r="C32" s="77" t="n">
        <f aca="false">Acquisitions!C$31</f>
        <v>720</v>
      </c>
      <c r="D32" s="77" t="n">
        <f aca="false">Acquisitions!D$31</f>
        <v>720</v>
      </c>
      <c r="E32" s="77" t="n">
        <f aca="false">Acquisitions!E$31</f>
        <v>720</v>
      </c>
      <c r="F32" s="77" t="n">
        <f aca="false">Acquisitions!F$31</f>
        <v>720</v>
      </c>
      <c r="G32" s="77" t="n">
        <f aca="false">Acquisitions!G$31</f>
        <v>720</v>
      </c>
      <c r="H32" s="77" t="n">
        <f aca="false">Acquisitions!H$31</f>
        <v>720</v>
      </c>
      <c r="I32" s="77" t="n">
        <f aca="false">Acquisitions!I$31</f>
        <v>720</v>
      </c>
      <c r="J32" s="77" t="n">
        <f aca="false">Acquisitions!J$31</f>
        <v>720</v>
      </c>
      <c r="K32" s="77" t="n">
        <f aca="false">Acquisitions!K$31</f>
        <v>720</v>
      </c>
      <c r="L32" s="77" t="n">
        <f aca="false">Acquisitions!L$31</f>
        <v>720</v>
      </c>
      <c r="M32" s="77" t="n">
        <f aca="false">Acquisitions!M$31</f>
        <v>720</v>
      </c>
      <c r="N32" s="77" t="n">
        <f aca="false">Acquisitions!N$31</f>
        <v>720</v>
      </c>
      <c r="O32" s="65" t="n">
        <f aca="false">SUM(P32:AA32)</f>
        <v>44400</v>
      </c>
      <c r="P32" s="77" t="n">
        <f aca="false">Acquisitions!P$31</f>
        <v>3700</v>
      </c>
      <c r="Q32" s="77" t="n">
        <f aca="false">Acquisitions!Q$31</f>
        <v>3700</v>
      </c>
      <c r="R32" s="77" t="n">
        <f aca="false">Acquisitions!R$31</f>
        <v>3700</v>
      </c>
      <c r="S32" s="77" t="n">
        <f aca="false">Acquisitions!S$31</f>
        <v>3700</v>
      </c>
      <c r="T32" s="77" t="n">
        <f aca="false">Acquisitions!T$31</f>
        <v>3700</v>
      </c>
      <c r="U32" s="77" t="n">
        <f aca="false">Acquisitions!U$31</f>
        <v>3700</v>
      </c>
      <c r="V32" s="77" t="n">
        <f aca="false">Acquisitions!V$31</f>
        <v>3700</v>
      </c>
      <c r="W32" s="77" t="n">
        <f aca="false">Acquisitions!W$31</f>
        <v>3700</v>
      </c>
      <c r="X32" s="77" t="n">
        <f aca="false">Acquisitions!X$31</f>
        <v>3700</v>
      </c>
      <c r="Y32" s="77" t="n">
        <f aca="false">Acquisitions!Y$31</f>
        <v>3700</v>
      </c>
      <c r="Z32" s="77" t="n">
        <f aca="false">Acquisitions!Z$31</f>
        <v>3700</v>
      </c>
      <c r="AA32" s="77" t="n">
        <f aca="false">Acquisitions!AA$31</f>
        <v>3700</v>
      </c>
      <c r="AB32" s="65" t="n">
        <f aca="false">SUM(AC32:AN32)</f>
        <v>100800</v>
      </c>
      <c r="AC32" s="77" t="n">
        <f aca="false">Acquisitions!AC$31</f>
        <v>8400</v>
      </c>
      <c r="AD32" s="77" t="n">
        <f aca="false">Acquisitions!AD$31</f>
        <v>8400</v>
      </c>
      <c r="AE32" s="77" t="n">
        <f aca="false">Acquisitions!AE$31</f>
        <v>8400</v>
      </c>
      <c r="AF32" s="77" t="n">
        <f aca="false">Acquisitions!AF$31</f>
        <v>8400</v>
      </c>
      <c r="AG32" s="77" t="n">
        <f aca="false">Acquisitions!AG$31</f>
        <v>8400</v>
      </c>
      <c r="AH32" s="77" t="n">
        <f aca="false">Acquisitions!AH$31</f>
        <v>8400</v>
      </c>
      <c r="AI32" s="77" t="n">
        <f aca="false">Acquisitions!AI$31</f>
        <v>8400</v>
      </c>
      <c r="AJ32" s="77" t="n">
        <f aca="false">Acquisitions!AJ$31</f>
        <v>8400</v>
      </c>
      <c r="AK32" s="77" t="n">
        <f aca="false">Acquisitions!AK$31</f>
        <v>8400</v>
      </c>
      <c r="AL32" s="77" t="n">
        <f aca="false">Acquisitions!AL$31</f>
        <v>8400</v>
      </c>
      <c r="AM32" s="77" t="n">
        <f aca="false">Acquisitions!AM$31</f>
        <v>8400</v>
      </c>
      <c r="AN32" s="77" t="n">
        <f aca="false">Acquisitions!AN$31</f>
        <v>8400</v>
      </c>
      <c r="AO32" s="65" t="n">
        <f aca="false">SUM(AP32:BA32)</f>
        <v>166800</v>
      </c>
      <c r="AP32" s="77" t="n">
        <f aca="false">Acquisitions!AP$31</f>
        <v>13900</v>
      </c>
      <c r="AQ32" s="77" t="n">
        <f aca="false">Acquisitions!AQ$31</f>
        <v>13900</v>
      </c>
      <c r="AR32" s="77" t="n">
        <f aca="false">Acquisitions!AR$31</f>
        <v>13900</v>
      </c>
      <c r="AS32" s="77" t="n">
        <f aca="false">Acquisitions!AS$31</f>
        <v>13900</v>
      </c>
      <c r="AT32" s="77" t="n">
        <f aca="false">Acquisitions!AT$31</f>
        <v>13900</v>
      </c>
      <c r="AU32" s="77" t="n">
        <f aca="false">Acquisitions!AU$31</f>
        <v>13900</v>
      </c>
      <c r="AV32" s="77" t="n">
        <f aca="false">Acquisitions!AV$31</f>
        <v>13900</v>
      </c>
      <c r="AW32" s="77" t="n">
        <f aca="false">Acquisitions!AW$31</f>
        <v>13900</v>
      </c>
      <c r="AX32" s="77" t="n">
        <f aca="false">Acquisitions!AX$31</f>
        <v>13900</v>
      </c>
      <c r="AY32" s="77" t="n">
        <f aca="false">Acquisitions!AY$31</f>
        <v>13900</v>
      </c>
      <c r="AZ32" s="77" t="n">
        <f aca="false">Acquisitions!AZ$31</f>
        <v>13900</v>
      </c>
      <c r="BA32" s="77" t="n">
        <f aca="false">Acquisitions!BA$31</f>
        <v>13900</v>
      </c>
      <c r="BB32" s="65" t="n">
        <f aca="false">SUM(BC32:BN32)</f>
        <v>235200</v>
      </c>
      <c r="BC32" s="77" t="n">
        <f aca="false">Acquisitions!BC$31</f>
        <v>19600</v>
      </c>
      <c r="BD32" s="77" t="n">
        <f aca="false">Acquisitions!BD$31</f>
        <v>19600</v>
      </c>
      <c r="BE32" s="77" t="n">
        <f aca="false">Acquisitions!BE$31</f>
        <v>19600</v>
      </c>
      <c r="BF32" s="77" t="n">
        <f aca="false">Acquisitions!BF$31</f>
        <v>19600</v>
      </c>
      <c r="BG32" s="77" t="n">
        <f aca="false">Acquisitions!BG$31</f>
        <v>19600</v>
      </c>
      <c r="BH32" s="77" t="n">
        <f aca="false">Acquisitions!BH$31</f>
        <v>19600</v>
      </c>
      <c r="BI32" s="77" t="n">
        <f aca="false">Acquisitions!BI$31</f>
        <v>19600</v>
      </c>
      <c r="BJ32" s="77" t="n">
        <f aca="false">Acquisitions!BJ$31</f>
        <v>19600</v>
      </c>
      <c r="BK32" s="77" t="n">
        <f aca="false">Acquisitions!BK$31</f>
        <v>19600</v>
      </c>
      <c r="BL32" s="77" t="n">
        <f aca="false">Acquisitions!BL$31</f>
        <v>19600</v>
      </c>
      <c r="BM32" s="77" t="n">
        <f aca="false">Acquisitions!BM$31</f>
        <v>19600</v>
      </c>
      <c r="BN32" s="77" t="n">
        <f aca="false">Acquisitions!BN$31</f>
        <v>19600</v>
      </c>
    </row>
    <row r="33" customFormat="false" ht="15" hidden="false" customHeight="false" outlineLevel="0" collapsed="false">
      <c r="A33" s="12" t="s">
        <v>825</v>
      </c>
      <c r="B33" s="65" t="n">
        <f aca="false">SUM(C33:N33)</f>
        <v>3360</v>
      </c>
      <c r="C33" s="66" t="n">
        <f aca="false">'Assumption Setting'!$C$178*'Assumption Setting'!$C$179*'Assumption Setting'!$C$180/12</f>
        <v>280</v>
      </c>
      <c r="D33" s="66" t="n">
        <f aca="false">'Assumption Setting'!$C$178*'Assumption Setting'!$C$179*'Assumption Setting'!$C$180/12</f>
        <v>280</v>
      </c>
      <c r="E33" s="66" t="n">
        <f aca="false">'Assumption Setting'!$C$178*'Assumption Setting'!$C$179*'Assumption Setting'!$C$180/12</f>
        <v>280</v>
      </c>
      <c r="F33" s="66" t="n">
        <f aca="false">'Assumption Setting'!$C$178*'Assumption Setting'!$C$179*'Assumption Setting'!$C$180/12</f>
        <v>280</v>
      </c>
      <c r="G33" s="66" t="n">
        <f aca="false">'Assumption Setting'!$C$178*'Assumption Setting'!$C$179*'Assumption Setting'!$C$180/12</f>
        <v>280</v>
      </c>
      <c r="H33" s="66" t="n">
        <f aca="false">'Assumption Setting'!$C$178*'Assumption Setting'!$C$179*'Assumption Setting'!$C$180/12</f>
        <v>280</v>
      </c>
      <c r="I33" s="66" t="n">
        <f aca="false">'Assumption Setting'!$C$178*'Assumption Setting'!$C$179*'Assumption Setting'!$C$180/12</f>
        <v>280</v>
      </c>
      <c r="J33" s="66" t="n">
        <f aca="false">'Assumption Setting'!$C$178*'Assumption Setting'!$C$179*'Assumption Setting'!$C$180/12</f>
        <v>280</v>
      </c>
      <c r="K33" s="66" t="n">
        <f aca="false">'Assumption Setting'!$C$178*'Assumption Setting'!$C$179*'Assumption Setting'!$C$180/12</f>
        <v>280</v>
      </c>
      <c r="L33" s="66" t="n">
        <f aca="false">'Assumption Setting'!$C$178*'Assumption Setting'!$C$179*'Assumption Setting'!$C$180/12</f>
        <v>280</v>
      </c>
      <c r="M33" s="66" t="n">
        <f aca="false">'Assumption Setting'!$C$178*'Assumption Setting'!$C$179*'Assumption Setting'!$C$180/12</f>
        <v>280</v>
      </c>
      <c r="N33" s="66" t="n">
        <f aca="false">'Assumption Setting'!$C$178*'Assumption Setting'!$C$179*'Assumption Setting'!$C$180/12</f>
        <v>280</v>
      </c>
      <c r="O33" s="65" t="n">
        <f aca="false">SUM(P33:AA33)</f>
        <v>9800</v>
      </c>
      <c r="P33" s="66" t="n">
        <f aca="false">'Assumption Setting'!$D$178*'Assumption Setting'!$C$179*'Assumption Setting'!$C$180/12</f>
        <v>816.666666666667</v>
      </c>
      <c r="Q33" s="66" t="n">
        <f aca="false">'Assumption Setting'!$D$178*'Assumption Setting'!$C$179*'Assumption Setting'!$C$180/12</f>
        <v>816.666666666667</v>
      </c>
      <c r="R33" s="66" t="n">
        <f aca="false">'Assumption Setting'!$D$178*'Assumption Setting'!$C$179*'Assumption Setting'!$C$180/12</f>
        <v>816.666666666667</v>
      </c>
      <c r="S33" s="66" t="n">
        <f aca="false">'Assumption Setting'!$D$178*'Assumption Setting'!$C$179*'Assumption Setting'!$C$180/12</f>
        <v>816.666666666667</v>
      </c>
      <c r="T33" s="66" t="n">
        <f aca="false">'Assumption Setting'!$D$178*'Assumption Setting'!$C$179*'Assumption Setting'!$C$180/12</f>
        <v>816.666666666667</v>
      </c>
      <c r="U33" s="66" t="n">
        <f aca="false">'Assumption Setting'!$D$178*'Assumption Setting'!$C$179*'Assumption Setting'!$C$180/12</f>
        <v>816.666666666667</v>
      </c>
      <c r="V33" s="66" t="n">
        <f aca="false">'Assumption Setting'!$D$178*'Assumption Setting'!$C$179*'Assumption Setting'!$C$180/12</f>
        <v>816.666666666667</v>
      </c>
      <c r="W33" s="66" t="n">
        <f aca="false">'Assumption Setting'!$D$178*'Assumption Setting'!$C$179*'Assumption Setting'!$C$180/12</f>
        <v>816.666666666667</v>
      </c>
      <c r="X33" s="66" t="n">
        <f aca="false">'Assumption Setting'!$D$178*'Assumption Setting'!$C$179*'Assumption Setting'!$C$180/12</f>
        <v>816.666666666667</v>
      </c>
      <c r="Y33" s="66" t="n">
        <f aca="false">'Assumption Setting'!$D$178*'Assumption Setting'!$C$179*'Assumption Setting'!$C$180/12</f>
        <v>816.666666666667</v>
      </c>
      <c r="Z33" s="66" t="n">
        <f aca="false">'Assumption Setting'!$D$178*'Assumption Setting'!$C$179*'Assumption Setting'!$C$180/12</f>
        <v>816.666666666667</v>
      </c>
      <c r="AA33" s="66" t="n">
        <f aca="false">'Assumption Setting'!$D$178*'Assumption Setting'!$C$179*'Assumption Setting'!$C$180/12</f>
        <v>816.666666666667</v>
      </c>
      <c r="AB33" s="65" t="n">
        <f aca="false">SUM(AC33:AN33)</f>
        <v>22400</v>
      </c>
      <c r="AC33" s="66" t="n">
        <f aca="false">'Assumption Setting'!$E$178*'Assumption Setting'!$C$179*'Assumption Setting'!$C$180/12</f>
        <v>1866.66666666667</v>
      </c>
      <c r="AD33" s="66" t="n">
        <f aca="false">'Assumption Setting'!$E$178*'Assumption Setting'!$C$179*'Assumption Setting'!$C$180/12</f>
        <v>1866.66666666667</v>
      </c>
      <c r="AE33" s="66" t="n">
        <f aca="false">'Assumption Setting'!$E$178*'Assumption Setting'!$C$179*'Assumption Setting'!$C$180/12</f>
        <v>1866.66666666667</v>
      </c>
      <c r="AF33" s="66" t="n">
        <f aca="false">'Assumption Setting'!$E$178*'Assumption Setting'!$C$179*'Assumption Setting'!$C$180/12</f>
        <v>1866.66666666667</v>
      </c>
      <c r="AG33" s="66" t="n">
        <f aca="false">'Assumption Setting'!$E$178*'Assumption Setting'!$C$179*'Assumption Setting'!$C$180/12</f>
        <v>1866.66666666667</v>
      </c>
      <c r="AH33" s="66" t="n">
        <f aca="false">'Assumption Setting'!$E$178*'Assumption Setting'!$C$179*'Assumption Setting'!$C$180/12</f>
        <v>1866.66666666667</v>
      </c>
      <c r="AI33" s="66" t="n">
        <f aca="false">'Assumption Setting'!$E$178*'Assumption Setting'!$C$179*'Assumption Setting'!$C$180/12</f>
        <v>1866.66666666667</v>
      </c>
      <c r="AJ33" s="66" t="n">
        <f aca="false">'Assumption Setting'!$E$178*'Assumption Setting'!$C$179*'Assumption Setting'!$C$180/12</f>
        <v>1866.66666666667</v>
      </c>
      <c r="AK33" s="66" t="n">
        <f aca="false">'Assumption Setting'!$E$178*'Assumption Setting'!$C$179*'Assumption Setting'!$C$180/12</f>
        <v>1866.66666666667</v>
      </c>
      <c r="AL33" s="66" t="n">
        <f aca="false">'Assumption Setting'!$E$178*'Assumption Setting'!$C$179*'Assumption Setting'!$C$180/12</f>
        <v>1866.66666666667</v>
      </c>
      <c r="AM33" s="66" t="n">
        <f aca="false">'Assumption Setting'!$E$178*'Assumption Setting'!$C$179*'Assumption Setting'!$C$180/12</f>
        <v>1866.66666666667</v>
      </c>
      <c r="AN33" s="66" t="n">
        <f aca="false">'Assumption Setting'!$E$178*'Assumption Setting'!$C$179*'Assumption Setting'!$C$180/12</f>
        <v>1866.66666666667</v>
      </c>
      <c r="AO33" s="65" t="n">
        <f aca="false">SUM(AP33:BA33)</f>
        <v>36400</v>
      </c>
      <c r="AP33" s="66" t="n">
        <f aca="false">'Assumption Setting'!$F$178*'Assumption Setting'!$C$179*'Assumption Setting'!$C$180/12</f>
        <v>3033.33333333333</v>
      </c>
      <c r="AQ33" s="66" t="n">
        <f aca="false">'Assumption Setting'!$F$178*'Assumption Setting'!$C$179*'Assumption Setting'!$C$180/12</f>
        <v>3033.33333333333</v>
      </c>
      <c r="AR33" s="66" t="n">
        <f aca="false">'Assumption Setting'!$F$178*'Assumption Setting'!$C$179*'Assumption Setting'!$C$180/12</f>
        <v>3033.33333333333</v>
      </c>
      <c r="AS33" s="66" t="n">
        <f aca="false">'Assumption Setting'!$F$178*'Assumption Setting'!$C$179*'Assumption Setting'!$C$180/12</f>
        <v>3033.33333333333</v>
      </c>
      <c r="AT33" s="66" t="n">
        <f aca="false">'Assumption Setting'!$F$178*'Assumption Setting'!$C$179*'Assumption Setting'!$C$180/12</f>
        <v>3033.33333333333</v>
      </c>
      <c r="AU33" s="66" t="n">
        <f aca="false">'Assumption Setting'!$F$178*'Assumption Setting'!$C$179*'Assumption Setting'!$C$180/12</f>
        <v>3033.33333333333</v>
      </c>
      <c r="AV33" s="66" t="n">
        <f aca="false">'Assumption Setting'!$F$178*'Assumption Setting'!$C$179*'Assumption Setting'!$C$180/12</f>
        <v>3033.33333333333</v>
      </c>
      <c r="AW33" s="66" t="n">
        <f aca="false">'Assumption Setting'!$F$178*'Assumption Setting'!$C$179*'Assumption Setting'!$C$180/12</f>
        <v>3033.33333333333</v>
      </c>
      <c r="AX33" s="66" t="n">
        <f aca="false">'Assumption Setting'!$F$178*'Assumption Setting'!$C$179*'Assumption Setting'!$C$180/12</f>
        <v>3033.33333333333</v>
      </c>
      <c r="AY33" s="66" t="n">
        <f aca="false">'Assumption Setting'!$F$178*'Assumption Setting'!$C$179*'Assumption Setting'!$C$180/12</f>
        <v>3033.33333333333</v>
      </c>
      <c r="AZ33" s="66" t="n">
        <f aca="false">'Assumption Setting'!$F$178*'Assumption Setting'!$C$179*'Assumption Setting'!$C$180/12</f>
        <v>3033.33333333333</v>
      </c>
      <c r="BA33" s="66" t="n">
        <f aca="false">'Assumption Setting'!$F$178*'Assumption Setting'!$C$179*'Assumption Setting'!$C$180/12</f>
        <v>3033.33333333333</v>
      </c>
      <c r="BB33" s="65" t="n">
        <f aca="false">SUM(BC33:BN33)</f>
        <v>50400</v>
      </c>
      <c r="BC33" s="66" t="n">
        <f aca="false">'Assumption Setting'!$G$178*'Assumption Setting'!$C$179*'Assumption Setting'!$C$180/12</f>
        <v>4200</v>
      </c>
      <c r="BD33" s="66" t="n">
        <f aca="false">'Assumption Setting'!$G$178*'Assumption Setting'!$C$179*'Assumption Setting'!$C$180/12</f>
        <v>4200</v>
      </c>
      <c r="BE33" s="66" t="n">
        <f aca="false">'Assumption Setting'!$G$178*'Assumption Setting'!$C$179*'Assumption Setting'!$C$180/12</f>
        <v>4200</v>
      </c>
      <c r="BF33" s="66" t="n">
        <f aca="false">'Assumption Setting'!$G$178*'Assumption Setting'!$C$179*'Assumption Setting'!$C$180/12</f>
        <v>4200</v>
      </c>
      <c r="BG33" s="66" t="n">
        <f aca="false">'Assumption Setting'!$G$178*'Assumption Setting'!$C$179*'Assumption Setting'!$C$180/12</f>
        <v>4200</v>
      </c>
      <c r="BH33" s="66" t="n">
        <f aca="false">'Assumption Setting'!$G$178*'Assumption Setting'!$C$179*'Assumption Setting'!$C$180/12</f>
        <v>4200</v>
      </c>
      <c r="BI33" s="66" t="n">
        <f aca="false">'Assumption Setting'!$G$178*'Assumption Setting'!$C$179*'Assumption Setting'!$C$180/12</f>
        <v>4200</v>
      </c>
      <c r="BJ33" s="66" t="n">
        <f aca="false">'Assumption Setting'!$G$178*'Assumption Setting'!$C$179*'Assumption Setting'!$C$180/12</f>
        <v>4200</v>
      </c>
      <c r="BK33" s="66" t="n">
        <f aca="false">'Assumption Setting'!$G$178*'Assumption Setting'!$C$179*'Assumption Setting'!$C$180/12</f>
        <v>4200</v>
      </c>
      <c r="BL33" s="66" t="n">
        <f aca="false">'Assumption Setting'!$G$178*'Assumption Setting'!$C$179*'Assumption Setting'!$C$180/12</f>
        <v>4200</v>
      </c>
      <c r="BM33" s="66" t="n">
        <f aca="false">'Assumption Setting'!$G$178*'Assumption Setting'!$C$179*'Assumption Setting'!$C$180/12</f>
        <v>4200</v>
      </c>
      <c r="BN33" s="66" t="n">
        <f aca="false">'Assumption Setting'!$G$178*'Assumption Setting'!$C$179*'Assumption Setting'!$C$180/12</f>
        <v>4200</v>
      </c>
    </row>
    <row r="34" customFormat="false" ht="15" hidden="false" customHeight="false" outlineLevel="0" collapsed="false">
      <c r="A34" s="12" t="s">
        <v>826</v>
      </c>
      <c r="B34" s="65" t="n">
        <f aca="false">SUM(C34:N34)</f>
        <v>4800</v>
      </c>
      <c r="C34" s="66" t="n">
        <f aca="false">Payroll!C$73*'Assumption Setting'!$C$168</f>
        <v>400</v>
      </c>
      <c r="D34" s="66" t="n">
        <f aca="false">Payroll!D$73*'Assumption Setting'!$C$168</f>
        <v>400</v>
      </c>
      <c r="E34" s="66" t="n">
        <f aca="false">Payroll!E$73*'Assumption Setting'!$C$168</f>
        <v>400</v>
      </c>
      <c r="F34" s="66" t="n">
        <f aca="false">Payroll!F$73*'Assumption Setting'!$C$168</f>
        <v>400</v>
      </c>
      <c r="G34" s="66" t="n">
        <f aca="false">Payroll!G$73*'Assumption Setting'!$C$168</f>
        <v>400</v>
      </c>
      <c r="H34" s="66" t="n">
        <f aca="false">Payroll!H$73*'Assumption Setting'!$C$168</f>
        <v>400</v>
      </c>
      <c r="I34" s="66" t="n">
        <f aca="false">Payroll!I$73*'Assumption Setting'!$C$168</f>
        <v>400</v>
      </c>
      <c r="J34" s="66" t="n">
        <f aca="false">Payroll!J$73*'Assumption Setting'!$C$168</f>
        <v>400</v>
      </c>
      <c r="K34" s="66" t="n">
        <f aca="false">Payroll!K$73*'Assumption Setting'!$C$168</f>
        <v>400</v>
      </c>
      <c r="L34" s="66" t="n">
        <f aca="false">Payroll!L$73*'Assumption Setting'!$C$168</f>
        <v>400</v>
      </c>
      <c r="M34" s="66" t="n">
        <f aca="false">Payroll!M$73*'Assumption Setting'!$C$168</f>
        <v>400</v>
      </c>
      <c r="N34" s="66" t="n">
        <f aca="false">Payroll!N$73*'Assumption Setting'!$C$168</f>
        <v>400</v>
      </c>
      <c r="O34" s="65" t="n">
        <f aca="false">SUM(P34:AA34)</f>
        <v>10080</v>
      </c>
      <c r="P34" s="66" t="n">
        <f aca="false">Payroll!P$73*'Assumption Setting'!$D$168</f>
        <v>840</v>
      </c>
      <c r="Q34" s="66" t="n">
        <f aca="false">Payroll!Q$73*'Assumption Setting'!$D$168</f>
        <v>840</v>
      </c>
      <c r="R34" s="66" t="n">
        <f aca="false">Payroll!R$73*'Assumption Setting'!$D$168</f>
        <v>840</v>
      </c>
      <c r="S34" s="66" t="n">
        <f aca="false">Payroll!S$73*'Assumption Setting'!$D$168</f>
        <v>840</v>
      </c>
      <c r="T34" s="66" t="n">
        <f aca="false">Payroll!T$73*'Assumption Setting'!$D$168</f>
        <v>840</v>
      </c>
      <c r="U34" s="66" t="n">
        <f aca="false">Payroll!U$73*'Assumption Setting'!$D$168</f>
        <v>840</v>
      </c>
      <c r="V34" s="66" t="n">
        <f aca="false">Payroll!V$73*'Assumption Setting'!$D$168</f>
        <v>840</v>
      </c>
      <c r="W34" s="66" t="n">
        <f aca="false">Payroll!W$73*'Assumption Setting'!$D$168</f>
        <v>840</v>
      </c>
      <c r="X34" s="66" t="n">
        <f aca="false">Payroll!X$73*'Assumption Setting'!$D$168</f>
        <v>840</v>
      </c>
      <c r="Y34" s="66" t="n">
        <f aca="false">Payroll!Y$73*'Assumption Setting'!$D$168</f>
        <v>840</v>
      </c>
      <c r="Z34" s="66" t="n">
        <f aca="false">Payroll!Z$73*'Assumption Setting'!$D$168</f>
        <v>840</v>
      </c>
      <c r="AA34" s="66" t="n">
        <f aca="false">Payroll!AA$73*'Assumption Setting'!$D$168</f>
        <v>840</v>
      </c>
      <c r="AB34" s="65" t="n">
        <f aca="false">SUM(AC34:AN34)</f>
        <v>20160</v>
      </c>
      <c r="AC34" s="66" t="n">
        <f aca="false">Payroll!AC$73*'Assumption Setting'!$E$168</f>
        <v>1680</v>
      </c>
      <c r="AD34" s="66" t="n">
        <f aca="false">Payroll!AD$73*'Assumption Setting'!$E$168</f>
        <v>1680</v>
      </c>
      <c r="AE34" s="66" t="n">
        <f aca="false">Payroll!AE$73*'Assumption Setting'!$E$168</f>
        <v>1680</v>
      </c>
      <c r="AF34" s="66" t="n">
        <f aca="false">Payroll!AF$73*'Assumption Setting'!$E$168</f>
        <v>1680</v>
      </c>
      <c r="AG34" s="66" t="n">
        <f aca="false">Payroll!AG$73*'Assumption Setting'!$E$168</f>
        <v>1680</v>
      </c>
      <c r="AH34" s="66" t="n">
        <f aca="false">Payroll!AH$73*'Assumption Setting'!$E$168</f>
        <v>1680</v>
      </c>
      <c r="AI34" s="66" t="n">
        <f aca="false">Payroll!AI$73*'Assumption Setting'!$E$168</f>
        <v>1680</v>
      </c>
      <c r="AJ34" s="66" t="n">
        <f aca="false">Payroll!AJ$73*'Assumption Setting'!$E$168</f>
        <v>1680</v>
      </c>
      <c r="AK34" s="66" t="n">
        <f aca="false">Payroll!AK$73*'Assumption Setting'!$E$168</f>
        <v>1680</v>
      </c>
      <c r="AL34" s="66" t="n">
        <f aca="false">Payroll!AL$73*'Assumption Setting'!$E$168</f>
        <v>1680</v>
      </c>
      <c r="AM34" s="66" t="n">
        <f aca="false">Payroll!AM$73*'Assumption Setting'!$E$168</f>
        <v>1680</v>
      </c>
      <c r="AN34" s="66" t="n">
        <f aca="false">Payroll!AN$73*'Assumption Setting'!$E$168</f>
        <v>1680</v>
      </c>
      <c r="AO34" s="65" t="n">
        <f aca="false">SUM(AP34:BA34)</f>
        <v>28800</v>
      </c>
      <c r="AP34" s="66" t="n">
        <f aca="false">Payroll!AP$73*'Assumption Setting'!$F$168</f>
        <v>2400</v>
      </c>
      <c r="AQ34" s="66" t="n">
        <f aca="false">Payroll!AQ$73*'Assumption Setting'!$F$168</f>
        <v>2400</v>
      </c>
      <c r="AR34" s="66" t="n">
        <f aca="false">Payroll!AR$73*'Assumption Setting'!$F$168</f>
        <v>2400</v>
      </c>
      <c r="AS34" s="66" t="n">
        <f aca="false">Payroll!AS$73*'Assumption Setting'!$F$168</f>
        <v>2400</v>
      </c>
      <c r="AT34" s="66" t="n">
        <f aca="false">Payroll!AT$73*'Assumption Setting'!$F$168</f>
        <v>2400</v>
      </c>
      <c r="AU34" s="66" t="n">
        <f aca="false">Payroll!AU$73*'Assumption Setting'!$F$168</f>
        <v>2400</v>
      </c>
      <c r="AV34" s="66" t="n">
        <f aca="false">Payroll!AV$73*'Assumption Setting'!$F$168</f>
        <v>2400</v>
      </c>
      <c r="AW34" s="66" t="n">
        <f aca="false">Payroll!AW$73*'Assumption Setting'!$F$168</f>
        <v>2400</v>
      </c>
      <c r="AX34" s="66" t="n">
        <f aca="false">Payroll!AX$73*'Assumption Setting'!$F$168</f>
        <v>2400</v>
      </c>
      <c r="AY34" s="66" t="n">
        <f aca="false">Payroll!AY$73*'Assumption Setting'!$F$168</f>
        <v>2400</v>
      </c>
      <c r="AZ34" s="66" t="n">
        <f aca="false">Payroll!AZ$73*'Assumption Setting'!$F$168</f>
        <v>2400</v>
      </c>
      <c r="BA34" s="66" t="n">
        <f aca="false">Payroll!BA$73*'Assumption Setting'!$F$168</f>
        <v>2400</v>
      </c>
      <c r="BB34" s="65" t="n">
        <f aca="false">SUM(BC34:BN34)</f>
        <v>38400</v>
      </c>
      <c r="BC34" s="66" t="n">
        <f aca="false">Payroll!BC$73*'Assumption Setting'!$G$168</f>
        <v>3200</v>
      </c>
      <c r="BD34" s="66" t="n">
        <f aca="false">Payroll!BD$73*'Assumption Setting'!$G$168</f>
        <v>3200</v>
      </c>
      <c r="BE34" s="66" t="n">
        <f aca="false">Payroll!BE$73*'Assumption Setting'!$G$168</f>
        <v>3200</v>
      </c>
      <c r="BF34" s="66" t="n">
        <f aca="false">Payroll!BF$73*'Assumption Setting'!$G$168</f>
        <v>3200</v>
      </c>
      <c r="BG34" s="66" t="n">
        <f aca="false">Payroll!BG$73*'Assumption Setting'!$G$168</f>
        <v>3200</v>
      </c>
      <c r="BH34" s="66" t="n">
        <f aca="false">Payroll!BH$73*'Assumption Setting'!$G$168</f>
        <v>3200</v>
      </c>
      <c r="BI34" s="66" t="n">
        <f aca="false">Payroll!BI$73*'Assumption Setting'!$G$168</f>
        <v>3200</v>
      </c>
      <c r="BJ34" s="66" t="n">
        <f aca="false">Payroll!BJ$73*'Assumption Setting'!$G$168</f>
        <v>3200</v>
      </c>
      <c r="BK34" s="66" t="n">
        <f aca="false">Payroll!BK$73*'Assumption Setting'!$G$168</f>
        <v>3200</v>
      </c>
      <c r="BL34" s="66" t="n">
        <f aca="false">Payroll!BL$73*'Assumption Setting'!$G$168</f>
        <v>3200</v>
      </c>
      <c r="BM34" s="66" t="n">
        <f aca="false">Payroll!BM$73*'Assumption Setting'!$G$168</f>
        <v>3200</v>
      </c>
      <c r="BN34" s="66" t="n">
        <f aca="false">Payroll!BN$73*'Assumption Setting'!$G$168</f>
        <v>3200</v>
      </c>
    </row>
    <row r="35" customFormat="false" ht="15" hidden="false" customHeight="false" outlineLevel="0" collapsed="false">
      <c r="A35" s="12" t="s">
        <v>827</v>
      </c>
      <c r="B35" s="65" t="n">
        <f aca="false">SUM(C35:N35)</f>
        <v>1200</v>
      </c>
      <c r="C35" s="66" t="n">
        <f aca="false">Payroll!C$73*'Assumption Setting'!$C$169</f>
        <v>100</v>
      </c>
      <c r="D35" s="66" t="n">
        <f aca="false">Payroll!D$73*'Assumption Setting'!$C$169</f>
        <v>100</v>
      </c>
      <c r="E35" s="66" t="n">
        <f aca="false">Payroll!E$73*'Assumption Setting'!$C$169</f>
        <v>100</v>
      </c>
      <c r="F35" s="66" t="n">
        <f aca="false">Payroll!F$73*'Assumption Setting'!$C$169</f>
        <v>100</v>
      </c>
      <c r="G35" s="66" t="n">
        <f aca="false">Payroll!G$73*'Assumption Setting'!$C$169</f>
        <v>100</v>
      </c>
      <c r="H35" s="66" t="n">
        <f aca="false">Payroll!H$73*'Assumption Setting'!$C$169</f>
        <v>100</v>
      </c>
      <c r="I35" s="66" t="n">
        <f aca="false">Payroll!I$73*'Assumption Setting'!$C$169</f>
        <v>100</v>
      </c>
      <c r="J35" s="66" t="n">
        <f aca="false">Payroll!J$73*'Assumption Setting'!$C$169</f>
        <v>100</v>
      </c>
      <c r="K35" s="66" t="n">
        <f aca="false">Payroll!K$73*'Assumption Setting'!$C$169</f>
        <v>100</v>
      </c>
      <c r="L35" s="66" t="n">
        <f aca="false">Payroll!L$73*'Assumption Setting'!$C$169</f>
        <v>100</v>
      </c>
      <c r="M35" s="66" t="n">
        <f aca="false">Payroll!M$73*'Assumption Setting'!$C$169</f>
        <v>100</v>
      </c>
      <c r="N35" s="66" t="n">
        <f aca="false">Payroll!N$73*'Assumption Setting'!$C$169</f>
        <v>100</v>
      </c>
      <c r="O35" s="65" t="n">
        <f aca="false">SUM(P35:AA35)</f>
        <v>2520</v>
      </c>
      <c r="P35" s="66" t="n">
        <f aca="false">Payroll!P$73*'Assumption Setting'!$D$169</f>
        <v>210</v>
      </c>
      <c r="Q35" s="66" t="n">
        <f aca="false">Payroll!Q$73*'Assumption Setting'!$D$169</f>
        <v>210</v>
      </c>
      <c r="R35" s="66" t="n">
        <f aca="false">Payroll!R$73*'Assumption Setting'!$D$169</f>
        <v>210</v>
      </c>
      <c r="S35" s="66" t="n">
        <f aca="false">Payroll!S$73*'Assumption Setting'!$D$169</f>
        <v>210</v>
      </c>
      <c r="T35" s="66" t="n">
        <f aca="false">Payroll!T$73*'Assumption Setting'!$D$169</f>
        <v>210</v>
      </c>
      <c r="U35" s="66" t="n">
        <f aca="false">Payroll!U$73*'Assumption Setting'!$D$169</f>
        <v>210</v>
      </c>
      <c r="V35" s="66" t="n">
        <f aca="false">Payroll!V$73*'Assumption Setting'!$D$169</f>
        <v>210</v>
      </c>
      <c r="W35" s="66" t="n">
        <f aca="false">Payroll!W$73*'Assumption Setting'!$D$169</f>
        <v>210</v>
      </c>
      <c r="X35" s="66" t="n">
        <f aca="false">Payroll!X$73*'Assumption Setting'!$D$169</f>
        <v>210</v>
      </c>
      <c r="Y35" s="66" t="n">
        <f aca="false">Payroll!Y$73*'Assumption Setting'!$D$169</f>
        <v>210</v>
      </c>
      <c r="Z35" s="66" t="n">
        <f aca="false">Payroll!Z$73*'Assumption Setting'!$D$169</f>
        <v>210</v>
      </c>
      <c r="AA35" s="66" t="n">
        <f aca="false">Payroll!AA$73*'Assumption Setting'!$D$169</f>
        <v>210</v>
      </c>
      <c r="AB35" s="65" t="n">
        <f aca="false">SUM(AC35:AN35)</f>
        <v>5040</v>
      </c>
      <c r="AC35" s="66" t="n">
        <f aca="false">Payroll!AC$73*'Assumption Setting'!$E$169</f>
        <v>420</v>
      </c>
      <c r="AD35" s="66" t="n">
        <f aca="false">Payroll!AD$73*'Assumption Setting'!$E$169</f>
        <v>420</v>
      </c>
      <c r="AE35" s="66" t="n">
        <f aca="false">Payroll!AE$73*'Assumption Setting'!$E$169</f>
        <v>420</v>
      </c>
      <c r="AF35" s="66" t="n">
        <f aca="false">Payroll!AF$73*'Assumption Setting'!$E$169</f>
        <v>420</v>
      </c>
      <c r="AG35" s="66" t="n">
        <f aca="false">Payroll!AG$73*'Assumption Setting'!$E$169</f>
        <v>420</v>
      </c>
      <c r="AH35" s="66" t="n">
        <f aca="false">Payroll!AH$73*'Assumption Setting'!$E$169</f>
        <v>420</v>
      </c>
      <c r="AI35" s="66" t="n">
        <f aca="false">Payroll!AI$73*'Assumption Setting'!$E$169</f>
        <v>420</v>
      </c>
      <c r="AJ35" s="66" t="n">
        <f aca="false">Payroll!AJ$73*'Assumption Setting'!$E$169</f>
        <v>420</v>
      </c>
      <c r="AK35" s="66" t="n">
        <f aca="false">Payroll!AK$73*'Assumption Setting'!$E$169</f>
        <v>420</v>
      </c>
      <c r="AL35" s="66" t="n">
        <f aca="false">Payroll!AL$73*'Assumption Setting'!$E$169</f>
        <v>420</v>
      </c>
      <c r="AM35" s="66" t="n">
        <f aca="false">Payroll!AM$73*'Assumption Setting'!$E$169</f>
        <v>420</v>
      </c>
      <c r="AN35" s="66" t="n">
        <f aca="false">Payroll!AN$73*'Assumption Setting'!$E$169</f>
        <v>420</v>
      </c>
      <c r="AO35" s="65" t="n">
        <f aca="false">SUM(AP35:BA35)</f>
        <v>7296</v>
      </c>
      <c r="AP35" s="66" t="n">
        <f aca="false">Payroll!AP$73*'Assumption Setting'!$F$169</f>
        <v>608</v>
      </c>
      <c r="AQ35" s="66" t="n">
        <f aca="false">Payroll!AQ$73*'Assumption Setting'!$F$169</f>
        <v>608</v>
      </c>
      <c r="AR35" s="66" t="n">
        <f aca="false">Payroll!AR$73*'Assumption Setting'!$F$169</f>
        <v>608</v>
      </c>
      <c r="AS35" s="66" t="n">
        <f aca="false">Payroll!AS$73*'Assumption Setting'!$F$169</f>
        <v>608</v>
      </c>
      <c r="AT35" s="66" t="n">
        <f aca="false">Payroll!AT$73*'Assumption Setting'!$F$169</f>
        <v>608</v>
      </c>
      <c r="AU35" s="66" t="n">
        <f aca="false">Payroll!AU$73*'Assumption Setting'!$F$169</f>
        <v>608</v>
      </c>
      <c r="AV35" s="66" t="n">
        <f aca="false">Payroll!AV$73*'Assumption Setting'!$F$169</f>
        <v>608</v>
      </c>
      <c r="AW35" s="66" t="n">
        <f aca="false">Payroll!AW$73*'Assumption Setting'!$F$169</f>
        <v>608</v>
      </c>
      <c r="AX35" s="66" t="n">
        <f aca="false">Payroll!AX$73*'Assumption Setting'!$F$169</f>
        <v>608</v>
      </c>
      <c r="AY35" s="66" t="n">
        <f aca="false">Payroll!AY$73*'Assumption Setting'!$F$169</f>
        <v>608</v>
      </c>
      <c r="AZ35" s="66" t="n">
        <f aca="false">Payroll!AZ$73*'Assumption Setting'!$F$169</f>
        <v>608</v>
      </c>
      <c r="BA35" s="66" t="n">
        <f aca="false">Payroll!BA$73*'Assumption Setting'!$F$169</f>
        <v>608</v>
      </c>
      <c r="BB35" s="65" t="n">
        <f aca="false">SUM(BC35:BN35)</f>
        <v>9600</v>
      </c>
      <c r="BC35" s="66" t="n">
        <f aca="false">Payroll!BC$73*'Assumption Setting'!$G$169</f>
        <v>800</v>
      </c>
      <c r="BD35" s="66" t="n">
        <f aca="false">Payroll!BD$73*'Assumption Setting'!$G$169</f>
        <v>800</v>
      </c>
      <c r="BE35" s="66" t="n">
        <f aca="false">Payroll!BE$73*'Assumption Setting'!$G$169</f>
        <v>800</v>
      </c>
      <c r="BF35" s="66" t="n">
        <f aca="false">Payroll!BF$73*'Assumption Setting'!$G$169</f>
        <v>800</v>
      </c>
      <c r="BG35" s="66" t="n">
        <f aca="false">Payroll!BG$73*'Assumption Setting'!$G$169</f>
        <v>800</v>
      </c>
      <c r="BH35" s="66" t="n">
        <f aca="false">Payroll!BH$73*'Assumption Setting'!$G$169</f>
        <v>800</v>
      </c>
      <c r="BI35" s="66" t="n">
        <f aca="false">Payroll!BI$73*'Assumption Setting'!$G$169</f>
        <v>800</v>
      </c>
      <c r="BJ35" s="66" t="n">
        <f aca="false">Payroll!BJ$73*'Assumption Setting'!$G$169</f>
        <v>800</v>
      </c>
      <c r="BK35" s="66" t="n">
        <f aca="false">Payroll!BK$73*'Assumption Setting'!$G$169</f>
        <v>800</v>
      </c>
      <c r="BL35" s="66" t="n">
        <f aca="false">Payroll!BL$73*'Assumption Setting'!$G$169</f>
        <v>800</v>
      </c>
      <c r="BM35" s="66" t="n">
        <f aca="false">Payroll!BM$73*'Assumption Setting'!$G$169</f>
        <v>800</v>
      </c>
      <c r="BN35" s="66" t="n">
        <f aca="false">Payroll!BN$73*'Assumption Setting'!$G$169</f>
        <v>800</v>
      </c>
    </row>
    <row r="36" customFormat="false" ht="15" hidden="false" customHeight="false" outlineLevel="0" collapsed="false">
      <c r="A36" s="12" t="s">
        <v>828</v>
      </c>
      <c r="B36" s="65" t="n">
        <f aca="false">SUM(C36:N36)</f>
        <v>3287.52404021282</v>
      </c>
      <c r="C36" s="66" t="n">
        <f aca="false">'Assumption Setting'!$C$170+(Acquisitions!C$72+Acquisitions!C$75)*'Assumption Setting'!$C$171</f>
        <v>273.662737613636</v>
      </c>
      <c r="D36" s="66" t="n">
        <f aca="false">'Assumption Setting'!$C$170+(Acquisitions!D$72+Acquisitions!D$75)*'Assumption Setting'!$C$171</f>
        <v>276.554617039773</v>
      </c>
      <c r="E36" s="66" t="n">
        <f aca="false">'Assumption Setting'!$C$170+(Acquisitions!E$72+Acquisitions!E$75)*'Assumption Setting'!$C$171</f>
        <v>279.925777494602</v>
      </c>
      <c r="F36" s="66" t="n">
        <f aca="false">'Assumption Setting'!$C$170+(Acquisitions!F$72+Acquisitions!F$75)*'Assumption Setting'!$C$171</f>
        <v>266.90377992669</v>
      </c>
      <c r="G36" s="66" t="n">
        <f aca="false">'Assumption Setting'!$C$170+(Acquisitions!G$72+Acquisitions!G$75)*'Assumption Setting'!$C$171</f>
        <v>267.452007237174</v>
      </c>
      <c r="H36" s="66" t="n">
        <f aca="false">'Assumption Setting'!$C$170+(Acquisitions!H$72+Acquisitions!H$75)*'Assumption Setting'!$C$171</f>
        <v>268.081498182134</v>
      </c>
      <c r="I36" s="66" t="n">
        <f aca="false">'Assumption Setting'!$C$170+(Acquisitions!I$72+Acquisitions!I$75)*'Assumption Setting'!$C$171</f>
        <v>267.878714579845</v>
      </c>
      <c r="J36" s="66" t="n">
        <f aca="false">'Assumption Setting'!$C$170+(Acquisitions!J$72+Acquisitions!J$75)*'Assumption Setting'!$C$171</f>
        <v>268.482945157671</v>
      </c>
      <c r="K36" s="66" t="n">
        <f aca="false">'Assumption Setting'!$C$170+(Acquisitions!K$72+Acquisitions!K$75)*'Assumption Setting'!$C$171</f>
        <v>269.185764206606</v>
      </c>
      <c r="L36" s="66" t="n">
        <f aca="false">'Assumption Setting'!$C$170+(Acquisitions!L$72+Acquisitions!L$75)*'Assumption Setting'!$C$171</f>
        <v>279.743042303094</v>
      </c>
      <c r="M36" s="66" t="n">
        <f aca="false">'Assumption Setting'!$C$170+(Acquisitions!M$72+Acquisitions!M$75)*'Assumption Setting'!$C$171</f>
        <v>282.938456494757</v>
      </c>
      <c r="N36" s="66" t="n">
        <f aca="false">'Assumption Setting'!$C$170+(Acquisitions!N$72+Acquisitions!N$75)*'Assumption Setting'!$C$171</f>
        <v>286.714699976837</v>
      </c>
      <c r="O36" s="65" t="n">
        <f aca="false">SUM(P36:AA36)</f>
        <v>9995.0883142187</v>
      </c>
      <c r="P36" s="66" t="n">
        <f aca="false">'Assumption Setting'!$D$170+(Acquisitions!P$72+Acquisitions!P$75)*'Assumption Setting'!$C$171</f>
        <v>786.761170489359</v>
      </c>
      <c r="Q36" s="66" t="n">
        <f aca="false">'Assumption Setting'!$D$170+(Acquisitions!Q$72+Acquisitions!Q$75)*'Assumption Setting'!$C$171</f>
        <v>791.800921358831</v>
      </c>
      <c r="R36" s="66" t="n">
        <f aca="false">'Assumption Setting'!$D$170+(Acquisitions!R$72+Acquisitions!R$75)*'Assumption Setting'!$C$171</f>
        <v>797.473784684828</v>
      </c>
      <c r="S36" s="66" t="n">
        <f aca="false">'Assumption Setting'!$D$170+(Acquisitions!S$72+Acquisitions!S$75)*'Assumption Setting'!$C$171</f>
        <v>798.397504844526</v>
      </c>
      <c r="T36" s="66" t="n">
        <f aca="false">'Assumption Setting'!$D$170+(Acquisitions!T$72+Acquisitions!T$75)*'Assumption Setting'!$C$171</f>
        <v>804.24903899624</v>
      </c>
      <c r="U36" s="66" t="n">
        <f aca="false">'Assumption Setting'!$D$170+(Acquisitions!U$72+Acquisitions!U$75)*'Assumption Setting'!$C$171</f>
        <v>810.960296440367</v>
      </c>
      <c r="V36" s="66" t="n">
        <f aca="false">'Assumption Setting'!$D$170+(Acquisitions!V$72+Acquisitions!V$75)*'Assumption Setting'!$C$171</f>
        <v>830.448091012288</v>
      </c>
      <c r="W36" s="66" t="n">
        <f aca="false">'Assumption Setting'!$D$170+(Acquisitions!W$72+Acquisitions!W$75)*'Assumption Setting'!$C$171</f>
        <v>842.013495855613</v>
      </c>
      <c r="X36" s="66" t="n">
        <f aca="false">'Assumption Setting'!$D$170+(Acquisitions!X$72+Acquisitions!X$75)*'Assumption Setting'!$C$171</f>
        <v>855.555730456772</v>
      </c>
      <c r="Y36" s="66" t="n">
        <f aca="false">'Assumption Setting'!$D$170+(Acquisitions!Y$72+Acquisitions!Y$75)*'Assumption Setting'!$C$171</f>
        <v>872.850153327873</v>
      </c>
      <c r="Z36" s="66" t="n">
        <f aca="false">'Assumption Setting'!$D$170+(Acquisitions!Z$72+Acquisitions!Z$75)*'Assumption Setting'!$C$171</f>
        <v>891.353855055418</v>
      </c>
      <c r="AA36" s="66" t="n">
        <f aca="false">'Assumption Setting'!$D$170+(Acquisitions!AA$72+Acquisitions!AA$75)*'Assumption Setting'!$C$171</f>
        <v>913.224271696587</v>
      </c>
      <c r="AB36" s="65" t="n">
        <f aca="false">SUM(AC36:AN36)</f>
        <v>27137.464614489</v>
      </c>
      <c r="AC36" s="66" t="n">
        <f aca="false">'Assumption Setting'!$E$170+(Acquisitions!AC$72+Acquisitions!AC$75)*'Assumption Setting'!$C$171</f>
        <v>2107.93282605115</v>
      </c>
      <c r="AD36" s="66" t="n">
        <f aca="false">'Assumption Setting'!$E$170+(Acquisitions!AD$72+Acquisitions!AD$75)*'Assumption Setting'!$C$171</f>
        <v>2136.3342865895</v>
      </c>
      <c r="AE36" s="66" t="n">
        <f aca="false">'Assumption Setting'!$E$170+(Acquisitions!AE$72+Acquisitions!AE$75)*'Assumption Setting'!$C$171</f>
        <v>2169.34472410094</v>
      </c>
      <c r="AF36" s="66" t="n">
        <f aca="false">'Assumption Setting'!$E$170+(Acquisitions!AF$72+Acquisitions!AF$75)*'Assumption Setting'!$C$171</f>
        <v>2175.4995397368</v>
      </c>
      <c r="AG36" s="66" t="n">
        <f aca="false">'Assumption Setting'!$E$170+(Acquisitions!AG$72+Acquisitions!AG$75)*'Assumption Setting'!$C$171</f>
        <v>2211.30286459087</v>
      </c>
      <c r="AH36" s="66" t="n">
        <f aca="false">'Assumption Setting'!$E$170+(Acquisitions!AH$72+Acquisitions!AH$75)*'Assumption Setting'!$C$171</f>
        <v>2253.40809820223</v>
      </c>
      <c r="AI36" s="66" t="n">
        <f aca="false">'Assumption Setting'!$E$170+(Acquisitions!AI$72+Acquisitions!AI$75)*'Assumption Setting'!$C$171</f>
        <v>2256.61322013303</v>
      </c>
      <c r="AJ36" s="66" t="n">
        <f aca="false">'Assumption Setting'!$E$170+(Acquisitions!AJ$72+Acquisitions!AJ$75)*'Assumption Setting'!$C$171</f>
        <v>2301.94346096729</v>
      </c>
      <c r="AK36" s="66" t="n">
        <f aca="false">'Assumption Setting'!$E$170+(Acquisitions!AK$72+Acquisitions!AK$75)*'Assumption Setting'!$C$171</f>
        <v>2355.69858975983</v>
      </c>
      <c r="AL36" s="66" t="n">
        <f aca="false">'Assumption Setting'!$E$170+(Acquisitions!AL$72+Acquisitions!AL$75)*'Assumption Setting'!$C$171</f>
        <v>2334.18276211275</v>
      </c>
      <c r="AM36" s="66" t="n">
        <f aca="false">'Assumption Setting'!$E$170+(Acquisitions!AM$72+Acquisitions!AM$75)*'Assumption Setting'!$C$171</f>
        <v>2386.41472584802</v>
      </c>
      <c r="AN36" s="66" t="n">
        <f aca="false">'Assumption Setting'!$E$170+(Acquisitions!AN$72+Acquisitions!AN$75)*'Assumption Setting'!$C$171</f>
        <v>2448.78951639653</v>
      </c>
      <c r="AO36" s="65" t="n">
        <f aca="false">SUM(AP36:BA36)</f>
        <v>50949.6860097616</v>
      </c>
      <c r="AP36" s="66" t="n">
        <f aca="false">'Assumption Setting'!$F$170+(Acquisitions!AP$72+Acquisitions!AP$75)*'Assumption Setting'!$C$171</f>
        <v>3949.57864568024</v>
      </c>
      <c r="AQ36" s="66" t="n">
        <f aca="false">'Assumption Setting'!$F$170+(Acquisitions!AQ$72+Acquisitions!AQ$75)*'Assumption Setting'!$C$171</f>
        <v>4022.17325593663</v>
      </c>
      <c r="AR36" s="66" t="n">
        <f aca="false">'Assumption Setting'!$F$170+(Acquisitions!AR$72+Acquisitions!AR$75)*'Assumption Setting'!$C$171</f>
        <v>4108.0691406802</v>
      </c>
      <c r="AS36" s="66" t="n">
        <f aca="false">'Assumption Setting'!$F$170+(Acquisitions!AS$72+Acquisitions!AS$75)*'Assumption Setting'!$C$171</f>
        <v>4084.6395011866</v>
      </c>
      <c r="AT36" s="66" t="n">
        <f aca="false">'Assumption Setting'!$F$170+(Acquisitions!AT$72+Acquisitions!AT$75)*'Assumption Setting'!$C$171</f>
        <v>4169.78686866767</v>
      </c>
      <c r="AU36" s="66" t="n">
        <f aca="false">'Assumption Setting'!$F$170+(Acquisitions!AU$72+Acquisitions!AU$75)*'Assumption Setting'!$C$171</f>
        <v>4271.29722277469</v>
      </c>
      <c r="AV36" s="66" t="n">
        <f aca="false">'Assumption Setting'!$F$170+(Acquisitions!AV$72+Acquisitions!AV$75)*'Assumption Setting'!$C$171</f>
        <v>4212.33142917636</v>
      </c>
      <c r="AW36" s="66" t="n">
        <f aca="false">'Assumption Setting'!$F$170+(Acquisitions!AW$72+Acquisitions!AW$75)*'Assumption Setting'!$C$171</f>
        <v>4306.21320025795</v>
      </c>
      <c r="AX36" s="66" t="n">
        <f aca="false">'Assumption Setting'!$F$170+(Acquisitions!AX$72+Acquisitions!AX$75)*'Assumption Setting'!$C$171</f>
        <v>4418.91048778545</v>
      </c>
      <c r="AY36" s="66" t="n">
        <f aca="false">'Assumption Setting'!$F$170+(Acquisitions!AY$72+Acquisitions!AY$75)*'Assumption Setting'!$C$171</f>
        <v>4355.57058093659</v>
      </c>
      <c r="AZ36" s="66" t="n">
        <f aca="false">'Assumption Setting'!$F$170+(Acquisitions!AZ$72+Acquisitions!AZ$75)*'Assumption Setting'!$C$171</f>
        <v>4461.59619443016</v>
      </c>
      <c r="BA36" s="66" t="n">
        <f aca="false">'Assumption Setting'!$F$170+(Acquisitions!BA$72+Acquisitions!BA$75)*'Assumption Setting'!$C$171</f>
        <v>4589.51948224906</v>
      </c>
      <c r="BB36" s="65" t="n">
        <f aca="false">SUM(BC36:BN36)</f>
        <v>75727.530408085</v>
      </c>
      <c r="BC36" s="66" t="n">
        <f aca="false">'Assumption Setting'!$G$170+(Acquisitions!BC$72+Acquisitions!BC$75)*'Assumption Setting'!$C$171</f>
        <v>5913.65997177297</v>
      </c>
      <c r="BD36" s="66" t="n">
        <f aca="false">'Assumption Setting'!$G$170+(Acquisitions!BD$72+Acquisitions!BD$75)*'Assumption Setting'!$C$171</f>
        <v>6037.37029662182</v>
      </c>
      <c r="BE36" s="66" t="n">
        <f aca="false">'Assumption Setting'!$G$170+(Acquisitions!BE$72+Acquisitions!BE$75)*'Assumption Setting'!$C$171</f>
        <v>6185.76230522823</v>
      </c>
      <c r="BF36" s="66" t="n">
        <f aca="false">'Assumption Setting'!$G$170+(Acquisitions!BF$72+Acquisitions!BF$75)*'Assumption Setting'!$C$171</f>
        <v>6077.82486340432</v>
      </c>
      <c r="BG36" s="66" t="n">
        <f aca="false">'Assumption Setting'!$G$170+(Acquisitions!BG$72+Acquisitions!BG$75)*'Assumption Setting'!$C$171</f>
        <v>6209.5126061716</v>
      </c>
      <c r="BH36" s="66" t="n">
        <f aca="false">'Assumption Setting'!$G$170+(Acquisitions!BH$72+Acquisitions!BH$75)*'Assumption Setting'!$C$171</f>
        <v>6368.57261180052</v>
      </c>
      <c r="BI36" s="66" t="n">
        <f aca="false">'Assumption Setting'!$G$170+(Acquisitions!BI$72+Acquisitions!BI$75)*'Assumption Setting'!$C$171</f>
        <v>6250.15222964799</v>
      </c>
      <c r="BJ36" s="66" t="n">
        <f aca="false">'Assumption Setting'!$G$170+(Acquisitions!BJ$72+Acquisitions!BJ$75)*'Assumption Setting'!$C$171</f>
        <v>6392.3651166031</v>
      </c>
      <c r="BK36" s="66" t="n">
        <f aca="false">'Assumption Setting'!$G$170+(Acquisitions!BK$72+Acquisitions!BK$75)*'Assumption Setting'!$C$171</f>
        <v>6565.07765921044</v>
      </c>
      <c r="BL36" s="66" t="n">
        <f aca="false">'Assumption Setting'!$G$170+(Acquisitions!BL$72+Acquisitions!BL$75)*'Assumption Setting'!$C$171</f>
        <v>6414.49949968742</v>
      </c>
      <c r="BM36" s="66" t="n">
        <f aca="false">'Assumption Setting'!$G$170+(Acquisitions!BM$72+Acquisitions!BM$75)*'Assumption Setting'!$C$171</f>
        <v>6564.68068564055</v>
      </c>
      <c r="BN36" s="66" t="n">
        <f aca="false">'Assumption Setting'!$G$170+(Acquisitions!BN$72+Acquisitions!BN$75)*'Assumption Setting'!$C$171</f>
        <v>6748.05256229602</v>
      </c>
    </row>
    <row r="37" customFormat="false" ht="15" hidden="false" customHeight="false" outlineLevel="0" collapsed="false">
      <c r="A37" s="12" t="s">
        <v>829</v>
      </c>
      <c r="B37" s="65" t="n">
        <f aca="false">SUM(C37:N37)</f>
        <v>4320</v>
      </c>
      <c r="C37" s="66" t="n">
        <f aca="false">Payroll!C$73*'Assumption Setting'!$C$172</f>
        <v>360</v>
      </c>
      <c r="D37" s="66" t="n">
        <f aca="false">Payroll!D$73*'Assumption Setting'!$C$172</f>
        <v>360</v>
      </c>
      <c r="E37" s="66" t="n">
        <f aca="false">Payroll!E$73*'Assumption Setting'!$C$172</f>
        <v>360</v>
      </c>
      <c r="F37" s="66" t="n">
        <f aca="false">Payroll!F$73*'Assumption Setting'!$C$172</f>
        <v>360</v>
      </c>
      <c r="G37" s="66" t="n">
        <f aca="false">Payroll!G$73*'Assumption Setting'!$C$172</f>
        <v>360</v>
      </c>
      <c r="H37" s="66" t="n">
        <f aca="false">Payroll!H$73*'Assumption Setting'!$C$172</f>
        <v>360</v>
      </c>
      <c r="I37" s="66" t="n">
        <f aca="false">Payroll!I$73*'Assumption Setting'!$C$172</f>
        <v>360</v>
      </c>
      <c r="J37" s="66" t="n">
        <f aca="false">Payroll!J$73*'Assumption Setting'!$C$172</f>
        <v>360</v>
      </c>
      <c r="K37" s="66" t="n">
        <f aca="false">Payroll!K$73*'Assumption Setting'!$C$172</f>
        <v>360</v>
      </c>
      <c r="L37" s="66" t="n">
        <f aca="false">Payroll!L$73*'Assumption Setting'!$C$172</f>
        <v>360</v>
      </c>
      <c r="M37" s="66" t="n">
        <f aca="false">Payroll!M$73*'Assumption Setting'!$C$172</f>
        <v>360</v>
      </c>
      <c r="N37" s="66" t="n">
        <f aca="false">Payroll!N$73*'Assumption Setting'!$C$172</f>
        <v>360</v>
      </c>
      <c r="O37" s="65" t="n">
        <f aca="false">SUM(P37:AA37)</f>
        <v>10920</v>
      </c>
      <c r="P37" s="66" t="n">
        <f aca="false">Payroll!P$73*'Assumption Setting'!$D$172</f>
        <v>910</v>
      </c>
      <c r="Q37" s="66" t="n">
        <f aca="false">Payroll!Q$73*'Assumption Setting'!$D$172</f>
        <v>910</v>
      </c>
      <c r="R37" s="66" t="n">
        <f aca="false">Payroll!R$73*'Assumption Setting'!$D$172</f>
        <v>910</v>
      </c>
      <c r="S37" s="66" t="n">
        <f aca="false">Payroll!S$73*'Assumption Setting'!$D$172</f>
        <v>910</v>
      </c>
      <c r="T37" s="66" t="n">
        <f aca="false">Payroll!T$73*'Assumption Setting'!$D$172</f>
        <v>910</v>
      </c>
      <c r="U37" s="66" t="n">
        <f aca="false">Payroll!U$73*'Assumption Setting'!$D$172</f>
        <v>910</v>
      </c>
      <c r="V37" s="66" t="n">
        <f aca="false">Payroll!V$73*'Assumption Setting'!$D$172</f>
        <v>910</v>
      </c>
      <c r="W37" s="66" t="n">
        <f aca="false">Payroll!W$73*'Assumption Setting'!$D$172</f>
        <v>910</v>
      </c>
      <c r="X37" s="66" t="n">
        <f aca="false">Payroll!X$73*'Assumption Setting'!$D$172</f>
        <v>910</v>
      </c>
      <c r="Y37" s="66" t="n">
        <f aca="false">Payroll!Y$73*'Assumption Setting'!$D$172</f>
        <v>910</v>
      </c>
      <c r="Z37" s="66" t="n">
        <f aca="false">Payroll!Z$73*'Assumption Setting'!$D$172</f>
        <v>910</v>
      </c>
      <c r="AA37" s="66" t="n">
        <f aca="false">Payroll!AA$73*'Assumption Setting'!$D$172</f>
        <v>910</v>
      </c>
      <c r="AB37" s="65" t="n">
        <f aca="false">SUM(AC37:AN37)</f>
        <v>21600</v>
      </c>
      <c r="AC37" s="66" t="n">
        <f aca="false">Payroll!AC$73*'Assumption Setting'!$E$172</f>
        <v>1800</v>
      </c>
      <c r="AD37" s="66" t="n">
        <f aca="false">Payroll!AD$73*'Assumption Setting'!$E$172</f>
        <v>1800</v>
      </c>
      <c r="AE37" s="66" t="n">
        <f aca="false">Payroll!AE$73*'Assumption Setting'!$E$172</f>
        <v>1800</v>
      </c>
      <c r="AF37" s="66" t="n">
        <f aca="false">Payroll!AF$73*'Assumption Setting'!$E$172</f>
        <v>1800</v>
      </c>
      <c r="AG37" s="66" t="n">
        <f aca="false">Payroll!AG$73*'Assumption Setting'!$E$172</f>
        <v>1800</v>
      </c>
      <c r="AH37" s="66" t="n">
        <f aca="false">Payroll!AH$73*'Assumption Setting'!$E$172</f>
        <v>1800</v>
      </c>
      <c r="AI37" s="66" t="n">
        <f aca="false">Payroll!AI$73*'Assumption Setting'!$E$172</f>
        <v>1800</v>
      </c>
      <c r="AJ37" s="66" t="n">
        <f aca="false">Payroll!AJ$73*'Assumption Setting'!$E$172</f>
        <v>1800</v>
      </c>
      <c r="AK37" s="66" t="n">
        <f aca="false">Payroll!AK$73*'Assumption Setting'!$E$172</f>
        <v>1800</v>
      </c>
      <c r="AL37" s="66" t="n">
        <f aca="false">Payroll!AL$73*'Assumption Setting'!$E$172</f>
        <v>1800</v>
      </c>
      <c r="AM37" s="66" t="n">
        <f aca="false">Payroll!AM$73*'Assumption Setting'!$E$172</f>
        <v>1800</v>
      </c>
      <c r="AN37" s="66" t="n">
        <f aca="false">Payroll!AN$73*'Assumption Setting'!$E$172</f>
        <v>1800</v>
      </c>
      <c r="AO37" s="65" t="n">
        <f aca="false">SUM(AP37:BA37)</f>
        <v>31680</v>
      </c>
      <c r="AP37" s="66" t="n">
        <f aca="false">Payroll!AP$73*'Assumption Setting'!$F$172</f>
        <v>2640</v>
      </c>
      <c r="AQ37" s="66" t="n">
        <f aca="false">Payroll!AQ$73*'Assumption Setting'!$F$172</f>
        <v>2640</v>
      </c>
      <c r="AR37" s="66" t="n">
        <f aca="false">Payroll!AR$73*'Assumption Setting'!$F$172</f>
        <v>2640</v>
      </c>
      <c r="AS37" s="66" t="n">
        <f aca="false">Payroll!AS$73*'Assumption Setting'!$F$172</f>
        <v>2640</v>
      </c>
      <c r="AT37" s="66" t="n">
        <f aca="false">Payroll!AT$73*'Assumption Setting'!$F$172</f>
        <v>2640</v>
      </c>
      <c r="AU37" s="66" t="n">
        <f aca="false">Payroll!AU$73*'Assumption Setting'!$F$172</f>
        <v>2640</v>
      </c>
      <c r="AV37" s="66" t="n">
        <f aca="false">Payroll!AV$73*'Assumption Setting'!$F$172</f>
        <v>2640</v>
      </c>
      <c r="AW37" s="66" t="n">
        <f aca="false">Payroll!AW$73*'Assumption Setting'!$F$172</f>
        <v>2640</v>
      </c>
      <c r="AX37" s="66" t="n">
        <f aca="false">Payroll!AX$73*'Assumption Setting'!$F$172</f>
        <v>2640</v>
      </c>
      <c r="AY37" s="66" t="n">
        <f aca="false">Payroll!AY$73*'Assumption Setting'!$F$172</f>
        <v>2640</v>
      </c>
      <c r="AZ37" s="66" t="n">
        <f aca="false">Payroll!AZ$73*'Assumption Setting'!$F$172</f>
        <v>2640</v>
      </c>
      <c r="BA37" s="66" t="n">
        <f aca="false">Payroll!BA$73*'Assumption Setting'!$F$172</f>
        <v>2640</v>
      </c>
      <c r="BB37" s="65" t="n">
        <f aca="false">SUM(BC37:BN37)</f>
        <v>42000</v>
      </c>
      <c r="BC37" s="66" t="n">
        <f aca="false">Payroll!BC$73*'Assumption Setting'!$G$172</f>
        <v>3500</v>
      </c>
      <c r="BD37" s="66" t="n">
        <f aca="false">Payroll!BD$73*'Assumption Setting'!$G$172</f>
        <v>3500</v>
      </c>
      <c r="BE37" s="66" t="n">
        <f aca="false">Payroll!BE$73*'Assumption Setting'!$G$172</f>
        <v>3500</v>
      </c>
      <c r="BF37" s="66" t="n">
        <f aca="false">Payroll!BF$73*'Assumption Setting'!$G$172</f>
        <v>3500</v>
      </c>
      <c r="BG37" s="66" t="n">
        <f aca="false">Payroll!BG$73*'Assumption Setting'!$G$172</f>
        <v>3500</v>
      </c>
      <c r="BH37" s="66" t="n">
        <f aca="false">Payroll!BH$73*'Assumption Setting'!$G$172</f>
        <v>3500</v>
      </c>
      <c r="BI37" s="66" t="n">
        <f aca="false">Payroll!BI$73*'Assumption Setting'!$G$172</f>
        <v>3500</v>
      </c>
      <c r="BJ37" s="66" t="n">
        <f aca="false">Payroll!BJ$73*'Assumption Setting'!$G$172</f>
        <v>3500</v>
      </c>
      <c r="BK37" s="66" t="n">
        <f aca="false">Payroll!BK$73*'Assumption Setting'!$G$172</f>
        <v>3500</v>
      </c>
      <c r="BL37" s="66" t="n">
        <f aca="false">Payroll!BL$73*'Assumption Setting'!$G$172</f>
        <v>3500</v>
      </c>
      <c r="BM37" s="66" t="n">
        <f aca="false">Payroll!BM$73*'Assumption Setting'!$G$172</f>
        <v>3500</v>
      </c>
      <c r="BN37" s="66" t="n">
        <f aca="false">Payroll!BN$73*'Assumption Setting'!$G$172</f>
        <v>3500</v>
      </c>
    </row>
    <row r="38" customFormat="false" ht="15" hidden="false" customHeight="false" outlineLevel="0" collapsed="false">
      <c r="A38" s="12" t="s">
        <v>830</v>
      </c>
      <c r="B38" s="65" t="n">
        <f aca="false">SUM(C38:N38)</f>
        <v>4080</v>
      </c>
      <c r="C38" s="66" t="n">
        <f aca="false">Payroll!C$73*'Assumption Setting'!$C$173</f>
        <v>340</v>
      </c>
      <c r="D38" s="66" t="n">
        <f aca="false">Payroll!D$73*'Assumption Setting'!$C$173</f>
        <v>340</v>
      </c>
      <c r="E38" s="66" t="n">
        <f aca="false">Payroll!E$73*'Assumption Setting'!$C$173</f>
        <v>340</v>
      </c>
      <c r="F38" s="66" t="n">
        <f aca="false">Payroll!F$73*'Assumption Setting'!$C$173</f>
        <v>340</v>
      </c>
      <c r="G38" s="66" t="n">
        <f aca="false">Payroll!G$73*'Assumption Setting'!$C$173</f>
        <v>340</v>
      </c>
      <c r="H38" s="66" t="n">
        <f aca="false">Payroll!H$73*'Assumption Setting'!$C$173</f>
        <v>340</v>
      </c>
      <c r="I38" s="66" t="n">
        <f aca="false">Payroll!I$73*'Assumption Setting'!$C$173</f>
        <v>340</v>
      </c>
      <c r="J38" s="66" t="n">
        <f aca="false">Payroll!J$73*'Assumption Setting'!$C$173</f>
        <v>340</v>
      </c>
      <c r="K38" s="66" t="n">
        <f aca="false">Payroll!K$73*'Assumption Setting'!$C$173</f>
        <v>340</v>
      </c>
      <c r="L38" s="66" t="n">
        <f aca="false">Payroll!L$73*'Assumption Setting'!$C$173</f>
        <v>340</v>
      </c>
      <c r="M38" s="66" t="n">
        <f aca="false">Payroll!M$73*'Assumption Setting'!$C$173</f>
        <v>340</v>
      </c>
      <c r="N38" s="66" t="n">
        <f aca="false">Payroll!N$73*'Assumption Setting'!$C$173</f>
        <v>340</v>
      </c>
      <c r="O38" s="65" t="n">
        <f aca="false">SUM(P38:AA38)</f>
        <v>12600</v>
      </c>
      <c r="P38" s="66" t="n">
        <f aca="false">Payroll!P$73*'Assumption Setting'!$D$173</f>
        <v>1050</v>
      </c>
      <c r="Q38" s="66" t="n">
        <f aca="false">Payroll!Q$73*'Assumption Setting'!$D$173</f>
        <v>1050</v>
      </c>
      <c r="R38" s="66" t="n">
        <f aca="false">Payroll!R$73*'Assumption Setting'!$D$173</f>
        <v>1050</v>
      </c>
      <c r="S38" s="66" t="n">
        <f aca="false">Payroll!S$73*'Assumption Setting'!$D$173</f>
        <v>1050</v>
      </c>
      <c r="T38" s="66" t="n">
        <f aca="false">Payroll!T$73*'Assumption Setting'!$D$173</f>
        <v>1050</v>
      </c>
      <c r="U38" s="66" t="n">
        <f aca="false">Payroll!U$73*'Assumption Setting'!$D$173</f>
        <v>1050</v>
      </c>
      <c r="V38" s="66" t="n">
        <f aca="false">Payroll!V$73*'Assumption Setting'!$D$173</f>
        <v>1050</v>
      </c>
      <c r="W38" s="66" t="n">
        <f aca="false">Payroll!W$73*'Assumption Setting'!$D$173</f>
        <v>1050</v>
      </c>
      <c r="X38" s="66" t="n">
        <f aca="false">Payroll!X$73*'Assumption Setting'!$D$173</f>
        <v>1050</v>
      </c>
      <c r="Y38" s="66" t="n">
        <f aca="false">Payroll!Y$73*'Assumption Setting'!$D$173</f>
        <v>1050</v>
      </c>
      <c r="Z38" s="66" t="n">
        <f aca="false">Payroll!Z$73*'Assumption Setting'!$D$173</f>
        <v>1050</v>
      </c>
      <c r="AA38" s="66" t="n">
        <f aca="false">Payroll!AA$73*'Assumption Setting'!$D$173</f>
        <v>1050</v>
      </c>
      <c r="AB38" s="65" t="n">
        <f aca="false">SUM(AC38:AN38)</f>
        <v>31680</v>
      </c>
      <c r="AC38" s="66" t="n">
        <f aca="false">Payroll!AC$73*'Assumption Setting'!$E$173</f>
        <v>2640</v>
      </c>
      <c r="AD38" s="66" t="n">
        <f aca="false">Payroll!AD$73*'Assumption Setting'!$E$173</f>
        <v>2640</v>
      </c>
      <c r="AE38" s="66" t="n">
        <f aca="false">Payroll!AE$73*'Assumption Setting'!$E$173</f>
        <v>2640</v>
      </c>
      <c r="AF38" s="66" t="n">
        <f aca="false">Payroll!AF$73*'Assumption Setting'!$E$173</f>
        <v>2640</v>
      </c>
      <c r="AG38" s="66" t="n">
        <f aca="false">Payroll!AG$73*'Assumption Setting'!$E$173</f>
        <v>2640</v>
      </c>
      <c r="AH38" s="66" t="n">
        <f aca="false">Payroll!AH$73*'Assumption Setting'!$E$173</f>
        <v>2640</v>
      </c>
      <c r="AI38" s="66" t="n">
        <f aca="false">Payroll!AI$73*'Assumption Setting'!$E$173</f>
        <v>2640</v>
      </c>
      <c r="AJ38" s="66" t="n">
        <f aca="false">Payroll!AJ$73*'Assumption Setting'!$E$173</f>
        <v>2640</v>
      </c>
      <c r="AK38" s="66" t="n">
        <f aca="false">Payroll!AK$73*'Assumption Setting'!$E$173</f>
        <v>2640</v>
      </c>
      <c r="AL38" s="66" t="n">
        <f aca="false">Payroll!AL$73*'Assumption Setting'!$E$173</f>
        <v>2640</v>
      </c>
      <c r="AM38" s="66" t="n">
        <f aca="false">Payroll!AM$73*'Assumption Setting'!$E$173</f>
        <v>2640</v>
      </c>
      <c r="AN38" s="66" t="n">
        <f aca="false">Payroll!AN$73*'Assumption Setting'!$E$173</f>
        <v>2640</v>
      </c>
      <c r="AO38" s="65" t="n">
        <f aca="false">SUM(AP38:BA38)</f>
        <v>48000</v>
      </c>
      <c r="AP38" s="66" t="n">
        <f aca="false">Payroll!AP$73*'Assumption Setting'!$F$173</f>
        <v>4000</v>
      </c>
      <c r="AQ38" s="66" t="n">
        <f aca="false">Payroll!AQ$73*'Assumption Setting'!$F$173</f>
        <v>4000</v>
      </c>
      <c r="AR38" s="66" t="n">
        <f aca="false">Payroll!AR$73*'Assumption Setting'!$F$173</f>
        <v>4000</v>
      </c>
      <c r="AS38" s="66" t="n">
        <f aca="false">Payroll!AS$73*'Assumption Setting'!$F$173</f>
        <v>4000</v>
      </c>
      <c r="AT38" s="66" t="n">
        <f aca="false">Payroll!AT$73*'Assumption Setting'!$F$173</f>
        <v>4000</v>
      </c>
      <c r="AU38" s="66" t="n">
        <f aca="false">Payroll!AU$73*'Assumption Setting'!$F$173</f>
        <v>4000</v>
      </c>
      <c r="AV38" s="66" t="n">
        <f aca="false">Payroll!AV$73*'Assumption Setting'!$F$173</f>
        <v>4000</v>
      </c>
      <c r="AW38" s="66" t="n">
        <f aca="false">Payroll!AW$73*'Assumption Setting'!$F$173</f>
        <v>4000</v>
      </c>
      <c r="AX38" s="66" t="n">
        <f aca="false">Payroll!AX$73*'Assumption Setting'!$F$173</f>
        <v>4000</v>
      </c>
      <c r="AY38" s="66" t="n">
        <f aca="false">Payroll!AY$73*'Assumption Setting'!$F$173</f>
        <v>4000</v>
      </c>
      <c r="AZ38" s="66" t="n">
        <f aca="false">Payroll!AZ$73*'Assumption Setting'!$F$173</f>
        <v>4000</v>
      </c>
      <c r="BA38" s="66" t="n">
        <f aca="false">Payroll!BA$73*'Assumption Setting'!$F$173</f>
        <v>4000</v>
      </c>
      <c r="BB38" s="65" t="n">
        <f aca="false">SUM(BC38:BN38)</f>
        <v>64800</v>
      </c>
      <c r="BC38" s="66" t="n">
        <f aca="false">Payroll!BC$73*'Assumption Setting'!$G$173</f>
        <v>5400</v>
      </c>
      <c r="BD38" s="66" t="n">
        <f aca="false">Payroll!BD$73*'Assumption Setting'!$G$173</f>
        <v>5400</v>
      </c>
      <c r="BE38" s="66" t="n">
        <f aca="false">Payroll!BE$73*'Assumption Setting'!$G$173</f>
        <v>5400</v>
      </c>
      <c r="BF38" s="66" t="n">
        <f aca="false">Payroll!BF$73*'Assumption Setting'!$G$173</f>
        <v>5400</v>
      </c>
      <c r="BG38" s="66" t="n">
        <f aca="false">Payroll!BG$73*'Assumption Setting'!$G$173</f>
        <v>5400</v>
      </c>
      <c r="BH38" s="66" t="n">
        <f aca="false">Payroll!BH$73*'Assumption Setting'!$G$173</f>
        <v>5400</v>
      </c>
      <c r="BI38" s="66" t="n">
        <f aca="false">Payroll!BI$73*'Assumption Setting'!$G$173</f>
        <v>5400</v>
      </c>
      <c r="BJ38" s="66" t="n">
        <f aca="false">Payroll!BJ$73*'Assumption Setting'!$G$173</f>
        <v>5400</v>
      </c>
      <c r="BK38" s="66" t="n">
        <f aca="false">Payroll!BK$73*'Assumption Setting'!$G$173</f>
        <v>5400</v>
      </c>
      <c r="BL38" s="66" t="n">
        <f aca="false">Payroll!BL$73*'Assumption Setting'!$G$173</f>
        <v>5400</v>
      </c>
      <c r="BM38" s="66" t="n">
        <f aca="false">Payroll!BM$73*'Assumption Setting'!$G$173</f>
        <v>5400</v>
      </c>
      <c r="BN38" s="66" t="n">
        <f aca="false">Payroll!BN$73*'Assumption Setting'!$G$173</f>
        <v>5400</v>
      </c>
    </row>
    <row r="39" customFormat="false" ht="15" hidden="false" customHeight="false" outlineLevel="0" collapsed="false">
      <c r="A39" s="12" t="s">
        <v>831</v>
      </c>
      <c r="B39" s="65" t="n">
        <f aca="false">SUM(C39:N39)</f>
        <v>6240</v>
      </c>
      <c r="C39" s="66" t="n">
        <f aca="false">'Assumption Setting'!$C$174</f>
        <v>520</v>
      </c>
      <c r="D39" s="66" t="n">
        <f aca="false">'Assumption Setting'!$C$174</f>
        <v>520</v>
      </c>
      <c r="E39" s="66" t="n">
        <f aca="false">'Assumption Setting'!$C$174</f>
        <v>520</v>
      </c>
      <c r="F39" s="66" t="n">
        <f aca="false">'Assumption Setting'!$C$174</f>
        <v>520</v>
      </c>
      <c r="G39" s="66" t="n">
        <f aca="false">'Assumption Setting'!$C$174</f>
        <v>520</v>
      </c>
      <c r="H39" s="66" t="n">
        <f aca="false">'Assumption Setting'!$C$174</f>
        <v>520</v>
      </c>
      <c r="I39" s="66" t="n">
        <f aca="false">'Assumption Setting'!$C$174</f>
        <v>520</v>
      </c>
      <c r="J39" s="66" t="n">
        <f aca="false">'Assumption Setting'!$C$174</f>
        <v>520</v>
      </c>
      <c r="K39" s="66" t="n">
        <f aca="false">'Assumption Setting'!$C$174</f>
        <v>520</v>
      </c>
      <c r="L39" s="66" t="n">
        <f aca="false">'Assumption Setting'!$C$174</f>
        <v>520</v>
      </c>
      <c r="M39" s="66" t="n">
        <f aca="false">'Assumption Setting'!$C$174</f>
        <v>520</v>
      </c>
      <c r="N39" s="66" t="n">
        <f aca="false">'Assumption Setting'!$C$174</f>
        <v>520</v>
      </c>
      <c r="O39" s="65" t="n">
        <f aca="false">SUM(P39:AA39)</f>
        <v>16800</v>
      </c>
      <c r="P39" s="66" t="n">
        <f aca="false">'Assumption Setting'!$D$174</f>
        <v>1400</v>
      </c>
      <c r="Q39" s="66" t="n">
        <f aca="false">'Assumption Setting'!$D$174</f>
        <v>1400</v>
      </c>
      <c r="R39" s="66" t="n">
        <f aca="false">'Assumption Setting'!$D$174</f>
        <v>1400</v>
      </c>
      <c r="S39" s="66" t="n">
        <f aca="false">'Assumption Setting'!$D$174</f>
        <v>1400</v>
      </c>
      <c r="T39" s="66" t="n">
        <f aca="false">'Assumption Setting'!$D$174</f>
        <v>1400</v>
      </c>
      <c r="U39" s="66" t="n">
        <f aca="false">'Assumption Setting'!$D$174</f>
        <v>1400</v>
      </c>
      <c r="V39" s="66" t="n">
        <f aca="false">'Assumption Setting'!$D$174</f>
        <v>1400</v>
      </c>
      <c r="W39" s="66" t="n">
        <f aca="false">'Assumption Setting'!$D$174</f>
        <v>1400</v>
      </c>
      <c r="X39" s="66" t="n">
        <f aca="false">'Assumption Setting'!$D$174</f>
        <v>1400</v>
      </c>
      <c r="Y39" s="66" t="n">
        <f aca="false">'Assumption Setting'!$D$174</f>
        <v>1400</v>
      </c>
      <c r="Z39" s="66" t="n">
        <f aca="false">'Assumption Setting'!$D$174</f>
        <v>1400</v>
      </c>
      <c r="AA39" s="66" t="n">
        <f aca="false">'Assumption Setting'!$D$174</f>
        <v>1400</v>
      </c>
      <c r="AB39" s="65" t="n">
        <f aca="false">SUM(AC39:AN39)</f>
        <v>33600</v>
      </c>
      <c r="AC39" s="66" t="n">
        <f aca="false">'Assumption Setting'!$E$174</f>
        <v>2800</v>
      </c>
      <c r="AD39" s="66" t="n">
        <f aca="false">'Assumption Setting'!$E$174</f>
        <v>2800</v>
      </c>
      <c r="AE39" s="66" t="n">
        <f aca="false">'Assumption Setting'!$E$174</f>
        <v>2800</v>
      </c>
      <c r="AF39" s="66" t="n">
        <f aca="false">'Assumption Setting'!$E$174</f>
        <v>2800</v>
      </c>
      <c r="AG39" s="66" t="n">
        <f aca="false">'Assumption Setting'!$E$174</f>
        <v>2800</v>
      </c>
      <c r="AH39" s="66" t="n">
        <f aca="false">'Assumption Setting'!$E$174</f>
        <v>2800</v>
      </c>
      <c r="AI39" s="66" t="n">
        <f aca="false">'Assumption Setting'!$E$174</f>
        <v>2800</v>
      </c>
      <c r="AJ39" s="66" t="n">
        <f aca="false">'Assumption Setting'!$E$174</f>
        <v>2800</v>
      </c>
      <c r="AK39" s="66" t="n">
        <f aca="false">'Assumption Setting'!$E$174</f>
        <v>2800</v>
      </c>
      <c r="AL39" s="66" t="n">
        <f aca="false">'Assumption Setting'!$E$174</f>
        <v>2800</v>
      </c>
      <c r="AM39" s="66" t="n">
        <f aca="false">'Assumption Setting'!$E$174</f>
        <v>2800</v>
      </c>
      <c r="AN39" s="66" t="n">
        <f aca="false">'Assumption Setting'!$E$174</f>
        <v>2800</v>
      </c>
      <c r="AO39" s="65" t="n">
        <f aca="false">SUM(AP39:BA39)</f>
        <v>45600</v>
      </c>
      <c r="AP39" s="66" t="n">
        <f aca="false">'Assumption Setting'!$F$174</f>
        <v>3800</v>
      </c>
      <c r="AQ39" s="66" t="n">
        <f aca="false">'Assumption Setting'!$F$174</f>
        <v>3800</v>
      </c>
      <c r="AR39" s="66" t="n">
        <f aca="false">'Assumption Setting'!$F$174</f>
        <v>3800</v>
      </c>
      <c r="AS39" s="66" t="n">
        <f aca="false">'Assumption Setting'!$F$174</f>
        <v>3800</v>
      </c>
      <c r="AT39" s="66" t="n">
        <f aca="false">'Assumption Setting'!$F$174</f>
        <v>3800</v>
      </c>
      <c r="AU39" s="66" t="n">
        <f aca="false">'Assumption Setting'!$F$174</f>
        <v>3800</v>
      </c>
      <c r="AV39" s="66" t="n">
        <f aca="false">'Assumption Setting'!$F$174</f>
        <v>3800</v>
      </c>
      <c r="AW39" s="66" t="n">
        <f aca="false">'Assumption Setting'!$F$174</f>
        <v>3800</v>
      </c>
      <c r="AX39" s="66" t="n">
        <f aca="false">'Assumption Setting'!$F$174</f>
        <v>3800</v>
      </c>
      <c r="AY39" s="66" t="n">
        <f aca="false">'Assumption Setting'!$F$174</f>
        <v>3800</v>
      </c>
      <c r="AZ39" s="66" t="n">
        <f aca="false">'Assumption Setting'!$F$174</f>
        <v>3800</v>
      </c>
      <c r="BA39" s="66" t="n">
        <f aca="false">'Assumption Setting'!$F$174</f>
        <v>3800</v>
      </c>
      <c r="BB39" s="65" t="n">
        <f aca="false">SUM(BC39:BN39)</f>
        <v>55200</v>
      </c>
      <c r="BC39" s="66" t="n">
        <f aca="false">'Assumption Setting'!$G$174</f>
        <v>4600</v>
      </c>
      <c r="BD39" s="66" t="n">
        <f aca="false">'Assumption Setting'!$G$174</f>
        <v>4600</v>
      </c>
      <c r="BE39" s="66" t="n">
        <f aca="false">'Assumption Setting'!$G$174</f>
        <v>4600</v>
      </c>
      <c r="BF39" s="66" t="n">
        <f aca="false">'Assumption Setting'!$G$174</f>
        <v>4600</v>
      </c>
      <c r="BG39" s="66" t="n">
        <f aca="false">'Assumption Setting'!$G$174</f>
        <v>4600</v>
      </c>
      <c r="BH39" s="66" t="n">
        <f aca="false">'Assumption Setting'!$G$174</f>
        <v>4600</v>
      </c>
      <c r="BI39" s="66" t="n">
        <f aca="false">'Assumption Setting'!$G$174</f>
        <v>4600</v>
      </c>
      <c r="BJ39" s="66" t="n">
        <f aca="false">'Assumption Setting'!$G$174</f>
        <v>4600</v>
      </c>
      <c r="BK39" s="66" t="n">
        <f aca="false">'Assumption Setting'!$G$174</f>
        <v>4600</v>
      </c>
      <c r="BL39" s="66" t="n">
        <f aca="false">'Assumption Setting'!$G$174</f>
        <v>4600</v>
      </c>
      <c r="BM39" s="66" t="n">
        <f aca="false">'Assumption Setting'!$G$174</f>
        <v>4600</v>
      </c>
      <c r="BN39" s="66" t="n">
        <f aca="false">'Assumption Setting'!$G$174</f>
        <v>4600</v>
      </c>
    </row>
    <row r="40" customFormat="false" ht="15" hidden="false" customHeight="false" outlineLevel="0" collapsed="false">
      <c r="A40" s="12" t="s">
        <v>832</v>
      </c>
      <c r="B40" s="65" t="n">
        <f aca="false">SUM(C40:N40)</f>
        <v>600</v>
      </c>
      <c r="C40" s="66" t="n">
        <f aca="false">'Assumption Setting'!$C$175</f>
        <v>50</v>
      </c>
      <c r="D40" s="66" t="n">
        <f aca="false">'Assumption Setting'!$C$175</f>
        <v>50</v>
      </c>
      <c r="E40" s="66" t="n">
        <f aca="false">'Assumption Setting'!$C$175</f>
        <v>50</v>
      </c>
      <c r="F40" s="66" t="n">
        <f aca="false">'Assumption Setting'!$C$175</f>
        <v>50</v>
      </c>
      <c r="G40" s="66" t="n">
        <f aca="false">'Assumption Setting'!$C$175</f>
        <v>50</v>
      </c>
      <c r="H40" s="66" t="n">
        <f aca="false">'Assumption Setting'!$C$175</f>
        <v>50</v>
      </c>
      <c r="I40" s="66" t="n">
        <f aca="false">'Assumption Setting'!$C$175</f>
        <v>50</v>
      </c>
      <c r="J40" s="66" t="n">
        <f aca="false">'Assumption Setting'!$C$175</f>
        <v>50</v>
      </c>
      <c r="K40" s="66" t="n">
        <f aca="false">'Assumption Setting'!$C$175</f>
        <v>50</v>
      </c>
      <c r="L40" s="66" t="n">
        <f aca="false">'Assumption Setting'!$C$175</f>
        <v>50</v>
      </c>
      <c r="M40" s="66" t="n">
        <f aca="false">'Assumption Setting'!$C$175</f>
        <v>50</v>
      </c>
      <c r="N40" s="66" t="n">
        <f aca="false">'Assumption Setting'!$C$175</f>
        <v>50</v>
      </c>
      <c r="O40" s="65" t="n">
        <f aca="false">SUM(P40:AA40)</f>
        <v>3000</v>
      </c>
      <c r="P40" s="66" t="n">
        <f aca="false">'Assumption Setting'!$D$175</f>
        <v>250</v>
      </c>
      <c r="Q40" s="66" t="n">
        <f aca="false">'Assumption Setting'!$D$175</f>
        <v>250</v>
      </c>
      <c r="R40" s="66" t="n">
        <f aca="false">'Assumption Setting'!$D$175</f>
        <v>250</v>
      </c>
      <c r="S40" s="66" t="n">
        <f aca="false">'Assumption Setting'!$D$175</f>
        <v>250</v>
      </c>
      <c r="T40" s="66" t="n">
        <f aca="false">'Assumption Setting'!$D$175</f>
        <v>250</v>
      </c>
      <c r="U40" s="66" t="n">
        <f aca="false">'Assumption Setting'!$D$175</f>
        <v>250</v>
      </c>
      <c r="V40" s="66" t="n">
        <f aca="false">'Assumption Setting'!$D$175</f>
        <v>250</v>
      </c>
      <c r="W40" s="66" t="n">
        <f aca="false">'Assumption Setting'!$D$175</f>
        <v>250</v>
      </c>
      <c r="X40" s="66" t="n">
        <f aca="false">'Assumption Setting'!$D$175</f>
        <v>250</v>
      </c>
      <c r="Y40" s="66" t="n">
        <f aca="false">'Assumption Setting'!$D$175</f>
        <v>250</v>
      </c>
      <c r="Z40" s="66" t="n">
        <f aca="false">'Assumption Setting'!$D$175</f>
        <v>250</v>
      </c>
      <c r="AA40" s="66" t="n">
        <f aca="false">'Assumption Setting'!$D$175</f>
        <v>250</v>
      </c>
      <c r="AB40" s="65" t="n">
        <f aca="false">SUM(AC40:AN40)</f>
        <v>8400</v>
      </c>
      <c r="AC40" s="66" t="n">
        <f aca="false">'Assumption Setting'!$E$175</f>
        <v>700</v>
      </c>
      <c r="AD40" s="66" t="n">
        <f aca="false">'Assumption Setting'!$E$175</f>
        <v>700</v>
      </c>
      <c r="AE40" s="66" t="n">
        <f aca="false">'Assumption Setting'!$E$175</f>
        <v>700</v>
      </c>
      <c r="AF40" s="66" t="n">
        <f aca="false">'Assumption Setting'!$E$175</f>
        <v>700</v>
      </c>
      <c r="AG40" s="66" t="n">
        <f aca="false">'Assumption Setting'!$E$175</f>
        <v>700</v>
      </c>
      <c r="AH40" s="66" t="n">
        <f aca="false">'Assumption Setting'!$E$175</f>
        <v>700</v>
      </c>
      <c r="AI40" s="66" t="n">
        <f aca="false">'Assumption Setting'!$E$175</f>
        <v>700</v>
      </c>
      <c r="AJ40" s="66" t="n">
        <f aca="false">'Assumption Setting'!$E$175</f>
        <v>700</v>
      </c>
      <c r="AK40" s="66" t="n">
        <f aca="false">'Assumption Setting'!$E$175</f>
        <v>700</v>
      </c>
      <c r="AL40" s="66" t="n">
        <f aca="false">'Assumption Setting'!$E$175</f>
        <v>700</v>
      </c>
      <c r="AM40" s="66" t="n">
        <f aca="false">'Assumption Setting'!$E$175</f>
        <v>700</v>
      </c>
      <c r="AN40" s="66" t="n">
        <f aca="false">'Assumption Setting'!$E$175</f>
        <v>700</v>
      </c>
      <c r="AO40" s="65" t="n">
        <f aca="false">SUM(AP40:BA40)</f>
        <v>13200</v>
      </c>
      <c r="AP40" s="66" t="n">
        <f aca="false">'Assumption Setting'!$F$175</f>
        <v>1100</v>
      </c>
      <c r="AQ40" s="66" t="n">
        <f aca="false">'Assumption Setting'!$F$175</f>
        <v>1100</v>
      </c>
      <c r="AR40" s="66" t="n">
        <f aca="false">'Assumption Setting'!$F$175</f>
        <v>1100</v>
      </c>
      <c r="AS40" s="66" t="n">
        <f aca="false">'Assumption Setting'!$F$175</f>
        <v>1100</v>
      </c>
      <c r="AT40" s="66" t="n">
        <f aca="false">'Assumption Setting'!$F$175</f>
        <v>1100</v>
      </c>
      <c r="AU40" s="66" t="n">
        <f aca="false">'Assumption Setting'!$F$175</f>
        <v>1100</v>
      </c>
      <c r="AV40" s="66" t="n">
        <f aca="false">'Assumption Setting'!$F$175</f>
        <v>1100</v>
      </c>
      <c r="AW40" s="66" t="n">
        <f aca="false">'Assumption Setting'!$F$175</f>
        <v>1100</v>
      </c>
      <c r="AX40" s="66" t="n">
        <f aca="false">'Assumption Setting'!$F$175</f>
        <v>1100</v>
      </c>
      <c r="AY40" s="66" t="n">
        <f aca="false">'Assumption Setting'!$F$175</f>
        <v>1100</v>
      </c>
      <c r="AZ40" s="66" t="n">
        <f aca="false">'Assumption Setting'!$F$175</f>
        <v>1100</v>
      </c>
      <c r="BA40" s="66" t="n">
        <f aca="false">'Assumption Setting'!$F$175</f>
        <v>1100</v>
      </c>
      <c r="BB40" s="65" t="n">
        <f aca="false">SUM(BC40:BN40)</f>
        <v>16800</v>
      </c>
      <c r="BC40" s="66" t="n">
        <f aca="false">'Assumption Setting'!$G$175</f>
        <v>1400</v>
      </c>
      <c r="BD40" s="66" t="n">
        <f aca="false">'Assumption Setting'!$G$175</f>
        <v>1400</v>
      </c>
      <c r="BE40" s="66" t="n">
        <f aca="false">'Assumption Setting'!$G$175</f>
        <v>1400</v>
      </c>
      <c r="BF40" s="66" t="n">
        <f aca="false">'Assumption Setting'!$G$175</f>
        <v>1400</v>
      </c>
      <c r="BG40" s="66" t="n">
        <f aca="false">'Assumption Setting'!$G$175</f>
        <v>1400</v>
      </c>
      <c r="BH40" s="66" t="n">
        <f aca="false">'Assumption Setting'!$G$175</f>
        <v>1400</v>
      </c>
      <c r="BI40" s="66" t="n">
        <f aca="false">'Assumption Setting'!$G$175</f>
        <v>1400</v>
      </c>
      <c r="BJ40" s="66" t="n">
        <f aca="false">'Assumption Setting'!$G$175</f>
        <v>1400</v>
      </c>
      <c r="BK40" s="66" t="n">
        <f aca="false">'Assumption Setting'!$G$175</f>
        <v>1400</v>
      </c>
      <c r="BL40" s="66" t="n">
        <f aca="false">'Assumption Setting'!$G$175</f>
        <v>1400</v>
      </c>
      <c r="BM40" s="66" t="n">
        <f aca="false">'Assumption Setting'!$G$175</f>
        <v>1400</v>
      </c>
      <c r="BN40" s="66" t="n">
        <f aca="false">'Assumption Setting'!$G$175</f>
        <v>1400</v>
      </c>
    </row>
    <row r="41" customFormat="false" ht="15" hidden="false" customHeight="false" outlineLevel="0" collapsed="false">
      <c r="A41" s="12" t="s">
        <v>298</v>
      </c>
      <c r="B41" s="65" t="n">
        <f aca="false">SUM(C41:N41)</f>
        <v>0</v>
      </c>
      <c r="C41" s="66" t="n">
        <f aca="false">'Assumption Setting'!$C$176</f>
        <v>0</v>
      </c>
      <c r="D41" s="66" t="n">
        <f aca="false">'Assumption Setting'!$C$176</f>
        <v>0</v>
      </c>
      <c r="E41" s="66" t="n">
        <f aca="false">'Assumption Setting'!$C$176</f>
        <v>0</v>
      </c>
      <c r="F41" s="66" t="n">
        <f aca="false">'Assumption Setting'!$C$176</f>
        <v>0</v>
      </c>
      <c r="G41" s="66" t="n">
        <f aca="false">'Assumption Setting'!$C$176</f>
        <v>0</v>
      </c>
      <c r="H41" s="66" t="n">
        <f aca="false">'Assumption Setting'!$C$176</f>
        <v>0</v>
      </c>
      <c r="I41" s="66" t="n">
        <f aca="false">'Assumption Setting'!$C$176</f>
        <v>0</v>
      </c>
      <c r="J41" s="66" t="n">
        <f aca="false">'Assumption Setting'!$C$176</f>
        <v>0</v>
      </c>
      <c r="K41" s="66" t="n">
        <f aca="false">'Assumption Setting'!$C$176</f>
        <v>0</v>
      </c>
      <c r="L41" s="66" t="n">
        <f aca="false">'Assumption Setting'!$C$176</f>
        <v>0</v>
      </c>
      <c r="M41" s="66" t="n">
        <f aca="false">'Assumption Setting'!$C$176</f>
        <v>0</v>
      </c>
      <c r="N41" s="66" t="n">
        <f aca="false">'Assumption Setting'!$C$176</f>
        <v>0</v>
      </c>
      <c r="O41" s="65" t="n">
        <f aca="false">SUM(P41:AA41)</f>
        <v>3600</v>
      </c>
      <c r="P41" s="66" t="n">
        <f aca="false">'Assumption Setting'!$D$176</f>
        <v>300</v>
      </c>
      <c r="Q41" s="66" t="n">
        <f aca="false">'Assumption Setting'!$D$176</f>
        <v>300</v>
      </c>
      <c r="R41" s="66" t="n">
        <f aca="false">'Assumption Setting'!$D$176</f>
        <v>300</v>
      </c>
      <c r="S41" s="66" t="n">
        <f aca="false">'Assumption Setting'!$D$176</f>
        <v>300</v>
      </c>
      <c r="T41" s="66" t="n">
        <f aca="false">'Assumption Setting'!$D$176</f>
        <v>300</v>
      </c>
      <c r="U41" s="66" t="n">
        <f aca="false">'Assumption Setting'!$D$176</f>
        <v>300</v>
      </c>
      <c r="V41" s="66" t="n">
        <f aca="false">'Assumption Setting'!$D$176</f>
        <v>300</v>
      </c>
      <c r="W41" s="66" t="n">
        <f aca="false">'Assumption Setting'!$D$176</f>
        <v>300</v>
      </c>
      <c r="X41" s="66" t="n">
        <f aca="false">'Assumption Setting'!$D$176</f>
        <v>300</v>
      </c>
      <c r="Y41" s="66" t="n">
        <f aca="false">'Assumption Setting'!$D$176</f>
        <v>300</v>
      </c>
      <c r="Z41" s="66" t="n">
        <f aca="false">'Assumption Setting'!$D$176</f>
        <v>300</v>
      </c>
      <c r="AA41" s="66" t="n">
        <f aca="false">'Assumption Setting'!$D$176</f>
        <v>300</v>
      </c>
      <c r="AB41" s="65" t="n">
        <f aca="false">SUM(AC41:AN41)</f>
        <v>14400</v>
      </c>
      <c r="AC41" s="66" t="n">
        <f aca="false">'Assumption Setting'!$E$176</f>
        <v>1200</v>
      </c>
      <c r="AD41" s="66" t="n">
        <f aca="false">'Assumption Setting'!$E$176</f>
        <v>1200</v>
      </c>
      <c r="AE41" s="66" t="n">
        <f aca="false">'Assumption Setting'!$E$176</f>
        <v>1200</v>
      </c>
      <c r="AF41" s="66" t="n">
        <f aca="false">'Assumption Setting'!$E$176</f>
        <v>1200</v>
      </c>
      <c r="AG41" s="66" t="n">
        <f aca="false">'Assumption Setting'!$E$176</f>
        <v>1200</v>
      </c>
      <c r="AH41" s="66" t="n">
        <f aca="false">'Assumption Setting'!$E$176</f>
        <v>1200</v>
      </c>
      <c r="AI41" s="66" t="n">
        <f aca="false">'Assumption Setting'!$E$176</f>
        <v>1200</v>
      </c>
      <c r="AJ41" s="66" t="n">
        <f aca="false">'Assumption Setting'!$E$176</f>
        <v>1200</v>
      </c>
      <c r="AK41" s="66" t="n">
        <f aca="false">'Assumption Setting'!$E$176</f>
        <v>1200</v>
      </c>
      <c r="AL41" s="66" t="n">
        <f aca="false">'Assumption Setting'!$E$176</f>
        <v>1200</v>
      </c>
      <c r="AM41" s="66" t="n">
        <f aca="false">'Assumption Setting'!$E$176</f>
        <v>1200</v>
      </c>
      <c r="AN41" s="66" t="n">
        <f aca="false">'Assumption Setting'!$E$176</f>
        <v>1200</v>
      </c>
      <c r="AO41" s="65" t="n">
        <f aca="false">SUM(AP41:BA41)</f>
        <v>28800</v>
      </c>
      <c r="AP41" s="66" t="n">
        <f aca="false">'Assumption Setting'!$F$176</f>
        <v>2400</v>
      </c>
      <c r="AQ41" s="66" t="n">
        <f aca="false">'Assumption Setting'!$F$176</f>
        <v>2400</v>
      </c>
      <c r="AR41" s="66" t="n">
        <f aca="false">'Assumption Setting'!$F$176</f>
        <v>2400</v>
      </c>
      <c r="AS41" s="66" t="n">
        <f aca="false">'Assumption Setting'!$F$176</f>
        <v>2400</v>
      </c>
      <c r="AT41" s="66" t="n">
        <f aca="false">'Assumption Setting'!$F$176</f>
        <v>2400</v>
      </c>
      <c r="AU41" s="66" t="n">
        <f aca="false">'Assumption Setting'!$F$176</f>
        <v>2400</v>
      </c>
      <c r="AV41" s="66" t="n">
        <f aca="false">'Assumption Setting'!$F$176</f>
        <v>2400</v>
      </c>
      <c r="AW41" s="66" t="n">
        <f aca="false">'Assumption Setting'!$F$176</f>
        <v>2400</v>
      </c>
      <c r="AX41" s="66" t="n">
        <f aca="false">'Assumption Setting'!$F$176</f>
        <v>2400</v>
      </c>
      <c r="AY41" s="66" t="n">
        <f aca="false">'Assumption Setting'!$F$176</f>
        <v>2400</v>
      </c>
      <c r="AZ41" s="66" t="n">
        <f aca="false">'Assumption Setting'!$F$176</f>
        <v>2400</v>
      </c>
      <c r="BA41" s="66" t="n">
        <f aca="false">'Assumption Setting'!$F$176</f>
        <v>2400</v>
      </c>
      <c r="BB41" s="65" t="n">
        <f aca="false">SUM(BC41:BN41)</f>
        <v>38400</v>
      </c>
      <c r="BC41" s="66" t="n">
        <f aca="false">'Assumption Setting'!$G$176</f>
        <v>3200</v>
      </c>
      <c r="BD41" s="66" t="n">
        <f aca="false">'Assumption Setting'!$G$176</f>
        <v>3200</v>
      </c>
      <c r="BE41" s="66" t="n">
        <f aca="false">'Assumption Setting'!$G$176</f>
        <v>3200</v>
      </c>
      <c r="BF41" s="66" t="n">
        <f aca="false">'Assumption Setting'!$G$176</f>
        <v>3200</v>
      </c>
      <c r="BG41" s="66" t="n">
        <f aca="false">'Assumption Setting'!$G$176</f>
        <v>3200</v>
      </c>
      <c r="BH41" s="66" t="n">
        <f aca="false">'Assumption Setting'!$G$176</f>
        <v>3200</v>
      </c>
      <c r="BI41" s="66" t="n">
        <f aca="false">'Assumption Setting'!$G$176</f>
        <v>3200</v>
      </c>
      <c r="BJ41" s="66" t="n">
        <f aca="false">'Assumption Setting'!$G$176</f>
        <v>3200</v>
      </c>
      <c r="BK41" s="66" t="n">
        <f aca="false">'Assumption Setting'!$G$176</f>
        <v>3200</v>
      </c>
      <c r="BL41" s="66" t="n">
        <f aca="false">'Assumption Setting'!$G$176</f>
        <v>3200</v>
      </c>
      <c r="BM41" s="66" t="n">
        <f aca="false">'Assumption Setting'!$G$176</f>
        <v>3200</v>
      </c>
      <c r="BN41" s="66" t="n">
        <f aca="false">'Assumption Setting'!$G$176</f>
        <v>3200</v>
      </c>
    </row>
    <row r="42" customFormat="false" ht="15" hidden="false" customHeight="false" outlineLevel="0" collapsed="false">
      <c r="A42" s="12" t="s">
        <v>833</v>
      </c>
      <c r="B42" s="65" t="n">
        <f aca="false">SUM(C42:N42)</f>
        <v>1800</v>
      </c>
      <c r="C42" s="66" t="n">
        <f aca="false">'Assumption Setting'!$C$177</f>
        <v>150</v>
      </c>
      <c r="D42" s="66" t="n">
        <f aca="false">'Assumption Setting'!$C$177</f>
        <v>150</v>
      </c>
      <c r="E42" s="66" t="n">
        <f aca="false">'Assumption Setting'!$C$177</f>
        <v>150</v>
      </c>
      <c r="F42" s="66" t="n">
        <f aca="false">'Assumption Setting'!$C$177</f>
        <v>150</v>
      </c>
      <c r="G42" s="66" t="n">
        <f aca="false">'Assumption Setting'!$C$177</f>
        <v>150</v>
      </c>
      <c r="H42" s="66" t="n">
        <f aca="false">'Assumption Setting'!$C$177</f>
        <v>150</v>
      </c>
      <c r="I42" s="66" t="n">
        <f aca="false">'Assumption Setting'!$C$177</f>
        <v>150</v>
      </c>
      <c r="J42" s="66" t="n">
        <f aca="false">'Assumption Setting'!$C$177</f>
        <v>150</v>
      </c>
      <c r="K42" s="66" t="n">
        <f aca="false">'Assumption Setting'!$C$177</f>
        <v>150</v>
      </c>
      <c r="L42" s="66" t="n">
        <f aca="false">'Assumption Setting'!$C$177</f>
        <v>150</v>
      </c>
      <c r="M42" s="66" t="n">
        <f aca="false">'Assumption Setting'!$C$177</f>
        <v>150</v>
      </c>
      <c r="N42" s="66" t="n">
        <f aca="false">'Assumption Setting'!$C$177</f>
        <v>150</v>
      </c>
      <c r="O42" s="65" t="n">
        <f aca="false">SUM(P42:AA42)</f>
        <v>3120</v>
      </c>
      <c r="P42" s="66" t="n">
        <f aca="false">'Assumption Setting'!$D$177</f>
        <v>260</v>
      </c>
      <c r="Q42" s="66" t="n">
        <f aca="false">'Assumption Setting'!$D$177</f>
        <v>260</v>
      </c>
      <c r="R42" s="66" t="n">
        <f aca="false">'Assumption Setting'!$D$177</f>
        <v>260</v>
      </c>
      <c r="S42" s="66" t="n">
        <f aca="false">'Assumption Setting'!$D$177</f>
        <v>260</v>
      </c>
      <c r="T42" s="66" t="n">
        <f aca="false">'Assumption Setting'!$D$177</f>
        <v>260</v>
      </c>
      <c r="U42" s="66" t="n">
        <f aca="false">'Assumption Setting'!$D$177</f>
        <v>260</v>
      </c>
      <c r="V42" s="66" t="n">
        <f aca="false">'Assumption Setting'!$D$177</f>
        <v>260</v>
      </c>
      <c r="W42" s="66" t="n">
        <f aca="false">'Assumption Setting'!$D$177</f>
        <v>260</v>
      </c>
      <c r="X42" s="66" t="n">
        <f aca="false">'Assumption Setting'!$D$177</f>
        <v>260</v>
      </c>
      <c r="Y42" s="66" t="n">
        <f aca="false">'Assumption Setting'!$D$177</f>
        <v>260</v>
      </c>
      <c r="Z42" s="66" t="n">
        <f aca="false">'Assumption Setting'!$D$177</f>
        <v>260</v>
      </c>
      <c r="AA42" s="66" t="n">
        <f aca="false">'Assumption Setting'!$D$177</f>
        <v>260</v>
      </c>
      <c r="AB42" s="65" t="n">
        <f aca="false">SUM(AC42:AN42)</f>
        <v>5400</v>
      </c>
      <c r="AC42" s="66" t="n">
        <f aca="false">'Assumption Setting'!$E$177</f>
        <v>450</v>
      </c>
      <c r="AD42" s="66" t="n">
        <f aca="false">'Assumption Setting'!$E$177</f>
        <v>450</v>
      </c>
      <c r="AE42" s="66" t="n">
        <f aca="false">'Assumption Setting'!$E$177</f>
        <v>450</v>
      </c>
      <c r="AF42" s="66" t="n">
        <f aca="false">'Assumption Setting'!$E$177</f>
        <v>450</v>
      </c>
      <c r="AG42" s="66" t="n">
        <f aca="false">'Assumption Setting'!$E$177</f>
        <v>450</v>
      </c>
      <c r="AH42" s="66" t="n">
        <f aca="false">'Assumption Setting'!$E$177</f>
        <v>450</v>
      </c>
      <c r="AI42" s="66" t="n">
        <f aca="false">'Assumption Setting'!$E$177</f>
        <v>450</v>
      </c>
      <c r="AJ42" s="66" t="n">
        <f aca="false">'Assumption Setting'!$E$177</f>
        <v>450</v>
      </c>
      <c r="AK42" s="66" t="n">
        <f aca="false">'Assumption Setting'!$E$177</f>
        <v>450</v>
      </c>
      <c r="AL42" s="66" t="n">
        <f aca="false">'Assumption Setting'!$E$177</f>
        <v>450</v>
      </c>
      <c r="AM42" s="66" t="n">
        <f aca="false">'Assumption Setting'!$E$177</f>
        <v>450</v>
      </c>
      <c r="AN42" s="66" t="n">
        <f aca="false">'Assumption Setting'!$E$177</f>
        <v>450</v>
      </c>
      <c r="AO42" s="65" t="n">
        <f aca="false">SUM(AP42:BA42)</f>
        <v>7200</v>
      </c>
      <c r="AP42" s="66" t="n">
        <f aca="false">'Assumption Setting'!$F$177</f>
        <v>600</v>
      </c>
      <c r="AQ42" s="66" t="n">
        <f aca="false">'Assumption Setting'!$F$177</f>
        <v>600</v>
      </c>
      <c r="AR42" s="66" t="n">
        <f aca="false">'Assumption Setting'!$F$177</f>
        <v>600</v>
      </c>
      <c r="AS42" s="66" t="n">
        <f aca="false">'Assumption Setting'!$F$177</f>
        <v>600</v>
      </c>
      <c r="AT42" s="66" t="n">
        <f aca="false">'Assumption Setting'!$F$177</f>
        <v>600</v>
      </c>
      <c r="AU42" s="66" t="n">
        <f aca="false">'Assumption Setting'!$F$177</f>
        <v>600</v>
      </c>
      <c r="AV42" s="66" t="n">
        <f aca="false">'Assumption Setting'!$F$177</f>
        <v>600</v>
      </c>
      <c r="AW42" s="66" t="n">
        <f aca="false">'Assumption Setting'!$F$177</f>
        <v>600</v>
      </c>
      <c r="AX42" s="66" t="n">
        <f aca="false">'Assumption Setting'!$F$177</f>
        <v>600</v>
      </c>
      <c r="AY42" s="66" t="n">
        <f aca="false">'Assumption Setting'!$F$177</f>
        <v>600</v>
      </c>
      <c r="AZ42" s="66" t="n">
        <f aca="false">'Assumption Setting'!$F$177</f>
        <v>600</v>
      </c>
      <c r="BA42" s="66" t="n">
        <f aca="false">'Assumption Setting'!$F$177</f>
        <v>600</v>
      </c>
      <c r="BB42" s="65" t="n">
        <f aca="false">SUM(BC42:BN42)</f>
        <v>9000</v>
      </c>
      <c r="BC42" s="66" t="n">
        <f aca="false">'Assumption Setting'!$G$177</f>
        <v>750</v>
      </c>
      <c r="BD42" s="66" t="n">
        <f aca="false">'Assumption Setting'!$G$177</f>
        <v>750</v>
      </c>
      <c r="BE42" s="66" t="n">
        <f aca="false">'Assumption Setting'!$G$177</f>
        <v>750</v>
      </c>
      <c r="BF42" s="66" t="n">
        <f aca="false">'Assumption Setting'!$G$177</f>
        <v>750</v>
      </c>
      <c r="BG42" s="66" t="n">
        <f aca="false">'Assumption Setting'!$G$177</f>
        <v>750</v>
      </c>
      <c r="BH42" s="66" t="n">
        <f aca="false">'Assumption Setting'!$G$177</f>
        <v>750</v>
      </c>
      <c r="BI42" s="66" t="n">
        <f aca="false">'Assumption Setting'!$G$177</f>
        <v>750</v>
      </c>
      <c r="BJ42" s="66" t="n">
        <f aca="false">'Assumption Setting'!$G$177</f>
        <v>750</v>
      </c>
      <c r="BK42" s="66" t="n">
        <f aca="false">'Assumption Setting'!$G$177</f>
        <v>750</v>
      </c>
      <c r="BL42" s="66" t="n">
        <f aca="false">'Assumption Setting'!$G$177</f>
        <v>750</v>
      </c>
      <c r="BM42" s="66" t="n">
        <f aca="false">'Assumption Setting'!$G$177</f>
        <v>750</v>
      </c>
      <c r="BN42" s="66" t="n">
        <f aca="false">'Assumption Setting'!$G$177</f>
        <v>750</v>
      </c>
    </row>
    <row r="43" customFormat="false" ht="15" hidden="false" customHeight="false" outlineLevel="0" collapsed="false">
      <c r="A43" s="12" t="s">
        <v>834</v>
      </c>
      <c r="B43" s="65" t="n">
        <f aca="false">SUM(C43:N43)</f>
        <v>5755.47144241277</v>
      </c>
      <c r="C43" s="66" t="n">
        <f aca="false">SUM(C29:C42)*'Assumption Setting'!$C$182</f>
        <v>458.904764256818</v>
      </c>
      <c r="D43" s="66" t="n">
        <f aca="false">SUM(D29:D42)*'Assumption Setting'!$C$182</f>
        <v>460.053277022386</v>
      </c>
      <c r="E43" s="66" t="n">
        <f aca="false">SUM(E29:E42)*'Assumption Setting'!$C$182</f>
        <v>461.425546649676</v>
      </c>
      <c r="F43" s="66" t="n">
        <f aca="false">SUM(F29:F42)*'Assumption Setting'!$C$182</f>
        <v>465.773626795601</v>
      </c>
      <c r="G43" s="66" t="n">
        <f aca="false">SUM(G29:G42)*'Assumption Setting'!$C$182</f>
        <v>468.08052043423</v>
      </c>
      <c r="H43" s="66" t="n">
        <f aca="false">SUM(H29:H42)*'Assumption Setting'!$C$182</f>
        <v>470.847089890928</v>
      </c>
      <c r="I43" s="66" t="n">
        <f aca="false">SUM(I29:I42)*'Assumption Setting'!$C$182</f>
        <v>471.292122874791</v>
      </c>
      <c r="J43" s="66" t="n">
        <f aca="false">SUM(J29:J42)*'Assumption Setting'!$C$182</f>
        <v>474.57737670946</v>
      </c>
      <c r="K43" s="66" t="n">
        <f aca="false">SUM(K29:K42)*'Assumption Setting'!$C$182</f>
        <v>478.518345852396</v>
      </c>
      <c r="L43" s="66" t="n">
        <f aca="false">SUM(L29:L42)*'Assumption Setting'!$C$182</f>
        <v>505.318382538186</v>
      </c>
      <c r="M43" s="66" t="n">
        <f aca="false">SUM(M29:M42)*'Assumption Setting'!$C$182</f>
        <v>514.708107389685</v>
      </c>
      <c r="N43" s="66" t="n">
        <f aca="false">SUM(N29:N42)*'Assumption Setting'!$C$182</f>
        <v>525.97228199861</v>
      </c>
      <c r="O43" s="65" t="n">
        <f aca="false">SUM(P43:AA43)</f>
        <v>22376.8252988531</v>
      </c>
      <c r="P43" s="66" t="n">
        <f aca="false">SUM(P29:P42)*'Assumption Setting'!$C$182</f>
        <v>1718.76167022936</v>
      </c>
      <c r="Q43" s="66" t="n">
        <f aca="false">SUM(Q29:Q42)*'Assumption Setting'!$C$182</f>
        <v>1731.72405528153</v>
      </c>
      <c r="R43" s="66" t="n">
        <f aca="false">SUM(R29:R42)*'Assumption Setting'!$C$182</f>
        <v>1747.25642708109</v>
      </c>
      <c r="S43" s="66" t="n">
        <f aca="false">SUM(S29:S42)*'Assumption Setting'!$C$182</f>
        <v>1769.52385029067</v>
      </c>
      <c r="T43" s="66" t="n">
        <f aca="false">SUM(T29:T42)*'Assumption Setting'!$C$182</f>
        <v>1791.47494233977</v>
      </c>
      <c r="U43" s="66" t="n">
        <f aca="false">SUM(U29:U42)*'Assumption Setting'!$C$182</f>
        <v>1817.79761778642</v>
      </c>
      <c r="V43" s="66" t="n">
        <f aca="false">SUM(V29:V42)*'Assumption Setting'!$C$182</f>
        <v>1852.08688546074</v>
      </c>
      <c r="W43" s="66" t="n">
        <f aca="false">SUM(W29:W42)*'Assumption Setting'!$C$182</f>
        <v>1888.78080975134</v>
      </c>
      <c r="X43" s="66" t="n">
        <f aca="false">SUM(X29:X42)*'Assumption Setting'!$C$182</f>
        <v>1932.79334382741</v>
      </c>
      <c r="Y43" s="66" t="n">
        <f aca="false">SUM(Y29:Y42)*'Assumption Setting'!$C$182</f>
        <v>1978.95100919967</v>
      </c>
      <c r="Z43" s="66" t="n">
        <f aca="false">SUM(Z29:Z42)*'Assumption Setting'!$C$182</f>
        <v>2038.26123130333</v>
      </c>
      <c r="AA43" s="66" t="n">
        <f aca="false">SUM(AA29:AA42)*'Assumption Setting'!$C$182</f>
        <v>2109.4134563018</v>
      </c>
      <c r="AB43" s="65" t="n">
        <f aca="false">SUM(AC43:AN43)</f>
        <v>54919.4078768693</v>
      </c>
      <c r="AC43" s="66" t="n">
        <f aca="false">SUM(AC29:AC42)*'Assumption Setting'!$C$182</f>
        <v>4263.64676956307</v>
      </c>
      <c r="AD43" s="66" t="n">
        <f aca="false">SUM(AD29:AD42)*'Assumption Setting'!$C$182</f>
        <v>4351.24385719537</v>
      </c>
      <c r="AE43" s="66" t="n">
        <f aca="false">SUM(AE29:AE42)*'Assumption Setting'!$C$182</f>
        <v>4456.29608344606</v>
      </c>
      <c r="AF43" s="66" t="n">
        <f aca="false">SUM(AF29:AF42)*'Assumption Setting'!$C$182</f>
        <v>4365.35917238421</v>
      </c>
      <c r="AG43" s="66" t="n">
        <f aca="false">SUM(AG29:AG42)*'Assumption Setting'!$C$182</f>
        <v>4470.83937187545</v>
      </c>
      <c r="AH43" s="66" t="n">
        <f aca="false">SUM(AH29:AH42)*'Assumption Setting'!$C$182</f>
        <v>4597.36408589213</v>
      </c>
      <c r="AI43" s="66" t="n">
        <f aca="false">SUM(AI29:AI42)*'Assumption Setting'!$C$182</f>
        <v>4539.70439320798</v>
      </c>
      <c r="AJ43" s="66" t="n">
        <f aca="false">SUM(AJ29:AJ42)*'Assumption Setting'!$C$182</f>
        <v>4676.02020765804</v>
      </c>
      <c r="AK43" s="66" t="n">
        <f aca="false">SUM(AK29:AK42)*'Assumption Setting'!$C$182</f>
        <v>4839.56071538559</v>
      </c>
      <c r="AL43" s="66" t="n">
        <f aca="false">SUM(AL29:AL42)*'Assumption Setting'!$C$182</f>
        <v>4625.21696572677</v>
      </c>
      <c r="AM43" s="66" t="n">
        <f aca="false">SUM(AM29:AM42)*'Assumption Setting'!$C$182</f>
        <v>4776.38588355088</v>
      </c>
      <c r="AN43" s="66" t="n">
        <f aca="false">SUM(AN29:AN42)*'Assumption Setting'!$C$182</f>
        <v>4957.77037098379</v>
      </c>
      <c r="AO43" s="65" t="n">
        <f aca="false">SUM(AP43:BA43)</f>
        <v>85297.8411605857</v>
      </c>
      <c r="AP43" s="66" t="n">
        <f aca="false">SUM(AP29:AP42)*'Assumption Setting'!$C$182</f>
        <v>6603.27731874082</v>
      </c>
      <c r="AQ43" s="66" t="n">
        <f aca="false">SUM(AQ29:AQ42)*'Assumption Setting'!$C$182</f>
        <v>6792.8289953562</v>
      </c>
      <c r="AR43" s="66" t="n">
        <f aca="false">SUM(AR29:AR42)*'Assumption Setting'!$C$182</f>
        <v>7020.21794844081</v>
      </c>
      <c r="AS43" s="66" t="n">
        <f aca="false">SUM(AS29:AS42)*'Assumption Setting'!$C$182</f>
        <v>6797.8945700712</v>
      </c>
      <c r="AT43" s="66" t="n">
        <f aca="false">SUM(AT29:AT42)*'Assumption Setting'!$C$182</f>
        <v>7021.50541212006</v>
      </c>
      <c r="AU43" s="66" t="n">
        <f aca="false">SUM(AU29:AU42)*'Assumption Setting'!$C$182</f>
        <v>7289.79843336648</v>
      </c>
      <c r="AV43" s="66" t="n">
        <f aca="false">SUM(AV29:AV42)*'Assumption Setting'!$C$182</f>
        <v>6929.90968575058</v>
      </c>
      <c r="AW43" s="66" t="n">
        <f aca="false">SUM(AW29:AW42)*'Assumption Setting'!$C$182</f>
        <v>7176.25059201548</v>
      </c>
      <c r="AX43" s="66" t="n">
        <f aca="false">SUM(AX29:AX42)*'Assumption Setting'!$C$182</f>
        <v>7471.86202926713</v>
      </c>
      <c r="AY43" s="66" t="n">
        <f aca="false">SUM(AY29:AY42)*'Assumption Setting'!$C$182</f>
        <v>7103.1776348562</v>
      </c>
      <c r="AZ43" s="66" t="n">
        <f aca="false">SUM(AZ29:AZ42)*'Assumption Setting'!$C$182</f>
        <v>7379.65317166581</v>
      </c>
      <c r="BA43" s="66" t="n">
        <f aca="false">SUM(BA29:BA42)*'Assumption Setting'!$C$182</f>
        <v>7711.46536893494</v>
      </c>
      <c r="BB43" s="65" t="n">
        <f aca="false">SUM(BC43:BN43)</f>
        <v>112859.491824485</v>
      </c>
      <c r="BC43" s="66" t="n">
        <f aca="false">SUM(BC29:BC42)*'Assumption Setting'!$C$182</f>
        <v>8797.67759830638</v>
      </c>
      <c r="BD43" s="66" t="n">
        <f aca="false">SUM(BD29:BD42)*'Assumption Setting'!$C$182</f>
        <v>9114.43021779731</v>
      </c>
      <c r="BE43" s="66" t="n">
        <f aca="false">SUM(BE29:BE42)*'Assumption Setting'!$C$182</f>
        <v>9494.52973831369</v>
      </c>
      <c r="BF43" s="66" t="n">
        <f aca="false">SUM(BF29:BF42)*'Assumption Setting'!$C$182</f>
        <v>8923.31309180426</v>
      </c>
      <c r="BG43" s="66" t="n">
        <f aca="false">SUM(BG29:BG42)*'Assumption Setting'!$C$182</f>
        <v>9261.2203563703</v>
      </c>
      <c r="BH43" s="66" t="n">
        <f aca="false">SUM(BH29:BH42)*'Assumption Setting'!$C$182</f>
        <v>9666.77115670803</v>
      </c>
      <c r="BI43" s="66" t="n">
        <f aca="false">SUM(BI29:BI42)*'Assumption Setting'!$C$182</f>
        <v>9140.57833377888</v>
      </c>
      <c r="BJ43" s="66" t="n">
        <f aca="false">SUM(BJ29:BJ42)*'Assumption Setting'!$C$182</f>
        <v>9516.06810699619</v>
      </c>
      <c r="BK43" s="66" t="n">
        <f aca="false">SUM(BK29:BK42)*'Assumption Setting'!$C$182</f>
        <v>9966.77925955263</v>
      </c>
      <c r="BL43" s="66" t="n">
        <f aca="false">SUM(BL29:BL42)*'Assumption Setting'!$C$182</f>
        <v>9241.02476998124</v>
      </c>
      <c r="BM43" s="66" t="n">
        <f aca="false">SUM(BM29:BM42)*'Assumption Setting'!$C$182</f>
        <v>9633.16864113843</v>
      </c>
      <c r="BN43" s="66" t="n">
        <f aca="false">SUM(BN29:BN42)*'Assumption Setting'!$C$182</f>
        <v>10103.9305537378</v>
      </c>
    </row>
    <row r="44" customFormat="false" ht="15" hidden="false" customHeight="false" outlineLevel="0" collapsed="false">
      <c r="A44" s="70" t="s">
        <v>835</v>
      </c>
      <c r="B44" s="65" t="n">
        <f aca="false">SUM(C44:N44)</f>
        <v>101679.995482626</v>
      </c>
      <c r="C44" s="71" t="n">
        <f aca="false">SUM(C29:C42)+C43</f>
        <v>8107.31750187046</v>
      </c>
      <c r="D44" s="71" t="n">
        <f aca="false">SUM(D29:D42)+D43</f>
        <v>8127.60789406216</v>
      </c>
      <c r="E44" s="71" t="n">
        <f aca="false">SUM(E29:E42)+E43</f>
        <v>8151.85132414428</v>
      </c>
      <c r="F44" s="71" t="n">
        <f aca="false">SUM(F29:F42)+F43</f>
        <v>8228.66740672229</v>
      </c>
      <c r="G44" s="71" t="n">
        <f aca="false">SUM(G29:G42)+G43</f>
        <v>8269.4225276714</v>
      </c>
      <c r="H44" s="71" t="n">
        <f aca="false">SUM(H29:H42)+H43</f>
        <v>8318.29858807306</v>
      </c>
      <c r="I44" s="71" t="n">
        <f aca="false">SUM(I29:I42)+I43</f>
        <v>8326.16083745464</v>
      </c>
      <c r="J44" s="71" t="n">
        <f aca="false">SUM(J29:J42)+J43</f>
        <v>8384.20032186713</v>
      </c>
      <c r="K44" s="71" t="n">
        <f aca="false">SUM(K29:K42)+K43</f>
        <v>8453.824110059</v>
      </c>
      <c r="L44" s="71" t="n">
        <f aca="false">SUM(L29:L42)+L43</f>
        <v>8927.29142484128</v>
      </c>
      <c r="M44" s="71" t="n">
        <f aca="false">SUM(M29:M42)+M43</f>
        <v>9093.17656388444</v>
      </c>
      <c r="N44" s="71" t="n">
        <f aca="false">SUM(N29:N42)+N43</f>
        <v>9292.17698197545</v>
      </c>
      <c r="O44" s="65" t="n">
        <f aca="false">SUM(P44:AA44)</f>
        <v>395323.913613072</v>
      </c>
      <c r="P44" s="71" t="n">
        <f aca="false">SUM(P29:P42)+P43</f>
        <v>30364.7895073854</v>
      </c>
      <c r="Q44" s="71" t="n">
        <f aca="false">SUM(Q29:Q42)+Q43</f>
        <v>30593.791643307</v>
      </c>
      <c r="R44" s="71" t="n">
        <f aca="false">SUM(R29:R42)+R43</f>
        <v>30868.1968784326</v>
      </c>
      <c r="S44" s="71" t="n">
        <f aca="false">SUM(S29:S42)+S43</f>
        <v>31261.5880218019</v>
      </c>
      <c r="T44" s="71" t="n">
        <f aca="false">SUM(T29:T42)+T43</f>
        <v>31649.3906480027</v>
      </c>
      <c r="U44" s="71" t="n">
        <f aca="false">SUM(U29:U42)+U43</f>
        <v>32114.4245808935</v>
      </c>
      <c r="V44" s="71" t="n">
        <f aca="false">SUM(V29:V42)+V43</f>
        <v>32720.2016431397</v>
      </c>
      <c r="W44" s="71" t="n">
        <f aca="false">SUM(W29:W42)+W43</f>
        <v>33368.4609722736</v>
      </c>
      <c r="X44" s="71" t="n">
        <f aca="false">SUM(X29:X42)+X43</f>
        <v>34146.0157409509</v>
      </c>
      <c r="Y44" s="71" t="n">
        <f aca="false">SUM(Y29:Y42)+Y43</f>
        <v>34961.4678291942</v>
      </c>
      <c r="Z44" s="71" t="n">
        <f aca="false">SUM(Z29:Z42)+Z43</f>
        <v>36009.2817530254</v>
      </c>
      <c r="AA44" s="71" t="n">
        <f aca="false">SUM(AA29:AA42)+AA43</f>
        <v>37266.3043946651</v>
      </c>
      <c r="AB44" s="65" t="n">
        <f aca="false">SUM(AC44:AN44)</f>
        <v>970242.872491358</v>
      </c>
      <c r="AC44" s="71" t="n">
        <f aca="false">SUM(AC29:AC42)+AC43</f>
        <v>75324.4262622809</v>
      </c>
      <c r="AD44" s="71" t="n">
        <f aca="false">SUM(AD29:AD42)+AD43</f>
        <v>76871.9748104516</v>
      </c>
      <c r="AE44" s="71" t="n">
        <f aca="false">SUM(AE29:AE42)+AE43</f>
        <v>78727.8974742137</v>
      </c>
      <c r="AF44" s="71" t="n">
        <f aca="false">SUM(AF29:AF42)+AF43</f>
        <v>77121.3453787877</v>
      </c>
      <c r="AG44" s="71" t="n">
        <f aca="false">SUM(AG29:AG42)+AG43</f>
        <v>78984.828903133</v>
      </c>
      <c r="AH44" s="71" t="n">
        <f aca="false">SUM(AH29:AH42)+AH43</f>
        <v>81220.098850761</v>
      </c>
      <c r="AI44" s="71" t="n">
        <f aca="false">SUM(AI29:AI42)+AI43</f>
        <v>80201.4442800077</v>
      </c>
      <c r="AJ44" s="71" t="n">
        <f aca="false">SUM(AJ29:AJ42)+AJ43</f>
        <v>82609.690335292</v>
      </c>
      <c r="AK44" s="71" t="n">
        <f aca="false">SUM(AK29:AK42)+AK43</f>
        <v>85498.9059718121</v>
      </c>
      <c r="AL44" s="71" t="n">
        <f aca="false">SUM(AL29:AL42)+AL43</f>
        <v>81712.1663945062</v>
      </c>
      <c r="AM44" s="71" t="n">
        <f aca="false">SUM(AM29:AM42)+AM43</f>
        <v>84382.8172760656</v>
      </c>
      <c r="AN44" s="71" t="n">
        <f aca="false">SUM(AN29:AN42)+AN43</f>
        <v>87587.276554047</v>
      </c>
      <c r="AO44" s="65" t="n">
        <f aca="false">SUM(AP44:BA44)</f>
        <v>1506928.52717035</v>
      </c>
      <c r="AP44" s="71" t="n">
        <f aca="false">SUM(AP29:AP42)+AP43</f>
        <v>116657.899297754</v>
      </c>
      <c r="AQ44" s="71" t="n">
        <f aca="false">SUM(AQ29:AQ42)+AQ43</f>
        <v>120006.645584626</v>
      </c>
      <c r="AR44" s="71" t="n">
        <f aca="false">SUM(AR29:AR42)+AR43</f>
        <v>124023.850422454</v>
      </c>
      <c r="AS44" s="71" t="n">
        <f aca="false">SUM(AS29:AS42)+AS43</f>
        <v>120096.137404591</v>
      </c>
      <c r="AT44" s="71" t="n">
        <f aca="false">SUM(AT29:AT42)+AT43</f>
        <v>124046.595614121</v>
      </c>
      <c r="AU44" s="71" t="n">
        <f aca="false">SUM(AU29:AU42)+AU43</f>
        <v>128786.438989475</v>
      </c>
      <c r="AV44" s="71" t="n">
        <f aca="false">SUM(AV29:AV42)+AV43</f>
        <v>122428.40444826</v>
      </c>
      <c r="AW44" s="71" t="n">
        <f aca="false">SUM(AW29:AW42)+AW43</f>
        <v>126780.427125607</v>
      </c>
      <c r="AX44" s="71" t="n">
        <f aca="false">SUM(AX29:AX42)+AX43</f>
        <v>132002.895850386</v>
      </c>
      <c r="AY44" s="71" t="n">
        <f aca="false">SUM(AY29:AY42)+AY43</f>
        <v>125489.471549126</v>
      </c>
      <c r="AZ44" s="71" t="n">
        <f aca="false">SUM(AZ29:AZ42)+AZ43</f>
        <v>130373.872699429</v>
      </c>
      <c r="BA44" s="71" t="n">
        <f aca="false">SUM(BA29:BA42)+BA43</f>
        <v>136235.888184517</v>
      </c>
      <c r="BB44" s="65" t="n">
        <f aca="false">SUM(BC44:BN44)</f>
        <v>1993851.02223257</v>
      </c>
      <c r="BC44" s="71" t="n">
        <f aca="false">SUM(BC29:BC42)+BC43</f>
        <v>155425.637570079</v>
      </c>
      <c r="BD44" s="71" t="n">
        <f aca="false">SUM(BD29:BD42)+BD43</f>
        <v>161021.600514419</v>
      </c>
      <c r="BE44" s="71" t="n">
        <f aca="false">SUM(BE29:BE42)+BE43</f>
        <v>167736.692043542</v>
      </c>
      <c r="BF44" s="71" t="n">
        <f aca="false">SUM(BF29:BF42)+BF43</f>
        <v>157645.197955209</v>
      </c>
      <c r="BG44" s="71" t="n">
        <f aca="false">SUM(BG29:BG42)+BG43</f>
        <v>163614.892962542</v>
      </c>
      <c r="BH44" s="71" t="n">
        <f aca="false">SUM(BH29:BH42)+BH43</f>
        <v>170779.623768509</v>
      </c>
      <c r="BI44" s="71" t="n">
        <f aca="false">SUM(BI29:BI42)+BI43</f>
        <v>161483.550563427</v>
      </c>
      <c r="BJ44" s="71" t="n">
        <f aca="false">SUM(BJ29:BJ42)+BJ43</f>
        <v>168117.203223599</v>
      </c>
      <c r="BK44" s="71" t="n">
        <f aca="false">SUM(BK29:BK42)+BK43</f>
        <v>176079.766918763</v>
      </c>
      <c r="BL44" s="71" t="n">
        <f aca="false">SUM(BL29:BL42)+BL43</f>
        <v>163258.104269669</v>
      </c>
      <c r="BM44" s="71" t="n">
        <f aca="false">SUM(BM29:BM42)+BM43</f>
        <v>170185.979326779</v>
      </c>
      <c r="BN44" s="71" t="n">
        <f aca="false">SUM(BN29:BN42)+BN43</f>
        <v>178502.773116034</v>
      </c>
    </row>
    <row r="45" customFormat="false" ht="15" hidden="false" customHeight="false" outlineLevel="0" collapsed="false">
      <c r="A45" s="12" t="s">
        <v>836</v>
      </c>
      <c r="B45" s="65" t="n">
        <f aca="false">SUM(C45:N45)</f>
        <v>3387.5</v>
      </c>
      <c r="C45" s="77" t="n">
        <f aca="false">'Depreciation and Amortization'!C$16</f>
        <v>0</v>
      </c>
      <c r="D45" s="77" t="n">
        <f aca="false">'Depreciation and Amortization'!D$16</f>
        <v>241.666666666667</v>
      </c>
      <c r="E45" s="77" t="n">
        <f aca="false">'Depreciation and Amortization'!E$16</f>
        <v>314.583333333333</v>
      </c>
      <c r="F45" s="77" t="n">
        <f aca="false">'Depreciation and Amortization'!F$16</f>
        <v>314.583333333333</v>
      </c>
      <c r="G45" s="77" t="n">
        <f aca="false">'Depreciation and Amortization'!G$16</f>
        <v>314.583333333333</v>
      </c>
      <c r="H45" s="77" t="n">
        <f aca="false">'Depreciation and Amortization'!H$16</f>
        <v>314.583333333333</v>
      </c>
      <c r="I45" s="77" t="n">
        <f aca="false">'Depreciation and Amortization'!I$16</f>
        <v>314.583333333333</v>
      </c>
      <c r="J45" s="77" t="n">
        <f aca="false">'Depreciation and Amortization'!J$16</f>
        <v>314.583333333333</v>
      </c>
      <c r="K45" s="77" t="n">
        <f aca="false">'Depreciation and Amortization'!K$16</f>
        <v>314.583333333333</v>
      </c>
      <c r="L45" s="77" t="n">
        <f aca="false">'Depreciation and Amortization'!L$16</f>
        <v>314.583333333333</v>
      </c>
      <c r="M45" s="77" t="n">
        <f aca="false">'Depreciation and Amortization'!M$16</f>
        <v>314.583333333333</v>
      </c>
      <c r="N45" s="77" t="n">
        <f aca="false">'Depreciation and Amortization'!N$16</f>
        <v>314.583333333333</v>
      </c>
      <c r="O45" s="65" t="n">
        <f aca="false">SUM(P45:AA45)</f>
        <v>5081.25</v>
      </c>
      <c r="P45" s="77" t="n">
        <f aca="false">'Depreciation and Amortization'!P$16</f>
        <v>314.583333333333</v>
      </c>
      <c r="Q45" s="77" t="n">
        <f aca="false">'Depreciation and Amortization'!Q$16</f>
        <v>433.333333333333</v>
      </c>
      <c r="R45" s="77" t="n">
        <f aca="false">'Depreciation and Amortization'!R$16</f>
        <v>433.333333333333</v>
      </c>
      <c r="S45" s="77" t="n">
        <f aca="false">'Depreciation and Amortization'!S$16</f>
        <v>433.333333333333</v>
      </c>
      <c r="T45" s="77" t="n">
        <f aca="false">'Depreciation and Amortization'!T$16</f>
        <v>433.333333333333</v>
      </c>
      <c r="U45" s="77" t="n">
        <f aca="false">'Depreciation and Amortization'!U$16</f>
        <v>433.333333333333</v>
      </c>
      <c r="V45" s="77" t="n">
        <f aca="false">'Depreciation and Amortization'!V$16</f>
        <v>433.333333333333</v>
      </c>
      <c r="W45" s="77" t="n">
        <f aca="false">'Depreciation and Amortization'!W$16</f>
        <v>433.333333333333</v>
      </c>
      <c r="X45" s="77" t="n">
        <f aca="false">'Depreciation and Amortization'!X$16</f>
        <v>433.333333333333</v>
      </c>
      <c r="Y45" s="77" t="n">
        <f aca="false">'Depreciation and Amortization'!Y$16</f>
        <v>433.333333333333</v>
      </c>
      <c r="Z45" s="77" t="n">
        <f aca="false">'Depreciation and Amortization'!Z$16</f>
        <v>433.333333333333</v>
      </c>
      <c r="AA45" s="77" t="n">
        <f aca="false">'Depreciation and Amortization'!AA$16</f>
        <v>433.333333333333</v>
      </c>
      <c r="AB45" s="65" t="n">
        <f aca="false">SUM(AC45:AN45)</f>
        <v>10127.0833333333</v>
      </c>
      <c r="AC45" s="77" t="n">
        <f aca="false">'Depreciation and Amortization'!AC$16</f>
        <v>433.333333333333</v>
      </c>
      <c r="AD45" s="77" t="n">
        <f aca="false">'Depreciation and Amortization'!AD$16</f>
        <v>881.25</v>
      </c>
      <c r="AE45" s="77" t="n">
        <f aca="false">'Depreciation and Amortization'!AE$16</f>
        <v>881.25</v>
      </c>
      <c r="AF45" s="77" t="n">
        <f aca="false">'Depreciation and Amortization'!AF$16</f>
        <v>881.25</v>
      </c>
      <c r="AG45" s="77" t="n">
        <f aca="false">'Depreciation and Amortization'!AG$16</f>
        <v>881.25</v>
      </c>
      <c r="AH45" s="77" t="n">
        <f aca="false">'Depreciation and Amortization'!AH$16</f>
        <v>881.25</v>
      </c>
      <c r="AI45" s="77" t="n">
        <f aca="false">'Depreciation and Amortization'!AI$16</f>
        <v>881.25</v>
      </c>
      <c r="AJ45" s="77" t="n">
        <f aca="false">'Depreciation and Amortization'!AJ$16</f>
        <v>881.25</v>
      </c>
      <c r="AK45" s="77" t="n">
        <f aca="false">'Depreciation and Amortization'!AK$16</f>
        <v>881.25</v>
      </c>
      <c r="AL45" s="77" t="n">
        <f aca="false">'Depreciation and Amortization'!AL$16</f>
        <v>881.25</v>
      </c>
      <c r="AM45" s="77" t="n">
        <f aca="false">'Depreciation and Amortization'!AM$16</f>
        <v>881.25</v>
      </c>
      <c r="AN45" s="77" t="n">
        <f aca="false">'Depreciation and Amortization'!AN$16</f>
        <v>881.25</v>
      </c>
      <c r="AO45" s="65" t="n">
        <f aca="false">SUM(AP45:BA45)</f>
        <v>11608.3333333333</v>
      </c>
      <c r="AP45" s="77" t="n">
        <f aca="false">'Depreciation and Amortization'!AP$16</f>
        <v>881.25</v>
      </c>
      <c r="AQ45" s="77" t="n">
        <f aca="false">'Depreciation and Amortization'!AQ$16</f>
        <v>1039.58333333333</v>
      </c>
      <c r="AR45" s="77" t="n">
        <f aca="false">'Depreciation and Amortization'!AR$16</f>
        <v>1039.58333333333</v>
      </c>
      <c r="AS45" s="77" t="n">
        <f aca="false">'Depreciation and Amortization'!AS$16</f>
        <v>1039.58333333333</v>
      </c>
      <c r="AT45" s="77" t="n">
        <f aca="false">'Depreciation and Amortization'!AT$16</f>
        <v>1039.58333333333</v>
      </c>
      <c r="AU45" s="77" t="n">
        <f aca="false">'Depreciation and Amortization'!AU$16</f>
        <v>1039.58333333333</v>
      </c>
      <c r="AV45" s="77" t="n">
        <f aca="false">'Depreciation and Amortization'!AV$16</f>
        <v>1039.58333333333</v>
      </c>
      <c r="AW45" s="77" t="n">
        <f aca="false">'Depreciation and Amortization'!AW$16</f>
        <v>997.916666666668</v>
      </c>
      <c r="AX45" s="77" t="n">
        <f aca="false">'Depreciation and Amortization'!AX$16</f>
        <v>872.916666666667</v>
      </c>
      <c r="AY45" s="77" t="n">
        <f aca="false">'Depreciation and Amortization'!AY$16</f>
        <v>872.916666666667</v>
      </c>
      <c r="AZ45" s="77" t="n">
        <f aca="false">'Depreciation and Amortization'!AZ$16</f>
        <v>872.916666666667</v>
      </c>
      <c r="BA45" s="77" t="n">
        <f aca="false">'Depreciation and Amortization'!BA$16</f>
        <v>872.916666666667</v>
      </c>
      <c r="BB45" s="65" t="n">
        <f aca="false">SUM(BC45:BN45)</f>
        <v>11845.8333333333</v>
      </c>
      <c r="BC45" s="77" t="n">
        <f aca="false">'Depreciation and Amortization'!BC$16</f>
        <v>872.916666666667</v>
      </c>
      <c r="BD45" s="77" t="n">
        <f aca="false">'Depreciation and Amortization'!BD$16</f>
        <v>1181.25</v>
      </c>
      <c r="BE45" s="77" t="n">
        <f aca="false">'Depreciation and Amortization'!BE$16</f>
        <v>1108.33333333333</v>
      </c>
      <c r="BF45" s="77" t="n">
        <f aca="false">'Depreciation and Amortization'!BF$16</f>
        <v>1108.33333333333</v>
      </c>
      <c r="BG45" s="77" t="n">
        <f aca="false">'Depreciation and Amortization'!BG$16</f>
        <v>1108.33333333333</v>
      </c>
      <c r="BH45" s="77" t="n">
        <f aca="false">'Depreciation and Amortization'!BH$16</f>
        <v>1066.66666666667</v>
      </c>
      <c r="BI45" s="77" t="n">
        <f aca="false">'Depreciation and Amortization'!BI$16</f>
        <v>900</v>
      </c>
      <c r="BJ45" s="77" t="n">
        <f aca="false">'Depreciation and Amortization'!BJ$16</f>
        <v>900</v>
      </c>
      <c r="BK45" s="77" t="n">
        <f aca="false">'Depreciation and Amortization'!BK$16</f>
        <v>900</v>
      </c>
      <c r="BL45" s="77" t="n">
        <f aca="false">'Depreciation and Amortization'!BL$16</f>
        <v>900</v>
      </c>
      <c r="BM45" s="77" t="n">
        <f aca="false">'Depreciation and Amortization'!BM$16</f>
        <v>900</v>
      </c>
      <c r="BN45" s="77" t="n">
        <f aca="false">'Depreciation and Amortization'!BN$16</f>
        <v>900</v>
      </c>
    </row>
    <row r="46" customFormat="false" ht="15" hidden="false" customHeight="false" outlineLevel="0" collapsed="false">
      <c r="A46" s="70" t="s">
        <v>837</v>
      </c>
      <c r="B46" s="65" t="n">
        <f aca="false">SUM(C46:N46)</f>
        <v>105067.495482626</v>
      </c>
      <c r="C46" s="71" t="n">
        <f aca="false">C44+C45</f>
        <v>8107.31750187046</v>
      </c>
      <c r="D46" s="71" t="n">
        <f aca="false">D44+D45</f>
        <v>8369.27456072883</v>
      </c>
      <c r="E46" s="71" t="n">
        <f aca="false">E44+E45</f>
        <v>8466.43465747761</v>
      </c>
      <c r="F46" s="71" t="n">
        <f aca="false">F44+F45</f>
        <v>8543.25074005563</v>
      </c>
      <c r="G46" s="71" t="n">
        <f aca="false">G44+G45</f>
        <v>8584.00586100474</v>
      </c>
      <c r="H46" s="71" t="n">
        <f aca="false">H44+H45</f>
        <v>8632.8819214064</v>
      </c>
      <c r="I46" s="71" t="n">
        <f aca="false">I44+I45</f>
        <v>8640.74417078797</v>
      </c>
      <c r="J46" s="71" t="n">
        <f aca="false">J44+J45</f>
        <v>8698.78365520047</v>
      </c>
      <c r="K46" s="71" t="n">
        <f aca="false">K44+K45</f>
        <v>8768.40744339234</v>
      </c>
      <c r="L46" s="71" t="n">
        <f aca="false">L44+L45</f>
        <v>9241.87475817461</v>
      </c>
      <c r="M46" s="71" t="n">
        <f aca="false">M44+M45</f>
        <v>9407.75989721778</v>
      </c>
      <c r="N46" s="71" t="n">
        <f aca="false">N44+N45</f>
        <v>9606.76031530878</v>
      </c>
      <c r="O46" s="65" t="n">
        <f aca="false">SUM(P46:AA46)</f>
        <v>400405.163613072</v>
      </c>
      <c r="P46" s="71" t="n">
        <f aca="false">P44+P45</f>
        <v>30679.3728407187</v>
      </c>
      <c r="Q46" s="71" t="n">
        <f aca="false">Q44+Q45</f>
        <v>31027.1249766404</v>
      </c>
      <c r="R46" s="71" t="n">
        <f aca="false">R44+R45</f>
        <v>31301.5302117659</v>
      </c>
      <c r="S46" s="71" t="n">
        <f aca="false">S44+S45</f>
        <v>31694.9213551352</v>
      </c>
      <c r="T46" s="71" t="n">
        <f aca="false">T44+T45</f>
        <v>32082.723981336</v>
      </c>
      <c r="U46" s="71" t="n">
        <f aca="false">U44+U45</f>
        <v>32547.7579142268</v>
      </c>
      <c r="V46" s="71" t="n">
        <f aca="false">V44+V45</f>
        <v>33153.534976473</v>
      </c>
      <c r="W46" s="71" t="n">
        <f aca="false">W44+W45</f>
        <v>33801.794305607</v>
      </c>
      <c r="X46" s="71" t="n">
        <f aca="false">X44+X45</f>
        <v>34579.3490742842</v>
      </c>
      <c r="Y46" s="71" t="n">
        <f aca="false">Y44+Y45</f>
        <v>35394.8011625276</v>
      </c>
      <c r="Z46" s="71" t="n">
        <f aca="false">Z44+Z45</f>
        <v>36442.6150863587</v>
      </c>
      <c r="AA46" s="71" t="n">
        <f aca="false">AA44+AA45</f>
        <v>37699.6377279984</v>
      </c>
      <c r="AB46" s="65" t="n">
        <f aca="false">SUM(AC46:AN46)</f>
        <v>980369.955824692</v>
      </c>
      <c r="AC46" s="71" t="n">
        <f aca="false">AC44+AC45</f>
        <v>75757.7595956142</v>
      </c>
      <c r="AD46" s="71" t="n">
        <f aca="false">AD44+AD45</f>
        <v>77753.2248104516</v>
      </c>
      <c r="AE46" s="71" t="n">
        <f aca="false">AE44+AE45</f>
        <v>79609.1474742137</v>
      </c>
      <c r="AF46" s="71" t="n">
        <f aca="false">AF44+AF45</f>
        <v>78002.5953787877</v>
      </c>
      <c r="AG46" s="71" t="n">
        <f aca="false">AG44+AG45</f>
        <v>79866.078903133</v>
      </c>
      <c r="AH46" s="71" t="n">
        <f aca="false">AH44+AH45</f>
        <v>82101.348850761</v>
      </c>
      <c r="AI46" s="71" t="n">
        <f aca="false">AI44+AI45</f>
        <v>81082.6942800077</v>
      </c>
      <c r="AJ46" s="71" t="n">
        <f aca="false">AJ44+AJ45</f>
        <v>83490.940335292</v>
      </c>
      <c r="AK46" s="71" t="n">
        <f aca="false">AK44+AK45</f>
        <v>86380.1559718121</v>
      </c>
      <c r="AL46" s="71" t="n">
        <f aca="false">AL44+AL45</f>
        <v>82593.4163945062</v>
      </c>
      <c r="AM46" s="71" t="n">
        <f aca="false">AM44+AM45</f>
        <v>85264.0672760656</v>
      </c>
      <c r="AN46" s="71" t="n">
        <f aca="false">AN44+AN45</f>
        <v>88468.526554047</v>
      </c>
      <c r="AO46" s="65" t="n">
        <f aca="false">SUM(AP46:BA46)</f>
        <v>1518536.86050368</v>
      </c>
      <c r="AP46" s="71" t="n">
        <f aca="false">AP44+AP45</f>
        <v>117539.149297754</v>
      </c>
      <c r="AQ46" s="71" t="n">
        <f aca="false">AQ44+AQ45</f>
        <v>121046.228917959</v>
      </c>
      <c r="AR46" s="71" t="n">
        <f aca="false">AR44+AR45</f>
        <v>125063.433755788</v>
      </c>
      <c r="AS46" s="71" t="n">
        <f aca="false">AS44+AS45</f>
        <v>121135.720737924</v>
      </c>
      <c r="AT46" s="71" t="n">
        <f aca="false">AT44+AT45</f>
        <v>125086.178947454</v>
      </c>
      <c r="AU46" s="71" t="n">
        <f aca="false">AU44+AU45</f>
        <v>129826.022322808</v>
      </c>
      <c r="AV46" s="71" t="n">
        <f aca="false">AV44+AV45</f>
        <v>123467.987781594</v>
      </c>
      <c r="AW46" s="71" t="n">
        <f aca="false">AW44+AW45</f>
        <v>127778.343792273</v>
      </c>
      <c r="AX46" s="71" t="n">
        <f aca="false">AX44+AX45</f>
        <v>132875.812517053</v>
      </c>
      <c r="AY46" s="71" t="n">
        <f aca="false">AY44+AY45</f>
        <v>126362.388215793</v>
      </c>
      <c r="AZ46" s="71" t="n">
        <f aca="false">AZ44+AZ45</f>
        <v>131246.789366096</v>
      </c>
      <c r="BA46" s="71" t="n">
        <f aca="false">BA44+BA45</f>
        <v>137108.804851184</v>
      </c>
      <c r="BB46" s="65" t="n">
        <f aca="false">SUM(BC46:BN46)</f>
        <v>2005696.8555659</v>
      </c>
      <c r="BC46" s="71" t="n">
        <f aca="false">BC44+BC45</f>
        <v>156298.554236746</v>
      </c>
      <c r="BD46" s="71" t="n">
        <f aca="false">BD44+BD45</f>
        <v>162202.850514419</v>
      </c>
      <c r="BE46" s="71" t="n">
        <f aca="false">BE44+BE45</f>
        <v>168845.025376875</v>
      </c>
      <c r="BF46" s="71" t="n">
        <f aca="false">BF44+BF45</f>
        <v>158753.531288542</v>
      </c>
      <c r="BG46" s="71" t="n">
        <f aca="false">BG44+BG45</f>
        <v>164723.226295875</v>
      </c>
      <c r="BH46" s="71" t="n">
        <f aca="false">BH44+BH45</f>
        <v>171846.290435175</v>
      </c>
      <c r="BI46" s="71" t="n">
        <f aca="false">BI44+BI45</f>
        <v>162383.550563427</v>
      </c>
      <c r="BJ46" s="71" t="n">
        <f aca="false">BJ44+BJ45</f>
        <v>169017.203223599</v>
      </c>
      <c r="BK46" s="71" t="n">
        <f aca="false">BK44+BK45</f>
        <v>176979.766918763</v>
      </c>
      <c r="BL46" s="71" t="n">
        <f aca="false">BL44+BL45</f>
        <v>164158.104269669</v>
      </c>
      <c r="BM46" s="71" t="n">
        <f aca="false">BM44+BM45</f>
        <v>171085.979326779</v>
      </c>
      <c r="BN46" s="71" t="n">
        <f aca="false">BN44+BN45</f>
        <v>179402.773116034</v>
      </c>
    </row>
    <row r="48" customFormat="false" ht="16.5" hidden="false" customHeight="true" outlineLevel="0" collapsed="false">
      <c r="A48" s="15" t="s">
        <v>838</v>
      </c>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row>
    <row r="49" customFormat="false" ht="15" hidden="false" customHeight="true" outlineLevel="0" collapsed="false">
      <c r="A49" s="26" t="s">
        <v>505</v>
      </c>
      <c r="B49" s="62" t="s">
        <v>80</v>
      </c>
      <c r="C49" s="63" t="s">
        <v>506</v>
      </c>
      <c r="D49" s="63" t="s">
        <v>507</v>
      </c>
      <c r="E49" s="63" t="s">
        <v>508</v>
      </c>
      <c r="F49" s="63" t="s">
        <v>509</v>
      </c>
      <c r="G49" s="63" t="s">
        <v>510</v>
      </c>
      <c r="H49" s="63" t="s">
        <v>511</v>
      </c>
      <c r="I49" s="63" t="s">
        <v>512</v>
      </c>
      <c r="J49" s="63" t="s">
        <v>513</v>
      </c>
      <c r="K49" s="63" t="s">
        <v>514</v>
      </c>
      <c r="L49" s="63" t="s">
        <v>515</v>
      </c>
      <c r="M49" s="63" t="s">
        <v>516</v>
      </c>
      <c r="N49" s="63" t="s">
        <v>517</v>
      </c>
      <c r="O49" s="62" t="s">
        <v>81</v>
      </c>
      <c r="P49" s="64" t="s">
        <v>518</v>
      </c>
      <c r="Q49" s="64" t="s">
        <v>519</v>
      </c>
      <c r="R49" s="64" t="s">
        <v>520</v>
      </c>
      <c r="S49" s="64" t="s">
        <v>521</v>
      </c>
      <c r="T49" s="64" t="s">
        <v>522</v>
      </c>
      <c r="U49" s="64" t="s">
        <v>523</v>
      </c>
      <c r="V49" s="64" t="s">
        <v>524</v>
      </c>
      <c r="W49" s="64" t="s">
        <v>525</v>
      </c>
      <c r="X49" s="64" t="s">
        <v>526</v>
      </c>
      <c r="Y49" s="64" t="s">
        <v>527</v>
      </c>
      <c r="Z49" s="64" t="s">
        <v>528</v>
      </c>
      <c r="AA49" s="64" t="s">
        <v>529</v>
      </c>
      <c r="AB49" s="62" t="s">
        <v>82</v>
      </c>
      <c r="AC49" s="63" t="s">
        <v>530</v>
      </c>
      <c r="AD49" s="63" t="s">
        <v>531</v>
      </c>
      <c r="AE49" s="63" t="s">
        <v>532</v>
      </c>
      <c r="AF49" s="63" t="s">
        <v>533</v>
      </c>
      <c r="AG49" s="63" t="s">
        <v>534</v>
      </c>
      <c r="AH49" s="63" t="s">
        <v>535</v>
      </c>
      <c r="AI49" s="63" t="s">
        <v>536</v>
      </c>
      <c r="AJ49" s="63" t="s">
        <v>537</v>
      </c>
      <c r="AK49" s="63" t="s">
        <v>538</v>
      </c>
      <c r="AL49" s="63" t="s">
        <v>539</v>
      </c>
      <c r="AM49" s="63" t="s">
        <v>540</v>
      </c>
      <c r="AN49" s="63" t="s">
        <v>541</v>
      </c>
      <c r="AO49" s="62" t="s">
        <v>83</v>
      </c>
      <c r="AP49" s="64" t="s">
        <v>542</v>
      </c>
      <c r="AQ49" s="64" t="s">
        <v>543</v>
      </c>
      <c r="AR49" s="64" t="s">
        <v>544</v>
      </c>
      <c r="AS49" s="64" t="s">
        <v>545</v>
      </c>
      <c r="AT49" s="64" t="s">
        <v>546</v>
      </c>
      <c r="AU49" s="64" t="s">
        <v>547</v>
      </c>
      <c r="AV49" s="64" t="s">
        <v>548</v>
      </c>
      <c r="AW49" s="64" t="s">
        <v>549</v>
      </c>
      <c r="AX49" s="64" t="s">
        <v>550</v>
      </c>
      <c r="AY49" s="64" t="s">
        <v>551</v>
      </c>
      <c r="AZ49" s="64" t="s">
        <v>552</v>
      </c>
      <c r="BA49" s="64" t="s">
        <v>553</v>
      </c>
      <c r="BB49" s="62" t="s">
        <v>84</v>
      </c>
      <c r="BC49" s="63" t="s">
        <v>554</v>
      </c>
      <c r="BD49" s="63" t="s">
        <v>555</v>
      </c>
      <c r="BE49" s="63" t="s">
        <v>556</v>
      </c>
      <c r="BF49" s="63" t="s">
        <v>557</v>
      </c>
      <c r="BG49" s="63" t="s">
        <v>558</v>
      </c>
      <c r="BH49" s="63" t="s">
        <v>559</v>
      </c>
      <c r="BI49" s="63" t="s">
        <v>560</v>
      </c>
      <c r="BJ49" s="63" t="s">
        <v>561</v>
      </c>
      <c r="BK49" s="63" t="s">
        <v>562</v>
      </c>
      <c r="BL49" s="63" t="s">
        <v>563</v>
      </c>
      <c r="BM49" s="63" t="s">
        <v>564</v>
      </c>
      <c r="BN49" s="63" t="s">
        <v>565</v>
      </c>
    </row>
    <row r="50" customFormat="false" ht="15" hidden="false" customHeight="false" outlineLevel="0" collapsed="false">
      <c r="A50" s="70" t="s">
        <v>89</v>
      </c>
      <c r="B50" s="65" t="n">
        <f aca="false">SUM(C50:N50)</f>
        <v>147218.754457206</v>
      </c>
      <c r="C50" s="71" t="n">
        <f aca="false">C23+C46</f>
        <v>10955.2837318639</v>
      </c>
      <c r="D50" s="71" t="n">
        <f aca="false">D23+D46</f>
        <v>11679.8977239803</v>
      </c>
      <c r="E50" s="71" t="n">
        <f aca="false">E23+E46</f>
        <v>12330.7042265611</v>
      </c>
      <c r="F50" s="71" t="n">
        <f aca="false">F23+F46</f>
        <v>10428.9323178791</v>
      </c>
      <c r="G50" s="71" t="n">
        <f aca="false">G23+G46</f>
        <v>10741.2599510776</v>
      </c>
      <c r="H50" s="71" t="n">
        <f aca="false">H23+H46</f>
        <v>11115.4480934768</v>
      </c>
      <c r="I50" s="71" t="n">
        <f aca="false">I23+I46</f>
        <v>10992.8528194917</v>
      </c>
      <c r="J50" s="71" t="n">
        <f aca="false">J23+J46</f>
        <v>11403.482864879</v>
      </c>
      <c r="K50" s="71" t="n">
        <f aca="false">K23+K46</f>
        <v>11895.7181441701</v>
      </c>
      <c r="L50" s="71" t="n">
        <f aca="false">L23+L46</f>
        <v>14172.7502776698</v>
      </c>
      <c r="M50" s="71" t="n">
        <f aca="false">M23+M46</f>
        <v>15159.6275546676</v>
      </c>
      <c r="N50" s="71" t="n">
        <f aca="false">N23+N46</f>
        <v>16342.7967514887</v>
      </c>
      <c r="O50" s="65" t="n">
        <f aca="false">SUM(P50:AA50)</f>
        <v>643522.741553424</v>
      </c>
      <c r="P50" s="71" t="n">
        <f aca="false">P23+P46</f>
        <v>38587.5325072183</v>
      </c>
      <c r="Q50" s="71" t="n">
        <f aca="false">Q23+Q46</f>
        <v>40178.2613455621</v>
      </c>
      <c r="R50" s="71" t="n">
        <f aca="false">R23+R46</f>
        <v>41938.1779175446</v>
      </c>
      <c r="S50" s="71" t="n">
        <f aca="false">S23+S46</f>
        <v>43935.835940359</v>
      </c>
      <c r="T50" s="71" t="n">
        <f aca="false">T23+T46</f>
        <v>46323.2733716511</v>
      </c>
      <c r="U50" s="71" t="n">
        <f aca="false">U23+U46</f>
        <v>49182.5681249345</v>
      </c>
      <c r="V50" s="71" t="n">
        <f aca="false">V23+V46</f>
        <v>51512.5468989847</v>
      </c>
      <c r="W50" s="71" t="n">
        <f aca="false">W23+W46</f>
        <v>55253.2053359509</v>
      </c>
      <c r="X50" s="71" t="n">
        <f aca="false">X23+X46</f>
        <v>59735.8601543122</v>
      </c>
      <c r="Y50" s="71" t="n">
        <f aca="false">Y23+Y46</f>
        <v>65629.5884555822</v>
      </c>
      <c r="Z50" s="71" t="n">
        <f aca="false">Z23+Z46</f>
        <v>71877.3830967405</v>
      </c>
      <c r="AA50" s="71" t="n">
        <f aca="false">AA23+AA46</f>
        <v>79368.5084045843</v>
      </c>
      <c r="AB50" s="65" t="n">
        <f aca="false">SUM(AC50:AN50)</f>
        <v>1897825.77154344</v>
      </c>
      <c r="AC50" s="71" t="n">
        <f aca="false">AC23+AC46</f>
        <v>121490.011127605</v>
      </c>
      <c r="AD50" s="71" t="n">
        <f aca="false">AD23+AD46</f>
        <v>131294.027981645</v>
      </c>
      <c r="AE50" s="71" t="n">
        <f aca="false">AE23+AE46</f>
        <v>142503.06023026</v>
      </c>
      <c r="AF50" s="71" t="n">
        <f aca="false">AF23+AF46</f>
        <v>134725.902579471</v>
      </c>
      <c r="AG50" s="71" t="n">
        <f aca="false">AG23+AG46</f>
        <v>146284.857514124</v>
      </c>
      <c r="AH50" s="71" t="n">
        <f aca="false">AH23+AH46</f>
        <v>160140.094800904</v>
      </c>
      <c r="AI50" s="71" t="n">
        <f aca="false">AI23+AI46</f>
        <v>153596.556509955</v>
      </c>
      <c r="AJ50" s="71" t="n">
        <f aca="false">AJ23+AJ46</f>
        <v>168431.553228289</v>
      </c>
      <c r="AK50" s="71" t="n">
        <f aca="false">AK23+AK46</f>
        <v>186220.947476316</v>
      </c>
      <c r="AL50" s="71" t="n">
        <f aca="false">AL23+AL46</f>
        <v>166281.530180969</v>
      </c>
      <c r="AM50" s="71" t="n">
        <f aca="false">AM23+AM46</f>
        <v>183250.930478292</v>
      </c>
      <c r="AN50" s="71" t="n">
        <f aca="false">AN23+AN46</f>
        <v>203606.299435608</v>
      </c>
      <c r="AO50" s="65" t="n">
        <f aca="false">SUM(AP50:BA50)</f>
        <v>3376714.09899283</v>
      </c>
      <c r="AP50" s="71" t="n">
        <f aca="false">AP23+AP46</f>
        <v>221556.437323748</v>
      </c>
      <c r="AQ50" s="71" t="n">
        <f aca="false">AQ23+AQ46</f>
        <v>242927.649225096</v>
      </c>
      <c r="AR50" s="71" t="n">
        <f aca="false">AR23+AR46</f>
        <v>268361.1210354</v>
      </c>
      <c r="AS50" s="71" t="n">
        <f aca="false">AS23+AS46</f>
        <v>245913.03765943</v>
      </c>
      <c r="AT50" s="71" t="n">
        <f aca="false">AT23+AT46</f>
        <v>271243.882054024</v>
      </c>
      <c r="AU50" s="71" t="n">
        <f aca="false">AU23+AU46</f>
        <v>301626.445483578</v>
      </c>
      <c r="AV50" s="71" t="n">
        <f aca="false">AV23+AV46</f>
        <v>260606.784620896</v>
      </c>
      <c r="AW50" s="71" t="n">
        <f aca="false">AW23+AW46</f>
        <v>288267.590253446</v>
      </c>
      <c r="AX50" s="71" t="n">
        <f aca="false">AX23+AX46</f>
        <v>321380.971936893</v>
      </c>
      <c r="AY50" s="71" t="n">
        <f aca="false">AY23+AY46</f>
        <v>284413.090135241</v>
      </c>
      <c r="AZ50" s="71" t="n">
        <f aca="false">AZ23+AZ46</f>
        <v>316158.87891877</v>
      </c>
      <c r="BA50" s="71" t="n">
        <f aca="false">BA23+BA46</f>
        <v>354258.210346314</v>
      </c>
      <c r="BB50" s="65" t="n">
        <f aca="false">SUM(BC50:BN50)</f>
        <v>4936390.4742942</v>
      </c>
      <c r="BC50" s="71" t="n">
        <f aca="false">BC23+BC46</f>
        <v>337722.455711236</v>
      </c>
      <c r="BD50" s="71" t="n">
        <f aca="false">BD23+BD46</f>
        <v>374452.537211926</v>
      </c>
      <c r="BE50" s="71" t="n">
        <f aca="false">BE23+BE46</f>
        <v>418078.363703246</v>
      </c>
      <c r="BF50" s="71" t="n">
        <f aca="false">BF23+BF46</f>
        <v>355400.657334934</v>
      </c>
      <c r="BG50" s="71" t="n">
        <f aca="false">BG23+BG46</f>
        <v>394565.24019541</v>
      </c>
      <c r="BH50" s="71" t="n">
        <f aca="false">BH23+BH46</f>
        <v>441529.16838518</v>
      </c>
      <c r="BI50" s="71" t="n">
        <f aca="false">BI23+BI46</f>
        <v>379753.943568764</v>
      </c>
      <c r="BJ50" s="71" t="n">
        <f aca="false">BJ23+BJ46</f>
        <v>422957.494562459</v>
      </c>
      <c r="BK50" s="71" t="n">
        <f aca="false">BK23+BK46</f>
        <v>474824.107050374</v>
      </c>
      <c r="BL50" s="71" t="n">
        <f aca="false">BL23+BL46</f>
        <v>396765.016412045</v>
      </c>
      <c r="BM50" s="71" t="n">
        <f aca="false">BM23+BM46</f>
        <v>442631.77388684</v>
      </c>
      <c r="BN50" s="71" t="n">
        <f aca="false">BN23+BN46</f>
        <v>497709.716271785</v>
      </c>
    </row>
    <row r="51" customFormat="false" ht="15" hidden="false" customHeight="false" outlineLevel="0" collapsed="false">
      <c r="A51" s="67" t="s">
        <v>87</v>
      </c>
      <c r="B51" s="68" t="n">
        <f aca="false">SUM(C51:N51)</f>
        <v>-32739.0509537965</v>
      </c>
      <c r="C51" s="69" t="n">
        <f aca="false">C24-C44</f>
        <v>-9030.26234720481</v>
      </c>
      <c r="D51" s="69" t="n">
        <f aca="false">D24-D44</f>
        <v>-9069.43203799542</v>
      </c>
      <c r="E51" s="69" t="n">
        <f aca="false">E24-E44</f>
        <v>-9122.03673925049</v>
      </c>
      <c r="F51" s="69" t="n">
        <f aca="false">F24-F44</f>
        <v>-5469.05944590942</v>
      </c>
      <c r="G51" s="69" t="n">
        <f aca="false">G24-G44</f>
        <v>-4979.5854444488</v>
      </c>
      <c r="H51" s="69" t="n">
        <f aca="false">H24-H44</f>
        <v>-4397.4964521889</v>
      </c>
      <c r="I51" s="69" t="n">
        <f aca="false">I24-I44</f>
        <v>-4078.6107935447</v>
      </c>
      <c r="J51" s="69" t="n">
        <f aca="false">J24-J44</f>
        <v>-3359.51045427291</v>
      </c>
      <c r="K51" s="69" t="n">
        <f aca="false">K24-K44</f>
        <v>-2502.00734890491</v>
      </c>
      <c r="L51" s="69" t="n">
        <f aca="false">L24-L44</f>
        <v>4062.59490225449</v>
      </c>
      <c r="M51" s="69" t="n">
        <f aca="false">M24-M44</f>
        <v>6277.48200991572</v>
      </c>
      <c r="N51" s="69" t="n">
        <f aca="false">N24-N44</f>
        <v>8928.8731977537</v>
      </c>
      <c r="O51" s="68" t="n">
        <f aca="false">SUM(P51:AA51)</f>
        <v>258560.062759833</v>
      </c>
      <c r="P51" s="69" t="n">
        <f aca="false">P24-P44</f>
        <v>-13388.0016807663</v>
      </c>
      <c r="Q51" s="69" t="n">
        <f aca="false">Q24-Q44</f>
        <v>-10421.1250585672</v>
      </c>
      <c r="R51" s="69" t="n">
        <f aca="false">R24-R44</f>
        <v>-6888.35267000676</v>
      </c>
      <c r="S51" s="69" t="n">
        <f aca="false">S24-S44</f>
        <v>-1170.62448227818</v>
      </c>
      <c r="T51" s="69" t="n">
        <f aca="false">T24-T44</f>
        <v>3979.50554697267</v>
      </c>
      <c r="U51" s="69" t="n">
        <f aca="false">U24-U44</f>
        <v>10129.1957542322</v>
      </c>
      <c r="V51" s="69" t="n">
        <f aca="false">V24-V44</f>
        <v>19342.9421907249</v>
      </c>
      <c r="W51" s="69" t="n">
        <f aca="false">W24-W44</f>
        <v>28166.5364643017</v>
      </c>
      <c r="X51" s="69" t="n">
        <f aca="false">X24-X44</f>
        <v>38720.7673564833</v>
      </c>
      <c r="Y51" s="69" t="n">
        <f aca="false">Y24-Y44</f>
        <v>48536.4309324229</v>
      </c>
      <c r="Z51" s="69" t="n">
        <f aca="false">Z24-Z44</f>
        <v>62448.1390018075</v>
      </c>
      <c r="AA51" s="69" t="n">
        <f aca="false">AA24-AA44</f>
        <v>79104.6494045066</v>
      </c>
      <c r="AB51" s="68" t="n">
        <f aca="false">SUM(AC51:AN51)</f>
        <v>1454378.27941141</v>
      </c>
      <c r="AC51" s="69" t="n">
        <f aca="false">AC24-AC44</f>
        <v>47172.5309111327</v>
      </c>
      <c r="AD51" s="69" t="n">
        <f aca="false">AD24-AD44</f>
        <v>67766.220786739</v>
      </c>
      <c r="AE51" s="69" t="n">
        <f aca="false">AE24-AE44</f>
        <v>92404.7856011037</v>
      </c>
      <c r="AF51" s="69" t="n">
        <f aca="false">AF24-AF44</f>
        <v>71201.3101482057</v>
      </c>
      <c r="AG51" s="69" t="n">
        <f aca="false">AG24-AG44</f>
        <v>95733.946276533</v>
      </c>
      <c r="AH51" s="69" t="n">
        <f aca="false">AH24-AH44</f>
        <v>125090.489052733</v>
      </c>
      <c r="AI51" s="69" t="n">
        <f aca="false">AI24-AI44</f>
        <v>114008.232906661</v>
      </c>
      <c r="AJ51" s="69" t="n">
        <f aca="false">AJ24-AJ44</f>
        <v>145592.594251307</v>
      </c>
      <c r="AK51" s="69" t="n">
        <f aca="false">AK24-AK44</f>
        <v>183403.941066259</v>
      </c>
      <c r="AL51" s="69" t="n">
        <f aca="false">AL24-AL44</f>
        <v>134058.84525792</v>
      </c>
      <c r="AM51" s="69" t="n">
        <f aca="false">AM24-AM44</f>
        <v>168410.056023577</v>
      </c>
      <c r="AN51" s="69" t="n">
        <f aca="false">AN24-AN44</f>
        <v>209535.327129241</v>
      </c>
      <c r="AO51" s="68" t="n">
        <f aca="false">SUM(AP51:BA51)</f>
        <v>3286870.03083777</v>
      </c>
      <c r="AP51" s="69" t="n">
        <f aca="false">AP24-AP44</f>
        <v>154742.251011858</v>
      </c>
      <c r="AQ51" s="69" t="n">
        <f aca="false">AQ24-AQ44</f>
        <v>197941.082381268</v>
      </c>
      <c r="AR51" s="69" t="n">
        <f aca="false">AR24-AR44</f>
        <v>249662.738308388</v>
      </c>
      <c r="AS51" s="69" t="n">
        <f aca="false">AS24-AS44</f>
        <v>201109.406121782</v>
      </c>
      <c r="AT51" s="69" t="n">
        <f aca="false">AT24-AT44</f>
        <v>251632.787664613</v>
      </c>
      <c r="AU51" s="69" t="n">
        <f aca="false">AU24-AU44</f>
        <v>312130.179972482</v>
      </c>
      <c r="AV51" s="69" t="n">
        <f aca="false">AV24-AV44</f>
        <v>237079.569272589</v>
      </c>
      <c r="AW51" s="69" t="n">
        <f aca="false">AW24-AW44</f>
        <v>292722.356910797</v>
      </c>
      <c r="AX51" s="69" t="n">
        <f aca="false">AX24-AX44</f>
        <v>359351.552964774</v>
      </c>
      <c r="AY51" s="69" t="n">
        <f aca="false">AY24-AY44</f>
        <v>277693.685870517</v>
      </c>
      <c r="AZ51" s="69" t="n">
        <f aca="false">AZ24-AZ44</f>
        <v>339435.673024412</v>
      </c>
      <c r="BA51" s="69" t="n">
        <f aca="false">BA24-BA44</f>
        <v>413368.747334292</v>
      </c>
      <c r="BB51" s="68" t="n">
        <f aca="false">SUM(BC51:BN51)</f>
        <v>5396383.28422552</v>
      </c>
      <c r="BC51" s="69" t="n">
        <f aca="false">BC24-BC44</f>
        <v>308240.927754551</v>
      </c>
      <c r="BD51" s="69" t="n">
        <f aca="false">BD24-BD44</f>
        <v>378603.493872376</v>
      </c>
      <c r="BE51" s="69" t="n">
        <f aca="false">BE24-BE44</f>
        <v>462860.051199569</v>
      </c>
      <c r="BF51" s="69" t="n">
        <f aca="false">BF24-BF44</f>
        <v>340437.085103063</v>
      </c>
      <c r="BG51" s="69" t="n">
        <f aca="false">BG24-BG44</f>
        <v>414865.493590267</v>
      </c>
      <c r="BH51" s="69" t="n">
        <f aca="false">BH24-BH44</f>
        <v>503987.126656512</v>
      </c>
      <c r="BI51" s="69" t="n">
        <f aca="false">BI24-BI44</f>
        <v>395870.699758109</v>
      </c>
      <c r="BJ51" s="69" t="n">
        <f aca="false">BJ24-BJ44</f>
        <v>478763.457424595</v>
      </c>
      <c r="BK51" s="69" t="n">
        <f aca="false">BK24-BK44</f>
        <v>578024.666046861</v>
      </c>
      <c r="BL51" s="69" t="n">
        <f aca="false">BL24-BL44</f>
        <v>420410.673387037</v>
      </c>
      <c r="BM51" s="69" t="n">
        <f aca="false">BM24-BM44</f>
        <v>505948.901634923</v>
      </c>
      <c r="BN51" s="69" t="n">
        <f aca="false">BN24-BN44</f>
        <v>608370.70779766</v>
      </c>
    </row>
    <row r="52" customFormat="false" ht="15" hidden="false" customHeight="false" outlineLevel="0" collapsed="false">
      <c r="A52" s="67" t="s">
        <v>839</v>
      </c>
      <c r="B52" s="68" t="n">
        <f aca="false">SUM(C52:N52)</f>
        <v>-36126.5509537965</v>
      </c>
      <c r="C52" s="69" t="n">
        <f aca="false">C51-C45</f>
        <v>-9030.26234720481</v>
      </c>
      <c r="D52" s="69" t="n">
        <f aca="false">D51-D45</f>
        <v>-9311.09870466209</v>
      </c>
      <c r="E52" s="69" t="n">
        <f aca="false">E51-E45</f>
        <v>-9436.62007258382</v>
      </c>
      <c r="F52" s="69" t="n">
        <f aca="false">F51-F45</f>
        <v>-5783.64277924275</v>
      </c>
      <c r="G52" s="69" t="n">
        <f aca="false">G51-G45</f>
        <v>-5294.16877778213</v>
      </c>
      <c r="H52" s="69" t="n">
        <f aca="false">H51-H45</f>
        <v>-4712.07978552224</v>
      </c>
      <c r="I52" s="69" t="n">
        <f aca="false">I51-I45</f>
        <v>-4393.19412687804</v>
      </c>
      <c r="J52" s="69" t="n">
        <f aca="false">J51-J45</f>
        <v>-3674.09378760625</v>
      </c>
      <c r="K52" s="69" t="n">
        <f aca="false">K51-K45</f>
        <v>-2816.59068223825</v>
      </c>
      <c r="L52" s="69" t="n">
        <f aca="false">L51-L45</f>
        <v>3748.01156892116</v>
      </c>
      <c r="M52" s="69" t="n">
        <f aca="false">M51-M45</f>
        <v>5962.89867658239</v>
      </c>
      <c r="N52" s="69" t="n">
        <f aca="false">N51-N45</f>
        <v>8614.28986442036</v>
      </c>
      <c r="O52" s="68" t="n">
        <f aca="false">SUM(P52:AA52)</f>
        <v>253478.812759833</v>
      </c>
      <c r="P52" s="69" t="n">
        <f aca="false">P51-P45</f>
        <v>-13702.5850140996</v>
      </c>
      <c r="Q52" s="69" t="n">
        <f aca="false">Q51-Q45</f>
        <v>-10854.4583919005</v>
      </c>
      <c r="R52" s="69" t="n">
        <f aca="false">R51-R45</f>
        <v>-7321.68600334009</v>
      </c>
      <c r="S52" s="69" t="n">
        <f aca="false">S51-S45</f>
        <v>-1603.95781561151</v>
      </c>
      <c r="T52" s="69" t="n">
        <f aca="false">T51-T45</f>
        <v>3546.17221363933</v>
      </c>
      <c r="U52" s="69" t="n">
        <f aca="false">U51-U45</f>
        <v>9695.86242089882</v>
      </c>
      <c r="V52" s="69" t="n">
        <f aca="false">V51-V45</f>
        <v>18909.6088573916</v>
      </c>
      <c r="W52" s="69" t="n">
        <f aca="false">W51-W45</f>
        <v>27733.2031309683</v>
      </c>
      <c r="X52" s="69" t="n">
        <f aca="false">X51-X45</f>
        <v>38287.43402315</v>
      </c>
      <c r="Y52" s="69" t="n">
        <f aca="false">Y51-Y45</f>
        <v>48103.0975990895</v>
      </c>
      <c r="Z52" s="69" t="n">
        <f aca="false">Z51-Z45</f>
        <v>62014.8056684742</v>
      </c>
      <c r="AA52" s="69" t="n">
        <f aca="false">AA51-AA45</f>
        <v>78671.3160711733</v>
      </c>
      <c r="AB52" s="68" t="n">
        <f aca="false">SUM(AC52:AN52)</f>
        <v>1444251.19607808</v>
      </c>
      <c r="AC52" s="69" t="n">
        <f aca="false">AC51-AC45</f>
        <v>46739.1975777993</v>
      </c>
      <c r="AD52" s="69" t="n">
        <f aca="false">AD51-AD45</f>
        <v>66884.970786739</v>
      </c>
      <c r="AE52" s="69" t="n">
        <f aca="false">AE51-AE45</f>
        <v>91523.5356011037</v>
      </c>
      <c r="AF52" s="69" t="n">
        <f aca="false">AF51-AF45</f>
        <v>70320.0601482057</v>
      </c>
      <c r="AG52" s="69" t="n">
        <f aca="false">AG51-AG45</f>
        <v>94852.696276533</v>
      </c>
      <c r="AH52" s="69" t="n">
        <f aca="false">AH51-AH45</f>
        <v>124209.239052733</v>
      </c>
      <c r="AI52" s="69" t="n">
        <f aca="false">AI51-AI45</f>
        <v>113126.982906661</v>
      </c>
      <c r="AJ52" s="69" t="n">
        <f aca="false">AJ51-AJ45</f>
        <v>144711.344251307</v>
      </c>
      <c r="AK52" s="69" t="n">
        <f aca="false">AK51-AK45</f>
        <v>182522.691066259</v>
      </c>
      <c r="AL52" s="69" t="n">
        <f aca="false">AL51-AL45</f>
        <v>133177.59525792</v>
      </c>
      <c r="AM52" s="69" t="n">
        <f aca="false">AM51-AM45</f>
        <v>167528.806023577</v>
      </c>
      <c r="AN52" s="69" t="n">
        <f aca="false">AN51-AN45</f>
        <v>208654.077129241</v>
      </c>
      <c r="AO52" s="68" t="n">
        <f aca="false">SUM(AP52:BA52)</f>
        <v>3275261.69750444</v>
      </c>
      <c r="AP52" s="69" t="n">
        <f aca="false">AP51-AP45</f>
        <v>153861.001011858</v>
      </c>
      <c r="AQ52" s="69" t="n">
        <f aca="false">AQ51-AQ45</f>
        <v>196901.499047934</v>
      </c>
      <c r="AR52" s="69" t="n">
        <f aca="false">AR51-AR45</f>
        <v>248623.154975054</v>
      </c>
      <c r="AS52" s="69" t="n">
        <f aca="false">AS51-AS45</f>
        <v>200069.822788449</v>
      </c>
      <c r="AT52" s="69" t="n">
        <f aca="false">AT51-AT45</f>
        <v>250593.204331279</v>
      </c>
      <c r="AU52" s="69" t="n">
        <f aca="false">AU51-AU45</f>
        <v>311090.596639149</v>
      </c>
      <c r="AV52" s="69" t="n">
        <f aca="false">AV51-AV45</f>
        <v>236039.985939256</v>
      </c>
      <c r="AW52" s="69" t="n">
        <f aca="false">AW51-AW45</f>
        <v>291724.44024413</v>
      </c>
      <c r="AX52" s="69" t="n">
        <f aca="false">AX51-AX45</f>
        <v>358478.636298108</v>
      </c>
      <c r="AY52" s="69" t="n">
        <f aca="false">AY51-AY45</f>
        <v>276820.76920385</v>
      </c>
      <c r="AZ52" s="69" t="n">
        <f aca="false">AZ51-AZ45</f>
        <v>338562.756357745</v>
      </c>
      <c r="BA52" s="69" t="n">
        <f aca="false">BA51-BA45</f>
        <v>412495.830667626</v>
      </c>
      <c r="BB52" s="68" t="n">
        <f aca="false">SUM(BC52:BN52)</f>
        <v>5384537.45089219</v>
      </c>
      <c r="BC52" s="69" t="n">
        <f aca="false">BC51-BC45</f>
        <v>307368.011087885</v>
      </c>
      <c r="BD52" s="69" t="n">
        <f aca="false">BD51-BD45</f>
        <v>377422.243872376</v>
      </c>
      <c r="BE52" s="69" t="n">
        <f aca="false">BE51-BE45</f>
        <v>461751.717866236</v>
      </c>
      <c r="BF52" s="69" t="n">
        <f aca="false">BF51-BF45</f>
        <v>339328.75176973</v>
      </c>
      <c r="BG52" s="69" t="n">
        <f aca="false">BG51-BG45</f>
        <v>413757.160256934</v>
      </c>
      <c r="BH52" s="69" t="n">
        <f aca="false">BH51-BH45</f>
        <v>502920.459989845</v>
      </c>
      <c r="BI52" s="69" t="n">
        <f aca="false">BI51-BI45</f>
        <v>394970.699758109</v>
      </c>
      <c r="BJ52" s="69" t="n">
        <f aca="false">BJ51-BJ45</f>
        <v>477863.457424595</v>
      </c>
      <c r="BK52" s="69" t="n">
        <f aca="false">BK51-BK45</f>
        <v>577124.666046861</v>
      </c>
      <c r="BL52" s="69" t="n">
        <f aca="false">BL51-BL45</f>
        <v>419510.673387037</v>
      </c>
      <c r="BM52" s="69" t="n">
        <f aca="false">BM51-BM45</f>
        <v>505048.901634923</v>
      </c>
      <c r="BN52" s="69" t="n">
        <f aca="false">BN51-BN45</f>
        <v>607470.70779766</v>
      </c>
    </row>
    <row r="53" customFormat="false" ht="15" hidden="false" customHeight="false" outlineLevel="0" collapsed="false">
      <c r="A53" s="12" t="s">
        <v>840</v>
      </c>
      <c r="B53" s="65" t="n">
        <f aca="false">SUM(C53:N53)</f>
        <v>56634.9954826256</v>
      </c>
      <c r="C53" s="66" t="n">
        <f aca="false">C44-Payroll!C$51</f>
        <v>4353.56750187046</v>
      </c>
      <c r="D53" s="66" t="n">
        <f aca="false">D44-Payroll!D$51</f>
        <v>4373.85789406216</v>
      </c>
      <c r="E53" s="66" t="n">
        <f aca="false">E44-Payroll!E$51</f>
        <v>4398.10132414428</v>
      </c>
      <c r="F53" s="66" t="n">
        <f aca="false">F44-Payroll!F$51</f>
        <v>4474.91740672229</v>
      </c>
      <c r="G53" s="66" t="n">
        <f aca="false">G44-Payroll!G$51</f>
        <v>4515.6725276714</v>
      </c>
      <c r="H53" s="66" t="n">
        <f aca="false">H44-Payroll!H$51</f>
        <v>4564.54858807306</v>
      </c>
      <c r="I53" s="66" t="n">
        <f aca="false">I44-Payroll!I$51</f>
        <v>4572.41083745464</v>
      </c>
      <c r="J53" s="66" t="n">
        <f aca="false">J44-Payroll!J$51</f>
        <v>4630.45032186713</v>
      </c>
      <c r="K53" s="66" t="n">
        <f aca="false">K44-Payroll!K$51</f>
        <v>4700.074110059</v>
      </c>
      <c r="L53" s="66" t="n">
        <f aca="false">L44-Payroll!L$51</f>
        <v>5173.54142484128</v>
      </c>
      <c r="M53" s="66" t="n">
        <f aca="false">M44-Payroll!M$51</f>
        <v>5339.42656388444</v>
      </c>
      <c r="N53" s="66" t="n">
        <f aca="false">N44-Payroll!N$51</f>
        <v>5538.42698197545</v>
      </c>
      <c r="O53" s="65" t="n">
        <f aca="false">SUM(P53:AA53)</f>
        <v>226231.913613072</v>
      </c>
      <c r="P53" s="66" t="n">
        <f aca="false">P44-Payroll!P$51</f>
        <v>16273.7895073854</v>
      </c>
      <c r="Q53" s="66" t="n">
        <f aca="false">Q44-Payroll!Q$51</f>
        <v>16502.791643307</v>
      </c>
      <c r="R53" s="66" t="n">
        <f aca="false">R44-Payroll!R$51</f>
        <v>16777.1968784326</v>
      </c>
      <c r="S53" s="66" t="n">
        <f aca="false">S44-Payroll!S$51</f>
        <v>17170.5880218019</v>
      </c>
      <c r="T53" s="66" t="n">
        <f aca="false">T44-Payroll!T$51</f>
        <v>17558.3906480027</v>
      </c>
      <c r="U53" s="66" t="n">
        <f aca="false">U44-Payroll!U$51</f>
        <v>18023.4245808935</v>
      </c>
      <c r="V53" s="66" t="n">
        <f aca="false">V44-Payroll!V$51</f>
        <v>18629.2016431397</v>
      </c>
      <c r="W53" s="66" t="n">
        <f aca="false">W44-Payroll!W$51</f>
        <v>19277.4609722736</v>
      </c>
      <c r="X53" s="66" t="n">
        <f aca="false">X44-Payroll!X$51</f>
        <v>20055.0157409508</v>
      </c>
      <c r="Y53" s="66" t="n">
        <f aca="false">Y44-Payroll!Y$51</f>
        <v>20870.4678291942</v>
      </c>
      <c r="Z53" s="66" t="n">
        <f aca="false">Z44-Payroll!Z$51</f>
        <v>21918.2817530254</v>
      </c>
      <c r="AA53" s="66" t="n">
        <f aca="false">AA44-Payroll!AA$51</f>
        <v>23175.3043946651</v>
      </c>
      <c r="AB53" s="65" t="n">
        <f aca="false">SUM(AC53:AN53)</f>
        <v>569688.872491358</v>
      </c>
      <c r="AC53" s="66" t="n">
        <f aca="false">AC44-Payroll!AC$51</f>
        <v>41944.9262622809</v>
      </c>
      <c r="AD53" s="66" t="n">
        <f aca="false">AD44-Payroll!AD$51</f>
        <v>43492.4748104515</v>
      </c>
      <c r="AE53" s="66" t="n">
        <f aca="false">AE44-Payroll!AE$51</f>
        <v>45348.3974742137</v>
      </c>
      <c r="AF53" s="66" t="n">
        <f aca="false">AF44-Payroll!AF$51</f>
        <v>43741.8453787877</v>
      </c>
      <c r="AG53" s="66" t="n">
        <f aca="false">AG44-Payroll!AG$51</f>
        <v>45605.328903133</v>
      </c>
      <c r="AH53" s="66" t="n">
        <f aca="false">AH44-Payroll!AH$51</f>
        <v>47840.598850761</v>
      </c>
      <c r="AI53" s="66" t="n">
        <f aca="false">AI44-Payroll!AI$51</f>
        <v>46821.9442800077</v>
      </c>
      <c r="AJ53" s="66" t="n">
        <f aca="false">AJ44-Payroll!AJ$51</f>
        <v>49230.190335292</v>
      </c>
      <c r="AK53" s="66" t="n">
        <f aca="false">AK44-Payroll!AK$51</f>
        <v>52119.4059718121</v>
      </c>
      <c r="AL53" s="66" t="n">
        <f aca="false">AL44-Payroll!AL$51</f>
        <v>48332.6663945062</v>
      </c>
      <c r="AM53" s="66" t="n">
        <f aca="false">AM44-Payroll!AM$51</f>
        <v>51003.3172760656</v>
      </c>
      <c r="AN53" s="66" t="n">
        <f aca="false">AN44-Payroll!AN$51</f>
        <v>54207.776554047</v>
      </c>
      <c r="AO53" s="65" t="n">
        <f aca="false">SUM(AP53:BA53)</f>
        <v>949063.527170347</v>
      </c>
      <c r="AP53" s="66" t="n">
        <f aca="false">AP44-Payroll!AP$51</f>
        <v>70169.1492977544</v>
      </c>
      <c r="AQ53" s="66" t="n">
        <f aca="false">AQ44-Payroll!AQ$51</f>
        <v>73517.8955846262</v>
      </c>
      <c r="AR53" s="66" t="n">
        <f aca="false">AR44-Payroll!AR$51</f>
        <v>77535.1004224544</v>
      </c>
      <c r="AS53" s="66" t="n">
        <f aca="false">AS44-Payroll!AS$51</f>
        <v>73607.3874045911</v>
      </c>
      <c r="AT53" s="66" t="n">
        <f aca="false">AT44-Payroll!AT$51</f>
        <v>77557.8456141211</v>
      </c>
      <c r="AU53" s="66" t="n">
        <f aca="false">AU44-Payroll!AU$51</f>
        <v>82297.6889894745</v>
      </c>
      <c r="AV53" s="66" t="n">
        <f aca="false">AV44-Payroll!AV$51</f>
        <v>75939.6544482603</v>
      </c>
      <c r="AW53" s="66" t="n">
        <f aca="false">AW44-Payroll!AW$51</f>
        <v>80291.6771256068</v>
      </c>
      <c r="AX53" s="66" t="n">
        <f aca="false">AX44-Payroll!AX$51</f>
        <v>85514.1458503859</v>
      </c>
      <c r="AY53" s="66" t="n">
        <f aca="false">AY44-Payroll!AY$51</f>
        <v>79000.7215491261</v>
      </c>
      <c r="AZ53" s="66" t="n">
        <f aca="false">AZ44-Payroll!AZ$51</f>
        <v>83885.1226994293</v>
      </c>
      <c r="BA53" s="66" t="n">
        <f aca="false">BA44-Payroll!BA$51</f>
        <v>89747.1381845173</v>
      </c>
      <c r="BB53" s="65" t="n">
        <f aca="false">SUM(BC53:BN53)</f>
        <v>1332729.02223257</v>
      </c>
      <c r="BC53" s="66" t="n">
        <f aca="false">BC44-Payroll!BC$51</f>
        <v>100332.137570079</v>
      </c>
      <c r="BD53" s="66" t="n">
        <f aca="false">BD44-Payroll!BD$51</f>
        <v>105928.100514419</v>
      </c>
      <c r="BE53" s="66" t="n">
        <f aca="false">BE44-Payroll!BE$51</f>
        <v>112643.192043542</v>
      </c>
      <c r="BF53" s="66" t="n">
        <f aca="false">BF44-Payroll!BF$51</f>
        <v>102551.697955209</v>
      </c>
      <c r="BG53" s="66" t="n">
        <f aca="false">BG44-Payroll!BG$51</f>
        <v>108521.392962542</v>
      </c>
      <c r="BH53" s="66" t="n">
        <f aca="false">BH44-Payroll!BH$51</f>
        <v>115686.123768509</v>
      </c>
      <c r="BI53" s="66" t="n">
        <f aca="false">BI44-Payroll!BI$51</f>
        <v>106390.050563427</v>
      </c>
      <c r="BJ53" s="66" t="n">
        <f aca="false">BJ44-Payroll!BJ$51</f>
        <v>113023.703223599</v>
      </c>
      <c r="BK53" s="66" t="n">
        <f aca="false">BK44-Payroll!BK$51</f>
        <v>120986.266918763</v>
      </c>
      <c r="BL53" s="66" t="n">
        <f aca="false">BL44-Payroll!BL$51</f>
        <v>108164.604269669</v>
      </c>
      <c r="BM53" s="66" t="n">
        <f aca="false">BM44-Payroll!BM$51</f>
        <v>115092.479326779</v>
      </c>
      <c r="BN53" s="66" t="n">
        <f aca="false">BN44-Payroll!BN$51</f>
        <v>123409.273116034</v>
      </c>
    </row>
    <row r="55" customFormat="false" ht="15" hidden="false" customHeight="false" outlineLevel="0" collapsed="false">
      <c r="A55" s="18" t="s">
        <v>483</v>
      </c>
      <c r="B55" s="25" t="n">
        <f aca="false">'Assumption Setting'!$C$195</f>
        <v>150000</v>
      </c>
    </row>
    <row r="56" customFormat="false" ht="15" hidden="false" customHeight="false" outlineLevel="0" collapsed="false">
      <c r="A56" s="18" t="s">
        <v>841</v>
      </c>
      <c r="B56" s="23" t="n">
        <f aca="false">B55-B50</f>
        <v>2781.24554279444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55</v>
      </c>
    </row>
    <row r="3" customFormat="false" ht="15" hidden="false" customHeight="false" outlineLevel="0" collapsed="false">
      <c r="B3" s="3"/>
      <c r="C3" s="3"/>
    </row>
    <row r="5" customFormat="false" ht="30" hidden="false" customHeight="true" outlineLevel="0" collapsed="false">
      <c r="B5" s="35" t="s">
        <v>842</v>
      </c>
      <c r="C5" s="36" t="s">
        <v>58</v>
      </c>
    </row>
    <row r="6" customFormat="false" ht="30" hidden="false" customHeight="true" outlineLevel="0" collapsed="false">
      <c r="B6" s="35" t="s">
        <v>843</v>
      </c>
      <c r="C6" s="36" t="s">
        <v>60</v>
      </c>
    </row>
    <row r="7" customFormat="false" ht="30" hidden="false" customHeight="true" outlineLevel="0" collapsed="false">
      <c r="B7" s="35" t="s">
        <v>844</v>
      </c>
      <c r="C7" s="36" t="s">
        <v>62</v>
      </c>
    </row>
    <row r="8" customFormat="false" ht="30" hidden="false" customHeight="true" outlineLevel="0" collapsed="false">
      <c r="B8" s="35" t="s">
        <v>845</v>
      </c>
      <c r="C8" s="36"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842</v>
      </c>
    </row>
    <row r="2" customFormat="false" ht="13.5" hidden="false" customHeight="true" outlineLevel="0" collapsed="false">
      <c r="A2" s="6" t="s">
        <v>846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847</v>
      </c>
      <c r="B5" s="15"/>
      <c r="C5" s="15"/>
      <c r="D5" s="15"/>
      <c r="E5" s="15"/>
      <c r="F5" s="15"/>
      <c r="G5" s="15"/>
      <c r="H5" s="15"/>
      <c r="I5" s="15"/>
      <c r="J5" s="15"/>
    </row>
    <row r="6" customFormat="false" ht="15" hidden="false" customHeight="false" outlineLevel="0" collapsed="false">
      <c r="A6" s="16"/>
      <c r="B6" s="16"/>
      <c r="C6" s="17" t="s">
        <v>80</v>
      </c>
      <c r="D6" s="17" t="s">
        <v>81</v>
      </c>
      <c r="E6" s="17" t="s">
        <v>82</v>
      </c>
      <c r="F6" s="17" t="s">
        <v>83</v>
      </c>
      <c r="G6" s="17" t="s">
        <v>84</v>
      </c>
    </row>
    <row r="7" customFormat="false" ht="15" hidden="false" customHeight="false" outlineLevel="0" collapsed="false">
      <c r="A7" s="18" t="s">
        <v>85</v>
      </c>
      <c r="B7" s="22" t="s">
        <v>848</v>
      </c>
      <c r="C7" s="116" t="n">
        <f aca="false">'Total Revenue'!B$25</f>
        <v>111092.203503409</v>
      </c>
      <c r="D7" s="116" t="n">
        <f aca="false">'Total Revenue'!O$25</f>
        <v>897001.554313258</v>
      </c>
      <c r="E7" s="116" t="n">
        <f aca="false">'Total Revenue'!AB$25</f>
        <v>3342076.96762152</v>
      </c>
      <c r="F7" s="116" t="n">
        <f aca="false">'Total Revenue'!AO$25</f>
        <v>6651975.79649727</v>
      </c>
      <c r="G7" s="116" t="n">
        <f aca="false">'Total Revenue'!BB$25</f>
        <v>10320927.9251864</v>
      </c>
    </row>
    <row r="8" customFormat="false" ht="15" hidden="false" customHeight="false" outlineLevel="0" collapsed="false">
      <c r="A8" s="37" t="s">
        <v>849</v>
      </c>
      <c r="D8" s="117" t="n">
        <f aca="false">IFERROR(D7/C7-1,0)</f>
        <v>7.07438799506512</v>
      </c>
      <c r="E8" s="117" t="n">
        <f aca="false">IFERROR(E7/D7-1,0)</f>
        <v>2.72583185787253</v>
      </c>
      <c r="F8" s="117" t="n">
        <f aca="false">IFERROR(F7/E7-1,0)</f>
        <v>0.990371813977504</v>
      </c>
      <c r="G8" s="117" t="n">
        <f aca="false">IFERROR(G7/F7-1,0)</f>
        <v>0.551558249899387</v>
      </c>
    </row>
    <row r="9" customFormat="false" ht="15" hidden="false" customHeight="false" outlineLevel="0" collapsed="false">
      <c r="A9" s="12" t="s">
        <v>850</v>
      </c>
      <c r="B9" s="22" t="s">
        <v>851</v>
      </c>
      <c r="C9" s="20" t="n">
        <f aca="false">Expenses!B$23</f>
        <v>42151.25897458</v>
      </c>
      <c r="D9" s="20" t="n">
        <f aca="false">Expenses!O$23</f>
        <v>243117.577940353</v>
      </c>
      <c r="E9" s="20" t="n">
        <f aca="false">Expenses!AB$23</f>
        <v>917455.815718746</v>
      </c>
      <c r="F9" s="20" t="n">
        <f aca="false">Expenses!AO$23</f>
        <v>1858177.23848915</v>
      </c>
      <c r="G9" s="20" t="n">
        <f aca="false">Expenses!BB$23</f>
        <v>2930693.6187283</v>
      </c>
    </row>
    <row r="10" customFormat="false" ht="15" hidden="false" customHeight="false" outlineLevel="0" collapsed="false">
      <c r="A10" s="18" t="s">
        <v>86</v>
      </c>
      <c r="C10" s="116" t="n">
        <f aca="false">Expenses!B$24</f>
        <v>68940.9445288291</v>
      </c>
      <c r="D10" s="116" t="n">
        <f aca="false">Expenses!O$24</f>
        <v>653883.976372905</v>
      </c>
      <c r="E10" s="116" t="n">
        <f aca="false">Expenses!AB$24</f>
        <v>2424621.15190277</v>
      </c>
      <c r="F10" s="116" t="n">
        <f aca="false">Expenses!AO$24</f>
        <v>4793798.55800812</v>
      </c>
      <c r="G10" s="116" t="n">
        <f aca="false">Expenses!BB$24</f>
        <v>7390234.30645809</v>
      </c>
    </row>
    <row r="11" customFormat="false" ht="15" hidden="false" customHeight="false" outlineLevel="0" collapsed="false">
      <c r="A11" s="37" t="s">
        <v>852</v>
      </c>
      <c r="C11" s="117" t="n">
        <f aca="false">IFERROR(C10/C7,0)</f>
        <v>0.620574102904652</v>
      </c>
      <c r="D11" s="117" t="n">
        <f aca="false">IFERROR(D10/D7,0)</f>
        <v>0.728966380524856</v>
      </c>
      <c r="E11" s="117" t="n">
        <f aca="false">IFERROR(E10/E7,0)</f>
        <v>0.725483337275838</v>
      </c>
      <c r="F11" s="117" t="n">
        <f aca="false">IFERROR(F10/F7,0)</f>
        <v>0.720657847331974</v>
      </c>
      <c r="G11" s="117" t="n">
        <f aca="false">IFERROR(G10/G7,0)</f>
        <v>0.716043592206815</v>
      </c>
    </row>
    <row r="13" customFormat="false" ht="15" hidden="false" customHeight="false" outlineLevel="0" collapsed="false">
      <c r="A13" s="112" t="s">
        <v>853</v>
      </c>
    </row>
    <row r="14" customFormat="false" ht="15" hidden="false" customHeight="false" outlineLevel="0" collapsed="false">
      <c r="A14" s="12" t="s">
        <v>854</v>
      </c>
      <c r="C14" s="20" t="n">
        <f aca="false">Expenses!B$29</f>
        <v>45045</v>
      </c>
      <c r="D14" s="20" t="n">
        <f aca="false">Expenses!O$29</f>
        <v>169092</v>
      </c>
      <c r="E14" s="20" t="n">
        <f aca="false">Expenses!AB$29</f>
        <v>400554</v>
      </c>
      <c r="F14" s="20" t="n">
        <f aca="false">Expenses!AO$29</f>
        <v>557865</v>
      </c>
      <c r="G14" s="20" t="n">
        <f aca="false">Expenses!BB$29</f>
        <v>661122</v>
      </c>
    </row>
    <row r="15" customFormat="false" ht="15" hidden="false" customHeight="false" outlineLevel="0" collapsed="false">
      <c r="A15" s="12" t="s">
        <v>855</v>
      </c>
      <c r="C15" s="20" t="n">
        <f aca="false">Expenses!B$30</f>
        <v>5232</v>
      </c>
      <c r="D15" s="20" t="n">
        <f aca="false">Expenses!O$30</f>
        <v>42820</v>
      </c>
      <c r="E15" s="20" t="n">
        <f aca="false">Expenses!AB$30</f>
        <v>156952</v>
      </c>
      <c r="F15" s="20" t="n">
        <f aca="false">Expenses!AO$30</f>
        <v>304840</v>
      </c>
      <c r="G15" s="20" t="n">
        <f aca="false">Expenses!BB$30</f>
        <v>463142</v>
      </c>
    </row>
    <row r="16" customFormat="false" ht="15" hidden="false" customHeight="false" outlineLevel="0" collapsed="false">
      <c r="A16" s="12" t="s">
        <v>856</v>
      </c>
      <c r="C16" s="20" t="n">
        <f aca="false">Expenses!B$31</f>
        <v>7320</v>
      </c>
      <c r="D16" s="20" t="n">
        <f aca="false">Expenses!O$31</f>
        <v>34200</v>
      </c>
      <c r="E16" s="20" t="n">
        <f aca="false">Expenses!AB$31</f>
        <v>67200</v>
      </c>
      <c r="F16" s="20" t="n">
        <f aca="false">Expenses!AO$31</f>
        <v>94200</v>
      </c>
      <c r="G16" s="20" t="n">
        <f aca="false">Expenses!BB$31</f>
        <v>121200</v>
      </c>
    </row>
    <row r="17" customFormat="false" ht="15" hidden="false" customHeight="false" outlineLevel="0" collapsed="false">
      <c r="A17" s="12" t="s">
        <v>857</v>
      </c>
      <c r="C17" s="20" t="n">
        <f aca="false">Expenses!B$32</f>
        <v>8640</v>
      </c>
      <c r="D17" s="20" t="n">
        <f aca="false">Expenses!O$32</f>
        <v>44400</v>
      </c>
      <c r="E17" s="20" t="n">
        <f aca="false">Expenses!AB$32</f>
        <v>100800</v>
      </c>
      <c r="F17" s="20" t="n">
        <f aca="false">Expenses!AO$32</f>
        <v>166800</v>
      </c>
      <c r="G17" s="20" t="n">
        <f aca="false">Expenses!BB$32</f>
        <v>235200</v>
      </c>
    </row>
    <row r="18" customFormat="false" ht="15" hidden="false" customHeight="false" outlineLevel="0" collapsed="false">
      <c r="A18" s="12" t="s">
        <v>858</v>
      </c>
      <c r="C18" s="20" t="n">
        <f aca="false">Expenses!B$33</f>
        <v>3360</v>
      </c>
      <c r="D18" s="20" t="n">
        <f aca="false">Expenses!O$33</f>
        <v>9800</v>
      </c>
      <c r="E18" s="20" t="n">
        <f aca="false">Expenses!AB$33</f>
        <v>22400</v>
      </c>
      <c r="F18" s="20" t="n">
        <f aca="false">Expenses!AO$33</f>
        <v>36400</v>
      </c>
      <c r="G18" s="20" t="n">
        <f aca="false">Expenses!BB$33</f>
        <v>50400</v>
      </c>
    </row>
    <row r="19" customFormat="false" ht="15" hidden="false" customHeight="false" outlineLevel="0" collapsed="false">
      <c r="A19" s="12" t="s">
        <v>859</v>
      </c>
      <c r="C19" s="20" t="n">
        <f aca="false">Expenses!B$34</f>
        <v>4800</v>
      </c>
      <c r="D19" s="20" t="n">
        <f aca="false">Expenses!O$34</f>
        <v>10080</v>
      </c>
      <c r="E19" s="20" t="n">
        <f aca="false">Expenses!AB$34</f>
        <v>20160</v>
      </c>
      <c r="F19" s="20" t="n">
        <f aca="false">Expenses!AO$34</f>
        <v>28800</v>
      </c>
      <c r="G19" s="20" t="n">
        <f aca="false">Expenses!BB$34</f>
        <v>38400</v>
      </c>
    </row>
    <row r="20" customFormat="false" ht="15" hidden="false" customHeight="false" outlineLevel="0" collapsed="false">
      <c r="A20" s="12" t="s">
        <v>860</v>
      </c>
      <c r="C20" s="20" t="n">
        <f aca="false">Expenses!B$35</f>
        <v>1200</v>
      </c>
      <c r="D20" s="20" t="n">
        <f aca="false">Expenses!O$35</f>
        <v>2520</v>
      </c>
      <c r="E20" s="20" t="n">
        <f aca="false">Expenses!AB$35</f>
        <v>5040</v>
      </c>
      <c r="F20" s="20" t="n">
        <f aca="false">Expenses!AO$35</f>
        <v>7296</v>
      </c>
      <c r="G20" s="20" t="n">
        <f aca="false">Expenses!BB$35</f>
        <v>9600</v>
      </c>
    </row>
    <row r="21" customFormat="false" ht="15" hidden="false" customHeight="false" outlineLevel="0" collapsed="false">
      <c r="A21" s="12" t="s">
        <v>861</v>
      </c>
      <c r="C21" s="20" t="n">
        <f aca="false">Expenses!B$36</f>
        <v>3287.52404021282</v>
      </c>
      <c r="D21" s="20" t="n">
        <f aca="false">Expenses!O$36</f>
        <v>9995.0883142187</v>
      </c>
      <c r="E21" s="20" t="n">
        <f aca="false">Expenses!AB$36</f>
        <v>27137.464614489</v>
      </c>
      <c r="F21" s="20" t="n">
        <f aca="false">Expenses!AO$36</f>
        <v>50949.6860097616</v>
      </c>
      <c r="G21" s="20" t="n">
        <f aca="false">Expenses!BB$36</f>
        <v>75727.530408085</v>
      </c>
    </row>
    <row r="22" customFormat="false" ht="15" hidden="false" customHeight="false" outlineLevel="0" collapsed="false">
      <c r="A22" s="12" t="s">
        <v>862</v>
      </c>
      <c r="C22" s="20" t="n">
        <f aca="false">Expenses!B$37</f>
        <v>4320</v>
      </c>
      <c r="D22" s="20" t="n">
        <f aca="false">Expenses!O$37</f>
        <v>10920</v>
      </c>
      <c r="E22" s="20" t="n">
        <f aca="false">Expenses!AB$37</f>
        <v>21600</v>
      </c>
      <c r="F22" s="20" t="n">
        <f aca="false">Expenses!AO$37</f>
        <v>31680</v>
      </c>
      <c r="G22" s="20" t="n">
        <f aca="false">Expenses!BB$37</f>
        <v>42000</v>
      </c>
    </row>
    <row r="23" customFormat="false" ht="15" hidden="false" customHeight="false" outlineLevel="0" collapsed="false">
      <c r="A23" s="12" t="s">
        <v>863</v>
      </c>
      <c r="C23" s="20" t="n">
        <f aca="false">Expenses!B$38</f>
        <v>4080</v>
      </c>
      <c r="D23" s="20" t="n">
        <f aca="false">Expenses!O$38</f>
        <v>12600</v>
      </c>
      <c r="E23" s="20" t="n">
        <f aca="false">Expenses!AB$38</f>
        <v>31680</v>
      </c>
      <c r="F23" s="20" t="n">
        <f aca="false">Expenses!AO$38</f>
        <v>48000</v>
      </c>
      <c r="G23" s="20" t="n">
        <f aca="false">Expenses!BB$38</f>
        <v>64800</v>
      </c>
    </row>
    <row r="24" customFormat="false" ht="15" hidden="false" customHeight="false" outlineLevel="0" collapsed="false">
      <c r="A24" s="12" t="s">
        <v>864</v>
      </c>
      <c r="C24" s="20" t="n">
        <f aca="false">Expenses!B$39</f>
        <v>6240</v>
      </c>
      <c r="D24" s="20" t="n">
        <f aca="false">Expenses!O$39</f>
        <v>16800</v>
      </c>
      <c r="E24" s="20" t="n">
        <f aca="false">Expenses!AB$39</f>
        <v>33600</v>
      </c>
      <c r="F24" s="20" t="n">
        <f aca="false">Expenses!AO$39</f>
        <v>45600</v>
      </c>
      <c r="G24" s="20" t="n">
        <f aca="false">Expenses!BB$39</f>
        <v>55200</v>
      </c>
    </row>
    <row r="25" customFormat="false" ht="15" hidden="false" customHeight="false" outlineLevel="0" collapsed="false">
      <c r="A25" s="12" t="s">
        <v>865</v>
      </c>
      <c r="C25" s="20" t="n">
        <f aca="false">Expenses!B$40</f>
        <v>600</v>
      </c>
      <c r="D25" s="20" t="n">
        <f aca="false">Expenses!O$40</f>
        <v>3000</v>
      </c>
      <c r="E25" s="20" t="n">
        <f aca="false">Expenses!AB$40</f>
        <v>8400</v>
      </c>
      <c r="F25" s="20" t="n">
        <f aca="false">Expenses!AO$40</f>
        <v>13200</v>
      </c>
      <c r="G25" s="20" t="n">
        <f aca="false">Expenses!BB$40</f>
        <v>16800</v>
      </c>
    </row>
    <row r="26" customFormat="false" ht="15" hidden="false" customHeight="false" outlineLevel="0" collapsed="false">
      <c r="A26" s="12" t="s">
        <v>866</v>
      </c>
      <c r="C26" s="20" t="n">
        <f aca="false">Expenses!B$41</f>
        <v>0</v>
      </c>
      <c r="D26" s="20" t="n">
        <f aca="false">Expenses!O$41</f>
        <v>3600</v>
      </c>
      <c r="E26" s="20" t="n">
        <f aca="false">Expenses!AB$41</f>
        <v>14400</v>
      </c>
      <c r="F26" s="20" t="n">
        <f aca="false">Expenses!AO$41</f>
        <v>28800</v>
      </c>
      <c r="G26" s="20" t="n">
        <f aca="false">Expenses!BB$41</f>
        <v>38400</v>
      </c>
    </row>
    <row r="27" customFormat="false" ht="15" hidden="false" customHeight="false" outlineLevel="0" collapsed="false">
      <c r="A27" s="12" t="s">
        <v>867</v>
      </c>
      <c r="C27" s="20" t="n">
        <f aca="false">Expenses!B$42</f>
        <v>1800</v>
      </c>
      <c r="D27" s="20" t="n">
        <f aca="false">Expenses!O$42</f>
        <v>3120</v>
      </c>
      <c r="E27" s="20" t="n">
        <f aca="false">Expenses!AB$42</f>
        <v>5400</v>
      </c>
      <c r="F27" s="20" t="n">
        <f aca="false">Expenses!AO$42</f>
        <v>7200</v>
      </c>
      <c r="G27" s="20" t="n">
        <f aca="false">Expenses!BB$42</f>
        <v>9000</v>
      </c>
    </row>
    <row r="28" customFormat="false" ht="15" hidden="false" customHeight="false" outlineLevel="0" collapsed="false">
      <c r="A28" s="12" t="s">
        <v>868</v>
      </c>
      <c r="C28" s="20" t="n">
        <f aca="false">Expenses!B$43</f>
        <v>5755.47144241277</v>
      </c>
      <c r="D28" s="20" t="n">
        <f aca="false">Expenses!O$43</f>
        <v>22376.8252988531</v>
      </c>
      <c r="E28" s="20" t="n">
        <f aca="false">Expenses!AB$43</f>
        <v>54919.4078768693</v>
      </c>
      <c r="F28" s="20" t="n">
        <f aca="false">Expenses!AO$43</f>
        <v>85297.8411605857</v>
      </c>
      <c r="G28" s="20" t="n">
        <f aca="false">Expenses!BB$43</f>
        <v>112859.491824485</v>
      </c>
    </row>
    <row r="29" customFormat="false" ht="15" hidden="false" customHeight="false" outlineLevel="0" collapsed="false">
      <c r="A29" s="18" t="s">
        <v>869</v>
      </c>
      <c r="C29" s="116" t="n">
        <f aca="false">Expenses!B$44</f>
        <v>101679.995482626</v>
      </c>
      <c r="D29" s="116" t="n">
        <f aca="false">Expenses!O$44</f>
        <v>395323.913613072</v>
      </c>
      <c r="E29" s="116" t="n">
        <f aca="false">Expenses!AB$44</f>
        <v>970242.872491358</v>
      </c>
      <c r="F29" s="116" t="n">
        <f aca="false">Expenses!AO$44</f>
        <v>1506928.52717035</v>
      </c>
      <c r="G29" s="116" t="n">
        <f aca="false">Expenses!BB$44</f>
        <v>1993851.02223257</v>
      </c>
    </row>
    <row r="30" customFormat="false" ht="15" hidden="false" customHeight="false" outlineLevel="0" collapsed="false">
      <c r="A30" s="18" t="s">
        <v>87</v>
      </c>
      <c r="C30" s="118" t="n">
        <f aca="false">Expenses!B$51</f>
        <v>-32739.0509537965</v>
      </c>
      <c r="D30" s="118" t="n">
        <f aca="false">Expenses!O$51</f>
        <v>258560.062759833</v>
      </c>
      <c r="E30" s="118" t="n">
        <f aca="false">Expenses!AB$51</f>
        <v>1454378.27941141</v>
      </c>
      <c r="F30" s="118" t="n">
        <f aca="false">Expenses!AO$51</f>
        <v>3286870.03083777</v>
      </c>
      <c r="G30" s="118" t="n">
        <f aca="false">Expenses!BB$51</f>
        <v>5396383.28422552</v>
      </c>
    </row>
    <row r="31" customFormat="false" ht="15" hidden="false" customHeight="false" outlineLevel="0" collapsed="false">
      <c r="A31" s="37" t="s">
        <v>870</v>
      </c>
      <c r="C31" s="117" t="n">
        <f aca="false">IFERROR(C30/C7,0)</f>
        <v>-0.294701607505623</v>
      </c>
      <c r="D31" s="117" t="n">
        <f aca="false">IFERROR(D30/D7,0)</f>
        <v>0.288249291783877</v>
      </c>
      <c r="E31" s="117" t="n">
        <f aca="false">IFERROR(E30/E7,0)</f>
        <v>0.435171988407694</v>
      </c>
      <c r="F31" s="117" t="n">
        <f aca="false">IFERROR(F30/F7,0)</f>
        <v>0.494119361133054</v>
      </c>
      <c r="G31" s="117" t="n">
        <f aca="false">IFERROR(G30/G7,0)</f>
        <v>0.522858344069685</v>
      </c>
    </row>
    <row r="32" customFormat="false" ht="15" hidden="false" customHeight="false" outlineLevel="0" collapsed="false">
      <c r="A32" s="12" t="s">
        <v>836</v>
      </c>
      <c r="C32" s="20" t="n">
        <f aca="false">Expenses!B$45</f>
        <v>3387.5</v>
      </c>
      <c r="D32" s="20" t="n">
        <f aca="false">Expenses!O$45</f>
        <v>5081.25</v>
      </c>
      <c r="E32" s="20" t="n">
        <f aca="false">Expenses!AB$45</f>
        <v>10127.0833333333</v>
      </c>
      <c r="F32" s="20" t="n">
        <f aca="false">Expenses!AO$45</f>
        <v>11608.3333333333</v>
      </c>
      <c r="G32" s="20" t="n">
        <f aca="false">Expenses!BB$45</f>
        <v>11845.8333333333</v>
      </c>
    </row>
    <row r="33" customFormat="false" ht="15" hidden="false" customHeight="false" outlineLevel="0" collapsed="false">
      <c r="A33" s="18" t="s">
        <v>839</v>
      </c>
      <c r="C33" s="116" t="n">
        <f aca="false">Expenses!B$52</f>
        <v>-36126.5509537965</v>
      </c>
      <c r="D33" s="116" t="n">
        <f aca="false">Expenses!O$52</f>
        <v>253478.812759833</v>
      </c>
      <c r="E33" s="116" t="n">
        <f aca="false">Expenses!AB$52</f>
        <v>1444251.19607808</v>
      </c>
      <c r="F33" s="116" t="n">
        <f aca="false">Expenses!AO$52</f>
        <v>3275261.69750444</v>
      </c>
      <c r="G33" s="116" t="n">
        <f aca="false">Expenses!BB$52</f>
        <v>5384537.45089219</v>
      </c>
    </row>
    <row r="35" customFormat="false" ht="15" hidden="false" customHeight="false" outlineLevel="0" collapsed="false">
      <c r="A35" s="18" t="s">
        <v>871</v>
      </c>
      <c r="B35" s="22" t="s">
        <v>872</v>
      </c>
      <c r="C35" s="19" t="n">
        <f aca="false">C33</f>
        <v>-36126.5509537965</v>
      </c>
      <c r="D35" s="19" t="n">
        <f aca="false">D33</f>
        <v>253478.812759833</v>
      </c>
      <c r="E35" s="19" t="n">
        <f aca="false">E33</f>
        <v>1444251.19607808</v>
      </c>
      <c r="F35" s="19" t="n">
        <f aca="false">F33</f>
        <v>3275261.69750444</v>
      </c>
      <c r="G35" s="19" t="n">
        <f aca="false">G33</f>
        <v>5384537.45089219</v>
      </c>
    </row>
    <row r="36" customFormat="false" ht="15" hidden="false" customHeight="false" outlineLevel="0" collapsed="false">
      <c r="A36" s="12" t="s">
        <v>873</v>
      </c>
      <c r="B36" s="22" t="s">
        <v>874</v>
      </c>
      <c r="C36" s="119" t="n">
        <f aca="false">'Assumption Setting'!$C$194</f>
        <v>0</v>
      </c>
      <c r="D36" s="119" t="n">
        <f aca="false">C37</f>
        <v>36126.5509537965</v>
      </c>
      <c r="E36" s="119" t="n">
        <f aca="false">D37</f>
        <v>0</v>
      </c>
      <c r="F36" s="119" t="n">
        <f aca="false">E37</f>
        <v>0</v>
      </c>
      <c r="G36" s="119" t="n">
        <f aca="false">F37</f>
        <v>0</v>
      </c>
    </row>
    <row r="37" customFormat="false" ht="15" hidden="false" customHeight="false" outlineLevel="0" collapsed="false">
      <c r="A37" s="12" t="s">
        <v>875</v>
      </c>
      <c r="C37" s="119" t="n">
        <f aca="false">MAX(0,C36-MAX(0,C35))+MAX(0,-C35)</f>
        <v>36126.5509537965</v>
      </c>
      <c r="D37" s="119" t="n">
        <f aca="false">MAX(0,D36-MAX(0,D35))+MAX(0,-D35)</f>
        <v>0</v>
      </c>
      <c r="E37" s="119" t="n">
        <f aca="false">MAX(0,E36-MAX(0,E35))+MAX(0,-E35)</f>
        <v>0</v>
      </c>
      <c r="F37" s="119" t="n">
        <f aca="false">MAX(0,F36-MAX(0,F35))+MAX(0,-F35)</f>
        <v>0</v>
      </c>
      <c r="G37" s="119" t="n">
        <f aca="false">MAX(0,G36-MAX(0,G35))+MAX(0,-G35)</f>
        <v>0</v>
      </c>
    </row>
    <row r="38" customFormat="false" ht="15" hidden="false" customHeight="false" outlineLevel="0" collapsed="false">
      <c r="A38" s="12" t="s">
        <v>876</v>
      </c>
      <c r="C38" s="119" t="n">
        <f aca="false">MAX(0,C35-C36)</f>
        <v>0</v>
      </c>
      <c r="D38" s="119" t="n">
        <f aca="false">MAX(0,D35-D36)</f>
        <v>217352.261806037</v>
      </c>
      <c r="E38" s="119" t="n">
        <f aca="false">MAX(0,E35-E36)</f>
        <v>1444251.19607808</v>
      </c>
      <c r="F38" s="119" t="n">
        <f aca="false">MAX(0,F35-F36)</f>
        <v>3275261.69750444</v>
      </c>
      <c r="G38" s="119" t="n">
        <f aca="false">MAX(0,G35-G36)</f>
        <v>5384537.45089219</v>
      </c>
    </row>
    <row r="39" customFormat="false" ht="15" hidden="false" customHeight="false" outlineLevel="0" collapsed="false">
      <c r="A39" s="12" t="s">
        <v>877</v>
      </c>
      <c r="C39" s="119" t="n">
        <f aca="false">-C38*'Assumption Setting'!$C$9</f>
        <v>-0</v>
      </c>
      <c r="D39" s="119" t="n">
        <f aca="false">-D38*'Assumption Setting'!$C$9</f>
        <v>-48904.2589063583</v>
      </c>
      <c r="E39" s="119" t="n">
        <f aca="false">-E38*'Assumption Setting'!$C$9</f>
        <v>-324956.519117568</v>
      </c>
      <c r="F39" s="119" t="n">
        <f aca="false">-F38*'Assumption Setting'!$C$9</f>
        <v>-736933.881938499</v>
      </c>
      <c r="G39" s="119" t="n">
        <f aca="false">-G38*'Assumption Setting'!$C$9</f>
        <v>-1211520.92645074</v>
      </c>
    </row>
    <row r="40" customFormat="false" ht="15" hidden="false" customHeight="false" outlineLevel="0" collapsed="false">
      <c r="A40" s="18" t="s">
        <v>878</v>
      </c>
      <c r="C40" s="118" t="n">
        <f aca="false">C35+C39</f>
        <v>-36126.5509537965</v>
      </c>
      <c r="D40" s="118" t="n">
        <f aca="false">D35+D39</f>
        <v>204574.553853475</v>
      </c>
      <c r="E40" s="118" t="n">
        <f aca="false">E35+E39</f>
        <v>1119294.67696051</v>
      </c>
      <c r="F40" s="118" t="n">
        <f aca="false">F35+F39</f>
        <v>2538327.81556594</v>
      </c>
      <c r="G40" s="118" t="n">
        <f aca="false">G35+G39</f>
        <v>4173016.52444145</v>
      </c>
    </row>
    <row r="41" customFormat="false" ht="15" hidden="false" customHeight="false" outlineLevel="0" collapsed="false">
      <c r="A41" s="37" t="s">
        <v>879</v>
      </c>
      <c r="C41" s="117" t="n">
        <f aca="false">IFERROR(C40/C7,0)</f>
        <v>-0.325194296399818</v>
      </c>
      <c r="D41" s="117" t="n">
        <f aca="false">IFERROR(D40/D7,0)</f>
        <v>0.228064882239916</v>
      </c>
      <c r="E41" s="117" t="n">
        <f aca="false">IFERROR(E40/E7,0)</f>
        <v>0.334909904171683</v>
      </c>
      <c r="F41" s="117" t="n">
        <f aca="false">IFERROR(F40/F7,0)</f>
        <v>0.381590055830111</v>
      </c>
      <c r="G41" s="117" t="n">
        <f aca="false">IFERROR(G40/G7,0)</f>
        <v>0.40432571128202</v>
      </c>
    </row>
    <row r="43" customFormat="false" ht="15" hidden="false" customHeight="false" outlineLevel="0" collapsed="false">
      <c r="A43" s="18" t="s">
        <v>89</v>
      </c>
      <c r="C43" s="19" t="n">
        <f aca="false">Expenses!B$50</f>
        <v>147218.754457206</v>
      </c>
      <c r="D43" s="19" t="n">
        <f aca="false">Expenses!O$50</f>
        <v>643522.741553424</v>
      </c>
      <c r="E43" s="19" t="n">
        <f aca="false">Expenses!AB$50</f>
        <v>1897825.77154344</v>
      </c>
      <c r="F43" s="19" t="n">
        <f aca="false">Expenses!AO$50</f>
        <v>3376714.09899283</v>
      </c>
      <c r="G43" s="19" t="n">
        <f aca="false">Expenses!BB$50</f>
        <v>4936390.4742942</v>
      </c>
    </row>
    <row r="44" customFormat="false" ht="15" hidden="false" customHeight="false" outlineLevel="0" collapsed="false">
      <c r="A44" s="112" t="s">
        <v>880</v>
      </c>
      <c r="B44" s="22" t="s">
        <v>881</v>
      </c>
      <c r="C44" s="23" t="n">
        <f aca="false">'Assumption Setting'!$C$195-C43</f>
        <v>2781.24554279444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4"/>
    <col collapsed="false" customWidth="true" hidden="false" outlineLevel="0" max="8" min="3" style="0" width="15"/>
  </cols>
  <sheetData>
    <row r="1" customFormat="false" ht="24.75" hidden="false" customHeight="true" outlineLevel="0" collapsed="false">
      <c r="A1" s="14" t="s">
        <v>843</v>
      </c>
    </row>
    <row r="2" customFormat="false" ht="13.5" hidden="false" customHeight="true" outlineLevel="0" collapsed="false">
      <c r="A2" s="6" t="s">
        <v>882</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883</v>
      </c>
      <c r="B5" s="15"/>
      <c r="C5" s="15"/>
      <c r="D5" s="15"/>
      <c r="E5" s="15"/>
      <c r="F5" s="15"/>
      <c r="G5" s="15"/>
      <c r="H5" s="15"/>
      <c r="I5" s="15"/>
      <c r="J5" s="15"/>
    </row>
    <row r="6" customFormat="false" ht="15" hidden="false" customHeight="false" outlineLevel="0" collapsed="false">
      <c r="A6" s="16"/>
      <c r="B6" s="16"/>
      <c r="C6" s="17" t="s">
        <v>884</v>
      </c>
      <c r="D6" s="17" t="s">
        <v>80</v>
      </c>
      <c r="E6" s="17" t="s">
        <v>81</v>
      </c>
      <c r="F6" s="17" t="s">
        <v>82</v>
      </c>
      <c r="G6" s="17" t="s">
        <v>83</v>
      </c>
      <c r="H6" s="17" t="s">
        <v>84</v>
      </c>
    </row>
    <row r="7" customFormat="false" ht="15" hidden="false" customHeight="false" outlineLevel="0" collapsed="false">
      <c r="A7" s="12" t="s">
        <v>885</v>
      </c>
      <c r="B7" s="22" t="s">
        <v>886</v>
      </c>
      <c r="C7" s="119" t="n">
        <f aca="false">Actuals!$C$6</f>
        <v>50000</v>
      </c>
      <c r="D7" s="119" t="n">
        <f aca="false">'Cash Flow Statement'!N$35</f>
        <v>222505.596480491</v>
      </c>
      <c r="E7" s="119" t="n">
        <f aca="false">'Cash Flow Statement'!AA$35</f>
        <v>301159.136374112</v>
      </c>
      <c r="F7" s="119" t="n">
        <f aca="false">'Cash Flow Statement'!AN$35</f>
        <v>1423393.64132164</v>
      </c>
      <c r="G7" s="119" t="n">
        <f aca="false">'Cash Flow Statement'!BA$35</f>
        <v>4062304.52769995</v>
      </c>
      <c r="H7" s="119" t="n">
        <f aca="false">'Cash Flow Statement'!BN$35</f>
        <v>8477398.88278772</v>
      </c>
    </row>
    <row r="8" customFormat="false" ht="15" hidden="false" customHeight="false" outlineLevel="0" collapsed="false">
      <c r="A8" s="12" t="s">
        <v>572</v>
      </c>
      <c r="B8" s="22" t="s">
        <v>887</v>
      </c>
      <c r="C8" s="119" t="n">
        <f aca="false">Actuals!$C$7</f>
        <v>0</v>
      </c>
      <c r="D8" s="119" t="n">
        <f aca="false">'Cash Flow Statement'!N$14</f>
        <v>59856.4857743939</v>
      </c>
      <c r="E8" s="119" t="n">
        <f aca="false">'Cash Flow Statement'!AA$14</f>
        <v>378747.988298384</v>
      </c>
      <c r="F8" s="119" t="n">
        <f aca="false">'Cash Flow Statement'!AN$14</f>
        <v>964052.125104323</v>
      </c>
      <c r="G8" s="119" t="n">
        <f aca="false">'Cash Flow Statement'!BA$14</f>
        <v>1760038.1760676</v>
      </c>
      <c r="H8" s="119" t="n">
        <f aca="false">'Cash Flow Statement'!BN$14</f>
        <v>2497633.47493796</v>
      </c>
    </row>
    <row r="9" customFormat="false" ht="15" hidden="false" customHeight="false" outlineLevel="0" collapsed="false">
      <c r="A9" s="12" t="s">
        <v>574</v>
      </c>
      <c r="B9" s="22" t="s">
        <v>888</v>
      </c>
      <c r="C9" s="119" t="n">
        <f aca="false">Actuals!$C$8</f>
        <v>0</v>
      </c>
      <c r="D9" s="119" t="n">
        <f aca="false">'Depreciation and Amortization'!N$44</f>
        <v>7045.83333333333</v>
      </c>
      <c r="E9" s="119" t="n">
        <f aca="false">'Depreciation and Amortization'!AA$44</f>
        <v>6814.58333333333</v>
      </c>
      <c r="F9" s="119" t="n">
        <f aca="false">'Depreciation and Amortization'!AN$44</f>
        <v>19237.5</v>
      </c>
      <c r="G9" s="119" t="n">
        <f aca="false">'Depreciation and Amortization'!BA$44</f>
        <v>13829.1666666667</v>
      </c>
      <c r="H9" s="119" t="n">
        <f aca="false">'Depreciation and Amortization'!BN$44</f>
        <v>8183.33333333333</v>
      </c>
    </row>
    <row r="10" customFormat="false" ht="15" hidden="false" customHeight="false" outlineLevel="0" collapsed="false">
      <c r="A10" s="12" t="s">
        <v>576</v>
      </c>
      <c r="B10" s="22" t="s">
        <v>889</v>
      </c>
      <c r="C10" s="119" t="n">
        <f aca="false">Actuals!$C$9</f>
        <v>0</v>
      </c>
      <c r="D10" s="119" t="n">
        <f aca="false">'Depreciation and Amortization'!N$45</f>
        <v>3266.66666666667</v>
      </c>
      <c r="E10" s="119" t="n">
        <f aca="false">'Depreciation and Amortization'!AA$45</f>
        <v>2466.66666666667</v>
      </c>
      <c r="F10" s="119" t="n">
        <f aca="false">'Depreciation and Amortization'!AN$45</f>
        <v>1666.66666666667</v>
      </c>
      <c r="G10" s="119" t="n">
        <f aca="false">'Depreciation and Amortization'!BA$45</f>
        <v>866.666666666668</v>
      </c>
      <c r="H10" s="119" t="n">
        <f aca="false">'Depreciation and Amortization'!BN$45</f>
        <v>66.6666666666702</v>
      </c>
    </row>
    <row r="11" customFormat="false" ht="15" hidden="false" customHeight="false" outlineLevel="0" collapsed="false">
      <c r="A11" s="18" t="s">
        <v>890</v>
      </c>
      <c r="C11" s="116" t="n">
        <f aca="false">SUM(C7:C10)</f>
        <v>50000</v>
      </c>
      <c r="D11" s="116" t="n">
        <f aca="false">SUM(D7:D10)</f>
        <v>292674.582254885</v>
      </c>
      <c r="E11" s="116" t="n">
        <f aca="false">SUM(E7:E10)</f>
        <v>689188.374672496</v>
      </c>
      <c r="F11" s="116" t="n">
        <f aca="false">SUM(F7:F10)</f>
        <v>2408349.93309263</v>
      </c>
      <c r="G11" s="116" t="n">
        <f aca="false">SUM(G7:G10)</f>
        <v>5837038.53710088</v>
      </c>
      <c r="H11" s="116" t="n">
        <f aca="false">SUM(H7:H10)</f>
        <v>10983282.3577257</v>
      </c>
    </row>
    <row r="13" customFormat="false" ht="15" hidden="false" customHeight="false" outlineLevel="0" collapsed="false">
      <c r="A13" s="12" t="s">
        <v>579</v>
      </c>
      <c r="C13" s="119" t="n">
        <f aca="false">Actuals!$C$12</f>
        <v>0</v>
      </c>
      <c r="D13" s="119" t="n">
        <f aca="false">'Cash Flow Statement'!N$15</f>
        <v>14320.2073211813</v>
      </c>
      <c r="E13" s="119" t="n">
        <f aca="false">'Cash Flow Statement'!AA$15</f>
        <v>75651.5375831262</v>
      </c>
      <c r="F13" s="119" t="n">
        <f aca="false">'Cash Flow Statement'!AN$15</f>
        <v>197569.807674876</v>
      </c>
      <c r="G13" s="119" t="n">
        <f aca="false">'Cash Flow Statement'!BA$15</f>
        <v>358045.967626255</v>
      </c>
      <c r="H13" s="119" t="n">
        <f aca="false">'Cash Flow Statement'!BN$15</f>
        <v>515335.585650416</v>
      </c>
    </row>
    <row r="14" customFormat="false" ht="15" hidden="false" customHeight="false" outlineLevel="0" collapsed="false">
      <c r="A14" s="12" t="s">
        <v>581</v>
      </c>
      <c r="C14" s="119" t="n">
        <f aca="false">Actuals!$C$13</f>
        <v>0</v>
      </c>
      <c r="D14" s="119" t="n">
        <f aca="false">'Cash Flow Statement'!N$16</f>
        <v>1251.25</v>
      </c>
      <c r="E14" s="119" t="n">
        <f aca="false">'Cash Flow Statement'!AA$16</f>
        <v>4697</v>
      </c>
      <c r="F14" s="119" t="n">
        <f aca="false">'Cash Flow Statement'!AN$16</f>
        <v>11126.5</v>
      </c>
      <c r="G14" s="119" t="n">
        <f aca="false">'Cash Flow Statement'!BA$16</f>
        <v>15496.25</v>
      </c>
      <c r="H14" s="119" t="n">
        <f aca="false">'Cash Flow Statement'!BN$16</f>
        <v>18364.5</v>
      </c>
    </row>
    <row r="15" customFormat="false" ht="15" hidden="false" customHeight="false" outlineLevel="0" collapsed="false">
      <c r="A15" s="12" t="s">
        <v>583</v>
      </c>
      <c r="B15" s="22" t="s">
        <v>891</v>
      </c>
      <c r="C15" s="119" t="n">
        <f aca="false">Actuals!$C$14</f>
        <v>0</v>
      </c>
      <c r="D15" s="119" t="n">
        <f aca="false">'Cash Flow Statement'!N$17</f>
        <v>13229.6758875</v>
      </c>
      <c r="E15" s="119" t="n">
        <f aca="false">'Cash Flow Statement'!AA$17</f>
        <v>91487.5752833333</v>
      </c>
      <c r="F15" s="119" t="n">
        <f aca="false">'Cash Flow Statement'!AN$17</f>
        <v>286954.42644</v>
      </c>
      <c r="G15" s="119" t="n">
        <f aca="false">'Cash Flow Statement'!BA$17</f>
        <v>600491.94211</v>
      </c>
      <c r="H15" s="119" t="n">
        <f aca="false">'Cash Flow Statement'!BN$17</f>
        <v>938974.325756945</v>
      </c>
    </row>
    <row r="16" customFormat="false" ht="15" hidden="false" customHeight="false" outlineLevel="0" collapsed="false">
      <c r="A16" s="12" t="s">
        <v>585</v>
      </c>
      <c r="B16" s="22" t="s">
        <v>892</v>
      </c>
      <c r="C16" s="119" t="n">
        <f aca="false">Actuals!$C$15</f>
        <v>0</v>
      </c>
      <c r="D16" s="119" t="n">
        <f aca="false">'Cash Flow Statement'!N$18</f>
        <v>0</v>
      </c>
      <c r="E16" s="119" t="n">
        <f aca="false">'Cash Flow Statement'!AA$18</f>
        <v>48904.2589063583</v>
      </c>
      <c r="F16" s="119" t="n">
        <f aca="false">'Cash Flow Statement'!AN$18</f>
        <v>324956.519117567</v>
      </c>
      <c r="G16" s="119" t="n">
        <f aca="false">'Cash Flow Statement'!BA$18</f>
        <v>736933.881938499</v>
      </c>
      <c r="H16" s="119" t="n">
        <f aca="false">'Cash Flow Statement'!BN$18</f>
        <v>1211520.92645074</v>
      </c>
    </row>
    <row r="17" customFormat="false" ht="15" hidden="false" customHeight="false" outlineLevel="0" collapsed="false">
      <c r="A17" s="18" t="s">
        <v>893</v>
      </c>
      <c r="C17" s="116" t="n">
        <f aca="false">SUM(C13:C16)</f>
        <v>0</v>
      </c>
      <c r="D17" s="116" t="n">
        <f aca="false">SUM(D13:D16)</f>
        <v>28801.1332086813</v>
      </c>
      <c r="E17" s="116" t="n">
        <f aca="false">SUM(E13:E16)</f>
        <v>220740.371772818</v>
      </c>
      <c r="F17" s="116" t="n">
        <f aca="false">SUM(F13:F16)</f>
        <v>820607.253232444</v>
      </c>
      <c r="G17" s="116" t="n">
        <f aca="false">SUM(G13:G16)</f>
        <v>1710968.04167475</v>
      </c>
      <c r="H17" s="116" t="n">
        <f aca="false">SUM(H13:H16)</f>
        <v>2684195.3378581</v>
      </c>
    </row>
    <row r="19" customFormat="false" ht="15" hidden="false" customHeight="false" outlineLevel="0" collapsed="false">
      <c r="A19" s="12" t="s">
        <v>894</v>
      </c>
      <c r="B19" s="22" t="s">
        <v>895</v>
      </c>
      <c r="C19" s="119" t="n">
        <f aca="false">Actuals!$C$16</f>
        <v>50000</v>
      </c>
      <c r="D19" s="119" t="n">
        <f aca="false">'Assumption Setting'!$C$20+IF(12&gt;='Assumption Setting'!$C$191,'Assumption Setting'!$C$190,0)</f>
        <v>300000</v>
      </c>
      <c r="E19" s="119" t="n">
        <f aca="false">'Assumption Setting'!$C$20+IF(24&gt;='Assumption Setting'!$C$191,'Assumption Setting'!$C$190,0)</f>
        <v>300000</v>
      </c>
      <c r="F19" s="119" t="n">
        <f aca="false">'Assumption Setting'!$C$20+IF(36&gt;='Assumption Setting'!$C$191,'Assumption Setting'!$C$190,0)</f>
        <v>300000</v>
      </c>
      <c r="G19" s="119" t="n">
        <f aca="false">'Assumption Setting'!$C$20+IF(48&gt;='Assumption Setting'!$C$191,'Assumption Setting'!$C$190,0)</f>
        <v>300000</v>
      </c>
      <c r="H19" s="119" t="n">
        <f aca="false">'Assumption Setting'!$C$20+IF(60&gt;='Assumption Setting'!$C$191,'Assumption Setting'!$C$190,0)</f>
        <v>300000</v>
      </c>
    </row>
    <row r="20" customFormat="false" ht="15" hidden="false" customHeight="false" outlineLevel="0" collapsed="false">
      <c r="A20" s="12" t="s">
        <v>589</v>
      </c>
      <c r="B20" s="22" t="s">
        <v>896</v>
      </c>
      <c r="C20" s="119" t="n">
        <f aca="false">Actuals!$C$17</f>
        <v>0</v>
      </c>
      <c r="D20" s="119" t="n">
        <f aca="false">'Income Statement'!$C$40</f>
        <v>-36126.5509537965</v>
      </c>
      <c r="E20" s="119" t="n">
        <f aca="false">'Income Statement'!$C$40+'Income Statement'!$D$40</f>
        <v>168448.002899678</v>
      </c>
      <c r="F20" s="119" t="n">
        <f aca="false">'Income Statement'!$C$40+'Income Statement'!$D$40+'Income Statement'!$E$40</f>
        <v>1287742.67986019</v>
      </c>
      <c r="G20" s="119" t="n">
        <f aca="false">'Income Statement'!$C$40+'Income Statement'!$D$40+'Income Statement'!$E$40+'Income Statement'!$F$40</f>
        <v>3826070.49542613</v>
      </c>
      <c r="H20" s="119" t="n">
        <f aca="false">'Income Statement'!$C$40+'Income Statement'!$D$40+'Income Statement'!$E$40+'Income Statement'!$F$40+'Income Statement'!$G$40</f>
        <v>7999087.01986758</v>
      </c>
    </row>
    <row r="21" customFormat="false" ht="15" hidden="false" customHeight="false" outlineLevel="0" collapsed="false">
      <c r="A21" s="18" t="s">
        <v>897</v>
      </c>
      <c r="C21" s="116" t="n">
        <f aca="false">C19+C20</f>
        <v>50000</v>
      </c>
      <c r="D21" s="116" t="n">
        <f aca="false">D19+D20</f>
        <v>263873.449046204</v>
      </c>
      <c r="E21" s="116" t="n">
        <f aca="false">E19+E20</f>
        <v>468448.002899678</v>
      </c>
      <c r="F21" s="116" t="n">
        <f aca="false">F19+F20</f>
        <v>1587742.67986019</v>
      </c>
      <c r="G21" s="116" t="n">
        <f aca="false">G19+G20</f>
        <v>4126070.49542613</v>
      </c>
      <c r="H21" s="116" t="n">
        <f aca="false">H19+H20</f>
        <v>8299087.01986758</v>
      </c>
    </row>
    <row r="22" customFormat="false" ht="15" hidden="false" customHeight="false" outlineLevel="0" collapsed="false">
      <c r="A22" s="18" t="s">
        <v>898</v>
      </c>
      <c r="C22" s="118" t="n">
        <f aca="false">C17+C21</f>
        <v>50000</v>
      </c>
      <c r="D22" s="118" t="n">
        <f aca="false">D17+D21</f>
        <v>292674.582254885</v>
      </c>
      <c r="E22" s="118" t="n">
        <f aca="false">E17+E21</f>
        <v>689188.374672496</v>
      </c>
      <c r="F22" s="118" t="n">
        <f aca="false">F17+F21</f>
        <v>2408349.93309263</v>
      </c>
      <c r="G22" s="118" t="n">
        <f aca="false">G17+G21</f>
        <v>5837038.53710088</v>
      </c>
      <c r="H22" s="118" t="n">
        <f aca="false">H17+H21</f>
        <v>10983282.3577257</v>
      </c>
    </row>
    <row r="24" customFormat="false" ht="15" hidden="false" customHeight="false" outlineLevel="0" collapsed="false">
      <c r="A24" s="18" t="s">
        <v>899</v>
      </c>
      <c r="B24" s="22" t="s">
        <v>900</v>
      </c>
      <c r="C24" s="23" t="n">
        <f aca="false">C11-C22</f>
        <v>0</v>
      </c>
      <c r="D24" s="23" t="n">
        <f aca="false">D11-D22</f>
        <v>0</v>
      </c>
      <c r="E24" s="23" t="n">
        <f aca="false">E11-E22</f>
        <v>0</v>
      </c>
      <c r="F24" s="23" t="n">
        <f aca="false">F11-F22</f>
        <v>0</v>
      </c>
      <c r="G24" s="23" t="n">
        <f aca="false">G11-G22</f>
        <v>0</v>
      </c>
      <c r="H24" s="23" t="n">
        <f aca="false">H11-H22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844</v>
      </c>
    </row>
    <row r="2" customFormat="false" ht="13.5" hidden="false" customHeight="true" outlineLevel="0" collapsed="false">
      <c r="A2" s="6" t="s">
        <v>901</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902</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505</v>
      </c>
      <c r="B6" s="62" t="s">
        <v>80</v>
      </c>
      <c r="C6" s="63" t="s">
        <v>506</v>
      </c>
      <c r="D6" s="63" t="s">
        <v>507</v>
      </c>
      <c r="E6" s="63" t="s">
        <v>508</v>
      </c>
      <c r="F6" s="63" t="s">
        <v>509</v>
      </c>
      <c r="G6" s="63" t="s">
        <v>510</v>
      </c>
      <c r="H6" s="63" t="s">
        <v>511</v>
      </c>
      <c r="I6" s="63" t="s">
        <v>512</v>
      </c>
      <c r="J6" s="63" t="s">
        <v>513</v>
      </c>
      <c r="K6" s="63" t="s">
        <v>514</v>
      </c>
      <c r="L6" s="63" t="s">
        <v>515</v>
      </c>
      <c r="M6" s="63" t="s">
        <v>516</v>
      </c>
      <c r="N6" s="63" t="s">
        <v>517</v>
      </c>
      <c r="O6" s="62" t="s">
        <v>81</v>
      </c>
      <c r="P6" s="64" t="s">
        <v>518</v>
      </c>
      <c r="Q6" s="64" t="s">
        <v>519</v>
      </c>
      <c r="R6" s="64" t="s">
        <v>520</v>
      </c>
      <c r="S6" s="64" t="s">
        <v>521</v>
      </c>
      <c r="T6" s="64" t="s">
        <v>522</v>
      </c>
      <c r="U6" s="64" t="s">
        <v>523</v>
      </c>
      <c r="V6" s="64" t="s">
        <v>524</v>
      </c>
      <c r="W6" s="64" t="s">
        <v>525</v>
      </c>
      <c r="X6" s="64" t="s">
        <v>526</v>
      </c>
      <c r="Y6" s="64" t="s">
        <v>527</v>
      </c>
      <c r="Z6" s="64" t="s">
        <v>528</v>
      </c>
      <c r="AA6" s="64" t="s">
        <v>529</v>
      </c>
      <c r="AB6" s="62" t="s">
        <v>82</v>
      </c>
      <c r="AC6" s="63" t="s">
        <v>530</v>
      </c>
      <c r="AD6" s="63" t="s">
        <v>531</v>
      </c>
      <c r="AE6" s="63" t="s">
        <v>532</v>
      </c>
      <c r="AF6" s="63" t="s">
        <v>533</v>
      </c>
      <c r="AG6" s="63" t="s">
        <v>534</v>
      </c>
      <c r="AH6" s="63" t="s">
        <v>535</v>
      </c>
      <c r="AI6" s="63" t="s">
        <v>536</v>
      </c>
      <c r="AJ6" s="63" t="s">
        <v>537</v>
      </c>
      <c r="AK6" s="63" t="s">
        <v>538</v>
      </c>
      <c r="AL6" s="63" t="s">
        <v>539</v>
      </c>
      <c r="AM6" s="63" t="s">
        <v>540</v>
      </c>
      <c r="AN6" s="63" t="s">
        <v>541</v>
      </c>
      <c r="AO6" s="62" t="s">
        <v>83</v>
      </c>
      <c r="AP6" s="64" t="s">
        <v>542</v>
      </c>
      <c r="AQ6" s="64" t="s">
        <v>543</v>
      </c>
      <c r="AR6" s="64" t="s">
        <v>544</v>
      </c>
      <c r="AS6" s="64" t="s">
        <v>545</v>
      </c>
      <c r="AT6" s="64" t="s">
        <v>546</v>
      </c>
      <c r="AU6" s="64" t="s">
        <v>547</v>
      </c>
      <c r="AV6" s="64" t="s">
        <v>548</v>
      </c>
      <c r="AW6" s="64" t="s">
        <v>549</v>
      </c>
      <c r="AX6" s="64" t="s">
        <v>550</v>
      </c>
      <c r="AY6" s="64" t="s">
        <v>551</v>
      </c>
      <c r="AZ6" s="64" t="s">
        <v>552</v>
      </c>
      <c r="BA6" s="64" t="s">
        <v>553</v>
      </c>
      <c r="BB6" s="62" t="s">
        <v>84</v>
      </c>
      <c r="BC6" s="63" t="s">
        <v>554</v>
      </c>
      <c r="BD6" s="63" t="s">
        <v>555</v>
      </c>
      <c r="BE6" s="63" t="s">
        <v>556</v>
      </c>
      <c r="BF6" s="63" t="s">
        <v>557</v>
      </c>
      <c r="BG6" s="63" t="s">
        <v>558</v>
      </c>
      <c r="BH6" s="63" t="s">
        <v>559</v>
      </c>
      <c r="BI6" s="63" t="s">
        <v>560</v>
      </c>
      <c r="BJ6" s="63" t="s">
        <v>561</v>
      </c>
      <c r="BK6" s="63" t="s">
        <v>562</v>
      </c>
      <c r="BL6" s="63" t="s">
        <v>563</v>
      </c>
      <c r="BM6" s="63" t="s">
        <v>564</v>
      </c>
      <c r="BN6" s="63" t="s">
        <v>565</v>
      </c>
    </row>
    <row r="7" customFormat="false" ht="15" hidden="false" customHeight="false" outlineLevel="0" collapsed="false">
      <c r="A7" s="12" t="s">
        <v>839</v>
      </c>
      <c r="B7" s="65" t="n">
        <f aca="false">SUM(C7:N7)</f>
        <v>-36126.5509537965</v>
      </c>
      <c r="C7" s="77" t="n">
        <f aca="false">Expenses!C$52</f>
        <v>-9030.26234720481</v>
      </c>
      <c r="D7" s="77" t="n">
        <f aca="false">Expenses!D$52</f>
        <v>-9311.09870466209</v>
      </c>
      <c r="E7" s="77" t="n">
        <f aca="false">Expenses!E$52</f>
        <v>-9436.62007258382</v>
      </c>
      <c r="F7" s="77" t="n">
        <f aca="false">Expenses!F$52</f>
        <v>-5783.64277924275</v>
      </c>
      <c r="G7" s="77" t="n">
        <f aca="false">Expenses!G$52</f>
        <v>-5294.16877778213</v>
      </c>
      <c r="H7" s="77" t="n">
        <f aca="false">Expenses!H$52</f>
        <v>-4712.07978552224</v>
      </c>
      <c r="I7" s="77" t="n">
        <f aca="false">Expenses!I$52</f>
        <v>-4393.19412687804</v>
      </c>
      <c r="J7" s="77" t="n">
        <f aca="false">Expenses!J$52</f>
        <v>-3674.09378760625</v>
      </c>
      <c r="K7" s="77" t="n">
        <f aca="false">Expenses!K$52</f>
        <v>-2816.59068223825</v>
      </c>
      <c r="L7" s="77" t="n">
        <f aca="false">Expenses!L$52</f>
        <v>3748.01156892116</v>
      </c>
      <c r="M7" s="77" t="n">
        <f aca="false">Expenses!M$52</f>
        <v>5962.89867658239</v>
      </c>
      <c r="N7" s="77" t="n">
        <f aca="false">Expenses!N$52</f>
        <v>8614.28986442036</v>
      </c>
      <c r="O7" s="65" t="n">
        <f aca="false">SUM(P7:AA7)</f>
        <v>253478.812759833</v>
      </c>
      <c r="P7" s="77" t="n">
        <f aca="false">Expenses!P$52</f>
        <v>-13702.5850140996</v>
      </c>
      <c r="Q7" s="77" t="n">
        <f aca="false">Expenses!Q$52</f>
        <v>-10854.4583919005</v>
      </c>
      <c r="R7" s="77" t="n">
        <f aca="false">Expenses!R$52</f>
        <v>-7321.68600334009</v>
      </c>
      <c r="S7" s="77" t="n">
        <f aca="false">Expenses!S$52</f>
        <v>-1603.95781561151</v>
      </c>
      <c r="T7" s="77" t="n">
        <f aca="false">Expenses!T$52</f>
        <v>3546.17221363933</v>
      </c>
      <c r="U7" s="77" t="n">
        <f aca="false">Expenses!U$52</f>
        <v>9695.86242089882</v>
      </c>
      <c r="V7" s="77" t="n">
        <f aca="false">Expenses!V$52</f>
        <v>18909.6088573916</v>
      </c>
      <c r="W7" s="77" t="n">
        <f aca="false">Expenses!W$52</f>
        <v>27733.2031309683</v>
      </c>
      <c r="X7" s="77" t="n">
        <f aca="false">Expenses!X$52</f>
        <v>38287.43402315</v>
      </c>
      <c r="Y7" s="77" t="n">
        <f aca="false">Expenses!Y$52</f>
        <v>48103.0975990895</v>
      </c>
      <c r="Z7" s="77" t="n">
        <f aca="false">Expenses!Z$52</f>
        <v>62014.8056684742</v>
      </c>
      <c r="AA7" s="77" t="n">
        <f aca="false">Expenses!AA$52</f>
        <v>78671.3160711733</v>
      </c>
      <c r="AB7" s="65" t="n">
        <f aca="false">SUM(AC7:AN7)</f>
        <v>1444251.19607808</v>
      </c>
      <c r="AC7" s="77" t="n">
        <f aca="false">Expenses!AC$52</f>
        <v>46739.1975777993</v>
      </c>
      <c r="AD7" s="77" t="n">
        <f aca="false">Expenses!AD$52</f>
        <v>66884.970786739</v>
      </c>
      <c r="AE7" s="77" t="n">
        <f aca="false">Expenses!AE$52</f>
        <v>91523.5356011037</v>
      </c>
      <c r="AF7" s="77" t="n">
        <f aca="false">Expenses!AF$52</f>
        <v>70320.0601482057</v>
      </c>
      <c r="AG7" s="77" t="n">
        <f aca="false">Expenses!AG$52</f>
        <v>94852.696276533</v>
      </c>
      <c r="AH7" s="77" t="n">
        <f aca="false">Expenses!AH$52</f>
        <v>124209.239052733</v>
      </c>
      <c r="AI7" s="77" t="n">
        <f aca="false">Expenses!AI$52</f>
        <v>113126.982906661</v>
      </c>
      <c r="AJ7" s="77" t="n">
        <f aca="false">Expenses!AJ$52</f>
        <v>144711.344251307</v>
      </c>
      <c r="AK7" s="77" t="n">
        <f aca="false">Expenses!AK$52</f>
        <v>182522.691066259</v>
      </c>
      <c r="AL7" s="77" t="n">
        <f aca="false">Expenses!AL$52</f>
        <v>133177.59525792</v>
      </c>
      <c r="AM7" s="77" t="n">
        <f aca="false">Expenses!AM$52</f>
        <v>167528.806023577</v>
      </c>
      <c r="AN7" s="77" t="n">
        <f aca="false">Expenses!AN$52</f>
        <v>208654.077129241</v>
      </c>
      <c r="AO7" s="65" t="n">
        <f aca="false">SUM(AP7:BA7)</f>
        <v>3275261.69750444</v>
      </c>
      <c r="AP7" s="77" t="n">
        <f aca="false">Expenses!AP$52</f>
        <v>153861.001011858</v>
      </c>
      <c r="AQ7" s="77" t="n">
        <f aca="false">Expenses!AQ$52</f>
        <v>196901.499047934</v>
      </c>
      <c r="AR7" s="77" t="n">
        <f aca="false">Expenses!AR$52</f>
        <v>248623.154975054</v>
      </c>
      <c r="AS7" s="77" t="n">
        <f aca="false">Expenses!AS$52</f>
        <v>200069.822788449</v>
      </c>
      <c r="AT7" s="77" t="n">
        <f aca="false">Expenses!AT$52</f>
        <v>250593.204331279</v>
      </c>
      <c r="AU7" s="77" t="n">
        <f aca="false">Expenses!AU$52</f>
        <v>311090.596639149</v>
      </c>
      <c r="AV7" s="77" t="n">
        <f aca="false">Expenses!AV$52</f>
        <v>236039.985939256</v>
      </c>
      <c r="AW7" s="77" t="n">
        <f aca="false">Expenses!AW$52</f>
        <v>291724.44024413</v>
      </c>
      <c r="AX7" s="77" t="n">
        <f aca="false">Expenses!AX$52</f>
        <v>358478.636298108</v>
      </c>
      <c r="AY7" s="77" t="n">
        <f aca="false">Expenses!AY$52</f>
        <v>276820.76920385</v>
      </c>
      <c r="AZ7" s="77" t="n">
        <f aca="false">Expenses!AZ$52</f>
        <v>338562.756357745</v>
      </c>
      <c r="BA7" s="77" t="n">
        <f aca="false">Expenses!BA$52</f>
        <v>412495.830667626</v>
      </c>
      <c r="BB7" s="65" t="n">
        <f aca="false">SUM(BC7:BN7)</f>
        <v>5384537.45089219</v>
      </c>
      <c r="BC7" s="77" t="n">
        <f aca="false">Expenses!BC$52</f>
        <v>307368.011087885</v>
      </c>
      <c r="BD7" s="77" t="n">
        <f aca="false">Expenses!BD$52</f>
        <v>377422.243872376</v>
      </c>
      <c r="BE7" s="77" t="n">
        <f aca="false">Expenses!BE$52</f>
        <v>461751.717866236</v>
      </c>
      <c r="BF7" s="77" t="n">
        <f aca="false">Expenses!BF$52</f>
        <v>339328.75176973</v>
      </c>
      <c r="BG7" s="77" t="n">
        <f aca="false">Expenses!BG$52</f>
        <v>413757.160256934</v>
      </c>
      <c r="BH7" s="77" t="n">
        <f aca="false">Expenses!BH$52</f>
        <v>502920.459989845</v>
      </c>
      <c r="BI7" s="77" t="n">
        <f aca="false">Expenses!BI$52</f>
        <v>394970.699758109</v>
      </c>
      <c r="BJ7" s="77" t="n">
        <f aca="false">Expenses!BJ$52</f>
        <v>477863.457424595</v>
      </c>
      <c r="BK7" s="77" t="n">
        <f aca="false">Expenses!BK$52</f>
        <v>577124.666046861</v>
      </c>
      <c r="BL7" s="77" t="n">
        <f aca="false">Expenses!BL$52</f>
        <v>419510.673387037</v>
      </c>
      <c r="BM7" s="77" t="n">
        <f aca="false">Expenses!BM$52</f>
        <v>505048.901634923</v>
      </c>
      <c r="BN7" s="77" t="n">
        <f aca="false">Expenses!BN$52</f>
        <v>607470.70779766</v>
      </c>
    </row>
    <row r="8" customFormat="false" ht="15" hidden="false" customHeight="false" outlineLevel="0" collapsed="false">
      <c r="A8" s="12" t="s">
        <v>903</v>
      </c>
      <c r="B8" s="65" t="n">
        <f aca="false">SUM(C8:N8)</f>
        <v>0</v>
      </c>
      <c r="C8" s="77" t="n">
        <f aca="false">'Income Statement'!$C$39/12</f>
        <v>-0</v>
      </c>
      <c r="D8" s="77" t="n">
        <f aca="false">'Income Statement'!$C$39/12</f>
        <v>-0</v>
      </c>
      <c r="E8" s="77" t="n">
        <f aca="false">'Income Statement'!$C$39/12</f>
        <v>-0</v>
      </c>
      <c r="F8" s="77" t="n">
        <f aca="false">'Income Statement'!$C$39/12</f>
        <v>-0</v>
      </c>
      <c r="G8" s="77" t="n">
        <f aca="false">'Income Statement'!$C$39/12</f>
        <v>-0</v>
      </c>
      <c r="H8" s="77" t="n">
        <f aca="false">'Income Statement'!$C$39/12</f>
        <v>-0</v>
      </c>
      <c r="I8" s="77" t="n">
        <f aca="false">'Income Statement'!$C$39/12</f>
        <v>-0</v>
      </c>
      <c r="J8" s="77" t="n">
        <f aca="false">'Income Statement'!$C$39/12</f>
        <v>-0</v>
      </c>
      <c r="K8" s="77" t="n">
        <f aca="false">'Income Statement'!$C$39/12</f>
        <v>-0</v>
      </c>
      <c r="L8" s="77" t="n">
        <f aca="false">'Income Statement'!$C$39/12</f>
        <v>-0</v>
      </c>
      <c r="M8" s="77" t="n">
        <f aca="false">'Income Statement'!$C$39/12</f>
        <v>-0</v>
      </c>
      <c r="N8" s="77" t="n">
        <f aca="false">'Income Statement'!$C$39/12</f>
        <v>-0</v>
      </c>
      <c r="O8" s="65" t="n">
        <f aca="false">SUM(P8:AA8)</f>
        <v>-48904.2589063583</v>
      </c>
      <c r="P8" s="77" t="n">
        <f aca="false">'Income Statement'!$D$39/12</f>
        <v>-4075.35490886319</v>
      </c>
      <c r="Q8" s="77" t="n">
        <f aca="false">'Income Statement'!$D$39/12</f>
        <v>-4075.35490886319</v>
      </c>
      <c r="R8" s="77" t="n">
        <f aca="false">'Income Statement'!$D$39/12</f>
        <v>-4075.35490886319</v>
      </c>
      <c r="S8" s="77" t="n">
        <f aca="false">'Income Statement'!$D$39/12</f>
        <v>-4075.35490886319</v>
      </c>
      <c r="T8" s="77" t="n">
        <f aca="false">'Income Statement'!$D$39/12</f>
        <v>-4075.35490886319</v>
      </c>
      <c r="U8" s="77" t="n">
        <f aca="false">'Income Statement'!$D$39/12</f>
        <v>-4075.35490886319</v>
      </c>
      <c r="V8" s="77" t="n">
        <f aca="false">'Income Statement'!$D$39/12</f>
        <v>-4075.35490886319</v>
      </c>
      <c r="W8" s="77" t="n">
        <f aca="false">'Income Statement'!$D$39/12</f>
        <v>-4075.35490886319</v>
      </c>
      <c r="X8" s="77" t="n">
        <f aca="false">'Income Statement'!$D$39/12</f>
        <v>-4075.35490886319</v>
      </c>
      <c r="Y8" s="77" t="n">
        <f aca="false">'Income Statement'!$D$39/12</f>
        <v>-4075.35490886319</v>
      </c>
      <c r="Z8" s="77" t="n">
        <f aca="false">'Income Statement'!$D$39/12</f>
        <v>-4075.35490886319</v>
      </c>
      <c r="AA8" s="77" t="n">
        <f aca="false">'Income Statement'!$D$39/12</f>
        <v>-4075.35490886319</v>
      </c>
      <c r="AB8" s="65" t="n">
        <f aca="false">SUM(AC8:AN8)</f>
        <v>-324956.519117568</v>
      </c>
      <c r="AC8" s="77" t="n">
        <f aca="false">'Income Statement'!$E$39/12</f>
        <v>-27079.709926464</v>
      </c>
      <c r="AD8" s="77" t="n">
        <f aca="false">'Income Statement'!$E$39/12</f>
        <v>-27079.709926464</v>
      </c>
      <c r="AE8" s="77" t="n">
        <f aca="false">'Income Statement'!$E$39/12</f>
        <v>-27079.709926464</v>
      </c>
      <c r="AF8" s="77" t="n">
        <f aca="false">'Income Statement'!$E$39/12</f>
        <v>-27079.709926464</v>
      </c>
      <c r="AG8" s="77" t="n">
        <f aca="false">'Income Statement'!$E$39/12</f>
        <v>-27079.709926464</v>
      </c>
      <c r="AH8" s="77" t="n">
        <f aca="false">'Income Statement'!$E$39/12</f>
        <v>-27079.709926464</v>
      </c>
      <c r="AI8" s="77" t="n">
        <f aca="false">'Income Statement'!$E$39/12</f>
        <v>-27079.709926464</v>
      </c>
      <c r="AJ8" s="77" t="n">
        <f aca="false">'Income Statement'!$E$39/12</f>
        <v>-27079.709926464</v>
      </c>
      <c r="AK8" s="77" t="n">
        <f aca="false">'Income Statement'!$E$39/12</f>
        <v>-27079.709926464</v>
      </c>
      <c r="AL8" s="77" t="n">
        <f aca="false">'Income Statement'!$E$39/12</f>
        <v>-27079.709926464</v>
      </c>
      <c r="AM8" s="77" t="n">
        <f aca="false">'Income Statement'!$E$39/12</f>
        <v>-27079.709926464</v>
      </c>
      <c r="AN8" s="77" t="n">
        <f aca="false">'Income Statement'!$E$39/12</f>
        <v>-27079.709926464</v>
      </c>
      <c r="AO8" s="65" t="n">
        <f aca="false">SUM(AP8:BA8)</f>
        <v>-736933.881938499</v>
      </c>
      <c r="AP8" s="77" t="n">
        <f aca="false">'Income Statement'!$F$39/12</f>
        <v>-61411.1568282082</v>
      </c>
      <c r="AQ8" s="77" t="n">
        <f aca="false">'Income Statement'!$F$39/12</f>
        <v>-61411.1568282082</v>
      </c>
      <c r="AR8" s="77" t="n">
        <f aca="false">'Income Statement'!$F$39/12</f>
        <v>-61411.1568282082</v>
      </c>
      <c r="AS8" s="77" t="n">
        <f aca="false">'Income Statement'!$F$39/12</f>
        <v>-61411.1568282082</v>
      </c>
      <c r="AT8" s="77" t="n">
        <f aca="false">'Income Statement'!$F$39/12</f>
        <v>-61411.1568282082</v>
      </c>
      <c r="AU8" s="77" t="n">
        <f aca="false">'Income Statement'!$F$39/12</f>
        <v>-61411.1568282082</v>
      </c>
      <c r="AV8" s="77" t="n">
        <f aca="false">'Income Statement'!$F$39/12</f>
        <v>-61411.1568282082</v>
      </c>
      <c r="AW8" s="77" t="n">
        <f aca="false">'Income Statement'!$F$39/12</f>
        <v>-61411.1568282082</v>
      </c>
      <c r="AX8" s="77" t="n">
        <f aca="false">'Income Statement'!$F$39/12</f>
        <v>-61411.1568282082</v>
      </c>
      <c r="AY8" s="77" t="n">
        <f aca="false">'Income Statement'!$F$39/12</f>
        <v>-61411.1568282082</v>
      </c>
      <c r="AZ8" s="77" t="n">
        <f aca="false">'Income Statement'!$F$39/12</f>
        <v>-61411.1568282082</v>
      </c>
      <c r="BA8" s="77" t="n">
        <f aca="false">'Income Statement'!$F$39/12</f>
        <v>-61411.1568282082</v>
      </c>
      <c r="BB8" s="65" t="n">
        <f aca="false">SUM(BC8:BN8)</f>
        <v>-1211520.92645074</v>
      </c>
      <c r="BC8" s="77" t="n">
        <f aca="false">'Income Statement'!$G$39/12</f>
        <v>-100960.077204229</v>
      </c>
      <c r="BD8" s="77" t="n">
        <f aca="false">'Income Statement'!$G$39/12</f>
        <v>-100960.077204229</v>
      </c>
      <c r="BE8" s="77" t="n">
        <f aca="false">'Income Statement'!$G$39/12</f>
        <v>-100960.077204229</v>
      </c>
      <c r="BF8" s="77" t="n">
        <f aca="false">'Income Statement'!$G$39/12</f>
        <v>-100960.077204229</v>
      </c>
      <c r="BG8" s="77" t="n">
        <f aca="false">'Income Statement'!$G$39/12</f>
        <v>-100960.077204229</v>
      </c>
      <c r="BH8" s="77" t="n">
        <f aca="false">'Income Statement'!$G$39/12</f>
        <v>-100960.077204229</v>
      </c>
      <c r="BI8" s="77" t="n">
        <f aca="false">'Income Statement'!$G$39/12</f>
        <v>-100960.077204229</v>
      </c>
      <c r="BJ8" s="77" t="n">
        <f aca="false">'Income Statement'!$G$39/12</f>
        <v>-100960.077204229</v>
      </c>
      <c r="BK8" s="77" t="n">
        <f aca="false">'Income Statement'!$G$39/12</f>
        <v>-100960.077204229</v>
      </c>
      <c r="BL8" s="77" t="n">
        <f aca="false">'Income Statement'!$G$39/12</f>
        <v>-100960.077204229</v>
      </c>
      <c r="BM8" s="77" t="n">
        <f aca="false">'Income Statement'!$G$39/12</f>
        <v>-100960.077204229</v>
      </c>
      <c r="BN8" s="77" t="n">
        <f aca="false">'Income Statement'!$G$39/12</f>
        <v>-100960.077204229</v>
      </c>
    </row>
    <row r="9" customFormat="false" ht="15" hidden="false" customHeight="false" outlineLevel="0" collapsed="false">
      <c r="A9" s="18" t="s">
        <v>88</v>
      </c>
      <c r="B9" s="65" t="n">
        <f aca="false">SUM(C9:N9)</f>
        <v>-36126.5509537965</v>
      </c>
      <c r="C9" s="78" t="n">
        <f aca="false">C7+C8</f>
        <v>-9030.26234720481</v>
      </c>
      <c r="D9" s="78" t="n">
        <f aca="false">D7+D8</f>
        <v>-9311.09870466209</v>
      </c>
      <c r="E9" s="78" t="n">
        <f aca="false">E7+E8</f>
        <v>-9436.62007258382</v>
      </c>
      <c r="F9" s="78" t="n">
        <f aca="false">F7+F8</f>
        <v>-5783.64277924275</v>
      </c>
      <c r="G9" s="78" t="n">
        <f aca="false">G7+G8</f>
        <v>-5294.16877778213</v>
      </c>
      <c r="H9" s="78" t="n">
        <f aca="false">H7+H8</f>
        <v>-4712.07978552224</v>
      </c>
      <c r="I9" s="78" t="n">
        <f aca="false">I7+I8</f>
        <v>-4393.19412687804</v>
      </c>
      <c r="J9" s="78" t="n">
        <f aca="false">J7+J8</f>
        <v>-3674.09378760625</v>
      </c>
      <c r="K9" s="78" t="n">
        <f aca="false">K7+K8</f>
        <v>-2816.59068223825</v>
      </c>
      <c r="L9" s="78" t="n">
        <f aca="false">L7+L8</f>
        <v>3748.01156892116</v>
      </c>
      <c r="M9" s="78" t="n">
        <f aca="false">M7+M8</f>
        <v>5962.89867658239</v>
      </c>
      <c r="N9" s="78" t="n">
        <f aca="false">N7+N8</f>
        <v>8614.28986442036</v>
      </c>
      <c r="O9" s="65" t="n">
        <f aca="false">SUM(P9:AA9)</f>
        <v>204574.553853475</v>
      </c>
      <c r="P9" s="78" t="n">
        <f aca="false">P7+P8</f>
        <v>-17777.9399229628</v>
      </c>
      <c r="Q9" s="78" t="n">
        <f aca="false">Q7+Q8</f>
        <v>-14929.8133007637</v>
      </c>
      <c r="R9" s="78" t="n">
        <f aca="false">R7+R8</f>
        <v>-11397.0409122033</v>
      </c>
      <c r="S9" s="78" t="n">
        <f aca="false">S7+S8</f>
        <v>-5679.3127244747</v>
      </c>
      <c r="T9" s="78" t="n">
        <f aca="false">T7+T8</f>
        <v>-529.182695223857</v>
      </c>
      <c r="U9" s="78" t="n">
        <f aca="false">U7+U8</f>
        <v>5620.50751203564</v>
      </c>
      <c r="V9" s="78" t="n">
        <f aca="false">V7+V8</f>
        <v>14834.2539485284</v>
      </c>
      <c r="W9" s="78" t="n">
        <f aca="false">W7+W8</f>
        <v>23657.8482221051</v>
      </c>
      <c r="X9" s="78" t="n">
        <f aca="false">X7+X8</f>
        <v>34212.0791142868</v>
      </c>
      <c r="Y9" s="78" t="n">
        <f aca="false">Y7+Y8</f>
        <v>44027.7426902263</v>
      </c>
      <c r="Z9" s="78" t="n">
        <f aca="false">Z7+Z8</f>
        <v>57939.450759611</v>
      </c>
      <c r="AA9" s="78" t="n">
        <f aca="false">AA7+AA8</f>
        <v>74595.9611623101</v>
      </c>
      <c r="AB9" s="65" t="n">
        <f aca="false">SUM(AC9:AN9)</f>
        <v>1119294.67696051</v>
      </c>
      <c r="AC9" s="78" t="n">
        <f aca="false">AC7+AC8</f>
        <v>19659.4876513354</v>
      </c>
      <c r="AD9" s="78" t="n">
        <f aca="false">AD7+AD8</f>
        <v>39805.260860275</v>
      </c>
      <c r="AE9" s="78" t="n">
        <f aca="false">AE7+AE8</f>
        <v>64443.8256746397</v>
      </c>
      <c r="AF9" s="78" t="n">
        <f aca="false">AF7+AF8</f>
        <v>43240.3502217417</v>
      </c>
      <c r="AG9" s="78" t="n">
        <f aca="false">AG7+AG8</f>
        <v>67772.986350069</v>
      </c>
      <c r="AH9" s="78" t="n">
        <f aca="false">AH7+AH8</f>
        <v>97129.5291262687</v>
      </c>
      <c r="AI9" s="78" t="n">
        <f aca="false">AI7+AI8</f>
        <v>86047.2729801972</v>
      </c>
      <c r="AJ9" s="78" t="n">
        <f aca="false">AJ7+AJ8</f>
        <v>117631.634324843</v>
      </c>
      <c r="AK9" s="78" t="n">
        <f aca="false">AK7+AK8</f>
        <v>155442.981139795</v>
      </c>
      <c r="AL9" s="78" t="n">
        <f aca="false">AL7+AL8</f>
        <v>106097.885331456</v>
      </c>
      <c r="AM9" s="78" t="n">
        <f aca="false">AM7+AM8</f>
        <v>140449.096097113</v>
      </c>
      <c r="AN9" s="78" t="n">
        <f aca="false">AN7+AN8</f>
        <v>181574.367202777</v>
      </c>
      <c r="AO9" s="65" t="n">
        <f aca="false">SUM(AP9:BA9)</f>
        <v>2538327.81556594</v>
      </c>
      <c r="AP9" s="78" t="n">
        <f aca="false">AP7+AP8</f>
        <v>92449.8441836501</v>
      </c>
      <c r="AQ9" s="78" t="n">
        <f aca="false">AQ7+AQ8</f>
        <v>135490.342219726</v>
      </c>
      <c r="AR9" s="78" t="n">
        <f aca="false">AR7+AR8</f>
        <v>187211.998146846</v>
      </c>
      <c r="AS9" s="78" t="n">
        <f aca="false">AS7+AS8</f>
        <v>138658.665960241</v>
      </c>
      <c r="AT9" s="78" t="n">
        <f aca="false">AT7+AT8</f>
        <v>189182.047503071</v>
      </c>
      <c r="AU9" s="78" t="n">
        <f aca="false">AU7+AU8</f>
        <v>249679.439810941</v>
      </c>
      <c r="AV9" s="78" t="n">
        <f aca="false">AV7+AV8</f>
        <v>174628.829111048</v>
      </c>
      <c r="AW9" s="78" t="n">
        <f aca="false">AW7+AW8</f>
        <v>230313.283415922</v>
      </c>
      <c r="AX9" s="78" t="n">
        <f aca="false">AX7+AX8</f>
        <v>297067.479469899</v>
      </c>
      <c r="AY9" s="78" t="n">
        <f aca="false">AY7+AY8</f>
        <v>215409.612375642</v>
      </c>
      <c r="AZ9" s="78" t="n">
        <f aca="false">AZ7+AZ8</f>
        <v>277151.599529537</v>
      </c>
      <c r="BA9" s="78" t="n">
        <f aca="false">BA7+BA8</f>
        <v>351084.673839418</v>
      </c>
      <c r="BB9" s="65" t="n">
        <f aca="false">SUM(BC9:BN9)</f>
        <v>4173016.52444145</v>
      </c>
      <c r="BC9" s="78" t="n">
        <f aca="false">BC7+BC8</f>
        <v>206407.933883656</v>
      </c>
      <c r="BD9" s="78" t="n">
        <f aca="false">BD7+BD8</f>
        <v>276462.166668147</v>
      </c>
      <c r="BE9" s="78" t="n">
        <f aca="false">BE7+BE8</f>
        <v>360791.640662008</v>
      </c>
      <c r="BF9" s="78" t="n">
        <f aca="false">BF7+BF8</f>
        <v>238368.674565501</v>
      </c>
      <c r="BG9" s="78" t="n">
        <f aca="false">BG7+BG8</f>
        <v>312797.083052705</v>
      </c>
      <c r="BH9" s="78" t="n">
        <f aca="false">BH7+BH8</f>
        <v>401960.382785617</v>
      </c>
      <c r="BI9" s="78" t="n">
        <f aca="false">BI7+BI8</f>
        <v>294010.622553881</v>
      </c>
      <c r="BJ9" s="78" t="n">
        <f aca="false">BJ7+BJ8</f>
        <v>376903.380220367</v>
      </c>
      <c r="BK9" s="78" t="n">
        <f aca="false">BK7+BK8</f>
        <v>476164.588842632</v>
      </c>
      <c r="BL9" s="78" t="n">
        <f aca="false">BL7+BL8</f>
        <v>318550.596182809</v>
      </c>
      <c r="BM9" s="78" t="n">
        <f aca="false">BM7+BM8</f>
        <v>404088.824430695</v>
      </c>
      <c r="BN9" s="78" t="n">
        <f aca="false">BN7+BN8</f>
        <v>506510.630593431</v>
      </c>
    </row>
    <row r="10" customFormat="false" ht="15" hidden="false" customHeight="false" outlineLevel="0" collapsed="false">
      <c r="A10" s="12" t="s">
        <v>904</v>
      </c>
      <c r="B10" s="65" t="n">
        <f aca="false">SUM(C10:N10)</f>
        <v>3387.5</v>
      </c>
      <c r="C10" s="77" t="n">
        <f aca="false">Expenses!C$45</f>
        <v>0</v>
      </c>
      <c r="D10" s="77" t="n">
        <f aca="false">Expenses!D$45</f>
        <v>241.666666666667</v>
      </c>
      <c r="E10" s="77" t="n">
        <f aca="false">Expenses!E$45</f>
        <v>314.583333333333</v>
      </c>
      <c r="F10" s="77" t="n">
        <f aca="false">Expenses!F$45</f>
        <v>314.583333333333</v>
      </c>
      <c r="G10" s="77" t="n">
        <f aca="false">Expenses!G$45</f>
        <v>314.583333333333</v>
      </c>
      <c r="H10" s="77" t="n">
        <f aca="false">Expenses!H$45</f>
        <v>314.583333333333</v>
      </c>
      <c r="I10" s="77" t="n">
        <f aca="false">Expenses!I$45</f>
        <v>314.583333333333</v>
      </c>
      <c r="J10" s="77" t="n">
        <f aca="false">Expenses!J$45</f>
        <v>314.583333333333</v>
      </c>
      <c r="K10" s="77" t="n">
        <f aca="false">Expenses!K$45</f>
        <v>314.583333333333</v>
      </c>
      <c r="L10" s="77" t="n">
        <f aca="false">Expenses!L$45</f>
        <v>314.583333333333</v>
      </c>
      <c r="M10" s="77" t="n">
        <f aca="false">Expenses!M$45</f>
        <v>314.583333333333</v>
      </c>
      <c r="N10" s="77" t="n">
        <f aca="false">Expenses!N$45</f>
        <v>314.583333333333</v>
      </c>
      <c r="O10" s="65" t="n">
        <f aca="false">SUM(P10:AA10)</f>
        <v>5081.25</v>
      </c>
      <c r="P10" s="77" t="n">
        <f aca="false">Expenses!P$45</f>
        <v>314.583333333333</v>
      </c>
      <c r="Q10" s="77" t="n">
        <f aca="false">Expenses!Q$45</f>
        <v>433.333333333333</v>
      </c>
      <c r="R10" s="77" t="n">
        <f aca="false">Expenses!R$45</f>
        <v>433.333333333333</v>
      </c>
      <c r="S10" s="77" t="n">
        <f aca="false">Expenses!S$45</f>
        <v>433.333333333333</v>
      </c>
      <c r="T10" s="77" t="n">
        <f aca="false">Expenses!T$45</f>
        <v>433.333333333333</v>
      </c>
      <c r="U10" s="77" t="n">
        <f aca="false">Expenses!U$45</f>
        <v>433.333333333333</v>
      </c>
      <c r="V10" s="77" t="n">
        <f aca="false">Expenses!V$45</f>
        <v>433.333333333333</v>
      </c>
      <c r="W10" s="77" t="n">
        <f aca="false">Expenses!W$45</f>
        <v>433.333333333333</v>
      </c>
      <c r="X10" s="77" t="n">
        <f aca="false">Expenses!X$45</f>
        <v>433.333333333333</v>
      </c>
      <c r="Y10" s="77" t="n">
        <f aca="false">Expenses!Y$45</f>
        <v>433.333333333333</v>
      </c>
      <c r="Z10" s="77" t="n">
        <f aca="false">Expenses!Z$45</f>
        <v>433.333333333333</v>
      </c>
      <c r="AA10" s="77" t="n">
        <f aca="false">Expenses!AA$45</f>
        <v>433.333333333333</v>
      </c>
      <c r="AB10" s="65" t="n">
        <f aca="false">SUM(AC10:AN10)</f>
        <v>10127.0833333333</v>
      </c>
      <c r="AC10" s="77" t="n">
        <f aca="false">Expenses!AC$45</f>
        <v>433.333333333333</v>
      </c>
      <c r="AD10" s="77" t="n">
        <f aca="false">Expenses!AD$45</f>
        <v>881.25</v>
      </c>
      <c r="AE10" s="77" t="n">
        <f aca="false">Expenses!AE$45</f>
        <v>881.25</v>
      </c>
      <c r="AF10" s="77" t="n">
        <f aca="false">Expenses!AF$45</f>
        <v>881.25</v>
      </c>
      <c r="AG10" s="77" t="n">
        <f aca="false">Expenses!AG$45</f>
        <v>881.25</v>
      </c>
      <c r="AH10" s="77" t="n">
        <f aca="false">Expenses!AH$45</f>
        <v>881.25</v>
      </c>
      <c r="AI10" s="77" t="n">
        <f aca="false">Expenses!AI$45</f>
        <v>881.25</v>
      </c>
      <c r="AJ10" s="77" t="n">
        <f aca="false">Expenses!AJ$45</f>
        <v>881.25</v>
      </c>
      <c r="AK10" s="77" t="n">
        <f aca="false">Expenses!AK$45</f>
        <v>881.25</v>
      </c>
      <c r="AL10" s="77" t="n">
        <f aca="false">Expenses!AL$45</f>
        <v>881.25</v>
      </c>
      <c r="AM10" s="77" t="n">
        <f aca="false">Expenses!AM$45</f>
        <v>881.25</v>
      </c>
      <c r="AN10" s="77" t="n">
        <f aca="false">Expenses!AN$45</f>
        <v>881.25</v>
      </c>
      <c r="AO10" s="65" t="n">
        <f aca="false">SUM(AP10:BA10)</f>
        <v>11608.3333333333</v>
      </c>
      <c r="AP10" s="77" t="n">
        <f aca="false">Expenses!AP$45</f>
        <v>881.25</v>
      </c>
      <c r="AQ10" s="77" t="n">
        <f aca="false">Expenses!AQ$45</f>
        <v>1039.58333333333</v>
      </c>
      <c r="AR10" s="77" t="n">
        <f aca="false">Expenses!AR$45</f>
        <v>1039.58333333333</v>
      </c>
      <c r="AS10" s="77" t="n">
        <f aca="false">Expenses!AS$45</f>
        <v>1039.58333333333</v>
      </c>
      <c r="AT10" s="77" t="n">
        <f aca="false">Expenses!AT$45</f>
        <v>1039.58333333333</v>
      </c>
      <c r="AU10" s="77" t="n">
        <f aca="false">Expenses!AU$45</f>
        <v>1039.58333333333</v>
      </c>
      <c r="AV10" s="77" t="n">
        <f aca="false">Expenses!AV$45</f>
        <v>1039.58333333333</v>
      </c>
      <c r="AW10" s="77" t="n">
        <f aca="false">Expenses!AW$45</f>
        <v>997.916666666668</v>
      </c>
      <c r="AX10" s="77" t="n">
        <f aca="false">Expenses!AX$45</f>
        <v>872.916666666667</v>
      </c>
      <c r="AY10" s="77" t="n">
        <f aca="false">Expenses!AY$45</f>
        <v>872.916666666667</v>
      </c>
      <c r="AZ10" s="77" t="n">
        <f aca="false">Expenses!AZ$45</f>
        <v>872.916666666667</v>
      </c>
      <c r="BA10" s="77" t="n">
        <f aca="false">Expenses!BA$45</f>
        <v>872.916666666667</v>
      </c>
      <c r="BB10" s="65" t="n">
        <f aca="false">SUM(BC10:BN10)</f>
        <v>11845.8333333333</v>
      </c>
      <c r="BC10" s="77" t="n">
        <f aca="false">Expenses!BC$45</f>
        <v>872.916666666667</v>
      </c>
      <c r="BD10" s="77" t="n">
        <f aca="false">Expenses!BD$45</f>
        <v>1181.25</v>
      </c>
      <c r="BE10" s="77" t="n">
        <f aca="false">Expenses!BE$45</f>
        <v>1108.33333333333</v>
      </c>
      <c r="BF10" s="77" t="n">
        <f aca="false">Expenses!BF$45</f>
        <v>1108.33333333333</v>
      </c>
      <c r="BG10" s="77" t="n">
        <f aca="false">Expenses!BG$45</f>
        <v>1108.33333333333</v>
      </c>
      <c r="BH10" s="77" t="n">
        <f aca="false">Expenses!BH$45</f>
        <v>1066.66666666667</v>
      </c>
      <c r="BI10" s="77" t="n">
        <f aca="false">Expenses!BI$45</f>
        <v>900</v>
      </c>
      <c r="BJ10" s="77" t="n">
        <f aca="false">Expenses!BJ$45</f>
        <v>900</v>
      </c>
      <c r="BK10" s="77" t="n">
        <f aca="false">Expenses!BK$45</f>
        <v>900</v>
      </c>
      <c r="BL10" s="77" t="n">
        <f aca="false">Expenses!BL$45</f>
        <v>900</v>
      </c>
      <c r="BM10" s="77" t="n">
        <f aca="false">Expenses!BM$45</f>
        <v>900</v>
      </c>
      <c r="BN10" s="77" t="n">
        <f aca="false">Expenses!BN$45</f>
        <v>900</v>
      </c>
    </row>
    <row r="12" customFormat="false" ht="16.5" hidden="false" customHeight="true" outlineLevel="0" collapsed="false">
      <c r="A12" s="15" t="s">
        <v>905</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row>
    <row r="13" customFormat="false" ht="15" hidden="false" customHeight="true" outlineLevel="0" collapsed="false">
      <c r="A13" s="26" t="s">
        <v>505</v>
      </c>
      <c r="B13" s="62" t="s">
        <v>80</v>
      </c>
      <c r="C13" s="63" t="s">
        <v>506</v>
      </c>
      <c r="D13" s="63" t="s">
        <v>507</v>
      </c>
      <c r="E13" s="63" t="s">
        <v>508</v>
      </c>
      <c r="F13" s="63" t="s">
        <v>509</v>
      </c>
      <c r="G13" s="63" t="s">
        <v>510</v>
      </c>
      <c r="H13" s="63" t="s">
        <v>511</v>
      </c>
      <c r="I13" s="63" t="s">
        <v>512</v>
      </c>
      <c r="J13" s="63" t="s">
        <v>513</v>
      </c>
      <c r="K13" s="63" t="s">
        <v>514</v>
      </c>
      <c r="L13" s="63" t="s">
        <v>515</v>
      </c>
      <c r="M13" s="63" t="s">
        <v>516</v>
      </c>
      <c r="N13" s="63" t="s">
        <v>517</v>
      </c>
      <c r="O13" s="62" t="s">
        <v>81</v>
      </c>
      <c r="P13" s="64" t="s">
        <v>518</v>
      </c>
      <c r="Q13" s="64" t="s">
        <v>519</v>
      </c>
      <c r="R13" s="64" t="s">
        <v>520</v>
      </c>
      <c r="S13" s="64" t="s">
        <v>521</v>
      </c>
      <c r="T13" s="64" t="s">
        <v>522</v>
      </c>
      <c r="U13" s="64" t="s">
        <v>523</v>
      </c>
      <c r="V13" s="64" t="s">
        <v>524</v>
      </c>
      <c r="W13" s="64" t="s">
        <v>525</v>
      </c>
      <c r="X13" s="64" t="s">
        <v>526</v>
      </c>
      <c r="Y13" s="64" t="s">
        <v>527</v>
      </c>
      <c r="Z13" s="64" t="s">
        <v>528</v>
      </c>
      <c r="AA13" s="64" t="s">
        <v>529</v>
      </c>
      <c r="AB13" s="62" t="s">
        <v>82</v>
      </c>
      <c r="AC13" s="63" t="s">
        <v>530</v>
      </c>
      <c r="AD13" s="63" t="s">
        <v>531</v>
      </c>
      <c r="AE13" s="63" t="s">
        <v>532</v>
      </c>
      <c r="AF13" s="63" t="s">
        <v>533</v>
      </c>
      <c r="AG13" s="63" t="s">
        <v>534</v>
      </c>
      <c r="AH13" s="63" t="s">
        <v>535</v>
      </c>
      <c r="AI13" s="63" t="s">
        <v>536</v>
      </c>
      <c r="AJ13" s="63" t="s">
        <v>537</v>
      </c>
      <c r="AK13" s="63" t="s">
        <v>538</v>
      </c>
      <c r="AL13" s="63" t="s">
        <v>539</v>
      </c>
      <c r="AM13" s="63" t="s">
        <v>540</v>
      </c>
      <c r="AN13" s="63" t="s">
        <v>541</v>
      </c>
      <c r="AO13" s="62" t="s">
        <v>83</v>
      </c>
      <c r="AP13" s="64" t="s">
        <v>542</v>
      </c>
      <c r="AQ13" s="64" t="s">
        <v>543</v>
      </c>
      <c r="AR13" s="64" t="s">
        <v>544</v>
      </c>
      <c r="AS13" s="64" t="s">
        <v>545</v>
      </c>
      <c r="AT13" s="64" t="s">
        <v>546</v>
      </c>
      <c r="AU13" s="64" t="s">
        <v>547</v>
      </c>
      <c r="AV13" s="64" t="s">
        <v>548</v>
      </c>
      <c r="AW13" s="64" t="s">
        <v>549</v>
      </c>
      <c r="AX13" s="64" t="s">
        <v>550</v>
      </c>
      <c r="AY13" s="64" t="s">
        <v>551</v>
      </c>
      <c r="AZ13" s="64" t="s">
        <v>552</v>
      </c>
      <c r="BA13" s="64" t="s">
        <v>553</v>
      </c>
      <c r="BB13" s="62" t="s">
        <v>84</v>
      </c>
      <c r="BC13" s="63" t="s">
        <v>554</v>
      </c>
      <c r="BD13" s="63" t="s">
        <v>555</v>
      </c>
      <c r="BE13" s="63" t="s">
        <v>556</v>
      </c>
      <c r="BF13" s="63" t="s">
        <v>557</v>
      </c>
      <c r="BG13" s="63" t="s">
        <v>558</v>
      </c>
      <c r="BH13" s="63" t="s">
        <v>559</v>
      </c>
      <c r="BI13" s="63" t="s">
        <v>560</v>
      </c>
      <c r="BJ13" s="63" t="s">
        <v>561</v>
      </c>
      <c r="BK13" s="63" t="s">
        <v>562</v>
      </c>
      <c r="BL13" s="63" t="s">
        <v>563</v>
      </c>
      <c r="BM13" s="63" t="s">
        <v>564</v>
      </c>
      <c r="BN13" s="63" t="s">
        <v>565</v>
      </c>
    </row>
    <row r="14" customFormat="false" ht="15" hidden="false" customHeight="false" outlineLevel="0" collapsed="false">
      <c r="A14" s="12" t="s">
        <v>572</v>
      </c>
      <c r="B14" s="65" t="n">
        <f aca="false">N14</f>
        <v>59856.4857743939</v>
      </c>
      <c r="C14" s="66" t="n">
        <f aca="false">'Revenue Streams'!C$41*'Assumption Setting'!$C$185/30+'Revenue Streams'!C$49*'Assumption Setting'!$C$186/30</f>
        <v>4557.00142564394</v>
      </c>
      <c r="D14" s="66" t="n">
        <f aca="false">'Revenue Streams'!D$41*'Assumption Setting'!$C$185/30+'Revenue Streams'!D$49*'Assumption Setting'!$C$186/30</f>
        <v>5377.41993462121</v>
      </c>
      <c r="E14" s="66" t="n">
        <f aca="false">'Revenue Streams'!E$41*'Assumption Setting'!$C$185/30+'Revenue Streams'!E$49*'Assumption Setting'!$C$186/30</f>
        <v>6361.43894359849</v>
      </c>
      <c r="F14" s="66" t="n">
        <f aca="false">'Revenue Streams'!F$41*'Assumption Setting'!$C$185/30+'Revenue Streams'!F$49*'Assumption Setting'!$C$186/30</f>
        <v>10638.6993025758</v>
      </c>
      <c r="G14" s="66" t="n">
        <f aca="false">'Revenue Streams'!G$41*'Assumption Setting'!$C$185/30+'Revenue Streams'!G$49*'Assumption Setting'!$C$186/30</f>
        <v>12536.619411553</v>
      </c>
      <c r="H14" s="66" t="n">
        <f aca="false">'Revenue Streams'!H$41*'Assumption Setting'!$C$185/30+'Revenue Streams'!H$49*'Assumption Setting'!$C$186/30</f>
        <v>14813.7312205303</v>
      </c>
      <c r="I14" s="66" t="n">
        <f aca="false">'Revenue Streams'!I$41*'Assumption Setting'!$C$185/30+'Revenue Streams'!I$49*'Assumption Setting'!$C$186/30</f>
        <v>15197.6572461742</v>
      </c>
      <c r="J14" s="66" t="n">
        <f aca="false">'Revenue Streams'!J$41*'Assumption Setting'!$C$185/30+'Revenue Streams'!J$49*'Assumption Setting'!$C$186/30</f>
        <v>17908.2726051515</v>
      </c>
      <c r="K14" s="66" t="n">
        <f aca="false">'Revenue Streams'!K$41*'Assumption Setting'!$C$185/30+'Revenue Streams'!K$49*'Assumption Setting'!$C$186/30</f>
        <v>21160.6151641288</v>
      </c>
      <c r="L14" s="66" t="n">
        <f aca="false">'Revenue Streams'!L$41*'Assumption Setting'!$C$185/30+'Revenue Streams'!L$49*'Assumption Setting'!$C$186/30</f>
        <v>42974.0774564394</v>
      </c>
      <c r="M14" s="66" t="n">
        <f aca="false">'Revenue Streams'!M$41*'Assumption Setting'!$C$185/30+'Revenue Streams'!M$49*'Assumption Setting'!$C$186/30</f>
        <v>50648.1284154167</v>
      </c>
      <c r="N14" s="66" t="n">
        <f aca="false">'Revenue Streams'!N$41*'Assumption Setting'!$C$185/30+'Revenue Streams'!N$49*'Assumption Setting'!$C$186/30</f>
        <v>59856.4857743939</v>
      </c>
      <c r="O14" s="65" t="n">
        <f aca="false">AA14</f>
        <v>378747.988298384</v>
      </c>
      <c r="P14" s="66" t="n">
        <f aca="false">'Revenue Streams'!P$41*'Assumption Setting'!$C$185/30+'Revenue Streams'!P$49*'Assumption Setting'!$C$186/30</f>
        <v>59163.5298328746</v>
      </c>
      <c r="Q14" s="66" t="n">
        <f aca="false">'Revenue Streams'!Q$41*'Assumption Setting'!$C$185/30+'Revenue Streams'!Q$49*'Assumption Setting'!$C$186/30</f>
        <v>69728.1201969108</v>
      </c>
      <c r="R14" s="66" t="n">
        <f aca="false">'Revenue Streams'!R$41*'Assumption Setting'!$C$185/30+'Revenue Streams'!R$49*'Assumption Setting'!$C$186/30</f>
        <v>82403.3661276136</v>
      </c>
      <c r="S14" s="66" t="n">
        <f aca="false">'Revenue Streams'!S$41*'Assumption Setting'!$C$185/30+'Revenue Streams'!S$49*'Assumption Setting'!$C$186/30</f>
        <v>100934.125208317</v>
      </c>
      <c r="T14" s="66" t="n">
        <f aca="false">'Revenue Streams'!T$41*'Assumption Setting'!$C$185/30+'Revenue Streams'!T$49*'Assumption Setting'!$C$186/30</f>
        <v>118956.629705686</v>
      </c>
      <c r="U14" s="66" t="n">
        <f aca="false">'Revenue Streams'!U$41*'Assumption Setting'!$C$185/30+'Revenue Streams'!U$49*'Assumption Setting'!$C$186/30</f>
        <v>140581.228703056</v>
      </c>
      <c r="V14" s="66" t="n">
        <f aca="false">'Revenue Streams'!V$41*'Assumption Setting'!$C$185/30+'Revenue Streams'!V$49*'Assumption Setting'!$C$186/30</f>
        <v>168214.810383758</v>
      </c>
      <c r="W14" s="66" t="n">
        <f aca="false">'Revenue Streams'!W$41*'Assumption Setting'!$C$185/30+'Revenue Streams'!W$49*'Assumption Setting'!$C$186/30</f>
        <v>198252.427231128</v>
      </c>
      <c r="X14" s="66" t="n">
        <f aca="false">'Revenue Streams'!X$41*'Assumption Setting'!$C$185/30+'Revenue Streams'!X$49*'Assumption Setting'!$C$186/30</f>
        <v>234294.886278497</v>
      </c>
      <c r="Y14" s="66" t="n">
        <f aca="false">'Revenue Streams'!Y$41*'Assumption Setting'!$C$185/30+'Revenue Streams'!Y$49*'Assumption Setting'!$C$186/30</f>
        <v>271939.512403645</v>
      </c>
      <c r="Z14" s="66" t="n">
        <f aca="false">'Revenue Streams'!Z$41*'Assumption Setting'!$C$185/30+'Revenue Streams'!Z$49*'Assumption Setting'!$C$186/30</f>
        <v>320490.145917681</v>
      </c>
      <c r="AA14" s="66" t="n">
        <f aca="false">'Revenue Streams'!AA$41*'Assumption Setting'!$C$185/30+'Revenue Streams'!AA$49*'Assumption Setting'!$C$186/30</f>
        <v>378747.988298384</v>
      </c>
      <c r="AB14" s="65" t="n">
        <f aca="false">AN14</f>
        <v>964052.125104323</v>
      </c>
      <c r="AC14" s="66" t="n">
        <f aca="false">'Revenue Streams'!AC$41*'Assumption Setting'!$C$185/30+'Revenue Streams'!AC$49*'Assumption Setting'!$C$186/30</f>
        <v>401360.373913694</v>
      </c>
      <c r="AD14" s="66" t="n">
        <f aca="false">'Revenue Streams'!AD$41*'Assumption Setting'!$C$185/30+'Revenue Streams'!AD$49*'Assumption Setting'!$C$186/30</f>
        <v>473025.793251226</v>
      </c>
      <c r="AE14" s="66" t="n">
        <f aca="false">'Revenue Streams'!AE$41*'Assumption Setting'!$C$185/30+'Revenue Streams'!AE$49*'Assumption Setting'!$C$186/30</f>
        <v>559018.153055424</v>
      </c>
      <c r="AF14" s="66" t="n">
        <f aca="false">'Revenue Streams'!AF$41*'Assumption Setting'!$C$185/30+'Revenue Streams'!AF$49*'Assumption Setting'!$C$186/30</f>
        <v>483026.637515179</v>
      </c>
      <c r="AG14" s="66" t="n">
        <f aca="false">'Revenue Streams'!AG$41*'Assumption Setting'!$C$185/30+'Revenue Streams'!AG$49*'Assumption Setting'!$C$186/30</f>
        <v>569246.476919377</v>
      </c>
      <c r="AH14" s="66" t="n">
        <f aca="false">'Revenue Streams'!AH$41*'Assumption Setting'!$C$185/30+'Revenue Streams'!AH$49*'Assumption Setting'!$C$186/30</f>
        <v>672703.742256909</v>
      </c>
      <c r="AI14" s="66" t="n">
        <f aca="false">'Revenue Streams'!AI$41*'Assumption Setting'!$C$185/30+'Revenue Streams'!AI$49*'Assumption Setting'!$C$186/30</f>
        <v>624604.289294441</v>
      </c>
      <c r="AJ14" s="66" t="n">
        <f aca="false">'Revenue Streams'!AJ$41*'Assumption Setting'!$C$185/30+'Revenue Streams'!AJ$49*'Assumption Setting'!$C$186/30</f>
        <v>736060.113165306</v>
      </c>
      <c r="AK14" s="66" t="n">
        <f aca="false">'Revenue Streams'!AK$41*'Assumption Setting'!$C$185/30+'Revenue Streams'!AK$49*'Assumption Setting'!$C$186/30</f>
        <v>869800.269236172</v>
      </c>
      <c r="AL14" s="66" t="n">
        <f aca="false">'Revenue Streams'!AL$41*'Assumption Setting'!$C$185/30+'Revenue Streams'!AL$49*'Assumption Setting'!$C$186/30</f>
        <v>692371.808362593</v>
      </c>
      <c r="AM14" s="66" t="n">
        <f aca="false">'Revenue Streams'!AM$41*'Assumption Setting'!$C$185/30+'Revenue Streams'!AM$49*'Assumption Setting'!$C$186/30</f>
        <v>815866.015766791</v>
      </c>
      <c r="AN14" s="66" t="n">
        <f aca="false">'Revenue Streams'!AN$41*'Assumption Setting'!$C$185/30+'Revenue Streams'!AN$49*'Assumption Setting'!$C$186/30</f>
        <v>964052.125104323</v>
      </c>
      <c r="AO14" s="65" t="n">
        <f aca="false">BA14</f>
        <v>1760038.1760676</v>
      </c>
      <c r="AP14" s="66" t="n">
        <f aca="false">'Revenue Streams'!AP$41*'Assumption Setting'!$C$185/30+'Revenue Streams'!AP$49*'Assumption Setting'!$C$186/30</f>
        <v>866229.215889041</v>
      </c>
      <c r="AQ14" s="66" t="n">
        <f aca="false">'Revenue Streams'!AQ$41*'Assumption Setting'!$C$185/30+'Revenue Streams'!AQ$49*'Assumption Setting'!$C$186/30</f>
        <v>1020737.8632182</v>
      </c>
      <c r="AR14" s="66" t="n">
        <f aca="false">'Revenue Streams'!AR$41*'Assumption Setting'!$C$185/30+'Revenue Streams'!AR$49*'Assumption Setting'!$C$186/30</f>
        <v>1206138.9784007</v>
      </c>
      <c r="AS14" s="66" t="n">
        <f aca="false">'Revenue Streams'!AS$41*'Assumption Setting'!$C$185/30+'Revenue Streams'!AS$49*'Assumption Setting'!$C$186/30</f>
        <v>1022216.83069653</v>
      </c>
      <c r="AT14" s="66" t="n">
        <f aca="false">'Revenue Streams'!AT$41*'Assumption Setting'!$C$185/30+'Revenue Streams'!AT$49*'Assumption Setting'!$C$186/30</f>
        <v>1204503.17909235</v>
      </c>
      <c r="AU14" s="66" t="n">
        <f aca="false">'Revenue Streams'!AU$41*'Assumption Setting'!$C$185/30+'Revenue Streams'!AU$49*'Assumption Setting'!$C$186/30</f>
        <v>1423237.12280818</v>
      </c>
      <c r="AV14" s="66" t="n">
        <f aca="false">'Revenue Streams'!AV$41*'Assumption Setting'!$C$185/30+'Revenue Streams'!AV$49*'Assumption Setting'!$C$186/30</f>
        <v>1126459.01137068</v>
      </c>
      <c r="AW14" s="66" t="n">
        <f aca="false">'Revenue Streams'!AW$41*'Assumption Setting'!$C$185/30+'Revenue Streams'!AW$49*'Assumption Setting'!$C$186/30</f>
        <v>1327256.29536651</v>
      </c>
      <c r="AX14" s="66" t="n">
        <f aca="false">'Revenue Streams'!AX$41*'Assumption Setting'!$C$185/30+'Revenue Streams'!AX$49*'Assumption Setting'!$C$186/30</f>
        <v>1568203.25388233</v>
      </c>
      <c r="AY14" s="66" t="n">
        <f aca="false">'Revenue Streams'!AY$41*'Assumption Setting'!$C$185/30+'Revenue Streams'!AY$49*'Assumption Setting'!$C$186/30</f>
        <v>1264333.40395594</v>
      </c>
      <c r="AZ14" s="66" t="n">
        <f aca="false">'Revenue Streams'!AZ$41*'Assumption Setting'!$C$185/30+'Revenue Streams'!AZ$49*'Assumption Setting'!$C$186/30</f>
        <v>1489658.38901843</v>
      </c>
      <c r="BA14" s="66" t="n">
        <f aca="false">'Revenue Streams'!BA$41*'Assumption Setting'!$C$185/30+'Revenue Streams'!BA$49*'Assumption Setting'!$C$186/30</f>
        <v>1760038.1760676</v>
      </c>
      <c r="BB14" s="65" t="n">
        <f aca="false">BN14</f>
        <v>2497633.47493796</v>
      </c>
      <c r="BC14" s="66" t="n">
        <f aca="false">'Revenue Streams'!BC$41*'Assumption Setting'!$C$185/30+'Revenue Streams'!BC$49*'Assumption Setting'!$C$186/30</f>
        <v>1448051.63111994</v>
      </c>
      <c r="BD14" s="66" t="n">
        <f aca="false">'Revenue Streams'!BD$41*'Assumption Setting'!$C$185/30+'Revenue Streams'!BD$49*'Assumption Setting'!$C$186/30</f>
        <v>1706071.58540562</v>
      </c>
      <c r="BE14" s="66" t="n">
        <f aca="false">'Revenue Streams'!BE$41*'Assumption Setting'!$C$185/30+'Revenue Streams'!BE$49*'Assumption Setting'!$C$186/30</f>
        <v>2015683.1387713</v>
      </c>
      <c r="BF14" s="66" t="n">
        <f aca="false">'Revenue Streams'!BF$41*'Assumption Setting'!$C$185/30+'Revenue Streams'!BF$49*'Assumption Setting'!$C$186/30</f>
        <v>1545275.88060698</v>
      </c>
      <c r="BG14" s="66" t="n">
        <f aca="false">'Revenue Streams'!BG$41*'Assumption Setting'!$C$185/30+'Revenue Streams'!BG$49*'Assumption Setting'!$C$186/30</f>
        <v>1820520.28003016</v>
      </c>
      <c r="BH14" s="66" t="n">
        <f aca="false">'Revenue Streams'!BH$41*'Assumption Setting'!$C$185/30+'Revenue Streams'!BH$49*'Assumption Setting'!$C$186/30</f>
        <v>2150801.26855834</v>
      </c>
      <c r="BI14" s="66" t="n">
        <f aca="false">'Revenue Streams'!BI$41*'Assumption Setting'!$C$185/30+'Revenue Streams'!BI$49*'Assumption Setting'!$C$186/30</f>
        <v>1718448.54955513</v>
      </c>
      <c r="BJ14" s="66" t="n">
        <f aca="false">'Revenue Streams'!BJ$41*'Assumption Setting'!$C$185/30+'Revenue Streams'!BJ$49*'Assumption Setting'!$C$186/30</f>
        <v>2024497.87013247</v>
      </c>
      <c r="BK14" s="66" t="n">
        <f aca="false">'Revenue Streams'!BK$41*'Assumption Setting'!$C$185/30+'Revenue Streams'!BK$49*'Assumption Setting'!$C$186/30</f>
        <v>2391744.53820648</v>
      </c>
      <c r="BL14" s="66" t="n">
        <f aca="false">'Revenue Streams'!BL$41*'Assumption Setting'!$C$185/30+'Revenue Streams'!BL$49*'Assumption Setting'!$C$186/30</f>
        <v>1794693.60598661</v>
      </c>
      <c r="BM14" s="66" t="n">
        <f aca="false">'Revenue Streams'!BM$41*'Assumption Setting'!$C$185/30+'Revenue Streams'!BM$49*'Assumption Setting'!$C$186/30</f>
        <v>2114217.37170145</v>
      </c>
      <c r="BN14" s="66" t="n">
        <f aca="false">'Revenue Streams'!BN$41*'Assumption Setting'!$C$185/30+'Revenue Streams'!BN$49*'Assumption Setting'!$C$186/30</f>
        <v>2497633.47493796</v>
      </c>
    </row>
    <row r="15" customFormat="false" ht="15" hidden="false" customHeight="false" outlineLevel="0" collapsed="false">
      <c r="A15" s="12" t="s">
        <v>579</v>
      </c>
      <c r="B15" s="65" t="n">
        <f aca="false">N15</f>
        <v>14320.2073211813</v>
      </c>
      <c r="C15" s="66" t="n">
        <f aca="false">(Expenses!C$23+Expenses!C$53)*'Assumption Setting'!$C$187/30</f>
        <v>8401.78935384122</v>
      </c>
      <c r="D15" s="66" t="n">
        <f aca="false">(Expenses!D$23+Expenses!D$53)*'Assumption Setting'!$C$187/30</f>
        <v>8965.22790019921</v>
      </c>
      <c r="E15" s="66" t="n">
        <f aca="false">(Expenses!E$23+Expenses!E$53)*'Assumption Setting'!$C$187/30</f>
        <v>9639.43270876572</v>
      </c>
      <c r="F15" s="66" t="n">
        <f aca="false">(Expenses!F$23+Expenses!F$53)*'Assumption Setting'!$C$187/30</f>
        <v>7420.69881530341</v>
      </c>
      <c r="G15" s="66" t="n">
        <f aca="false">(Expenses!G$23+Expenses!G$53)*'Assumption Setting'!$C$187/30</f>
        <v>7785.08105403496</v>
      </c>
      <c r="H15" s="66" t="n">
        <f aca="false">(Expenses!H$23+Expenses!H$53)*'Assumption Setting'!$C$187/30</f>
        <v>8221.63388683402</v>
      </c>
      <c r="I15" s="66" t="n">
        <f aca="false">(Expenses!I$23+Expenses!I$53)*'Assumption Setting'!$C$187/30</f>
        <v>8078.60606718473</v>
      </c>
      <c r="J15" s="66" t="n">
        <f aca="false">(Expenses!J$23+Expenses!J$53)*'Assumption Setting'!$C$187/30</f>
        <v>8557.67445346991</v>
      </c>
      <c r="K15" s="66" t="n">
        <f aca="false">(Expenses!K$23+Expenses!K$53)*'Assumption Setting'!$C$187/30</f>
        <v>9131.94894597619</v>
      </c>
      <c r="L15" s="66" t="n">
        <f aca="false">(Expenses!L$23+Expenses!L$53)*'Assumption Setting'!$C$187/30</f>
        <v>11788.4864350592</v>
      </c>
      <c r="M15" s="66" t="n">
        <f aca="false">(Expenses!M$23+Expenses!M$53)*'Assumption Setting'!$C$187/30</f>
        <v>12939.8432582233</v>
      </c>
      <c r="N15" s="66" t="n">
        <f aca="false">(Expenses!N$23+Expenses!N$53)*'Assumption Setting'!$C$187/30</f>
        <v>14320.2073211813</v>
      </c>
      <c r="O15" s="65" t="n">
        <f aca="false">AA15</f>
        <v>75651.5375831262</v>
      </c>
      <c r="P15" s="66" t="n">
        <f aca="false">(Expenses!P$23+Expenses!P$53)*'Assumption Setting'!$C$187/30</f>
        <v>28212.2740361992</v>
      </c>
      <c r="Q15" s="66" t="n">
        <f aca="false">(Expenses!Q$23+Expenses!Q$53)*'Assumption Setting'!$C$187/30</f>
        <v>29929.5826809336</v>
      </c>
      <c r="R15" s="66" t="n">
        <f aca="false">(Expenses!R$23+Expenses!R$53)*'Assumption Setting'!$C$187/30</f>
        <v>31982.8186815799</v>
      </c>
      <c r="S15" s="66" t="n">
        <f aca="false">(Expenses!S$23+Expenses!S$53)*'Assumption Setting'!$C$187/30</f>
        <v>34313.4197081966</v>
      </c>
      <c r="T15" s="66" t="n">
        <f aca="false">(Expenses!T$23+Expenses!T$53)*'Assumption Setting'!$C$187/30</f>
        <v>37098.7633780374</v>
      </c>
      <c r="U15" s="66" t="n">
        <f aca="false">(Expenses!U$23+Expenses!U$53)*'Assumption Setting'!$C$187/30</f>
        <v>40434.607256868</v>
      </c>
      <c r="V15" s="66" t="n">
        <f aca="false">(Expenses!V$23+Expenses!V$53)*'Assumption Setting'!$C$187/30</f>
        <v>43152.9158265933</v>
      </c>
      <c r="W15" s="66" t="n">
        <f aca="false">(Expenses!W$23+Expenses!W$53)*'Assumption Setting'!$C$187/30</f>
        <v>47517.0173363871</v>
      </c>
      <c r="X15" s="66" t="n">
        <f aca="false">(Expenses!X$23+Expenses!X$53)*'Assumption Setting'!$C$187/30</f>
        <v>52746.781291142</v>
      </c>
      <c r="Y15" s="66" t="n">
        <f aca="false">(Expenses!Y$23+Expenses!Y$53)*'Assumption Setting'!$C$187/30</f>
        <v>59622.7976426237</v>
      </c>
      <c r="Z15" s="66" t="n">
        <f aca="false">(Expenses!Z$23+Expenses!Z$53)*'Assumption Setting'!$C$187/30</f>
        <v>66911.8913906417</v>
      </c>
      <c r="AA15" s="66" t="n">
        <f aca="false">(Expenses!AA$23+Expenses!AA$53)*'Assumption Setting'!$C$187/30</f>
        <v>75651.5375831262</v>
      </c>
      <c r="AB15" s="65" t="n">
        <f aca="false">AN15</f>
        <v>197569.807674876</v>
      </c>
      <c r="AC15" s="66" t="n">
        <f aca="false">(Expenses!AC$23+Expenses!AC$53)*'Assumption Setting'!$C$187/30</f>
        <v>102290.040759983</v>
      </c>
      <c r="AD15" s="66" t="n">
        <f aca="false">(Expenses!AD$23+Expenses!AD$53)*'Assumption Setting'!$C$187/30</f>
        <v>113205.490978586</v>
      </c>
      <c r="AE15" s="66" t="n">
        <f aca="false">(Expenses!AE$23+Expenses!AE$53)*'Assumption Setting'!$C$187/30</f>
        <v>126282.695268637</v>
      </c>
      <c r="AF15" s="66" t="n">
        <f aca="false">(Expenses!AF$23+Expenses!AF$53)*'Assumption Setting'!$C$187/30</f>
        <v>117209.34467605</v>
      </c>
      <c r="AG15" s="66" t="n">
        <f aca="false">(Expenses!AG$23+Expenses!AG$53)*'Assumption Setting'!$C$187/30</f>
        <v>130694.792099811</v>
      </c>
      <c r="AH15" s="66" t="n">
        <f aca="false">(Expenses!AH$23+Expenses!AH$53)*'Assumption Setting'!$C$187/30</f>
        <v>146859.235601054</v>
      </c>
      <c r="AI15" s="66" t="n">
        <f aca="false">(Expenses!AI$23+Expenses!AI$53)*'Assumption Setting'!$C$187/30</f>
        <v>139225.107594948</v>
      </c>
      <c r="AJ15" s="66" t="n">
        <f aca="false">(Expenses!AJ$23+Expenses!AJ$53)*'Assumption Setting'!$C$187/30</f>
        <v>156532.603766337</v>
      </c>
      <c r="AK15" s="66" t="n">
        <f aca="false">(Expenses!AK$23+Expenses!AK$53)*'Assumption Setting'!$C$187/30</f>
        <v>177286.897055703</v>
      </c>
      <c r="AL15" s="66" t="n">
        <f aca="false">(Expenses!AL$23+Expenses!AL$53)*'Assumption Setting'!$C$187/30</f>
        <v>154024.243544464</v>
      </c>
      <c r="AM15" s="66" t="n">
        <f aca="false">(Expenses!AM$23+Expenses!AM$53)*'Assumption Setting'!$C$187/30</f>
        <v>173821.877224674</v>
      </c>
      <c r="AN15" s="66" t="n">
        <f aca="false">(Expenses!AN$23+Expenses!AN$53)*'Assumption Setting'!$C$187/30</f>
        <v>197569.807674876</v>
      </c>
      <c r="AO15" s="65" t="n">
        <f aca="false">BA15</f>
        <v>358045.967626255</v>
      </c>
      <c r="AP15" s="66" t="n">
        <f aca="false">(Expenses!AP$23+Expenses!AP$53)*'Assumption Setting'!$C$187/30</f>
        <v>203217.510211039</v>
      </c>
      <c r="AQ15" s="66" t="n">
        <f aca="false">(Expenses!AQ$23+Expenses!AQ$53)*'Assumption Setting'!$C$187/30</f>
        <v>227965.86854039</v>
      </c>
      <c r="AR15" s="66" t="n">
        <f aca="false">(Expenses!AR$23+Expenses!AR$53)*'Assumption Setting'!$C$187/30</f>
        <v>257638.252319078</v>
      </c>
      <c r="AS15" s="66" t="n">
        <f aca="false">(Expenses!AS$23+Expenses!AS$53)*'Assumption Setting'!$C$187/30</f>
        <v>231448.821713779</v>
      </c>
      <c r="AT15" s="66" t="n">
        <f aca="false">(Expenses!AT$23+Expenses!AT$53)*'Assumption Setting'!$C$187/30</f>
        <v>261001.473507472</v>
      </c>
      <c r="AU15" s="66" t="n">
        <f aca="false">(Expenses!AU$23+Expenses!AU$53)*'Assumption Setting'!$C$187/30</f>
        <v>296447.797508619</v>
      </c>
      <c r="AV15" s="66" t="n">
        <f aca="false">(Expenses!AV$23+Expenses!AV$53)*'Assumption Setting'!$C$187/30</f>
        <v>248591.526502156</v>
      </c>
      <c r="AW15" s="66" t="n">
        <f aca="false">(Expenses!AW$23+Expenses!AW$53)*'Assumption Setting'!$C$187/30</f>
        <v>280911.077517909</v>
      </c>
      <c r="AX15" s="66" t="n">
        <f aca="false">(Expenses!AX$23+Expenses!AX$53)*'Assumption Setting'!$C$187/30</f>
        <v>319689.18948193</v>
      </c>
      <c r="AY15" s="66" t="n">
        <f aca="false">(Expenses!AY$23+Expenses!AY$53)*'Assumption Setting'!$C$187/30</f>
        <v>276559.99404667</v>
      </c>
      <c r="AZ15" s="66" t="n">
        <f aca="false">(Expenses!AZ$23+Expenses!AZ$53)*'Assumption Setting'!$C$187/30</f>
        <v>313596.747627454</v>
      </c>
      <c r="BA15" s="66" t="n">
        <f aca="false">(Expenses!BA$23+Expenses!BA$53)*'Assumption Setting'!$C$187/30</f>
        <v>358045.967626255</v>
      </c>
      <c r="BB15" s="65" t="n">
        <f aca="false">BN15</f>
        <v>515335.585650416</v>
      </c>
      <c r="BC15" s="66" t="n">
        <f aca="false">(Expenses!BC$23+Expenses!BC$53)*'Assumption Setting'!$C$187/30</f>
        <v>328715.378885331</v>
      </c>
      <c r="BD15" s="66" t="n">
        <f aca="false">(Expenses!BD$23+Expenses!BD$53)*'Assumption Setting'!$C$187/30</f>
        <v>371207.418413913</v>
      </c>
      <c r="BE15" s="66" t="n">
        <f aca="false">(Expenses!BE$23+Expenses!BE$53)*'Assumption Setting'!$C$187/30</f>
        <v>422189.285431565</v>
      </c>
      <c r="BF15" s="66" t="n">
        <f aca="false">(Expenses!BF$23+Expenses!BF$53)*'Assumption Setting'!$C$187/30</f>
        <v>349065.294668534</v>
      </c>
      <c r="BG15" s="66" t="n">
        <f aca="false">(Expenses!BG$23+Expenses!BG$53)*'Assumption Setting'!$C$187/30</f>
        <v>394757.308005756</v>
      </c>
      <c r="BH15" s="66" t="n">
        <f aca="false">(Expenses!BH$23+Expenses!BH$53)*'Assumption Setting'!$C$187/30</f>
        <v>449597.168671599</v>
      </c>
      <c r="BI15" s="66" t="n">
        <f aca="false">(Expenses!BI$23+Expenses!BI$53)*'Assumption Setting'!$C$187/30</f>
        <v>377720.517496891</v>
      </c>
      <c r="BJ15" s="66" t="n">
        <f aca="false">(Expenses!BJ$23+Expenses!BJ$53)*'Assumption Setting'!$C$187/30</f>
        <v>428124.660322868</v>
      </c>
      <c r="BK15" s="66" t="n">
        <f aca="false">(Expenses!BK$23+Expenses!BK$53)*'Assumption Setting'!$C$187/30</f>
        <v>488635.708225437</v>
      </c>
      <c r="BL15" s="66" t="n">
        <f aca="false">(Expenses!BL$23+Expenses!BL$53)*'Assumption Setting'!$C$187/30</f>
        <v>397566.769147386</v>
      </c>
      <c r="BM15" s="66" t="n">
        <f aca="false">(Expenses!BM$23+Expenses!BM$53)*'Assumption Setting'!$C$187/30</f>
        <v>451077.986201313</v>
      </c>
      <c r="BN15" s="66" t="n">
        <f aca="false">(Expenses!BN$23+Expenses!BN$53)*'Assumption Setting'!$C$187/30</f>
        <v>515335.585650416</v>
      </c>
    </row>
    <row r="16" customFormat="false" ht="15" hidden="false" customHeight="false" outlineLevel="0" collapsed="false">
      <c r="A16" s="12" t="s">
        <v>581</v>
      </c>
      <c r="B16" s="65" t="n">
        <f aca="false">N16</f>
        <v>1251.25</v>
      </c>
      <c r="C16" s="66" t="n">
        <f aca="false">Payroll!C$51*'Assumption Setting'!$C$188/30</f>
        <v>1251.25</v>
      </c>
      <c r="D16" s="66" t="n">
        <f aca="false">Payroll!D$51*'Assumption Setting'!$C$188/30</f>
        <v>1251.25</v>
      </c>
      <c r="E16" s="66" t="n">
        <f aca="false">Payroll!E$51*'Assumption Setting'!$C$188/30</f>
        <v>1251.25</v>
      </c>
      <c r="F16" s="66" t="n">
        <f aca="false">Payroll!F$51*'Assumption Setting'!$C$188/30</f>
        <v>1251.25</v>
      </c>
      <c r="G16" s="66" t="n">
        <f aca="false">Payroll!G$51*'Assumption Setting'!$C$188/30</f>
        <v>1251.25</v>
      </c>
      <c r="H16" s="66" t="n">
        <f aca="false">Payroll!H$51*'Assumption Setting'!$C$188/30</f>
        <v>1251.25</v>
      </c>
      <c r="I16" s="66" t="n">
        <f aca="false">Payroll!I$51*'Assumption Setting'!$C$188/30</f>
        <v>1251.25</v>
      </c>
      <c r="J16" s="66" t="n">
        <f aca="false">Payroll!J$51*'Assumption Setting'!$C$188/30</f>
        <v>1251.25</v>
      </c>
      <c r="K16" s="66" t="n">
        <f aca="false">Payroll!K$51*'Assumption Setting'!$C$188/30</f>
        <v>1251.25</v>
      </c>
      <c r="L16" s="66" t="n">
        <f aca="false">Payroll!L$51*'Assumption Setting'!$C$188/30</f>
        <v>1251.25</v>
      </c>
      <c r="M16" s="66" t="n">
        <f aca="false">Payroll!M$51*'Assumption Setting'!$C$188/30</f>
        <v>1251.25</v>
      </c>
      <c r="N16" s="66" t="n">
        <f aca="false">Payroll!N$51*'Assumption Setting'!$C$188/30</f>
        <v>1251.25</v>
      </c>
      <c r="O16" s="65" t="n">
        <f aca="false">AA16</f>
        <v>4697</v>
      </c>
      <c r="P16" s="66" t="n">
        <f aca="false">Payroll!P$51*'Assumption Setting'!$C$188/30</f>
        <v>4697</v>
      </c>
      <c r="Q16" s="66" t="n">
        <f aca="false">Payroll!Q$51*'Assumption Setting'!$C$188/30</f>
        <v>4697</v>
      </c>
      <c r="R16" s="66" t="n">
        <f aca="false">Payroll!R$51*'Assumption Setting'!$C$188/30</f>
        <v>4697</v>
      </c>
      <c r="S16" s="66" t="n">
        <f aca="false">Payroll!S$51*'Assumption Setting'!$C$188/30</f>
        <v>4697</v>
      </c>
      <c r="T16" s="66" t="n">
        <f aca="false">Payroll!T$51*'Assumption Setting'!$C$188/30</f>
        <v>4697</v>
      </c>
      <c r="U16" s="66" t="n">
        <f aca="false">Payroll!U$51*'Assumption Setting'!$C$188/30</f>
        <v>4697</v>
      </c>
      <c r="V16" s="66" t="n">
        <f aca="false">Payroll!V$51*'Assumption Setting'!$C$188/30</f>
        <v>4697</v>
      </c>
      <c r="W16" s="66" t="n">
        <f aca="false">Payroll!W$51*'Assumption Setting'!$C$188/30</f>
        <v>4697</v>
      </c>
      <c r="X16" s="66" t="n">
        <f aca="false">Payroll!X$51*'Assumption Setting'!$C$188/30</f>
        <v>4697</v>
      </c>
      <c r="Y16" s="66" t="n">
        <f aca="false">Payroll!Y$51*'Assumption Setting'!$C$188/30</f>
        <v>4697</v>
      </c>
      <c r="Z16" s="66" t="n">
        <f aca="false">Payroll!Z$51*'Assumption Setting'!$C$188/30</f>
        <v>4697</v>
      </c>
      <c r="AA16" s="66" t="n">
        <f aca="false">Payroll!AA$51*'Assumption Setting'!$C$188/30</f>
        <v>4697</v>
      </c>
      <c r="AB16" s="65" t="n">
        <f aca="false">AN16</f>
        <v>11126.5</v>
      </c>
      <c r="AC16" s="66" t="n">
        <f aca="false">Payroll!AC$51*'Assumption Setting'!$C$188/30</f>
        <v>11126.5</v>
      </c>
      <c r="AD16" s="66" t="n">
        <f aca="false">Payroll!AD$51*'Assumption Setting'!$C$188/30</f>
        <v>11126.5</v>
      </c>
      <c r="AE16" s="66" t="n">
        <f aca="false">Payroll!AE$51*'Assumption Setting'!$C$188/30</f>
        <v>11126.5</v>
      </c>
      <c r="AF16" s="66" t="n">
        <f aca="false">Payroll!AF$51*'Assumption Setting'!$C$188/30</f>
        <v>11126.5</v>
      </c>
      <c r="AG16" s="66" t="n">
        <f aca="false">Payroll!AG$51*'Assumption Setting'!$C$188/30</f>
        <v>11126.5</v>
      </c>
      <c r="AH16" s="66" t="n">
        <f aca="false">Payroll!AH$51*'Assumption Setting'!$C$188/30</f>
        <v>11126.5</v>
      </c>
      <c r="AI16" s="66" t="n">
        <f aca="false">Payroll!AI$51*'Assumption Setting'!$C$188/30</f>
        <v>11126.5</v>
      </c>
      <c r="AJ16" s="66" t="n">
        <f aca="false">Payroll!AJ$51*'Assumption Setting'!$C$188/30</f>
        <v>11126.5</v>
      </c>
      <c r="AK16" s="66" t="n">
        <f aca="false">Payroll!AK$51*'Assumption Setting'!$C$188/30</f>
        <v>11126.5</v>
      </c>
      <c r="AL16" s="66" t="n">
        <f aca="false">Payroll!AL$51*'Assumption Setting'!$C$188/30</f>
        <v>11126.5</v>
      </c>
      <c r="AM16" s="66" t="n">
        <f aca="false">Payroll!AM$51*'Assumption Setting'!$C$188/30</f>
        <v>11126.5</v>
      </c>
      <c r="AN16" s="66" t="n">
        <f aca="false">Payroll!AN$51*'Assumption Setting'!$C$188/30</f>
        <v>11126.5</v>
      </c>
      <c r="AO16" s="65" t="n">
        <f aca="false">BA16</f>
        <v>15496.25</v>
      </c>
      <c r="AP16" s="66" t="n">
        <f aca="false">Payroll!AP$51*'Assumption Setting'!$C$188/30</f>
        <v>15496.25</v>
      </c>
      <c r="AQ16" s="66" t="n">
        <f aca="false">Payroll!AQ$51*'Assumption Setting'!$C$188/30</f>
        <v>15496.25</v>
      </c>
      <c r="AR16" s="66" t="n">
        <f aca="false">Payroll!AR$51*'Assumption Setting'!$C$188/30</f>
        <v>15496.25</v>
      </c>
      <c r="AS16" s="66" t="n">
        <f aca="false">Payroll!AS$51*'Assumption Setting'!$C$188/30</f>
        <v>15496.25</v>
      </c>
      <c r="AT16" s="66" t="n">
        <f aca="false">Payroll!AT$51*'Assumption Setting'!$C$188/30</f>
        <v>15496.25</v>
      </c>
      <c r="AU16" s="66" t="n">
        <f aca="false">Payroll!AU$51*'Assumption Setting'!$C$188/30</f>
        <v>15496.25</v>
      </c>
      <c r="AV16" s="66" t="n">
        <f aca="false">Payroll!AV$51*'Assumption Setting'!$C$188/30</f>
        <v>15496.25</v>
      </c>
      <c r="AW16" s="66" t="n">
        <f aca="false">Payroll!AW$51*'Assumption Setting'!$C$188/30</f>
        <v>15496.25</v>
      </c>
      <c r="AX16" s="66" t="n">
        <f aca="false">Payroll!AX$51*'Assumption Setting'!$C$188/30</f>
        <v>15496.25</v>
      </c>
      <c r="AY16" s="66" t="n">
        <f aca="false">Payroll!AY$51*'Assumption Setting'!$C$188/30</f>
        <v>15496.25</v>
      </c>
      <c r="AZ16" s="66" t="n">
        <f aca="false">Payroll!AZ$51*'Assumption Setting'!$C$188/30</f>
        <v>15496.25</v>
      </c>
      <c r="BA16" s="66" t="n">
        <f aca="false">Payroll!BA$51*'Assumption Setting'!$C$188/30</f>
        <v>15496.25</v>
      </c>
      <c r="BB16" s="65" t="n">
        <f aca="false">BN16</f>
        <v>18364.5</v>
      </c>
      <c r="BC16" s="66" t="n">
        <f aca="false">Payroll!BC$51*'Assumption Setting'!$C$188/30</f>
        <v>18364.5</v>
      </c>
      <c r="BD16" s="66" t="n">
        <f aca="false">Payroll!BD$51*'Assumption Setting'!$C$188/30</f>
        <v>18364.5</v>
      </c>
      <c r="BE16" s="66" t="n">
        <f aca="false">Payroll!BE$51*'Assumption Setting'!$C$188/30</f>
        <v>18364.5</v>
      </c>
      <c r="BF16" s="66" t="n">
        <f aca="false">Payroll!BF$51*'Assumption Setting'!$C$188/30</f>
        <v>18364.5</v>
      </c>
      <c r="BG16" s="66" t="n">
        <f aca="false">Payroll!BG$51*'Assumption Setting'!$C$188/30</f>
        <v>18364.5</v>
      </c>
      <c r="BH16" s="66" t="n">
        <f aca="false">Payroll!BH$51*'Assumption Setting'!$C$188/30</f>
        <v>18364.5</v>
      </c>
      <c r="BI16" s="66" t="n">
        <f aca="false">Payroll!BI$51*'Assumption Setting'!$C$188/30</f>
        <v>18364.5</v>
      </c>
      <c r="BJ16" s="66" t="n">
        <f aca="false">Payroll!BJ$51*'Assumption Setting'!$C$188/30</f>
        <v>18364.5</v>
      </c>
      <c r="BK16" s="66" t="n">
        <f aca="false">Payroll!BK$51*'Assumption Setting'!$C$188/30</f>
        <v>18364.5</v>
      </c>
      <c r="BL16" s="66" t="n">
        <f aca="false">Payroll!BL$51*'Assumption Setting'!$C$188/30</f>
        <v>18364.5</v>
      </c>
      <c r="BM16" s="66" t="n">
        <f aca="false">Payroll!BM$51*'Assumption Setting'!$C$188/30</f>
        <v>18364.5</v>
      </c>
      <c r="BN16" s="66" t="n">
        <f aca="false">Payroll!BN$51*'Assumption Setting'!$C$188/30</f>
        <v>18364.5</v>
      </c>
    </row>
    <row r="17" customFormat="false" ht="15" hidden="false" customHeight="false" outlineLevel="0" collapsed="false">
      <c r="A17" s="12" t="s">
        <v>583</v>
      </c>
      <c r="B17" s="65" t="n">
        <f aca="false">N17</f>
        <v>13229.6758875</v>
      </c>
      <c r="C17" s="66" t="n">
        <f aca="false">'Revenue Streams'!C$50+'Revenue Streams'!C$41*'Assumption Setting'!$C$189</f>
        <v>1701.23523125</v>
      </c>
      <c r="D17" s="66" t="n">
        <f aca="false">'Revenue Streams'!D$50+'Revenue Streams'!D$41*'Assumption Setting'!$C$189</f>
        <v>3000.26782784091</v>
      </c>
      <c r="E17" s="66" t="n">
        <f aca="false">'Revenue Streams'!E$50+'Revenue Streams'!E$41*'Assumption Setting'!$C$189</f>
        <v>4381.60528977273</v>
      </c>
      <c r="F17" s="66" t="n">
        <f aca="false">'Revenue Streams'!F$50+'Revenue Streams'!F$41*'Assumption Setting'!$C$189</f>
        <v>4990.92036704546</v>
      </c>
      <c r="G17" s="66" t="n">
        <f aca="false">'Revenue Streams'!G$50+'Revenue Streams'!G$41*'Assumption Setting'!$C$189</f>
        <v>5299.64880965909</v>
      </c>
      <c r="H17" s="66" t="n">
        <f aca="false">'Revenue Streams'!H$50+'Revenue Streams'!H$41*'Assumption Setting'!$C$189</f>
        <v>5641.68611761364</v>
      </c>
      <c r="I17" s="66" t="n">
        <f aca="false">'Revenue Streams'!I$50+'Revenue Streams'!I$41*'Assumption Setting'!$C$189</f>
        <v>5679.23204090909</v>
      </c>
      <c r="J17" s="66" t="n">
        <f aca="false">'Revenue Streams'!J$50+'Revenue Streams'!J$41*'Assumption Setting'!$C$189</f>
        <v>5983.30757954546</v>
      </c>
      <c r="K17" s="66" t="n">
        <f aca="false">'Revenue Streams'!K$50+'Revenue Streams'!K$41*'Assumption Setting'!$C$189</f>
        <v>6343.12073352273</v>
      </c>
      <c r="L17" s="66" t="n">
        <f aca="false">'Revenue Streams'!L$50+'Revenue Streams'!L$41*'Assumption Setting'!$C$189</f>
        <v>9641.83150284091</v>
      </c>
      <c r="M17" s="66" t="n">
        <f aca="false">'Revenue Streams'!M$50+'Revenue Streams'!M$41*'Assumption Setting'!$C$189</f>
        <v>11303.8778875</v>
      </c>
      <c r="N17" s="66" t="n">
        <f aca="false">'Revenue Streams'!N$50+'Revenue Streams'!N$41*'Assumption Setting'!$C$189</f>
        <v>13229.6758875</v>
      </c>
      <c r="O17" s="65" t="n">
        <f aca="false">AA17</f>
        <v>91487.5752833333</v>
      </c>
      <c r="P17" s="66" t="n">
        <f aca="false">'Revenue Streams'!P$50+'Revenue Streams'!P$41*'Assumption Setting'!$C$189</f>
        <v>15680.0755368056</v>
      </c>
      <c r="Q17" s="66" t="n">
        <f aca="false">'Revenue Streams'!Q$50+'Revenue Streams'!Q$41*'Assumption Setting'!$C$189</f>
        <v>19525.8697255682</v>
      </c>
      <c r="R17" s="66" t="n">
        <f aca="false">'Revenue Streams'!R$50+'Revenue Streams'!R$41*'Assumption Setting'!$C$189</f>
        <v>23712.2669537879</v>
      </c>
      <c r="S17" s="66" t="n">
        <f aca="false">'Revenue Streams'!S$50+'Revenue Streams'!S$41*'Assumption Setting'!$C$189</f>
        <v>28155.0879714647</v>
      </c>
      <c r="T17" s="66" t="n">
        <f aca="false">'Revenue Streams'!T$50+'Revenue Streams'!T$41*'Assumption Setting'!$C$189</f>
        <v>32542.0715285985</v>
      </c>
      <c r="U17" s="66" t="n">
        <f aca="false">'Revenue Streams'!U$50+'Revenue Streams'!U$41*'Assumption Setting'!$C$189</f>
        <v>37403.5861251894</v>
      </c>
      <c r="V17" s="66" t="n">
        <f aca="false">'Revenue Streams'!V$50+'Revenue Streams'!V$41*'Assumption Setting'!$C$189</f>
        <v>44064.8175112374</v>
      </c>
      <c r="W17" s="66" t="n">
        <f aca="false">'Revenue Streams'!W$50+'Revenue Streams'!W$41*'Assumption Setting'!$C$189</f>
        <v>51210.2061867424</v>
      </c>
      <c r="X17" s="66" t="n">
        <f aca="false">'Revenue Streams'!X$50+'Revenue Streams'!X$41*'Assumption Setting'!$C$189</f>
        <v>59351.2011517046</v>
      </c>
      <c r="Y17" s="66" t="n">
        <f aca="false">'Revenue Streams'!Y$50+'Revenue Streams'!Y$41*'Assumption Setting'!$C$189</f>
        <v>68236.4302394571</v>
      </c>
      <c r="Z17" s="66" t="n">
        <f aca="false">'Revenue Streams'!Z$50+'Revenue Streams'!Z$41*'Assumption Setting'!$C$189</f>
        <v>78947.4466166667</v>
      </c>
      <c r="AA17" s="66" t="n">
        <f aca="false">'Revenue Streams'!AA$50+'Revenue Streams'!AA$41*'Assumption Setting'!$C$189</f>
        <v>91487.5752833333</v>
      </c>
      <c r="AB17" s="65" t="n">
        <f aca="false">AN17</f>
        <v>286954.42644</v>
      </c>
      <c r="AC17" s="66" t="n">
        <f aca="false">'Revenue Streams'!AC$50+'Revenue Streams'!AC$41*'Assumption Setting'!$C$189</f>
        <v>104193.644476111</v>
      </c>
      <c r="AD17" s="66" t="n">
        <f aca="false">'Revenue Streams'!AD$50+'Revenue Streams'!AD$41*'Assumption Setting'!$C$189</f>
        <v>123445.623605909</v>
      </c>
      <c r="AE17" s="66" t="n">
        <f aca="false">'Revenue Streams'!AE$50+'Revenue Streams'!AE$41*'Assumption Setting'!$C$189</f>
        <v>145300.441672727</v>
      </c>
      <c r="AF17" s="66" t="n">
        <f aca="false">'Revenue Streams'!AF$50+'Revenue Streams'!AF$41*'Assumption Setting'!$C$189</f>
        <v>145700.960843232</v>
      </c>
      <c r="AG17" s="66" t="n">
        <f aca="false">'Revenue Streams'!AG$50+'Revenue Streams'!AG$41*'Assumption Setting'!$C$189</f>
        <v>166574.528950758</v>
      </c>
      <c r="AH17" s="66" t="n">
        <f aca="false">'Revenue Streams'!AH$50+'Revenue Streams'!AH$41*'Assumption Setting'!$C$189</f>
        <v>190823.940995303</v>
      </c>
      <c r="AI17" s="66" t="n">
        <f aca="false">'Revenue Streams'!AI$50+'Revenue Streams'!AI$41*'Assumption Setting'!$C$189</f>
        <v>194164.255476869</v>
      </c>
      <c r="AJ17" s="66" t="n">
        <f aca="false">'Revenue Streams'!AJ$50+'Revenue Streams'!AJ$41*'Assumption Setting'!$C$189</f>
        <v>218272.251895455</v>
      </c>
      <c r="AK17" s="66" t="n">
        <f aca="false">'Revenue Streams'!AK$50+'Revenue Streams'!AK$41*'Assumption Setting'!$C$189</f>
        <v>247102.115251061</v>
      </c>
      <c r="AL17" s="66" t="n">
        <f aca="false">'Revenue Streams'!AL$50+'Revenue Streams'!AL$41*'Assumption Setting'!$C$189</f>
        <v>232932.667710354</v>
      </c>
      <c r="AM17" s="66" t="n">
        <f aca="false">'Revenue Streams'!AM$50+'Revenue Streams'!AM$41*'Assumption Setting'!$C$189</f>
        <v>257083.969106667</v>
      </c>
      <c r="AN17" s="66" t="n">
        <f aca="false">'Revenue Streams'!AN$50+'Revenue Streams'!AN$41*'Assumption Setting'!$C$189</f>
        <v>286954.42644</v>
      </c>
      <c r="AO17" s="65" t="n">
        <f aca="false">BA17</f>
        <v>600491.94211</v>
      </c>
      <c r="AP17" s="66" t="n">
        <f aca="false">'Revenue Streams'!AP$50+'Revenue Streams'!AP$41*'Assumption Setting'!$C$189</f>
        <v>291562.587251667</v>
      </c>
      <c r="AQ17" s="66" t="n">
        <f aca="false">'Revenue Streams'!AQ$50+'Revenue Streams'!AQ$41*'Assumption Setting'!$C$189</f>
        <v>329717.836125909</v>
      </c>
      <c r="AR17" s="66" t="n">
        <f aca="false">'Revenue Streams'!AR$50+'Revenue Streams'!AR$41*'Assumption Setting'!$C$189</f>
        <v>375639.866862727</v>
      </c>
      <c r="AS17" s="66" t="n">
        <f aca="false">'Revenue Streams'!AS$50+'Revenue Streams'!AS$41*'Assumption Setting'!$C$189</f>
        <v>368779.761562121</v>
      </c>
      <c r="AT17" s="66" t="n">
        <f aca="false">'Revenue Streams'!AT$50+'Revenue Streams'!AT$41*'Assumption Setting'!$C$189</f>
        <v>410087.508324091</v>
      </c>
      <c r="AU17" s="66" t="n">
        <f aca="false">'Revenue Streams'!AU$50+'Revenue Streams'!AU$41*'Assumption Setting'!$C$189</f>
        <v>460981.480948636</v>
      </c>
      <c r="AV17" s="66" t="n">
        <f aca="false">'Revenue Streams'!AV$50+'Revenue Streams'!AV$41*'Assumption Setting'!$C$189</f>
        <v>437051.025535758</v>
      </c>
      <c r="AW17" s="66" t="n">
        <f aca="false">'Revenue Streams'!AW$50+'Revenue Streams'!AW$41*'Assumption Setting'!$C$189</f>
        <v>477978.608185455</v>
      </c>
      <c r="AX17" s="66" t="n">
        <f aca="false">'Revenue Streams'!AX$50+'Revenue Streams'!AX$41*'Assumption Setting'!$C$189</f>
        <v>530049.674697727</v>
      </c>
      <c r="AY17" s="66" t="n">
        <f aca="false">'Revenue Streams'!AY$50+'Revenue Streams'!AY$41*'Assumption Setting'!$C$189</f>
        <v>502830.186505909</v>
      </c>
      <c r="AZ17" s="66" t="n">
        <f aca="false">'Revenue Streams'!AZ$50+'Revenue Streams'!AZ$41*'Assumption Setting'!$C$189</f>
        <v>545218.600376667</v>
      </c>
      <c r="BA17" s="66" t="n">
        <f aca="false">'Revenue Streams'!BA$50+'Revenue Streams'!BA$41*'Assumption Setting'!$C$189</f>
        <v>600491.94211</v>
      </c>
      <c r="BB17" s="65" t="n">
        <f aca="false">BN17</f>
        <v>938974.325756945</v>
      </c>
      <c r="BC17" s="66" t="n">
        <f aca="false">'Revenue Streams'!BC$50+'Revenue Streams'!BC$41*'Assumption Setting'!$C$189</f>
        <v>580039.203880324</v>
      </c>
      <c r="BD17" s="66" t="n">
        <f aca="false">'Revenue Streams'!BD$50+'Revenue Streams'!BD$41*'Assumption Setting'!$C$189</f>
        <v>635748.791365467</v>
      </c>
      <c r="BE17" s="66" t="n">
        <f aca="false">'Revenue Streams'!BE$50+'Revenue Streams'!BE$41*'Assumption Setting'!$C$189</f>
        <v>707149.102365429</v>
      </c>
      <c r="BF17" s="66" t="n">
        <f aca="false">'Revenue Streams'!BF$50+'Revenue Streams'!BF$41*'Assumption Setting'!$C$189</f>
        <v>663054.498830211</v>
      </c>
      <c r="BG17" s="66" t="n">
        <f aca="false">'Revenue Streams'!BG$50+'Revenue Streams'!BG$41*'Assumption Setting'!$C$189</f>
        <v>717428.027697311</v>
      </c>
      <c r="BH17" s="66" t="n">
        <f aca="false">'Revenue Streams'!BH$50+'Revenue Streams'!BH$41*'Assumption Setting'!$C$189</f>
        <v>789378.22914173</v>
      </c>
      <c r="BI17" s="66" t="n">
        <f aca="false">'Revenue Streams'!BI$50+'Revenue Streams'!BI$41*'Assumption Setting'!$C$189</f>
        <v>746411.600384302</v>
      </c>
      <c r="BJ17" s="66" t="n">
        <f aca="false">'Revenue Streams'!BJ$50+'Revenue Streams'!BJ$41*'Assumption Setting'!$C$189</f>
        <v>802210.665466692</v>
      </c>
      <c r="BK17" s="66" t="n">
        <f aca="false">'Revenue Streams'!BK$50+'Revenue Streams'!BK$41*'Assumption Setting'!$C$189</f>
        <v>877730.100438902</v>
      </c>
      <c r="BL17" s="66" t="n">
        <f aca="false">'Revenue Streams'!BL$50+'Revenue Streams'!BL$41*'Assumption Setting'!$C$189</f>
        <v>810056.202209264</v>
      </c>
      <c r="BM17" s="66" t="n">
        <f aca="false">'Revenue Streams'!BM$50+'Revenue Streams'!BM$41*'Assumption Setting'!$C$189</f>
        <v>863757.104506945</v>
      </c>
      <c r="BN17" s="66" t="n">
        <f aca="false">'Revenue Streams'!BN$50+'Revenue Streams'!BN$41*'Assumption Setting'!$C$189</f>
        <v>938974.325756945</v>
      </c>
    </row>
    <row r="18" customFormat="false" ht="15" hidden="false" customHeight="false" outlineLevel="0" collapsed="false">
      <c r="A18" s="12" t="s">
        <v>585</v>
      </c>
      <c r="B18" s="65" t="n">
        <f aca="false">N18</f>
        <v>0</v>
      </c>
      <c r="C18" s="66" t="n">
        <f aca="false">-C8</f>
        <v>0</v>
      </c>
      <c r="D18" s="66" t="n">
        <f aca="false">C18-D8-D19</f>
        <v>0</v>
      </c>
      <c r="E18" s="66" t="n">
        <f aca="false">D18-E8-E19</f>
        <v>0</v>
      </c>
      <c r="F18" s="66" t="n">
        <f aca="false">E18-F8-F19</f>
        <v>0</v>
      </c>
      <c r="G18" s="66" t="n">
        <f aca="false">F18-G8-G19</f>
        <v>0</v>
      </c>
      <c r="H18" s="66" t="n">
        <f aca="false">G18-H8-H19</f>
        <v>0</v>
      </c>
      <c r="I18" s="66" t="n">
        <f aca="false">H18-I8-I19</f>
        <v>0</v>
      </c>
      <c r="J18" s="66" t="n">
        <f aca="false">I18-J8-J19</f>
        <v>0</v>
      </c>
      <c r="K18" s="66" t="n">
        <f aca="false">J18-K8-K19</f>
        <v>0</v>
      </c>
      <c r="L18" s="66" t="n">
        <f aca="false">K18-L8-L19</f>
        <v>0</v>
      </c>
      <c r="M18" s="66" t="n">
        <f aca="false">L18-M8-M19</f>
        <v>0</v>
      </c>
      <c r="N18" s="66" t="n">
        <f aca="false">M18-N8-N19</f>
        <v>0</v>
      </c>
      <c r="O18" s="65" t="n">
        <f aca="false">AA18</f>
        <v>48904.2589063583</v>
      </c>
      <c r="P18" s="66" t="n">
        <f aca="false">N18-P8-P19</f>
        <v>4075.35490886319</v>
      </c>
      <c r="Q18" s="66" t="n">
        <f aca="false">P18-Q8-Q19</f>
        <v>8150.70981772638</v>
      </c>
      <c r="R18" s="66" t="n">
        <f aca="false">Q18-R8-R19</f>
        <v>12226.0647265896</v>
      </c>
      <c r="S18" s="66" t="n">
        <f aca="false">R18-S8-S19</f>
        <v>16301.4196354528</v>
      </c>
      <c r="T18" s="66" t="n">
        <f aca="false">S18-T8-T19</f>
        <v>20376.7745443159</v>
      </c>
      <c r="U18" s="66" t="n">
        <f aca="false">T18-U8-U19</f>
        <v>24452.1294531791</v>
      </c>
      <c r="V18" s="66" t="n">
        <f aca="false">U18-V8-V19</f>
        <v>28527.4843620423</v>
      </c>
      <c r="W18" s="66" t="n">
        <f aca="false">V18-W8-W19</f>
        <v>32602.8392709055</v>
      </c>
      <c r="X18" s="66" t="n">
        <f aca="false">W18-X8-X19</f>
        <v>36678.1941797687</v>
      </c>
      <c r="Y18" s="66" t="n">
        <f aca="false">X18-Y8-Y19</f>
        <v>40753.5490886319</v>
      </c>
      <c r="Z18" s="66" t="n">
        <f aca="false">Y18-Z8-Z19</f>
        <v>44828.9039974951</v>
      </c>
      <c r="AA18" s="66" t="n">
        <f aca="false">Z18-AA8-AA19</f>
        <v>48904.2589063583</v>
      </c>
      <c r="AB18" s="65" t="n">
        <f aca="false">AN18</f>
        <v>324956.519117567</v>
      </c>
      <c r="AC18" s="66" t="n">
        <f aca="false">AA18-AC8-AC19</f>
        <v>75983.9688328222</v>
      </c>
      <c r="AD18" s="66" t="n">
        <f aca="false">AC18-AD8-AD19</f>
        <v>103063.678759286</v>
      </c>
      <c r="AE18" s="66" t="n">
        <f aca="false">AD18-AE8-AE19</f>
        <v>130143.38868575</v>
      </c>
      <c r="AF18" s="66" t="n">
        <f aca="false">AE18-AF8-AF19</f>
        <v>108318.839705856</v>
      </c>
      <c r="AG18" s="66" t="n">
        <f aca="false">AF18-AG8-AG19</f>
        <v>135398.54963232</v>
      </c>
      <c r="AH18" s="66" t="n">
        <f aca="false">AG18-AH8-AH19</f>
        <v>162478.259558784</v>
      </c>
      <c r="AI18" s="66" t="n">
        <f aca="false">AH18-AI8-AI19</f>
        <v>189557.969485248</v>
      </c>
      <c r="AJ18" s="66" t="n">
        <f aca="false">AI18-AJ8-AJ19</f>
        <v>216637.679411712</v>
      </c>
      <c r="AK18" s="66" t="n">
        <f aca="false">AJ18-AK8-AK19</f>
        <v>243717.389338176</v>
      </c>
      <c r="AL18" s="66" t="n">
        <f aca="false">AK18-AL8-AL19</f>
        <v>270797.09926464</v>
      </c>
      <c r="AM18" s="66" t="n">
        <f aca="false">AL18-AM8-AM19</f>
        <v>297876.809191104</v>
      </c>
      <c r="AN18" s="66" t="n">
        <f aca="false">AM18-AN8-AN19</f>
        <v>324956.519117567</v>
      </c>
      <c r="AO18" s="65" t="n">
        <f aca="false">BA18</f>
        <v>736933.881938499</v>
      </c>
      <c r="AP18" s="66" t="n">
        <f aca="false">AN18-AP8-AP19</f>
        <v>386367.675945776</v>
      </c>
      <c r="AQ18" s="66" t="n">
        <f aca="false">AP18-AQ8-AQ19</f>
        <v>447778.832773984</v>
      </c>
      <c r="AR18" s="66" t="n">
        <f aca="false">AQ18-AR8-AR19</f>
        <v>509189.989602192</v>
      </c>
      <c r="AS18" s="66" t="n">
        <f aca="false">AR18-AS8-AS19</f>
        <v>245644.627312833</v>
      </c>
      <c r="AT18" s="66" t="n">
        <f aca="false">AS18-AT8-AT19</f>
        <v>307055.784141041</v>
      </c>
      <c r="AU18" s="66" t="n">
        <f aca="false">AT18-AU8-AU19</f>
        <v>368466.940969249</v>
      </c>
      <c r="AV18" s="66" t="n">
        <f aca="false">AU18-AV8-AV19</f>
        <v>429878.097797458</v>
      </c>
      <c r="AW18" s="66" t="n">
        <f aca="false">AV18-AW8-AW19</f>
        <v>491289.254625666</v>
      </c>
      <c r="AX18" s="66" t="n">
        <f aca="false">AW18-AX8-AX19</f>
        <v>552700.411453874</v>
      </c>
      <c r="AY18" s="66" t="n">
        <f aca="false">AX18-AY8-AY19</f>
        <v>614111.568282082</v>
      </c>
      <c r="AZ18" s="66" t="n">
        <f aca="false">AY18-AZ8-AZ19</f>
        <v>675522.725110291</v>
      </c>
      <c r="BA18" s="66" t="n">
        <f aca="false">AZ18-BA8-BA19</f>
        <v>736933.881938499</v>
      </c>
      <c r="BB18" s="65" t="n">
        <f aca="false">BN18</f>
        <v>1211520.92645074</v>
      </c>
      <c r="BC18" s="66" t="n">
        <f aca="false">BA18-BC8-BC19</f>
        <v>837893.959142727</v>
      </c>
      <c r="BD18" s="66" t="n">
        <f aca="false">BC18-BD8-BD19</f>
        <v>938854.036346956</v>
      </c>
      <c r="BE18" s="66" t="n">
        <f aca="false">BD18-BE8-BE19</f>
        <v>1039814.11355118</v>
      </c>
      <c r="BF18" s="66" t="n">
        <f aca="false">BE18-BF8-BF19</f>
        <v>403840.308816914</v>
      </c>
      <c r="BG18" s="66" t="n">
        <f aca="false">BF18-BG8-BG19</f>
        <v>504800.386021143</v>
      </c>
      <c r="BH18" s="66" t="n">
        <f aca="false">BG18-BH8-BH19</f>
        <v>605760.463225372</v>
      </c>
      <c r="BI18" s="66" t="n">
        <f aca="false">BH18-BI8-BI19</f>
        <v>706720.5404296</v>
      </c>
      <c r="BJ18" s="66" t="n">
        <f aca="false">BI18-BJ8-BJ19</f>
        <v>807680.617633829</v>
      </c>
      <c r="BK18" s="66" t="n">
        <f aca="false">BJ18-BK8-BK19</f>
        <v>908640.694838057</v>
      </c>
      <c r="BL18" s="66" t="n">
        <f aca="false">BK18-BL8-BL19</f>
        <v>1009600.77204229</v>
      </c>
      <c r="BM18" s="66" t="n">
        <f aca="false">BL18-BM8-BM19</f>
        <v>1110560.84924651</v>
      </c>
      <c r="BN18" s="66" t="n">
        <f aca="false">BM18-BN8-BN19</f>
        <v>1211520.92645074</v>
      </c>
    </row>
    <row r="19" customFormat="false" ht="15" hidden="false" customHeight="false" outlineLevel="0" collapsed="false">
      <c r="A19" s="12" t="s">
        <v>906</v>
      </c>
      <c r="B19" s="65" t="n">
        <f aca="false">SUM(C19:N19)</f>
        <v>0</v>
      </c>
      <c r="C19" s="66" t="n">
        <f aca="false">0</f>
        <v>0</v>
      </c>
      <c r="D19" s="66" t="n">
        <f aca="false">0</f>
        <v>0</v>
      </c>
      <c r="E19" s="66" t="n">
        <f aca="false">0</f>
        <v>0</v>
      </c>
      <c r="F19" s="66" t="n">
        <f aca="false">0</f>
        <v>0</v>
      </c>
      <c r="G19" s="66" t="n">
        <f aca="false">0</f>
        <v>0</v>
      </c>
      <c r="H19" s="66" t="n">
        <f aca="false">0</f>
        <v>0</v>
      </c>
      <c r="I19" s="66" t="n">
        <f aca="false">0</f>
        <v>0</v>
      </c>
      <c r="J19" s="66" t="n">
        <f aca="false">0</f>
        <v>0</v>
      </c>
      <c r="K19" s="66" t="n">
        <f aca="false">0</f>
        <v>0</v>
      </c>
      <c r="L19" s="66" t="n">
        <f aca="false">0</f>
        <v>0</v>
      </c>
      <c r="M19" s="66" t="n">
        <f aca="false">0</f>
        <v>0</v>
      </c>
      <c r="N19" s="66" t="n">
        <f aca="false">0</f>
        <v>0</v>
      </c>
      <c r="O19" s="65" t="n">
        <f aca="false">SUM(P19:AA19)</f>
        <v>0</v>
      </c>
      <c r="P19" s="66" t="n">
        <f aca="false">IF(13=12+'Assumption Setting'!$C$10,-'Income Statement'!$C$39,0)</f>
        <v>0</v>
      </c>
      <c r="Q19" s="66" t="n">
        <f aca="false">IF(14=12+'Assumption Setting'!$C$10,-'Income Statement'!$C$39,0)</f>
        <v>0</v>
      </c>
      <c r="R19" s="66" t="n">
        <f aca="false">IF(15=12+'Assumption Setting'!$C$10,-'Income Statement'!$C$39,0)</f>
        <v>0</v>
      </c>
      <c r="S19" s="66" t="n">
        <f aca="false">IF(16=12+'Assumption Setting'!$C$10,-'Income Statement'!$C$39,0)</f>
        <v>0</v>
      </c>
      <c r="T19" s="66" t="n">
        <f aca="false">IF(17=12+'Assumption Setting'!$C$10,-'Income Statement'!$C$39,0)</f>
        <v>0</v>
      </c>
      <c r="U19" s="66" t="n">
        <f aca="false">IF(18=12+'Assumption Setting'!$C$10,-'Income Statement'!$C$39,0)</f>
        <v>0</v>
      </c>
      <c r="V19" s="66" t="n">
        <f aca="false">IF(19=12+'Assumption Setting'!$C$10,-'Income Statement'!$C$39,0)</f>
        <v>0</v>
      </c>
      <c r="W19" s="66" t="n">
        <f aca="false">IF(20=12+'Assumption Setting'!$C$10,-'Income Statement'!$C$39,0)</f>
        <v>0</v>
      </c>
      <c r="X19" s="66" t="n">
        <f aca="false">IF(21=12+'Assumption Setting'!$C$10,-'Income Statement'!$C$39,0)</f>
        <v>0</v>
      </c>
      <c r="Y19" s="66" t="n">
        <f aca="false">IF(22=12+'Assumption Setting'!$C$10,-'Income Statement'!$C$39,0)</f>
        <v>0</v>
      </c>
      <c r="Z19" s="66" t="n">
        <f aca="false">IF(23=12+'Assumption Setting'!$C$10,-'Income Statement'!$C$39,0)</f>
        <v>0</v>
      </c>
      <c r="AA19" s="66" t="n">
        <f aca="false">IF(24=12+'Assumption Setting'!$C$10,-'Income Statement'!$C$39,0)</f>
        <v>0</v>
      </c>
      <c r="AB19" s="65" t="n">
        <f aca="false">SUM(AC19:AN19)</f>
        <v>48904.2589063583</v>
      </c>
      <c r="AC19" s="66" t="n">
        <f aca="false">IF(25=24+'Assumption Setting'!$C$10,-'Income Statement'!$D$39,0)</f>
        <v>0</v>
      </c>
      <c r="AD19" s="66" t="n">
        <f aca="false">IF(26=24+'Assumption Setting'!$C$10,-'Income Statement'!$D$39,0)</f>
        <v>0</v>
      </c>
      <c r="AE19" s="66" t="n">
        <f aca="false">IF(27=24+'Assumption Setting'!$C$10,-'Income Statement'!$D$39,0)</f>
        <v>0</v>
      </c>
      <c r="AF19" s="66" t="n">
        <f aca="false">IF(28=24+'Assumption Setting'!$C$10,-'Income Statement'!$D$39,0)</f>
        <v>48904.2589063583</v>
      </c>
      <c r="AG19" s="66" t="n">
        <f aca="false">IF(29=24+'Assumption Setting'!$C$10,-'Income Statement'!$D$39,0)</f>
        <v>0</v>
      </c>
      <c r="AH19" s="66" t="n">
        <f aca="false">IF(30=24+'Assumption Setting'!$C$10,-'Income Statement'!$D$39,0)</f>
        <v>0</v>
      </c>
      <c r="AI19" s="66" t="n">
        <f aca="false">IF(31=24+'Assumption Setting'!$C$10,-'Income Statement'!$D$39,0)</f>
        <v>0</v>
      </c>
      <c r="AJ19" s="66" t="n">
        <f aca="false">IF(32=24+'Assumption Setting'!$C$10,-'Income Statement'!$D$39,0)</f>
        <v>0</v>
      </c>
      <c r="AK19" s="66" t="n">
        <f aca="false">IF(33=24+'Assumption Setting'!$C$10,-'Income Statement'!$D$39,0)</f>
        <v>0</v>
      </c>
      <c r="AL19" s="66" t="n">
        <f aca="false">IF(34=24+'Assumption Setting'!$C$10,-'Income Statement'!$D$39,0)</f>
        <v>0</v>
      </c>
      <c r="AM19" s="66" t="n">
        <f aca="false">IF(35=24+'Assumption Setting'!$C$10,-'Income Statement'!$D$39,0)</f>
        <v>0</v>
      </c>
      <c r="AN19" s="66" t="n">
        <f aca="false">IF(36=24+'Assumption Setting'!$C$10,-'Income Statement'!$D$39,0)</f>
        <v>0</v>
      </c>
      <c r="AO19" s="65" t="n">
        <f aca="false">SUM(AP19:BA19)</f>
        <v>324956.519117568</v>
      </c>
      <c r="AP19" s="66" t="n">
        <f aca="false">IF(37=36+'Assumption Setting'!$C$10,-'Income Statement'!$E$39,0)</f>
        <v>0</v>
      </c>
      <c r="AQ19" s="66" t="n">
        <f aca="false">IF(38=36+'Assumption Setting'!$C$10,-'Income Statement'!$E$39,0)</f>
        <v>0</v>
      </c>
      <c r="AR19" s="66" t="n">
        <f aca="false">IF(39=36+'Assumption Setting'!$C$10,-'Income Statement'!$E$39,0)</f>
        <v>0</v>
      </c>
      <c r="AS19" s="66" t="n">
        <f aca="false">IF(40=36+'Assumption Setting'!$C$10,-'Income Statement'!$E$39,0)</f>
        <v>324956.519117568</v>
      </c>
      <c r="AT19" s="66" t="n">
        <f aca="false">IF(41=36+'Assumption Setting'!$C$10,-'Income Statement'!$E$39,0)</f>
        <v>0</v>
      </c>
      <c r="AU19" s="66" t="n">
        <f aca="false">IF(42=36+'Assumption Setting'!$C$10,-'Income Statement'!$E$39,0)</f>
        <v>0</v>
      </c>
      <c r="AV19" s="66" t="n">
        <f aca="false">IF(43=36+'Assumption Setting'!$C$10,-'Income Statement'!$E$39,0)</f>
        <v>0</v>
      </c>
      <c r="AW19" s="66" t="n">
        <f aca="false">IF(44=36+'Assumption Setting'!$C$10,-'Income Statement'!$E$39,0)</f>
        <v>0</v>
      </c>
      <c r="AX19" s="66" t="n">
        <f aca="false">IF(45=36+'Assumption Setting'!$C$10,-'Income Statement'!$E$39,0)</f>
        <v>0</v>
      </c>
      <c r="AY19" s="66" t="n">
        <f aca="false">IF(46=36+'Assumption Setting'!$C$10,-'Income Statement'!$E$39,0)</f>
        <v>0</v>
      </c>
      <c r="AZ19" s="66" t="n">
        <f aca="false">IF(47=36+'Assumption Setting'!$C$10,-'Income Statement'!$E$39,0)</f>
        <v>0</v>
      </c>
      <c r="BA19" s="66" t="n">
        <f aca="false">IF(48=36+'Assumption Setting'!$C$10,-'Income Statement'!$E$39,0)</f>
        <v>0</v>
      </c>
      <c r="BB19" s="65" t="n">
        <f aca="false">SUM(BC19:BN19)</f>
        <v>736933.881938499</v>
      </c>
      <c r="BC19" s="66" t="n">
        <f aca="false">IF(49=48+'Assumption Setting'!$C$10,-'Income Statement'!$F$39,0)</f>
        <v>0</v>
      </c>
      <c r="BD19" s="66" t="n">
        <f aca="false">IF(50=48+'Assumption Setting'!$C$10,-'Income Statement'!$F$39,0)</f>
        <v>0</v>
      </c>
      <c r="BE19" s="66" t="n">
        <f aca="false">IF(51=48+'Assumption Setting'!$C$10,-'Income Statement'!$F$39,0)</f>
        <v>0</v>
      </c>
      <c r="BF19" s="66" t="n">
        <f aca="false">IF(52=48+'Assumption Setting'!$C$10,-'Income Statement'!$F$39,0)</f>
        <v>736933.881938499</v>
      </c>
      <c r="BG19" s="66" t="n">
        <f aca="false">IF(53=48+'Assumption Setting'!$C$10,-'Income Statement'!$F$39,0)</f>
        <v>0</v>
      </c>
      <c r="BH19" s="66" t="n">
        <f aca="false">IF(54=48+'Assumption Setting'!$C$10,-'Income Statement'!$F$39,0)</f>
        <v>0</v>
      </c>
      <c r="BI19" s="66" t="n">
        <f aca="false">IF(55=48+'Assumption Setting'!$C$10,-'Income Statement'!$F$39,0)</f>
        <v>0</v>
      </c>
      <c r="BJ19" s="66" t="n">
        <f aca="false">IF(56=48+'Assumption Setting'!$C$10,-'Income Statement'!$F$39,0)</f>
        <v>0</v>
      </c>
      <c r="BK19" s="66" t="n">
        <f aca="false">IF(57=48+'Assumption Setting'!$C$10,-'Income Statement'!$F$39,0)</f>
        <v>0</v>
      </c>
      <c r="BL19" s="66" t="n">
        <f aca="false">IF(58=48+'Assumption Setting'!$C$10,-'Income Statement'!$F$39,0)</f>
        <v>0</v>
      </c>
      <c r="BM19" s="66" t="n">
        <f aca="false">IF(59=48+'Assumption Setting'!$C$10,-'Income Statement'!$F$39,0)</f>
        <v>0</v>
      </c>
      <c r="BN19" s="66" t="n">
        <f aca="false">IF(60=48+'Assumption Setting'!$C$10,-'Income Statement'!$F$39,0)</f>
        <v>0</v>
      </c>
    </row>
    <row r="21" customFormat="false" ht="16.5" hidden="false" customHeight="true" outlineLevel="0" collapsed="false">
      <c r="A21" s="15" t="s">
        <v>907</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505</v>
      </c>
      <c r="B22" s="62" t="s">
        <v>80</v>
      </c>
      <c r="C22" s="63" t="s">
        <v>506</v>
      </c>
      <c r="D22" s="63" t="s">
        <v>507</v>
      </c>
      <c r="E22" s="63" t="s">
        <v>508</v>
      </c>
      <c r="F22" s="63" t="s">
        <v>509</v>
      </c>
      <c r="G22" s="63" t="s">
        <v>510</v>
      </c>
      <c r="H22" s="63" t="s">
        <v>511</v>
      </c>
      <c r="I22" s="63" t="s">
        <v>512</v>
      </c>
      <c r="J22" s="63" t="s">
        <v>513</v>
      </c>
      <c r="K22" s="63" t="s">
        <v>514</v>
      </c>
      <c r="L22" s="63" t="s">
        <v>515</v>
      </c>
      <c r="M22" s="63" t="s">
        <v>516</v>
      </c>
      <c r="N22" s="63" t="s">
        <v>517</v>
      </c>
      <c r="O22" s="62" t="s">
        <v>81</v>
      </c>
      <c r="P22" s="64" t="s">
        <v>518</v>
      </c>
      <c r="Q22" s="64" t="s">
        <v>519</v>
      </c>
      <c r="R22" s="64" t="s">
        <v>520</v>
      </c>
      <c r="S22" s="64" t="s">
        <v>521</v>
      </c>
      <c r="T22" s="64" t="s">
        <v>522</v>
      </c>
      <c r="U22" s="64" t="s">
        <v>523</v>
      </c>
      <c r="V22" s="64" t="s">
        <v>524</v>
      </c>
      <c r="W22" s="64" t="s">
        <v>525</v>
      </c>
      <c r="X22" s="64" t="s">
        <v>526</v>
      </c>
      <c r="Y22" s="64" t="s">
        <v>527</v>
      </c>
      <c r="Z22" s="64" t="s">
        <v>528</v>
      </c>
      <c r="AA22" s="64" t="s">
        <v>529</v>
      </c>
      <c r="AB22" s="62" t="s">
        <v>82</v>
      </c>
      <c r="AC22" s="63" t="s">
        <v>530</v>
      </c>
      <c r="AD22" s="63" t="s">
        <v>531</v>
      </c>
      <c r="AE22" s="63" t="s">
        <v>532</v>
      </c>
      <c r="AF22" s="63" t="s">
        <v>533</v>
      </c>
      <c r="AG22" s="63" t="s">
        <v>534</v>
      </c>
      <c r="AH22" s="63" t="s">
        <v>535</v>
      </c>
      <c r="AI22" s="63" t="s">
        <v>536</v>
      </c>
      <c r="AJ22" s="63" t="s">
        <v>537</v>
      </c>
      <c r="AK22" s="63" t="s">
        <v>538</v>
      </c>
      <c r="AL22" s="63" t="s">
        <v>539</v>
      </c>
      <c r="AM22" s="63" t="s">
        <v>540</v>
      </c>
      <c r="AN22" s="63" t="s">
        <v>541</v>
      </c>
      <c r="AO22" s="62" t="s">
        <v>83</v>
      </c>
      <c r="AP22" s="64" t="s">
        <v>542</v>
      </c>
      <c r="AQ22" s="64" t="s">
        <v>543</v>
      </c>
      <c r="AR22" s="64" t="s">
        <v>544</v>
      </c>
      <c r="AS22" s="64" t="s">
        <v>545</v>
      </c>
      <c r="AT22" s="64" t="s">
        <v>546</v>
      </c>
      <c r="AU22" s="64" t="s">
        <v>547</v>
      </c>
      <c r="AV22" s="64" t="s">
        <v>548</v>
      </c>
      <c r="AW22" s="64" t="s">
        <v>549</v>
      </c>
      <c r="AX22" s="64" t="s">
        <v>550</v>
      </c>
      <c r="AY22" s="64" t="s">
        <v>551</v>
      </c>
      <c r="AZ22" s="64" t="s">
        <v>552</v>
      </c>
      <c r="BA22" s="64" t="s">
        <v>553</v>
      </c>
      <c r="BB22" s="62" t="s">
        <v>84</v>
      </c>
      <c r="BC22" s="63" t="s">
        <v>554</v>
      </c>
      <c r="BD22" s="63" t="s">
        <v>555</v>
      </c>
      <c r="BE22" s="63" t="s">
        <v>556</v>
      </c>
      <c r="BF22" s="63" t="s">
        <v>557</v>
      </c>
      <c r="BG22" s="63" t="s">
        <v>558</v>
      </c>
      <c r="BH22" s="63" t="s">
        <v>559</v>
      </c>
      <c r="BI22" s="63" t="s">
        <v>560</v>
      </c>
      <c r="BJ22" s="63" t="s">
        <v>561</v>
      </c>
      <c r="BK22" s="63" t="s">
        <v>562</v>
      </c>
      <c r="BL22" s="63" t="s">
        <v>563</v>
      </c>
      <c r="BM22" s="63" t="s">
        <v>564</v>
      </c>
      <c r="BN22" s="63" t="s">
        <v>565</v>
      </c>
    </row>
    <row r="23" customFormat="false" ht="15" hidden="false" customHeight="false" outlineLevel="0" collapsed="false">
      <c r="A23" s="12" t="s">
        <v>908</v>
      </c>
      <c r="B23" s="65" t="n">
        <f aca="false">SUM(C23:N23)</f>
        <v>-59856.4857743939</v>
      </c>
      <c r="C23" s="66" t="n">
        <f aca="false">-C14</f>
        <v>-4557.00142564394</v>
      </c>
      <c r="D23" s="66" t="n">
        <f aca="false">-(D14-C14)</f>
        <v>-820.418508977272</v>
      </c>
      <c r="E23" s="66" t="n">
        <f aca="false">-(E14-D14)</f>
        <v>-984.019008977273</v>
      </c>
      <c r="F23" s="66" t="n">
        <f aca="false">-(F14-E14)</f>
        <v>-4277.26035897727</v>
      </c>
      <c r="G23" s="66" t="n">
        <f aca="false">-(G14-F14)</f>
        <v>-1897.92010897727</v>
      </c>
      <c r="H23" s="66" t="n">
        <f aca="false">-(H14-G14)</f>
        <v>-2277.11180897727</v>
      </c>
      <c r="I23" s="66" t="n">
        <f aca="false">-(I14-H14)</f>
        <v>-383.926025643941</v>
      </c>
      <c r="J23" s="66" t="n">
        <f aca="false">-(J14-I14)</f>
        <v>-2710.61535897727</v>
      </c>
      <c r="K23" s="66" t="n">
        <f aca="false">-(K14-J14)</f>
        <v>-3252.34255897727</v>
      </c>
      <c r="L23" s="66" t="n">
        <f aca="false">-(L14-K14)</f>
        <v>-21813.4622923106</v>
      </c>
      <c r="M23" s="66" t="n">
        <f aca="false">-(M14-L14)</f>
        <v>-7674.05095897726</v>
      </c>
      <c r="N23" s="66" t="n">
        <f aca="false">-(N14-M14)</f>
        <v>-9208.35735897728</v>
      </c>
      <c r="O23" s="65" t="n">
        <f aca="false">SUM(P23:AA23)</f>
        <v>-318891.50252399</v>
      </c>
      <c r="P23" s="66" t="n">
        <f aca="false">-(P14-N14)</f>
        <v>692.955941519358</v>
      </c>
      <c r="Q23" s="66" t="n">
        <f aca="false">-(Q14-P14)</f>
        <v>-10564.5903640362</v>
      </c>
      <c r="R23" s="66" t="n">
        <f aca="false">-(R14-Q14)</f>
        <v>-12675.2459307029</v>
      </c>
      <c r="S23" s="66" t="n">
        <f aca="false">-(S14-R14)</f>
        <v>-18530.7590807029</v>
      </c>
      <c r="T23" s="66" t="n">
        <f aca="false">-(T14-S14)</f>
        <v>-18022.5044973695</v>
      </c>
      <c r="U23" s="66" t="n">
        <f aca="false">-(U14-T14)</f>
        <v>-21624.5989973695</v>
      </c>
      <c r="V23" s="66" t="n">
        <f aca="false">-(V14-U14)</f>
        <v>-27633.5816807029</v>
      </c>
      <c r="W23" s="66" t="n">
        <f aca="false">-(W14-V14)</f>
        <v>-30037.6168473695</v>
      </c>
      <c r="X23" s="66" t="n">
        <f aca="false">-(X14-W14)</f>
        <v>-36042.4590473695</v>
      </c>
      <c r="Y23" s="66" t="n">
        <f aca="false">-(Y14-X14)</f>
        <v>-37644.6261251474</v>
      </c>
      <c r="Z23" s="66" t="n">
        <f aca="false">-(Z14-Y14)</f>
        <v>-48550.6335140361</v>
      </c>
      <c r="AA23" s="66" t="n">
        <f aca="false">-(AA14-Z14)</f>
        <v>-58257.8423807028</v>
      </c>
      <c r="AB23" s="65" t="n">
        <f aca="false">SUM(AC23:AN23)</f>
        <v>-585304.13680594</v>
      </c>
      <c r="AC23" s="66" t="n">
        <f aca="false">-(AC14-AA14)</f>
        <v>-22612.3856153098</v>
      </c>
      <c r="AD23" s="66" t="n">
        <f aca="false">-(AD14-AC14)</f>
        <v>-71665.419337532</v>
      </c>
      <c r="AE23" s="66" t="n">
        <f aca="false">-(AE14-AD14)</f>
        <v>-85992.3598041986</v>
      </c>
      <c r="AF23" s="66" t="n">
        <f aca="false">-(AF14-AE14)</f>
        <v>75991.5155402457</v>
      </c>
      <c r="AG23" s="66" t="n">
        <f aca="false">-(AG14-AF14)</f>
        <v>-86219.8394041986</v>
      </c>
      <c r="AH23" s="66" t="n">
        <f aca="false">-(AH14-AG14)</f>
        <v>-103457.265337532</v>
      </c>
      <c r="AI23" s="66" t="n">
        <f aca="false">-(AI14-AH14)</f>
        <v>48099.4529624679</v>
      </c>
      <c r="AJ23" s="66" t="n">
        <f aca="false">-(AJ14-AI14)</f>
        <v>-111455.823870865</v>
      </c>
      <c r="AK23" s="66" t="n">
        <f aca="false">-(AK14-AJ14)</f>
        <v>-133740.156070865</v>
      </c>
      <c r="AL23" s="66" t="n">
        <f aca="false">-(AL14-AK14)</f>
        <v>177428.460873579</v>
      </c>
      <c r="AM23" s="66" t="n">
        <f aca="false">-(AM14-AL14)</f>
        <v>-123494.207404199</v>
      </c>
      <c r="AN23" s="66" t="n">
        <f aca="false">-(AN14-AM14)</f>
        <v>-148186.109337532</v>
      </c>
      <c r="AO23" s="65" t="n">
        <f aca="false">SUM(AP23:BA23)</f>
        <v>-795986.050963273</v>
      </c>
      <c r="AP23" s="66" t="n">
        <f aca="false">-(AP14-AN14)</f>
        <v>97822.9092152828</v>
      </c>
      <c r="AQ23" s="66" t="n">
        <f aca="false">-(AQ14-AP14)</f>
        <v>-154508.647329162</v>
      </c>
      <c r="AR23" s="66" t="n">
        <f aca="false">-(AR14-AQ14)</f>
        <v>-185401.115182495</v>
      </c>
      <c r="AS23" s="66" t="n">
        <f aca="false">-(AS14-AR14)</f>
        <v>183922.147704172</v>
      </c>
      <c r="AT23" s="66" t="n">
        <f aca="false">-(AT14-AS14)</f>
        <v>-182286.348395828</v>
      </c>
      <c r="AU23" s="66" t="n">
        <f aca="false">-(AU14-AT14)</f>
        <v>-218733.943715828</v>
      </c>
      <c r="AV23" s="66" t="n">
        <f aca="false">-(AV14-AU14)</f>
        <v>296778.111437505</v>
      </c>
      <c r="AW23" s="66" t="n">
        <f aca="false">-(AW14-AV14)</f>
        <v>-200797.283995829</v>
      </c>
      <c r="AX23" s="66" t="n">
        <f aca="false">-(AX14-AW14)</f>
        <v>-240946.958515828</v>
      </c>
      <c r="AY23" s="66" t="n">
        <f aca="false">-(AY14-AX14)</f>
        <v>303869.849926394</v>
      </c>
      <c r="AZ23" s="66" t="n">
        <f aca="false">-(AZ14-AY14)</f>
        <v>-225324.985062495</v>
      </c>
      <c r="BA23" s="66" t="n">
        <f aca="false">-(BA14-AZ14)</f>
        <v>-270379.787049162</v>
      </c>
      <c r="BB23" s="65" t="n">
        <f aca="false">SUM(BC23:BN23)</f>
        <v>-737595.298870367</v>
      </c>
      <c r="BC23" s="66" t="n">
        <f aca="false">-(BC14-BA14)</f>
        <v>311986.544947655</v>
      </c>
      <c r="BD23" s="66" t="n">
        <f aca="false">-(BD14-BC14)</f>
        <v>-258019.954285678</v>
      </c>
      <c r="BE23" s="66" t="n">
        <f aca="false">-(BE14-BD14)</f>
        <v>-309611.553365679</v>
      </c>
      <c r="BF23" s="66" t="n">
        <f aca="false">-(BF14-BE14)</f>
        <v>470407.258164321</v>
      </c>
      <c r="BG23" s="66" t="n">
        <f aca="false">-(BG14-BF14)</f>
        <v>-275244.399423179</v>
      </c>
      <c r="BH23" s="66" t="n">
        <f aca="false">-(BH14-BG14)</f>
        <v>-330280.988528179</v>
      </c>
      <c r="BI23" s="66" t="n">
        <f aca="false">-(BI14-BH14)</f>
        <v>432352.71900321</v>
      </c>
      <c r="BJ23" s="66" t="n">
        <f aca="false">-(BJ14-BI14)</f>
        <v>-306049.320577345</v>
      </c>
      <c r="BK23" s="66" t="n">
        <f aca="false">-(BK14-BJ14)</f>
        <v>-367246.668074012</v>
      </c>
      <c r="BL23" s="66" t="n">
        <f aca="false">-(BL14-BK14)</f>
        <v>597050.932219877</v>
      </c>
      <c r="BM23" s="66" t="n">
        <f aca="false">-(BM14-BL14)</f>
        <v>-319523.765714845</v>
      </c>
      <c r="BN23" s="66" t="n">
        <f aca="false">-(BN14-BM14)</f>
        <v>-383416.103236512</v>
      </c>
    </row>
    <row r="24" customFormat="false" ht="15" hidden="false" customHeight="false" outlineLevel="0" collapsed="false">
      <c r="A24" s="12" t="s">
        <v>909</v>
      </c>
      <c r="B24" s="65" t="n">
        <f aca="false">SUM(C24:N24)</f>
        <v>14320.2073211813</v>
      </c>
      <c r="C24" s="66" t="n">
        <f aca="false">C15</f>
        <v>8401.78935384122</v>
      </c>
      <c r="D24" s="66" t="n">
        <f aca="false">(D15-C15)</f>
        <v>563.438546357982</v>
      </c>
      <c r="E24" s="66" t="n">
        <f aca="false">(E15-D15)</f>
        <v>674.204808566519</v>
      </c>
      <c r="F24" s="66" t="n">
        <f aca="false">(F15-E15)</f>
        <v>-2218.73389346231</v>
      </c>
      <c r="G24" s="66" t="n">
        <f aca="false">(G15-F15)</f>
        <v>364.382238731546</v>
      </c>
      <c r="H24" s="66" t="n">
        <f aca="false">(H15-G15)</f>
        <v>436.552832799064</v>
      </c>
      <c r="I24" s="66" t="n">
        <f aca="false">(I15-H15)</f>
        <v>-143.027819649292</v>
      </c>
      <c r="J24" s="66" t="n">
        <f aca="false">(J15-I15)</f>
        <v>479.068386285183</v>
      </c>
      <c r="K24" s="66" t="n">
        <f aca="false">(K15-J15)</f>
        <v>574.274492506273</v>
      </c>
      <c r="L24" s="66" t="n">
        <f aca="false">(L15-K15)</f>
        <v>2656.53748908297</v>
      </c>
      <c r="M24" s="66" t="n">
        <f aca="false">(M15-L15)</f>
        <v>1151.35682316417</v>
      </c>
      <c r="N24" s="66" t="n">
        <f aca="false">(N15-M15)</f>
        <v>1380.36406295797</v>
      </c>
      <c r="O24" s="65" t="n">
        <f aca="false">SUM(P24:AA24)</f>
        <v>61331.3302619449</v>
      </c>
      <c r="P24" s="66" t="n">
        <f aca="false">(P15-N15)</f>
        <v>13892.0667150179</v>
      </c>
      <c r="Q24" s="66" t="n">
        <f aca="false">(Q15-P15)</f>
        <v>1717.3086447344</v>
      </c>
      <c r="R24" s="66" t="n">
        <f aca="false">(R15-Q15)</f>
        <v>2053.23600064629</v>
      </c>
      <c r="S24" s="66" t="n">
        <f aca="false">(S15-R15)</f>
        <v>2330.60102661675</v>
      </c>
      <c r="T24" s="66" t="n">
        <f aca="false">(T15-S15)</f>
        <v>2785.34366984076</v>
      </c>
      <c r="U24" s="66" t="n">
        <f aca="false">(U15-T15)</f>
        <v>3335.84387883067</v>
      </c>
      <c r="V24" s="66" t="n">
        <f aca="false">(V15-U15)</f>
        <v>2718.30856972525</v>
      </c>
      <c r="W24" s="66" t="n">
        <f aca="false">(W15-V15)</f>
        <v>4364.10150979384</v>
      </c>
      <c r="X24" s="66" t="n">
        <f aca="false">(X15-W15)</f>
        <v>5229.76395475485</v>
      </c>
      <c r="Y24" s="66" t="n">
        <f aca="false">(Y15-X15)</f>
        <v>6876.01635148168</v>
      </c>
      <c r="Z24" s="66" t="n">
        <f aca="false">(Z15-Y15)</f>
        <v>7289.09374801801</v>
      </c>
      <c r="AA24" s="66" t="n">
        <f aca="false">(AA15-Z15)</f>
        <v>8739.64619248448</v>
      </c>
      <c r="AB24" s="65" t="n">
        <f aca="false">SUM(AC24:AN24)</f>
        <v>121918.27009175</v>
      </c>
      <c r="AC24" s="66" t="n">
        <f aca="false">(AC15-AA15)</f>
        <v>26638.5031768571</v>
      </c>
      <c r="AD24" s="66" t="n">
        <f aca="false">(AD15-AC15)</f>
        <v>10915.4502186024</v>
      </c>
      <c r="AE24" s="66" t="n">
        <f aca="false">(AE15-AD15)</f>
        <v>13077.2042900509</v>
      </c>
      <c r="AF24" s="66" t="n">
        <f aca="false">(AF15-AE15)</f>
        <v>-9073.35059258694</v>
      </c>
      <c r="AG24" s="66" t="n">
        <f aca="false">(AG15-AF15)</f>
        <v>13485.4474237612</v>
      </c>
      <c r="AH24" s="66" t="n">
        <f aca="false">(AH15-AG15)</f>
        <v>16164.4435012434</v>
      </c>
      <c r="AI24" s="66" t="n">
        <f aca="false">(AI15-AH15)</f>
        <v>-7634.1280061068</v>
      </c>
      <c r="AJ24" s="66" t="n">
        <f aca="false">(AJ15-AI15)</f>
        <v>17307.4961713896</v>
      </c>
      <c r="AK24" s="66" t="n">
        <f aca="false">(AK15-AJ15)</f>
        <v>20754.2932893655</v>
      </c>
      <c r="AL24" s="66" t="n">
        <f aca="false">(AL15-AK15)</f>
        <v>-23262.6535112382</v>
      </c>
      <c r="AM24" s="66" t="n">
        <f aca="false">(AM15-AL15)</f>
        <v>19797.6336802092</v>
      </c>
      <c r="AN24" s="66" t="n">
        <f aca="false">(AN15-AM15)</f>
        <v>23747.9304502024</v>
      </c>
      <c r="AO24" s="65" t="n">
        <f aca="false">SUM(AP24:BA24)</f>
        <v>160476.159951379</v>
      </c>
      <c r="AP24" s="66" t="n">
        <f aca="false">(AP15-AN15)</f>
        <v>5647.70253616312</v>
      </c>
      <c r="AQ24" s="66" t="n">
        <f aca="false">(AQ15-AP15)</f>
        <v>24748.3583293505</v>
      </c>
      <c r="AR24" s="66" t="n">
        <f aca="false">(AR15-AQ15)</f>
        <v>29672.3837786886</v>
      </c>
      <c r="AS24" s="66" t="n">
        <f aca="false">(AS15-AR15)</f>
        <v>-26189.4306052986</v>
      </c>
      <c r="AT24" s="66" t="n">
        <f aca="false">(AT15-AS15)</f>
        <v>29552.6517936928</v>
      </c>
      <c r="AU24" s="66" t="n">
        <f aca="false">(AU15-AT15)</f>
        <v>35446.3240011469</v>
      </c>
      <c r="AV24" s="66" t="n">
        <f aca="false">(AV15-AU15)</f>
        <v>-47856.2710064631</v>
      </c>
      <c r="AW24" s="66" t="n">
        <f aca="false">(AW15-AV15)</f>
        <v>32319.5510157531</v>
      </c>
      <c r="AX24" s="66" t="n">
        <f aca="false">(AX15-AW15)</f>
        <v>38778.111964021</v>
      </c>
      <c r="AY24" s="66" t="n">
        <f aca="false">(AY15-AX15)</f>
        <v>-43129.1954352605</v>
      </c>
      <c r="AZ24" s="66" t="n">
        <f aca="false">(AZ15-AY15)</f>
        <v>37036.7535807844</v>
      </c>
      <c r="BA24" s="66" t="n">
        <f aca="false">(BA15-AZ15)</f>
        <v>44449.2199988008</v>
      </c>
      <c r="BB24" s="65" t="n">
        <f aca="false">SUM(BC24:BN24)</f>
        <v>157289.618024161</v>
      </c>
      <c r="BC24" s="66" t="n">
        <f aca="false">(BC15-BA15)</f>
        <v>-29330.5887409239</v>
      </c>
      <c r="BD24" s="66" t="n">
        <f aca="false">(BD15-BC15)</f>
        <v>42492.0395285822</v>
      </c>
      <c r="BE24" s="66" t="n">
        <f aca="false">(BE15-BD15)</f>
        <v>50981.867017652</v>
      </c>
      <c r="BF24" s="66" t="n">
        <f aca="false">(BF15-BE15)</f>
        <v>-73123.9907630316</v>
      </c>
      <c r="BG24" s="66" t="n">
        <f aca="false">(BG15-BF15)</f>
        <v>45692.0133372229</v>
      </c>
      <c r="BH24" s="66" t="n">
        <f aca="false">(BH15-BG15)</f>
        <v>54839.8606658425</v>
      </c>
      <c r="BI24" s="66" t="n">
        <f aca="false">(BI15-BH15)</f>
        <v>-71876.6511747081</v>
      </c>
      <c r="BJ24" s="66" t="n">
        <f aca="false">(BJ15-BI15)</f>
        <v>50404.1428259775</v>
      </c>
      <c r="BK24" s="66" t="n">
        <f aca="false">(BK15-BJ15)</f>
        <v>60511.0479025682</v>
      </c>
      <c r="BL24" s="66" t="n">
        <f aca="false">(BL15-BK15)</f>
        <v>-91068.9390780506</v>
      </c>
      <c r="BM24" s="66" t="n">
        <f aca="false">(BM15-BL15)</f>
        <v>53511.2170539274</v>
      </c>
      <c r="BN24" s="66" t="n">
        <f aca="false">(BN15-BM15)</f>
        <v>64257.5994491022</v>
      </c>
    </row>
    <row r="25" customFormat="false" ht="15" hidden="false" customHeight="false" outlineLevel="0" collapsed="false">
      <c r="A25" s="12" t="s">
        <v>910</v>
      </c>
      <c r="B25" s="65" t="n">
        <f aca="false">SUM(C25:N25)</f>
        <v>1251.25</v>
      </c>
      <c r="C25" s="66" t="n">
        <f aca="false">C16</f>
        <v>1251.25</v>
      </c>
      <c r="D25" s="66" t="n">
        <f aca="false">(D16-C16)</f>
        <v>0</v>
      </c>
      <c r="E25" s="66" t="n">
        <f aca="false">(E16-D16)</f>
        <v>0</v>
      </c>
      <c r="F25" s="66" t="n">
        <f aca="false">(F16-E16)</f>
        <v>0</v>
      </c>
      <c r="G25" s="66" t="n">
        <f aca="false">(G16-F16)</f>
        <v>0</v>
      </c>
      <c r="H25" s="66" t="n">
        <f aca="false">(H16-G16)</f>
        <v>0</v>
      </c>
      <c r="I25" s="66" t="n">
        <f aca="false">(I16-H16)</f>
        <v>0</v>
      </c>
      <c r="J25" s="66" t="n">
        <f aca="false">(J16-I16)</f>
        <v>0</v>
      </c>
      <c r="K25" s="66" t="n">
        <f aca="false">(K16-J16)</f>
        <v>0</v>
      </c>
      <c r="L25" s="66" t="n">
        <f aca="false">(L16-K16)</f>
        <v>0</v>
      </c>
      <c r="M25" s="66" t="n">
        <f aca="false">(M16-L16)</f>
        <v>0</v>
      </c>
      <c r="N25" s="66" t="n">
        <f aca="false">(N16-M16)</f>
        <v>0</v>
      </c>
      <c r="O25" s="65" t="n">
        <f aca="false">SUM(P25:AA25)</f>
        <v>3445.75</v>
      </c>
      <c r="P25" s="66" t="n">
        <f aca="false">(P16-N16)</f>
        <v>3445.75</v>
      </c>
      <c r="Q25" s="66" t="n">
        <f aca="false">(Q16-P16)</f>
        <v>0</v>
      </c>
      <c r="R25" s="66" t="n">
        <f aca="false">(R16-Q16)</f>
        <v>0</v>
      </c>
      <c r="S25" s="66" t="n">
        <f aca="false">(S16-R16)</f>
        <v>0</v>
      </c>
      <c r="T25" s="66" t="n">
        <f aca="false">(T16-S16)</f>
        <v>0</v>
      </c>
      <c r="U25" s="66" t="n">
        <f aca="false">(U16-T16)</f>
        <v>0</v>
      </c>
      <c r="V25" s="66" t="n">
        <f aca="false">(V16-U16)</f>
        <v>0</v>
      </c>
      <c r="W25" s="66" t="n">
        <f aca="false">(W16-V16)</f>
        <v>0</v>
      </c>
      <c r="X25" s="66" t="n">
        <f aca="false">(X16-W16)</f>
        <v>0</v>
      </c>
      <c r="Y25" s="66" t="n">
        <f aca="false">(Y16-X16)</f>
        <v>0</v>
      </c>
      <c r="Z25" s="66" t="n">
        <f aca="false">(Z16-Y16)</f>
        <v>0</v>
      </c>
      <c r="AA25" s="66" t="n">
        <f aca="false">(AA16-Z16)</f>
        <v>0</v>
      </c>
      <c r="AB25" s="65" t="n">
        <f aca="false">SUM(AC25:AN25)</f>
        <v>6429.5</v>
      </c>
      <c r="AC25" s="66" t="n">
        <f aca="false">(AC16-AA16)</f>
        <v>6429.5</v>
      </c>
      <c r="AD25" s="66" t="n">
        <f aca="false">(AD16-AC16)</f>
        <v>0</v>
      </c>
      <c r="AE25" s="66" t="n">
        <f aca="false">(AE16-AD16)</f>
        <v>0</v>
      </c>
      <c r="AF25" s="66" t="n">
        <f aca="false">(AF16-AE16)</f>
        <v>0</v>
      </c>
      <c r="AG25" s="66" t="n">
        <f aca="false">(AG16-AF16)</f>
        <v>0</v>
      </c>
      <c r="AH25" s="66" t="n">
        <f aca="false">(AH16-AG16)</f>
        <v>0</v>
      </c>
      <c r="AI25" s="66" t="n">
        <f aca="false">(AI16-AH16)</f>
        <v>0</v>
      </c>
      <c r="AJ25" s="66" t="n">
        <f aca="false">(AJ16-AI16)</f>
        <v>0</v>
      </c>
      <c r="AK25" s="66" t="n">
        <f aca="false">(AK16-AJ16)</f>
        <v>0</v>
      </c>
      <c r="AL25" s="66" t="n">
        <f aca="false">(AL16-AK16)</f>
        <v>0</v>
      </c>
      <c r="AM25" s="66" t="n">
        <f aca="false">(AM16-AL16)</f>
        <v>0</v>
      </c>
      <c r="AN25" s="66" t="n">
        <f aca="false">(AN16-AM16)</f>
        <v>0</v>
      </c>
      <c r="AO25" s="65" t="n">
        <f aca="false">SUM(AP25:BA25)</f>
        <v>4369.75</v>
      </c>
      <c r="AP25" s="66" t="n">
        <f aca="false">(AP16-AN16)</f>
        <v>4369.75</v>
      </c>
      <c r="AQ25" s="66" t="n">
        <f aca="false">(AQ16-AP16)</f>
        <v>0</v>
      </c>
      <c r="AR25" s="66" t="n">
        <f aca="false">(AR16-AQ16)</f>
        <v>0</v>
      </c>
      <c r="AS25" s="66" t="n">
        <f aca="false">(AS16-AR16)</f>
        <v>0</v>
      </c>
      <c r="AT25" s="66" t="n">
        <f aca="false">(AT16-AS16)</f>
        <v>0</v>
      </c>
      <c r="AU25" s="66" t="n">
        <f aca="false">(AU16-AT16)</f>
        <v>0</v>
      </c>
      <c r="AV25" s="66" t="n">
        <f aca="false">(AV16-AU16)</f>
        <v>0</v>
      </c>
      <c r="AW25" s="66" t="n">
        <f aca="false">(AW16-AV16)</f>
        <v>0</v>
      </c>
      <c r="AX25" s="66" t="n">
        <f aca="false">(AX16-AW16)</f>
        <v>0</v>
      </c>
      <c r="AY25" s="66" t="n">
        <f aca="false">(AY16-AX16)</f>
        <v>0</v>
      </c>
      <c r="AZ25" s="66" t="n">
        <f aca="false">(AZ16-AY16)</f>
        <v>0</v>
      </c>
      <c r="BA25" s="66" t="n">
        <f aca="false">(BA16-AZ16)</f>
        <v>0</v>
      </c>
      <c r="BB25" s="65" t="n">
        <f aca="false">SUM(BC25:BN25)</f>
        <v>2868.25</v>
      </c>
      <c r="BC25" s="66" t="n">
        <f aca="false">(BC16-BA16)</f>
        <v>2868.25</v>
      </c>
      <c r="BD25" s="66" t="n">
        <f aca="false">(BD16-BC16)</f>
        <v>0</v>
      </c>
      <c r="BE25" s="66" t="n">
        <f aca="false">(BE16-BD16)</f>
        <v>0</v>
      </c>
      <c r="BF25" s="66" t="n">
        <f aca="false">(BF16-BE16)</f>
        <v>0</v>
      </c>
      <c r="BG25" s="66" t="n">
        <f aca="false">(BG16-BF16)</f>
        <v>0</v>
      </c>
      <c r="BH25" s="66" t="n">
        <f aca="false">(BH16-BG16)</f>
        <v>0</v>
      </c>
      <c r="BI25" s="66" t="n">
        <f aca="false">(BI16-BH16)</f>
        <v>0</v>
      </c>
      <c r="BJ25" s="66" t="n">
        <f aca="false">(BJ16-BI16)</f>
        <v>0</v>
      </c>
      <c r="BK25" s="66" t="n">
        <f aca="false">(BK16-BJ16)</f>
        <v>0</v>
      </c>
      <c r="BL25" s="66" t="n">
        <f aca="false">(BL16-BK16)</f>
        <v>0</v>
      </c>
      <c r="BM25" s="66" t="n">
        <f aca="false">(BM16-BL16)</f>
        <v>0</v>
      </c>
      <c r="BN25" s="66" t="n">
        <f aca="false">(BN16-BM16)</f>
        <v>0</v>
      </c>
    </row>
    <row r="26" customFormat="false" ht="15" hidden="false" customHeight="false" outlineLevel="0" collapsed="false">
      <c r="A26" s="12" t="s">
        <v>911</v>
      </c>
      <c r="B26" s="65" t="n">
        <f aca="false">SUM(C26:N26)</f>
        <v>13229.6758875</v>
      </c>
      <c r="C26" s="66" t="n">
        <f aca="false">C17</f>
        <v>1701.23523125</v>
      </c>
      <c r="D26" s="66" t="n">
        <f aca="false">(D17-C17)</f>
        <v>1299.03259659091</v>
      </c>
      <c r="E26" s="66" t="n">
        <f aca="false">(E17-D17)</f>
        <v>1381.33746193182</v>
      </c>
      <c r="F26" s="66" t="n">
        <f aca="false">(F17-E17)</f>
        <v>609.315077272728</v>
      </c>
      <c r="G26" s="66" t="n">
        <f aca="false">(G17-F17)</f>
        <v>308.728442613637</v>
      </c>
      <c r="H26" s="66" t="n">
        <f aca="false">(H17-G17)</f>
        <v>342.037307954545</v>
      </c>
      <c r="I26" s="66" t="n">
        <f aca="false">(I17-H17)</f>
        <v>37.5459232954545</v>
      </c>
      <c r="J26" s="66" t="n">
        <f aca="false">(J17-I17)</f>
        <v>304.075538636364</v>
      </c>
      <c r="K26" s="66" t="n">
        <f aca="false">(K17-J17)</f>
        <v>359.813153977272</v>
      </c>
      <c r="L26" s="66" t="n">
        <f aca="false">(L17-K17)</f>
        <v>3298.71076931818</v>
      </c>
      <c r="M26" s="66" t="n">
        <f aca="false">(M17-L17)</f>
        <v>1662.04638465909</v>
      </c>
      <c r="N26" s="66" t="n">
        <f aca="false">(N17-M17)</f>
        <v>1925.798</v>
      </c>
      <c r="O26" s="65" t="n">
        <f aca="false">SUM(P26:AA26)</f>
        <v>78257.8993958333</v>
      </c>
      <c r="P26" s="66" t="n">
        <f aca="false">(P17-N17)</f>
        <v>2450.39964930556</v>
      </c>
      <c r="Q26" s="66" t="n">
        <f aca="false">(Q17-P17)</f>
        <v>3845.79418876263</v>
      </c>
      <c r="R26" s="66" t="n">
        <f aca="false">(R17-Q17)</f>
        <v>4186.3972282197</v>
      </c>
      <c r="S26" s="66" t="n">
        <f aca="false">(S17-R17)</f>
        <v>4442.82101767677</v>
      </c>
      <c r="T26" s="66" t="n">
        <f aca="false">(T17-S17)</f>
        <v>4386.98355713384</v>
      </c>
      <c r="U26" s="66" t="n">
        <f aca="false">(U17-T17)</f>
        <v>4861.51459659091</v>
      </c>
      <c r="V26" s="66" t="n">
        <f aca="false">(V17-U17)</f>
        <v>6661.23138604799</v>
      </c>
      <c r="W26" s="66" t="n">
        <f aca="false">(W17-V17)</f>
        <v>7145.38867550504</v>
      </c>
      <c r="X26" s="66" t="n">
        <f aca="false">(X17-W17)</f>
        <v>8140.99496496212</v>
      </c>
      <c r="Y26" s="66" t="n">
        <f aca="false">(Y17-X17)</f>
        <v>8885.22908775252</v>
      </c>
      <c r="Z26" s="66" t="n">
        <f aca="false">(Z17-Y17)</f>
        <v>10711.0163772096</v>
      </c>
      <c r="AA26" s="66" t="n">
        <f aca="false">(AA17-Z17)</f>
        <v>12540.1286666667</v>
      </c>
      <c r="AB26" s="65" t="n">
        <f aca="false">SUM(AC26:AN26)</f>
        <v>195466.851156667</v>
      </c>
      <c r="AC26" s="66" t="n">
        <f aca="false">(AC17-AA17)</f>
        <v>12706.0691927778</v>
      </c>
      <c r="AD26" s="66" t="n">
        <f aca="false">(AD17-AC17)</f>
        <v>19251.979129798</v>
      </c>
      <c r="AE26" s="66" t="n">
        <f aca="false">(AE17-AD17)</f>
        <v>21854.8180668182</v>
      </c>
      <c r="AF26" s="66" t="n">
        <f aca="false">(AF17-AE17)</f>
        <v>400.519170505082</v>
      </c>
      <c r="AG26" s="66" t="n">
        <f aca="false">(AG17-AF17)</f>
        <v>20873.5681075252</v>
      </c>
      <c r="AH26" s="66" t="n">
        <f aca="false">(AH17-AG17)</f>
        <v>24249.4120445455</v>
      </c>
      <c r="AI26" s="66" t="n">
        <f aca="false">(AI17-AH17)</f>
        <v>3340.31448156567</v>
      </c>
      <c r="AJ26" s="66" t="n">
        <f aca="false">(AJ17-AI17)</f>
        <v>24107.9964185859</v>
      </c>
      <c r="AK26" s="66" t="n">
        <f aca="false">(AK17-AJ17)</f>
        <v>28829.8633556061</v>
      </c>
      <c r="AL26" s="66" t="n">
        <f aca="false">(AL17-AK17)</f>
        <v>-14169.447540707</v>
      </c>
      <c r="AM26" s="66" t="n">
        <f aca="false">(AM17-AL17)</f>
        <v>24151.3013963131</v>
      </c>
      <c r="AN26" s="66" t="n">
        <f aca="false">(AN17-AM17)</f>
        <v>29870.4573333333</v>
      </c>
      <c r="AO26" s="65" t="n">
        <f aca="false">SUM(AP26:BA26)</f>
        <v>313537.51567</v>
      </c>
      <c r="AP26" s="66" t="n">
        <f aca="false">(AP17-AN17)</f>
        <v>4608.16081166669</v>
      </c>
      <c r="AQ26" s="66" t="n">
        <f aca="false">(AQ17-AP17)</f>
        <v>38155.2488742424</v>
      </c>
      <c r="AR26" s="66" t="n">
        <f aca="false">(AR17-AQ17)</f>
        <v>45922.0307368182</v>
      </c>
      <c r="AS26" s="66" t="n">
        <f aca="false">(AS17-AR17)</f>
        <v>-6860.10530060611</v>
      </c>
      <c r="AT26" s="66" t="n">
        <f aca="false">(AT17-AS17)</f>
        <v>41307.7467619698</v>
      </c>
      <c r="AU26" s="66" t="n">
        <f aca="false">(AU17-AT17)</f>
        <v>50893.9726245453</v>
      </c>
      <c r="AV26" s="66" t="n">
        <f aca="false">(AV17-AU17)</f>
        <v>-23930.4554128787</v>
      </c>
      <c r="AW26" s="66" t="n">
        <f aca="false">(AW17-AV17)</f>
        <v>40927.5826496969</v>
      </c>
      <c r="AX26" s="66" t="n">
        <f aca="false">(AX17-AW17)</f>
        <v>52071.0665122728</v>
      </c>
      <c r="AY26" s="66" t="n">
        <f aca="false">(AY17-AX17)</f>
        <v>-27219.4881918182</v>
      </c>
      <c r="AZ26" s="66" t="n">
        <f aca="false">(AZ17-AY17)</f>
        <v>42388.4138707577</v>
      </c>
      <c r="BA26" s="66" t="n">
        <f aca="false">(BA17-AZ17)</f>
        <v>55273.3417333333</v>
      </c>
      <c r="BB26" s="65" t="n">
        <f aca="false">SUM(BC26:BN26)</f>
        <v>338482.383646944</v>
      </c>
      <c r="BC26" s="66" t="n">
        <f aca="false">(BC17-BA17)</f>
        <v>-20452.7382296759</v>
      </c>
      <c r="BD26" s="66" t="n">
        <f aca="false">(BD17-BC17)</f>
        <v>55709.5874851431</v>
      </c>
      <c r="BE26" s="66" t="n">
        <f aca="false">(BE17-BD17)</f>
        <v>71400.3109999622</v>
      </c>
      <c r="BF26" s="66" t="n">
        <f aca="false">(BF17-BE17)</f>
        <v>-44094.6035352189</v>
      </c>
      <c r="BG26" s="66" t="n">
        <f aca="false">(BG17-BF17)</f>
        <v>54373.5288671001</v>
      </c>
      <c r="BH26" s="66" t="n">
        <f aca="false">(BH17-BG17)</f>
        <v>71950.2014444192</v>
      </c>
      <c r="BI26" s="66" t="n">
        <f aca="false">(BI17-BH17)</f>
        <v>-42966.6287574284</v>
      </c>
      <c r="BJ26" s="66" t="n">
        <f aca="false">(BJ17-BI17)</f>
        <v>55799.0650823904</v>
      </c>
      <c r="BK26" s="66" t="n">
        <f aca="false">(BK17-BJ17)</f>
        <v>75519.4349722097</v>
      </c>
      <c r="BL26" s="66" t="n">
        <f aca="false">(BL17-BK17)</f>
        <v>-67673.8982296381</v>
      </c>
      <c r="BM26" s="66" t="n">
        <f aca="false">(BM17-BL17)</f>
        <v>53700.902297681</v>
      </c>
      <c r="BN26" s="66" t="n">
        <f aca="false">(BN17-BM17)</f>
        <v>75217.2212499999</v>
      </c>
    </row>
    <row r="27" customFormat="false" ht="15" hidden="false" customHeight="false" outlineLevel="0" collapsed="false">
      <c r="A27" s="12" t="s">
        <v>912</v>
      </c>
      <c r="B27" s="65" t="n">
        <f aca="false">SUM(C27:N27)</f>
        <v>0</v>
      </c>
      <c r="C27" s="66" t="n">
        <f aca="false">C18</f>
        <v>0</v>
      </c>
      <c r="D27" s="66" t="n">
        <f aca="false">D18-C18</f>
        <v>0</v>
      </c>
      <c r="E27" s="66" t="n">
        <f aca="false">E18-D18</f>
        <v>0</v>
      </c>
      <c r="F27" s="66" t="n">
        <f aca="false">F18-E18</f>
        <v>0</v>
      </c>
      <c r="G27" s="66" t="n">
        <f aca="false">G18-F18</f>
        <v>0</v>
      </c>
      <c r="H27" s="66" t="n">
        <f aca="false">H18-G18</f>
        <v>0</v>
      </c>
      <c r="I27" s="66" t="n">
        <f aca="false">I18-H18</f>
        <v>0</v>
      </c>
      <c r="J27" s="66" t="n">
        <f aca="false">J18-I18</f>
        <v>0</v>
      </c>
      <c r="K27" s="66" t="n">
        <f aca="false">K18-J18</f>
        <v>0</v>
      </c>
      <c r="L27" s="66" t="n">
        <f aca="false">L18-K18</f>
        <v>0</v>
      </c>
      <c r="M27" s="66" t="n">
        <f aca="false">M18-L18</f>
        <v>0</v>
      </c>
      <c r="N27" s="66" t="n">
        <f aca="false">N18-M18</f>
        <v>0</v>
      </c>
      <c r="O27" s="65" t="n">
        <f aca="false">SUM(P27:AA27)</f>
        <v>48904.2589063583</v>
      </c>
      <c r="P27" s="66" t="n">
        <f aca="false">P18-N18</f>
        <v>4075.35490886319</v>
      </c>
      <c r="Q27" s="66" t="n">
        <f aca="false">Q18-P18</f>
        <v>4075.35490886319</v>
      </c>
      <c r="R27" s="66" t="n">
        <f aca="false">R18-Q18</f>
        <v>4075.35490886319</v>
      </c>
      <c r="S27" s="66" t="n">
        <f aca="false">S18-R18</f>
        <v>4075.35490886319</v>
      </c>
      <c r="T27" s="66" t="n">
        <f aca="false">T18-S18</f>
        <v>4075.35490886319</v>
      </c>
      <c r="U27" s="66" t="n">
        <f aca="false">U18-T18</f>
        <v>4075.35490886319</v>
      </c>
      <c r="V27" s="66" t="n">
        <f aca="false">V18-U18</f>
        <v>4075.35490886319</v>
      </c>
      <c r="W27" s="66" t="n">
        <f aca="false">W18-V18</f>
        <v>4075.35490886319</v>
      </c>
      <c r="X27" s="66" t="n">
        <f aca="false">X18-W18</f>
        <v>4075.35490886319</v>
      </c>
      <c r="Y27" s="66" t="n">
        <f aca="false">Y18-X18</f>
        <v>4075.35490886319</v>
      </c>
      <c r="Z27" s="66" t="n">
        <f aca="false">Z18-Y18</f>
        <v>4075.35490886319</v>
      </c>
      <c r="AA27" s="66" t="n">
        <f aca="false">AA18-Z18</f>
        <v>4075.35490886319</v>
      </c>
      <c r="AB27" s="65" t="n">
        <f aca="false">SUM(AC27:AN27)</f>
        <v>276052.260211209</v>
      </c>
      <c r="AC27" s="66" t="n">
        <f aca="false">AC18-AA18</f>
        <v>27079.709926464</v>
      </c>
      <c r="AD27" s="66" t="n">
        <f aca="false">AD18-AC18</f>
        <v>27079.709926464</v>
      </c>
      <c r="AE27" s="66" t="n">
        <f aca="false">AE18-AD18</f>
        <v>27079.709926464</v>
      </c>
      <c r="AF27" s="66" t="n">
        <f aca="false">AF18-AE18</f>
        <v>-21824.5489798943</v>
      </c>
      <c r="AG27" s="66" t="n">
        <f aca="false">AG18-AF18</f>
        <v>27079.709926464</v>
      </c>
      <c r="AH27" s="66" t="n">
        <f aca="false">AH18-AG18</f>
        <v>27079.709926464</v>
      </c>
      <c r="AI27" s="66" t="n">
        <f aca="false">AI18-AH18</f>
        <v>27079.709926464</v>
      </c>
      <c r="AJ27" s="66" t="n">
        <f aca="false">AJ18-AI18</f>
        <v>27079.709926464</v>
      </c>
      <c r="AK27" s="66" t="n">
        <f aca="false">AK18-AJ18</f>
        <v>27079.709926464</v>
      </c>
      <c r="AL27" s="66" t="n">
        <f aca="false">AL18-AK18</f>
        <v>27079.709926464</v>
      </c>
      <c r="AM27" s="66" t="n">
        <f aca="false">AM18-AL18</f>
        <v>27079.709926464</v>
      </c>
      <c r="AN27" s="66" t="n">
        <f aca="false">AN18-AM18</f>
        <v>27079.709926464</v>
      </c>
      <c r="AO27" s="65" t="n">
        <f aca="false">SUM(AP27:BA27)</f>
        <v>411977.362820931</v>
      </c>
      <c r="AP27" s="66" t="n">
        <f aca="false">AP18-AN18</f>
        <v>61411.1568282082</v>
      </c>
      <c r="AQ27" s="66" t="n">
        <f aca="false">AQ18-AP18</f>
        <v>61411.1568282082</v>
      </c>
      <c r="AR27" s="66" t="n">
        <f aca="false">AR18-AQ18</f>
        <v>61411.1568282082</v>
      </c>
      <c r="AS27" s="66" t="n">
        <f aca="false">AS18-AR18</f>
        <v>-263545.362289359</v>
      </c>
      <c r="AT27" s="66" t="n">
        <f aca="false">AT18-AS18</f>
        <v>61411.1568282082</v>
      </c>
      <c r="AU27" s="66" t="n">
        <f aca="false">AU18-AT18</f>
        <v>61411.1568282082</v>
      </c>
      <c r="AV27" s="66" t="n">
        <f aca="false">AV18-AU18</f>
        <v>61411.1568282082</v>
      </c>
      <c r="AW27" s="66" t="n">
        <f aca="false">AW18-AV18</f>
        <v>61411.1568282082</v>
      </c>
      <c r="AX27" s="66" t="n">
        <f aca="false">AX18-AW18</f>
        <v>61411.1568282082</v>
      </c>
      <c r="AY27" s="66" t="n">
        <f aca="false">AY18-AX18</f>
        <v>61411.1568282082</v>
      </c>
      <c r="AZ27" s="66" t="n">
        <f aca="false">AZ18-AY18</f>
        <v>61411.1568282082</v>
      </c>
      <c r="BA27" s="66" t="n">
        <f aca="false">BA18-AZ18</f>
        <v>61411.1568282082</v>
      </c>
      <c r="BB27" s="65" t="n">
        <f aca="false">SUM(BC27:BN27)</f>
        <v>474587.044512244</v>
      </c>
      <c r="BC27" s="66" t="n">
        <f aca="false">BC18-BA18</f>
        <v>100960.077204229</v>
      </c>
      <c r="BD27" s="66" t="n">
        <f aca="false">BD18-BC18</f>
        <v>100960.077204229</v>
      </c>
      <c r="BE27" s="66" t="n">
        <f aca="false">BE18-BD18</f>
        <v>100960.077204229</v>
      </c>
      <c r="BF27" s="66" t="n">
        <f aca="false">BF18-BE18</f>
        <v>-635973.80473427</v>
      </c>
      <c r="BG27" s="66" t="n">
        <f aca="false">BG18-BF18</f>
        <v>100960.077204229</v>
      </c>
      <c r="BH27" s="66" t="n">
        <f aca="false">BH18-BG18</f>
        <v>100960.077204229</v>
      </c>
      <c r="BI27" s="66" t="n">
        <f aca="false">BI18-BH18</f>
        <v>100960.077204229</v>
      </c>
      <c r="BJ27" s="66" t="n">
        <f aca="false">BJ18-BI18</f>
        <v>100960.077204229</v>
      </c>
      <c r="BK27" s="66" t="n">
        <f aca="false">BK18-BJ18</f>
        <v>100960.077204229</v>
      </c>
      <c r="BL27" s="66" t="n">
        <f aca="false">BL18-BK18</f>
        <v>100960.077204229</v>
      </c>
      <c r="BM27" s="66" t="n">
        <f aca="false">BM18-BL18</f>
        <v>100960.077204229</v>
      </c>
      <c r="BN27" s="66" t="n">
        <f aca="false">BN18-BM18</f>
        <v>100960.077204229</v>
      </c>
    </row>
    <row r="28" customFormat="false" ht="15" hidden="false" customHeight="false" outlineLevel="0" collapsed="false">
      <c r="A28" s="70" t="s">
        <v>913</v>
      </c>
      <c r="B28" s="65" t="n">
        <f aca="false">SUM(C28:N28)</f>
        <v>-63794.4035195091</v>
      </c>
      <c r="C28" s="71" t="n">
        <f aca="false">C9+C10+C23+C24+C25+C26+C27</f>
        <v>-2232.98918775753</v>
      </c>
      <c r="D28" s="71" t="n">
        <f aca="false">D9+D10+D23+D24+D25+D26+D27</f>
        <v>-8027.3794040238</v>
      </c>
      <c r="E28" s="71" t="n">
        <f aca="false">E9+E10+E23+E24+E25+E26+E27</f>
        <v>-8050.51347772942</v>
      </c>
      <c r="F28" s="71" t="n">
        <f aca="false">F9+F10+F23+F24+F25+F26+F27</f>
        <v>-11355.7386210763</v>
      </c>
      <c r="G28" s="71" t="n">
        <f aca="false">G9+G10+G23+G24+G25+G26+G27</f>
        <v>-6204.39487208089</v>
      </c>
      <c r="H28" s="71" t="n">
        <f aca="false">H9+H10+H23+H24+H25+H26+H27</f>
        <v>-5896.01812041257</v>
      </c>
      <c r="I28" s="71" t="n">
        <f aca="false">I9+I10+I23+I24+I25+I26+I27</f>
        <v>-4568.01871554248</v>
      </c>
      <c r="J28" s="71" t="n">
        <f aca="false">J9+J10+J23+J24+J25+J26+J27</f>
        <v>-5286.98188832864</v>
      </c>
      <c r="K28" s="71" t="n">
        <f aca="false">K9+K10+K23+K24+K25+K26+K27</f>
        <v>-4820.26226139864</v>
      </c>
      <c r="L28" s="71" t="n">
        <f aca="false">L9+L10+L23+L24+L25+L26+L27</f>
        <v>-11795.619131655</v>
      </c>
      <c r="M28" s="71" t="n">
        <f aca="false">M9+M10+M23+M24+M25+M26+M27</f>
        <v>1416.83425876172</v>
      </c>
      <c r="N28" s="71" t="n">
        <f aca="false">N9+N10+N23+N24+N25+N26+N27</f>
        <v>3026.67790173439</v>
      </c>
      <c r="O28" s="65" t="n">
        <f aca="false">SUM(P28:AA28)</f>
        <v>82703.5398936215</v>
      </c>
      <c r="P28" s="71" t="n">
        <f aca="false">P9+P10+P23+P24+P25+P26+P27</f>
        <v>7093.17062507648</v>
      </c>
      <c r="Q28" s="71" t="n">
        <f aca="false">Q9+Q10+Q23+Q24+Q25+Q26+Q27</f>
        <v>-15422.6125891063</v>
      </c>
      <c r="R28" s="71" t="n">
        <f aca="false">R9+R10+R23+R24+R25+R26+R27</f>
        <v>-13323.9653718436</v>
      </c>
      <c r="S28" s="71" t="n">
        <f aca="false">S9+S10+S23+S24+S25+S26+S27</f>
        <v>-12927.9615186875</v>
      </c>
      <c r="T28" s="71" t="n">
        <f aca="false">T9+T10+T23+T24+T25+T26+T27</f>
        <v>-6870.67172342225</v>
      </c>
      <c r="U28" s="71" t="n">
        <f aca="false">U9+U10+U23+U24+U25+U26+U27</f>
        <v>-3298.0447677158</v>
      </c>
      <c r="V28" s="71" t="n">
        <f aca="false">V9+V10+V23+V24+V25+V26+V27</f>
        <v>1088.90046579524</v>
      </c>
      <c r="W28" s="71" t="n">
        <f aca="false">W9+W10+W23+W24+W25+W26+W27</f>
        <v>9638.40980223104</v>
      </c>
      <c r="X28" s="71" t="n">
        <f aca="false">X9+X10+X23+X24+X25+X26+X27</f>
        <v>16049.0672288307</v>
      </c>
      <c r="Y28" s="71" t="n">
        <f aca="false">Y9+Y10+Y23+Y24+Y25+Y26+Y27</f>
        <v>26653.0502465097</v>
      </c>
      <c r="Z28" s="71" t="n">
        <f aca="false">Z9+Z10+Z23+Z24+Z25+Z26+Z27</f>
        <v>31897.615612999</v>
      </c>
      <c r="AA28" s="71" t="n">
        <f aca="false">AA9+AA10+AA23+AA24+AA25+AA26+AA27</f>
        <v>42126.5818829549</v>
      </c>
      <c r="AB28" s="65" t="n">
        <f aca="false">SUM(AC28:AN28)</f>
        <v>1143984.50494753</v>
      </c>
      <c r="AC28" s="71" t="n">
        <f aca="false">AC9+AC10+AC23+AC24+AC25+AC26+AC27</f>
        <v>70334.2176654578</v>
      </c>
      <c r="AD28" s="71" t="n">
        <f aca="false">AD9+AD10+AD23+AD24+AD25+AD26+AD27</f>
        <v>26268.2307976074</v>
      </c>
      <c r="AE28" s="71" t="n">
        <f aca="false">AE9+AE10+AE23+AE24+AE25+AE26+AE27</f>
        <v>41344.4481537742</v>
      </c>
      <c r="AF28" s="71" t="n">
        <f aca="false">AF9+AF10+AF23+AF24+AF25+AF26+AF27</f>
        <v>89615.7353600112</v>
      </c>
      <c r="AG28" s="71" t="n">
        <f aca="false">AG9+AG10+AG23+AG24+AG25+AG26+AG27</f>
        <v>43873.1224036209</v>
      </c>
      <c r="AH28" s="71" t="n">
        <f aca="false">AH9+AH10+AH23+AH24+AH25+AH26+AH27</f>
        <v>62047.0792609896</v>
      </c>
      <c r="AI28" s="71" t="n">
        <f aca="false">AI9+AI10+AI23+AI24+AI25+AI26+AI27</f>
        <v>157813.872344588</v>
      </c>
      <c r="AJ28" s="71" t="n">
        <f aca="false">AJ9+AJ10+AJ23+AJ24+AJ25+AJ26+AJ27</f>
        <v>75552.2629704172</v>
      </c>
      <c r="AK28" s="71" t="n">
        <f aca="false">AK9+AK10+AK23+AK24+AK25+AK26+AK27</f>
        <v>99247.9416403654</v>
      </c>
      <c r="AL28" s="71" t="n">
        <f aca="false">AL9+AL10+AL23+AL24+AL25+AL26+AL27</f>
        <v>274055.205079553</v>
      </c>
      <c r="AM28" s="71" t="n">
        <f aca="false">AM9+AM10+AM23+AM24+AM25+AM26+AM27</f>
        <v>88864.7836959008</v>
      </c>
      <c r="AN28" s="71" t="n">
        <f aca="false">AN9+AN10+AN23+AN24+AN25+AN26+AN27</f>
        <v>114967.605575244</v>
      </c>
      <c r="AO28" s="65" t="n">
        <f aca="false">SUM(AP28:BA28)</f>
        <v>2644310.88637831</v>
      </c>
      <c r="AP28" s="71" t="n">
        <f aca="false">AP9+AP10+AP23+AP24+AP25+AP26+AP27</f>
        <v>267190.773574971</v>
      </c>
      <c r="AQ28" s="71" t="n">
        <f aca="false">AQ9+AQ10+AQ23+AQ24+AQ25+AQ26+AQ27</f>
        <v>106336.042255699</v>
      </c>
      <c r="AR28" s="71" t="n">
        <f aca="false">AR9+AR10+AR23+AR24+AR25+AR26+AR27</f>
        <v>139856.037641399</v>
      </c>
      <c r="AS28" s="71" t="n">
        <f aca="false">AS9+AS10+AS23+AS24+AS25+AS26+AS27</f>
        <v>27025.4988024816</v>
      </c>
      <c r="AT28" s="71" t="n">
        <f aca="false">AT9+AT10+AT23+AT24+AT25+AT26+AT27</f>
        <v>140206.837824447</v>
      </c>
      <c r="AU28" s="71" t="n">
        <f aca="false">AU9+AU10+AU23+AU24+AU25+AU26+AU27</f>
        <v>179736.532882346</v>
      </c>
      <c r="AV28" s="71" t="n">
        <f aca="false">AV9+AV10+AV23+AV24+AV25+AV26+AV27</f>
        <v>462070.954290753</v>
      </c>
      <c r="AW28" s="71" t="n">
        <f aca="false">AW9+AW10+AW23+AW24+AW25+AW26+AW27</f>
        <v>165172.206580418</v>
      </c>
      <c r="AX28" s="71" t="n">
        <f aca="false">AX9+AX10+AX23+AX24+AX25+AX26+AX27</f>
        <v>209253.77292524</v>
      </c>
      <c r="AY28" s="71" t="n">
        <f aca="false">AY9+AY10+AY23+AY24+AY25+AY26+AY27</f>
        <v>511214.852169832</v>
      </c>
      <c r="AZ28" s="71" t="n">
        <f aca="false">AZ9+AZ10+AZ23+AZ24+AZ25+AZ26+AZ27</f>
        <v>193535.855413459</v>
      </c>
      <c r="BA28" s="71" t="n">
        <f aca="false">BA9+BA10+BA23+BA24+BA25+BA26+BA27</f>
        <v>242711.522017265</v>
      </c>
      <c r="BB28" s="65" t="n">
        <f aca="false">SUM(BC28:BN28)</f>
        <v>4420494.35508777</v>
      </c>
      <c r="BC28" s="71" t="n">
        <f aca="false">BC9+BC10+BC23+BC24+BC25+BC26+BC27</f>
        <v>573312.395731606</v>
      </c>
      <c r="BD28" s="71" t="n">
        <f aca="false">BD9+BD10+BD23+BD24+BD25+BD26+BD27</f>
        <v>218785.166600423</v>
      </c>
      <c r="BE28" s="71" t="n">
        <f aca="false">BE9+BE10+BE23+BE24+BE25+BE26+BE27</f>
        <v>275630.675851505</v>
      </c>
      <c r="BF28" s="71" t="n">
        <f aca="false">BF9+BF10+BF23+BF24+BF25+BF26+BF27</f>
        <v>-43308.1329693649</v>
      </c>
      <c r="BG28" s="71" t="n">
        <f aca="false">BG9+BG10+BG23+BG24+BG25+BG26+BG27</f>
        <v>239686.636371412</v>
      </c>
      <c r="BH28" s="71" t="n">
        <f aca="false">BH9+BH10+BH23+BH24+BH25+BH26+BH27</f>
        <v>300496.200238595</v>
      </c>
      <c r="BI28" s="71" t="n">
        <f aca="false">BI9+BI10+BI23+BI24+BI25+BI26+BI27</f>
        <v>713380.138829183</v>
      </c>
      <c r="BJ28" s="71" t="n">
        <f aca="false">BJ9+BJ10+BJ23+BJ24+BJ25+BJ26+BJ27</f>
        <v>278917.344755618</v>
      </c>
      <c r="BK28" s="71" t="n">
        <f aca="false">BK9+BK10+BK23+BK24+BK25+BK26+BK27</f>
        <v>346808.480847626</v>
      </c>
      <c r="BL28" s="71" t="n">
        <f aca="false">BL9+BL10+BL23+BL24+BL25+BL26+BL27</f>
        <v>858718.768299225</v>
      </c>
      <c r="BM28" s="71" t="n">
        <f aca="false">BM9+BM10+BM23+BM24+BM25+BM26+BM27</f>
        <v>293637.255271686</v>
      </c>
      <c r="BN28" s="71" t="n">
        <f aca="false">BN9+BN10+BN23+BN24+BN25+BN26+BN27</f>
        <v>364429.42526025</v>
      </c>
    </row>
    <row r="29" customFormat="false" ht="15" hidden="false" customHeight="false" outlineLevel="0" collapsed="false">
      <c r="A29" s="12" t="s">
        <v>914</v>
      </c>
      <c r="B29" s="65" t="n">
        <f aca="false">SUM(C29:N29)</f>
        <v>-13700</v>
      </c>
      <c r="C29" s="77" t="n">
        <f aca="false">-'Capital Expenditure'!C$16</f>
        <v>-10200</v>
      </c>
      <c r="D29" s="77" t="n">
        <f aca="false">-'Capital Expenditure'!D$16</f>
        <v>-3500</v>
      </c>
      <c r="E29" s="77" t="n">
        <f aca="false">-'Capital Expenditure'!E$16</f>
        <v>-0</v>
      </c>
      <c r="F29" s="77" t="n">
        <f aca="false">-'Capital Expenditure'!F$16</f>
        <v>-0</v>
      </c>
      <c r="G29" s="77" t="n">
        <f aca="false">-'Capital Expenditure'!G$16</f>
        <v>-0</v>
      </c>
      <c r="H29" s="77" t="n">
        <f aca="false">-'Capital Expenditure'!H$16</f>
        <v>-0</v>
      </c>
      <c r="I29" s="77" t="n">
        <f aca="false">-'Capital Expenditure'!I$16</f>
        <v>-0</v>
      </c>
      <c r="J29" s="77" t="n">
        <f aca="false">-'Capital Expenditure'!J$16</f>
        <v>-0</v>
      </c>
      <c r="K29" s="77" t="n">
        <f aca="false">-'Capital Expenditure'!K$16</f>
        <v>-0</v>
      </c>
      <c r="L29" s="77" t="n">
        <f aca="false">-'Capital Expenditure'!L$16</f>
        <v>-0</v>
      </c>
      <c r="M29" s="77" t="n">
        <f aca="false">-'Capital Expenditure'!M$16</f>
        <v>-0</v>
      </c>
      <c r="N29" s="77" t="n">
        <f aca="false">-'Capital Expenditure'!N$16</f>
        <v>-0</v>
      </c>
      <c r="O29" s="65" t="n">
        <f aca="false">SUM(P29:AA29)</f>
        <v>-4050</v>
      </c>
      <c r="P29" s="77" t="n">
        <f aca="false">-'Capital Expenditure'!P$16</f>
        <v>-4050</v>
      </c>
      <c r="Q29" s="77" t="n">
        <f aca="false">-'Capital Expenditure'!Q$16</f>
        <v>-0</v>
      </c>
      <c r="R29" s="77" t="n">
        <f aca="false">-'Capital Expenditure'!R$16</f>
        <v>-0</v>
      </c>
      <c r="S29" s="77" t="n">
        <f aca="false">-'Capital Expenditure'!S$16</f>
        <v>-0</v>
      </c>
      <c r="T29" s="77" t="n">
        <f aca="false">-'Capital Expenditure'!T$16</f>
        <v>-0</v>
      </c>
      <c r="U29" s="77" t="n">
        <f aca="false">-'Capital Expenditure'!U$16</f>
        <v>-0</v>
      </c>
      <c r="V29" s="77" t="n">
        <f aca="false">-'Capital Expenditure'!V$16</f>
        <v>-0</v>
      </c>
      <c r="W29" s="77" t="n">
        <f aca="false">-'Capital Expenditure'!W$16</f>
        <v>-0</v>
      </c>
      <c r="X29" s="77" t="n">
        <f aca="false">-'Capital Expenditure'!X$16</f>
        <v>-0</v>
      </c>
      <c r="Y29" s="77" t="n">
        <f aca="false">-'Capital Expenditure'!Y$16</f>
        <v>-0</v>
      </c>
      <c r="Z29" s="77" t="n">
        <f aca="false">-'Capital Expenditure'!Z$16</f>
        <v>-0</v>
      </c>
      <c r="AA29" s="77" t="n">
        <f aca="false">-'Capital Expenditure'!AA$16</f>
        <v>-0</v>
      </c>
      <c r="AB29" s="65" t="n">
        <f aca="false">SUM(AC29:AN29)</f>
        <v>-21750</v>
      </c>
      <c r="AC29" s="77" t="n">
        <f aca="false">-'Capital Expenditure'!AC$16</f>
        <v>-21750</v>
      </c>
      <c r="AD29" s="77" t="n">
        <f aca="false">-'Capital Expenditure'!AD$16</f>
        <v>-0</v>
      </c>
      <c r="AE29" s="77" t="n">
        <f aca="false">-'Capital Expenditure'!AE$16</f>
        <v>-0</v>
      </c>
      <c r="AF29" s="77" t="n">
        <f aca="false">-'Capital Expenditure'!AF$16</f>
        <v>-0</v>
      </c>
      <c r="AG29" s="77" t="n">
        <f aca="false">-'Capital Expenditure'!AG$16</f>
        <v>-0</v>
      </c>
      <c r="AH29" s="77" t="n">
        <f aca="false">-'Capital Expenditure'!AH$16</f>
        <v>-0</v>
      </c>
      <c r="AI29" s="77" t="n">
        <f aca="false">-'Capital Expenditure'!AI$16</f>
        <v>-0</v>
      </c>
      <c r="AJ29" s="77" t="n">
        <f aca="false">-'Capital Expenditure'!AJ$16</f>
        <v>-0</v>
      </c>
      <c r="AK29" s="77" t="n">
        <f aca="false">-'Capital Expenditure'!AK$16</f>
        <v>-0</v>
      </c>
      <c r="AL29" s="77" t="n">
        <f aca="false">-'Capital Expenditure'!AL$16</f>
        <v>-0</v>
      </c>
      <c r="AM29" s="77" t="n">
        <f aca="false">-'Capital Expenditure'!AM$16</f>
        <v>-0</v>
      </c>
      <c r="AN29" s="77" t="n">
        <f aca="false">-'Capital Expenditure'!AN$16</f>
        <v>-0</v>
      </c>
      <c r="AO29" s="65" t="n">
        <f aca="false">SUM(AP29:BA29)</f>
        <v>-5400</v>
      </c>
      <c r="AP29" s="77" t="n">
        <f aca="false">-'Capital Expenditure'!AP$16</f>
        <v>-5400</v>
      </c>
      <c r="AQ29" s="77" t="n">
        <f aca="false">-'Capital Expenditure'!AQ$16</f>
        <v>-0</v>
      </c>
      <c r="AR29" s="77" t="n">
        <f aca="false">-'Capital Expenditure'!AR$16</f>
        <v>-0</v>
      </c>
      <c r="AS29" s="77" t="n">
        <f aca="false">-'Capital Expenditure'!AS$16</f>
        <v>-0</v>
      </c>
      <c r="AT29" s="77" t="n">
        <f aca="false">-'Capital Expenditure'!AT$16</f>
        <v>-0</v>
      </c>
      <c r="AU29" s="77" t="n">
        <f aca="false">-'Capital Expenditure'!AU$16</f>
        <v>-0</v>
      </c>
      <c r="AV29" s="77" t="n">
        <f aca="false">-'Capital Expenditure'!AV$16</f>
        <v>-0</v>
      </c>
      <c r="AW29" s="77" t="n">
        <f aca="false">-'Capital Expenditure'!AW$16</f>
        <v>-0</v>
      </c>
      <c r="AX29" s="77" t="n">
        <f aca="false">-'Capital Expenditure'!AX$16</f>
        <v>-0</v>
      </c>
      <c r="AY29" s="77" t="n">
        <f aca="false">-'Capital Expenditure'!AY$16</f>
        <v>-0</v>
      </c>
      <c r="AZ29" s="77" t="n">
        <f aca="false">-'Capital Expenditure'!AZ$16</f>
        <v>-0</v>
      </c>
      <c r="BA29" s="77" t="n">
        <f aca="false">-'Capital Expenditure'!BA$16</f>
        <v>-0</v>
      </c>
      <c r="BB29" s="65" t="n">
        <f aca="false">SUM(BC29:BN29)</f>
        <v>-5400</v>
      </c>
      <c r="BC29" s="77" t="n">
        <f aca="false">-'Capital Expenditure'!BC$16</f>
        <v>-5400</v>
      </c>
      <c r="BD29" s="77" t="n">
        <f aca="false">-'Capital Expenditure'!BD$16</f>
        <v>-0</v>
      </c>
      <c r="BE29" s="77" t="n">
        <f aca="false">-'Capital Expenditure'!BE$16</f>
        <v>-0</v>
      </c>
      <c r="BF29" s="77" t="n">
        <f aca="false">-'Capital Expenditure'!BF$16</f>
        <v>-0</v>
      </c>
      <c r="BG29" s="77" t="n">
        <f aca="false">-'Capital Expenditure'!BG$16</f>
        <v>-0</v>
      </c>
      <c r="BH29" s="77" t="n">
        <f aca="false">-'Capital Expenditure'!BH$16</f>
        <v>-0</v>
      </c>
      <c r="BI29" s="77" t="n">
        <f aca="false">-'Capital Expenditure'!BI$16</f>
        <v>-0</v>
      </c>
      <c r="BJ29" s="77" t="n">
        <f aca="false">-'Capital Expenditure'!BJ$16</f>
        <v>-0</v>
      </c>
      <c r="BK29" s="77" t="n">
        <f aca="false">-'Capital Expenditure'!BK$16</f>
        <v>-0</v>
      </c>
      <c r="BL29" s="77" t="n">
        <f aca="false">-'Capital Expenditure'!BL$16</f>
        <v>-0</v>
      </c>
      <c r="BM29" s="77" t="n">
        <f aca="false">-'Capital Expenditure'!BM$16</f>
        <v>-0</v>
      </c>
      <c r="BN29" s="77" t="n">
        <f aca="false">-'Capital Expenditure'!BN$16</f>
        <v>-0</v>
      </c>
    </row>
    <row r="30" customFormat="false" ht="15" hidden="false" customHeight="false" outlineLevel="0" collapsed="false">
      <c r="A30" s="18" t="s">
        <v>915</v>
      </c>
      <c r="B30" s="65" t="n">
        <f aca="false">SUM(C30:N30)</f>
        <v>-13700</v>
      </c>
      <c r="C30" s="78" t="n">
        <f aca="false">C29</f>
        <v>-10200</v>
      </c>
      <c r="D30" s="78" t="n">
        <f aca="false">D29</f>
        <v>-3500</v>
      </c>
      <c r="E30" s="78" t="n">
        <f aca="false">E29</f>
        <v>-0</v>
      </c>
      <c r="F30" s="78" t="n">
        <f aca="false">F29</f>
        <v>-0</v>
      </c>
      <c r="G30" s="78" t="n">
        <f aca="false">G29</f>
        <v>-0</v>
      </c>
      <c r="H30" s="78" t="n">
        <f aca="false">H29</f>
        <v>-0</v>
      </c>
      <c r="I30" s="78" t="n">
        <f aca="false">I29</f>
        <v>-0</v>
      </c>
      <c r="J30" s="78" t="n">
        <f aca="false">J29</f>
        <v>-0</v>
      </c>
      <c r="K30" s="78" t="n">
        <f aca="false">K29</f>
        <v>-0</v>
      </c>
      <c r="L30" s="78" t="n">
        <f aca="false">L29</f>
        <v>-0</v>
      </c>
      <c r="M30" s="78" t="n">
        <f aca="false">M29</f>
        <v>-0</v>
      </c>
      <c r="N30" s="78" t="n">
        <f aca="false">N29</f>
        <v>-0</v>
      </c>
      <c r="O30" s="65" t="n">
        <f aca="false">SUM(P30:AA30)</f>
        <v>-4050</v>
      </c>
      <c r="P30" s="78" t="n">
        <f aca="false">P29</f>
        <v>-4050</v>
      </c>
      <c r="Q30" s="78" t="n">
        <f aca="false">Q29</f>
        <v>-0</v>
      </c>
      <c r="R30" s="78" t="n">
        <f aca="false">R29</f>
        <v>-0</v>
      </c>
      <c r="S30" s="78" t="n">
        <f aca="false">S29</f>
        <v>-0</v>
      </c>
      <c r="T30" s="78" t="n">
        <f aca="false">T29</f>
        <v>-0</v>
      </c>
      <c r="U30" s="78" t="n">
        <f aca="false">U29</f>
        <v>-0</v>
      </c>
      <c r="V30" s="78" t="n">
        <f aca="false">V29</f>
        <v>-0</v>
      </c>
      <c r="W30" s="78" t="n">
        <f aca="false">W29</f>
        <v>-0</v>
      </c>
      <c r="X30" s="78" t="n">
        <f aca="false">X29</f>
        <v>-0</v>
      </c>
      <c r="Y30" s="78" t="n">
        <f aca="false">Y29</f>
        <v>-0</v>
      </c>
      <c r="Z30" s="78" t="n">
        <f aca="false">Z29</f>
        <v>-0</v>
      </c>
      <c r="AA30" s="78" t="n">
        <f aca="false">AA29</f>
        <v>-0</v>
      </c>
      <c r="AB30" s="65" t="n">
        <f aca="false">SUM(AC30:AN30)</f>
        <v>-21750</v>
      </c>
      <c r="AC30" s="78" t="n">
        <f aca="false">AC29</f>
        <v>-21750</v>
      </c>
      <c r="AD30" s="78" t="n">
        <f aca="false">AD29</f>
        <v>-0</v>
      </c>
      <c r="AE30" s="78" t="n">
        <f aca="false">AE29</f>
        <v>-0</v>
      </c>
      <c r="AF30" s="78" t="n">
        <f aca="false">AF29</f>
        <v>-0</v>
      </c>
      <c r="AG30" s="78" t="n">
        <f aca="false">AG29</f>
        <v>-0</v>
      </c>
      <c r="AH30" s="78" t="n">
        <f aca="false">AH29</f>
        <v>-0</v>
      </c>
      <c r="AI30" s="78" t="n">
        <f aca="false">AI29</f>
        <v>-0</v>
      </c>
      <c r="AJ30" s="78" t="n">
        <f aca="false">AJ29</f>
        <v>-0</v>
      </c>
      <c r="AK30" s="78" t="n">
        <f aca="false">AK29</f>
        <v>-0</v>
      </c>
      <c r="AL30" s="78" t="n">
        <f aca="false">AL29</f>
        <v>-0</v>
      </c>
      <c r="AM30" s="78" t="n">
        <f aca="false">AM29</f>
        <v>-0</v>
      </c>
      <c r="AN30" s="78" t="n">
        <f aca="false">AN29</f>
        <v>-0</v>
      </c>
      <c r="AO30" s="65" t="n">
        <f aca="false">SUM(AP30:BA30)</f>
        <v>-5400</v>
      </c>
      <c r="AP30" s="78" t="n">
        <f aca="false">AP29</f>
        <v>-5400</v>
      </c>
      <c r="AQ30" s="78" t="n">
        <f aca="false">AQ29</f>
        <v>-0</v>
      </c>
      <c r="AR30" s="78" t="n">
        <f aca="false">AR29</f>
        <v>-0</v>
      </c>
      <c r="AS30" s="78" t="n">
        <f aca="false">AS29</f>
        <v>-0</v>
      </c>
      <c r="AT30" s="78" t="n">
        <f aca="false">AT29</f>
        <v>-0</v>
      </c>
      <c r="AU30" s="78" t="n">
        <f aca="false">AU29</f>
        <v>-0</v>
      </c>
      <c r="AV30" s="78" t="n">
        <f aca="false">AV29</f>
        <v>-0</v>
      </c>
      <c r="AW30" s="78" t="n">
        <f aca="false">AW29</f>
        <v>-0</v>
      </c>
      <c r="AX30" s="78" t="n">
        <f aca="false">AX29</f>
        <v>-0</v>
      </c>
      <c r="AY30" s="78" t="n">
        <f aca="false">AY29</f>
        <v>-0</v>
      </c>
      <c r="AZ30" s="78" t="n">
        <f aca="false">AZ29</f>
        <v>-0</v>
      </c>
      <c r="BA30" s="78" t="n">
        <f aca="false">BA29</f>
        <v>-0</v>
      </c>
      <c r="BB30" s="65" t="n">
        <f aca="false">SUM(BC30:BN30)</f>
        <v>-5400</v>
      </c>
      <c r="BC30" s="78" t="n">
        <f aca="false">BC29</f>
        <v>-5400</v>
      </c>
      <c r="BD30" s="78" t="n">
        <f aca="false">BD29</f>
        <v>-0</v>
      </c>
      <c r="BE30" s="78" t="n">
        <f aca="false">BE29</f>
        <v>-0</v>
      </c>
      <c r="BF30" s="78" t="n">
        <f aca="false">BF29</f>
        <v>-0</v>
      </c>
      <c r="BG30" s="78" t="n">
        <f aca="false">BG29</f>
        <v>-0</v>
      </c>
      <c r="BH30" s="78" t="n">
        <f aca="false">BH29</f>
        <v>-0</v>
      </c>
      <c r="BI30" s="78" t="n">
        <f aca="false">BI29</f>
        <v>-0</v>
      </c>
      <c r="BJ30" s="78" t="n">
        <f aca="false">BJ29</f>
        <v>-0</v>
      </c>
      <c r="BK30" s="78" t="n">
        <f aca="false">BK29</f>
        <v>-0</v>
      </c>
      <c r="BL30" s="78" t="n">
        <f aca="false">BL29</f>
        <v>-0</v>
      </c>
      <c r="BM30" s="78" t="n">
        <f aca="false">BM29</f>
        <v>-0</v>
      </c>
      <c r="BN30" s="78" t="n">
        <f aca="false">BN29</f>
        <v>-0</v>
      </c>
    </row>
    <row r="31" customFormat="false" ht="15" hidden="false" customHeight="false" outlineLevel="0" collapsed="false">
      <c r="A31" s="12" t="s">
        <v>916</v>
      </c>
      <c r="B31" s="65" t="n">
        <f aca="false">SUM(C31:N31)</f>
        <v>250000</v>
      </c>
      <c r="C31" s="66" t="n">
        <f aca="false">IF(1='Assumption Setting'!$C$191,'Assumption Setting'!$C$190,0)</f>
        <v>0</v>
      </c>
      <c r="D31" s="66" t="n">
        <f aca="false">IF(2='Assumption Setting'!$C$191,'Assumption Setting'!$C$190,0)</f>
        <v>0</v>
      </c>
      <c r="E31" s="66" t="n">
        <f aca="false">IF(3='Assumption Setting'!$C$191,'Assumption Setting'!$C$190,0)</f>
        <v>250000</v>
      </c>
      <c r="F31" s="66" t="n">
        <f aca="false">IF(4='Assumption Setting'!$C$191,'Assumption Setting'!$C$190,0)</f>
        <v>0</v>
      </c>
      <c r="G31" s="66" t="n">
        <f aca="false">IF(5='Assumption Setting'!$C$191,'Assumption Setting'!$C$190,0)</f>
        <v>0</v>
      </c>
      <c r="H31" s="66" t="n">
        <f aca="false">IF(6='Assumption Setting'!$C$191,'Assumption Setting'!$C$190,0)</f>
        <v>0</v>
      </c>
      <c r="I31" s="66" t="n">
        <f aca="false">IF(7='Assumption Setting'!$C$191,'Assumption Setting'!$C$190,0)</f>
        <v>0</v>
      </c>
      <c r="J31" s="66" t="n">
        <f aca="false">IF(8='Assumption Setting'!$C$191,'Assumption Setting'!$C$190,0)</f>
        <v>0</v>
      </c>
      <c r="K31" s="66" t="n">
        <f aca="false">IF(9='Assumption Setting'!$C$191,'Assumption Setting'!$C$190,0)</f>
        <v>0</v>
      </c>
      <c r="L31" s="66" t="n">
        <f aca="false">IF(10='Assumption Setting'!$C$191,'Assumption Setting'!$C$190,0)</f>
        <v>0</v>
      </c>
      <c r="M31" s="66" t="n">
        <f aca="false">IF(11='Assumption Setting'!$C$191,'Assumption Setting'!$C$190,0)</f>
        <v>0</v>
      </c>
      <c r="N31" s="66" t="n">
        <f aca="false">IF(12='Assumption Setting'!$C$191,'Assumption Setting'!$C$190,0)</f>
        <v>0</v>
      </c>
      <c r="O31" s="65" t="n">
        <f aca="false">SUM(P31:AA31)</f>
        <v>0</v>
      </c>
      <c r="P31" s="66" t="n">
        <f aca="false">IF(13='Assumption Setting'!$C$191,'Assumption Setting'!$C$190,0)</f>
        <v>0</v>
      </c>
      <c r="Q31" s="66" t="n">
        <f aca="false">IF(14='Assumption Setting'!$C$191,'Assumption Setting'!$C$190,0)</f>
        <v>0</v>
      </c>
      <c r="R31" s="66" t="n">
        <f aca="false">IF(15='Assumption Setting'!$C$191,'Assumption Setting'!$C$190,0)</f>
        <v>0</v>
      </c>
      <c r="S31" s="66" t="n">
        <f aca="false">IF(16='Assumption Setting'!$C$191,'Assumption Setting'!$C$190,0)</f>
        <v>0</v>
      </c>
      <c r="T31" s="66" t="n">
        <f aca="false">IF(17='Assumption Setting'!$C$191,'Assumption Setting'!$C$190,0)</f>
        <v>0</v>
      </c>
      <c r="U31" s="66" t="n">
        <f aca="false">IF(18='Assumption Setting'!$C$191,'Assumption Setting'!$C$190,0)</f>
        <v>0</v>
      </c>
      <c r="V31" s="66" t="n">
        <f aca="false">IF(19='Assumption Setting'!$C$191,'Assumption Setting'!$C$190,0)</f>
        <v>0</v>
      </c>
      <c r="W31" s="66" t="n">
        <f aca="false">IF(20='Assumption Setting'!$C$191,'Assumption Setting'!$C$190,0)</f>
        <v>0</v>
      </c>
      <c r="X31" s="66" t="n">
        <f aca="false">IF(21='Assumption Setting'!$C$191,'Assumption Setting'!$C$190,0)</f>
        <v>0</v>
      </c>
      <c r="Y31" s="66" t="n">
        <f aca="false">IF(22='Assumption Setting'!$C$191,'Assumption Setting'!$C$190,0)</f>
        <v>0</v>
      </c>
      <c r="Z31" s="66" t="n">
        <f aca="false">IF(23='Assumption Setting'!$C$191,'Assumption Setting'!$C$190,0)</f>
        <v>0</v>
      </c>
      <c r="AA31" s="66" t="n">
        <f aca="false">IF(24='Assumption Setting'!$C$191,'Assumption Setting'!$C$190,0)</f>
        <v>0</v>
      </c>
      <c r="AB31" s="65" t="n">
        <f aca="false">SUM(AC31:AN31)</f>
        <v>0</v>
      </c>
      <c r="AC31" s="66" t="n">
        <f aca="false">IF(25='Assumption Setting'!$C$191,'Assumption Setting'!$C$190,0)</f>
        <v>0</v>
      </c>
      <c r="AD31" s="66" t="n">
        <f aca="false">IF(26='Assumption Setting'!$C$191,'Assumption Setting'!$C$190,0)</f>
        <v>0</v>
      </c>
      <c r="AE31" s="66" t="n">
        <f aca="false">IF(27='Assumption Setting'!$C$191,'Assumption Setting'!$C$190,0)</f>
        <v>0</v>
      </c>
      <c r="AF31" s="66" t="n">
        <f aca="false">IF(28='Assumption Setting'!$C$191,'Assumption Setting'!$C$190,0)</f>
        <v>0</v>
      </c>
      <c r="AG31" s="66" t="n">
        <f aca="false">IF(29='Assumption Setting'!$C$191,'Assumption Setting'!$C$190,0)</f>
        <v>0</v>
      </c>
      <c r="AH31" s="66" t="n">
        <f aca="false">IF(30='Assumption Setting'!$C$191,'Assumption Setting'!$C$190,0)</f>
        <v>0</v>
      </c>
      <c r="AI31" s="66" t="n">
        <f aca="false">IF(31='Assumption Setting'!$C$191,'Assumption Setting'!$C$190,0)</f>
        <v>0</v>
      </c>
      <c r="AJ31" s="66" t="n">
        <f aca="false">IF(32='Assumption Setting'!$C$191,'Assumption Setting'!$C$190,0)</f>
        <v>0</v>
      </c>
      <c r="AK31" s="66" t="n">
        <f aca="false">IF(33='Assumption Setting'!$C$191,'Assumption Setting'!$C$190,0)</f>
        <v>0</v>
      </c>
      <c r="AL31" s="66" t="n">
        <f aca="false">IF(34='Assumption Setting'!$C$191,'Assumption Setting'!$C$190,0)</f>
        <v>0</v>
      </c>
      <c r="AM31" s="66" t="n">
        <f aca="false">IF(35='Assumption Setting'!$C$191,'Assumption Setting'!$C$190,0)</f>
        <v>0</v>
      </c>
      <c r="AN31" s="66" t="n">
        <f aca="false">IF(36='Assumption Setting'!$C$191,'Assumption Setting'!$C$190,0)</f>
        <v>0</v>
      </c>
      <c r="AO31" s="65" t="n">
        <f aca="false">SUM(AP31:BA31)</f>
        <v>0</v>
      </c>
      <c r="AP31" s="66" t="n">
        <f aca="false">IF(37='Assumption Setting'!$C$191,'Assumption Setting'!$C$190,0)</f>
        <v>0</v>
      </c>
      <c r="AQ31" s="66" t="n">
        <f aca="false">IF(38='Assumption Setting'!$C$191,'Assumption Setting'!$C$190,0)</f>
        <v>0</v>
      </c>
      <c r="AR31" s="66" t="n">
        <f aca="false">IF(39='Assumption Setting'!$C$191,'Assumption Setting'!$C$190,0)</f>
        <v>0</v>
      </c>
      <c r="AS31" s="66" t="n">
        <f aca="false">IF(40='Assumption Setting'!$C$191,'Assumption Setting'!$C$190,0)</f>
        <v>0</v>
      </c>
      <c r="AT31" s="66" t="n">
        <f aca="false">IF(41='Assumption Setting'!$C$191,'Assumption Setting'!$C$190,0)</f>
        <v>0</v>
      </c>
      <c r="AU31" s="66" t="n">
        <f aca="false">IF(42='Assumption Setting'!$C$191,'Assumption Setting'!$C$190,0)</f>
        <v>0</v>
      </c>
      <c r="AV31" s="66" t="n">
        <f aca="false">IF(43='Assumption Setting'!$C$191,'Assumption Setting'!$C$190,0)</f>
        <v>0</v>
      </c>
      <c r="AW31" s="66" t="n">
        <f aca="false">IF(44='Assumption Setting'!$C$191,'Assumption Setting'!$C$190,0)</f>
        <v>0</v>
      </c>
      <c r="AX31" s="66" t="n">
        <f aca="false">IF(45='Assumption Setting'!$C$191,'Assumption Setting'!$C$190,0)</f>
        <v>0</v>
      </c>
      <c r="AY31" s="66" t="n">
        <f aca="false">IF(46='Assumption Setting'!$C$191,'Assumption Setting'!$C$190,0)</f>
        <v>0</v>
      </c>
      <c r="AZ31" s="66" t="n">
        <f aca="false">IF(47='Assumption Setting'!$C$191,'Assumption Setting'!$C$190,0)</f>
        <v>0</v>
      </c>
      <c r="BA31" s="66" t="n">
        <f aca="false">IF(48='Assumption Setting'!$C$191,'Assumption Setting'!$C$190,0)</f>
        <v>0</v>
      </c>
      <c r="BB31" s="65" t="n">
        <f aca="false">SUM(BC31:BN31)</f>
        <v>0</v>
      </c>
      <c r="BC31" s="66" t="n">
        <f aca="false">IF(49='Assumption Setting'!$C$191,'Assumption Setting'!$C$190,0)</f>
        <v>0</v>
      </c>
      <c r="BD31" s="66" t="n">
        <f aca="false">IF(50='Assumption Setting'!$C$191,'Assumption Setting'!$C$190,0)</f>
        <v>0</v>
      </c>
      <c r="BE31" s="66" t="n">
        <f aca="false">IF(51='Assumption Setting'!$C$191,'Assumption Setting'!$C$190,0)</f>
        <v>0</v>
      </c>
      <c r="BF31" s="66" t="n">
        <f aca="false">IF(52='Assumption Setting'!$C$191,'Assumption Setting'!$C$190,0)</f>
        <v>0</v>
      </c>
      <c r="BG31" s="66" t="n">
        <f aca="false">IF(53='Assumption Setting'!$C$191,'Assumption Setting'!$C$190,0)</f>
        <v>0</v>
      </c>
      <c r="BH31" s="66" t="n">
        <f aca="false">IF(54='Assumption Setting'!$C$191,'Assumption Setting'!$C$190,0)</f>
        <v>0</v>
      </c>
      <c r="BI31" s="66" t="n">
        <f aca="false">IF(55='Assumption Setting'!$C$191,'Assumption Setting'!$C$190,0)</f>
        <v>0</v>
      </c>
      <c r="BJ31" s="66" t="n">
        <f aca="false">IF(56='Assumption Setting'!$C$191,'Assumption Setting'!$C$190,0)</f>
        <v>0</v>
      </c>
      <c r="BK31" s="66" t="n">
        <f aca="false">IF(57='Assumption Setting'!$C$191,'Assumption Setting'!$C$190,0)</f>
        <v>0</v>
      </c>
      <c r="BL31" s="66" t="n">
        <f aca="false">IF(58='Assumption Setting'!$C$191,'Assumption Setting'!$C$190,0)</f>
        <v>0</v>
      </c>
      <c r="BM31" s="66" t="n">
        <f aca="false">IF(59='Assumption Setting'!$C$191,'Assumption Setting'!$C$190,0)</f>
        <v>0</v>
      </c>
      <c r="BN31" s="66" t="n">
        <f aca="false">IF(60='Assumption Setting'!$C$191,'Assumption Setting'!$C$190,0)</f>
        <v>0</v>
      </c>
    </row>
    <row r="32" customFormat="false" ht="15" hidden="false" customHeight="false" outlineLevel="0" collapsed="false">
      <c r="A32" s="18" t="s">
        <v>917</v>
      </c>
      <c r="B32" s="65" t="n">
        <f aca="false">SUM(C32:N32)</f>
        <v>250000</v>
      </c>
      <c r="C32" s="78" t="n">
        <f aca="false">C31</f>
        <v>0</v>
      </c>
      <c r="D32" s="78" t="n">
        <f aca="false">D31</f>
        <v>0</v>
      </c>
      <c r="E32" s="78" t="n">
        <f aca="false">E31</f>
        <v>250000</v>
      </c>
      <c r="F32" s="78" t="n">
        <f aca="false">F31</f>
        <v>0</v>
      </c>
      <c r="G32" s="78" t="n">
        <f aca="false">G31</f>
        <v>0</v>
      </c>
      <c r="H32" s="78" t="n">
        <f aca="false">H31</f>
        <v>0</v>
      </c>
      <c r="I32" s="78" t="n">
        <f aca="false">I31</f>
        <v>0</v>
      </c>
      <c r="J32" s="78" t="n">
        <f aca="false">J31</f>
        <v>0</v>
      </c>
      <c r="K32" s="78" t="n">
        <f aca="false">K31</f>
        <v>0</v>
      </c>
      <c r="L32" s="78" t="n">
        <f aca="false">L31</f>
        <v>0</v>
      </c>
      <c r="M32" s="78" t="n">
        <f aca="false">M31</f>
        <v>0</v>
      </c>
      <c r="N32" s="78" t="n">
        <f aca="false">N31</f>
        <v>0</v>
      </c>
      <c r="O32" s="65" t="n">
        <f aca="false">SUM(P32:AA32)</f>
        <v>0</v>
      </c>
      <c r="P32" s="78" t="n">
        <f aca="false">P31</f>
        <v>0</v>
      </c>
      <c r="Q32" s="78" t="n">
        <f aca="false">Q31</f>
        <v>0</v>
      </c>
      <c r="R32" s="78" t="n">
        <f aca="false">R31</f>
        <v>0</v>
      </c>
      <c r="S32" s="78" t="n">
        <f aca="false">S31</f>
        <v>0</v>
      </c>
      <c r="T32" s="78" t="n">
        <f aca="false">T31</f>
        <v>0</v>
      </c>
      <c r="U32" s="78" t="n">
        <f aca="false">U31</f>
        <v>0</v>
      </c>
      <c r="V32" s="78" t="n">
        <f aca="false">V31</f>
        <v>0</v>
      </c>
      <c r="W32" s="78" t="n">
        <f aca="false">W31</f>
        <v>0</v>
      </c>
      <c r="X32" s="78" t="n">
        <f aca="false">X31</f>
        <v>0</v>
      </c>
      <c r="Y32" s="78" t="n">
        <f aca="false">Y31</f>
        <v>0</v>
      </c>
      <c r="Z32" s="78" t="n">
        <f aca="false">Z31</f>
        <v>0</v>
      </c>
      <c r="AA32" s="78" t="n">
        <f aca="false">AA31</f>
        <v>0</v>
      </c>
      <c r="AB32" s="65" t="n">
        <f aca="false">SUM(AC32:AN32)</f>
        <v>0</v>
      </c>
      <c r="AC32" s="78" t="n">
        <f aca="false">AC31</f>
        <v>0</v>
      </c>
      <c r="AD32" s="78" t="n">
        <f aca="false">AD31</f>
        <v>0</v>
      </c>
      <c r="AE32" s="78" t="n">
        <f aca="false">AE31</f>
        <v>0</v>
      </c>
      <c r="AF32" s="78" t="n">
        <f aca="false">AF31</f>
        <v>0</v>
      </c>
      <c r="AG32" s="78" t="n">
        <f aca="false">AG31</f>
        <v>0</v>
      </c>
      <c r="AH32" s="78" t="n">
        <f aca="false">AH31</f>
        <v>0</v>
      </c>
      <c r="AI32" s="78" t="n">
        <f aca="false">AI31</f>
        <v>0</v>
      </c>
      <c r="AJ32" s="78" t="n">
        <f aca="false">AJ31</f>
        <v>0</v>
      </c>
      <c r="AK32" s="78" t="n">
        <f aca="false">AK31</f>
        <v>0</v>
      </c>
      <c r="AL32" s="78" t="n">
        <f aca="false">AL31</f>
        <v>0</v>
      </c>
      <c r="AM32" s="78" t="n">
        <f aca="false">AM31</f>
        <v>0</v>
      </c>
      <c r="AN32" s="78" t="n">
        <f aca="false">AN31</f>
        <v>0</v>
      </c>
      <c r="AO32" s="65" t="n">
        <f aca="false">SUM(AP32:BA32)</f>
        <v>0</v>
      </c>
      <c r="AP32" s="78" t="n">
        <f aca="false">AP31</f>
        <v>0</v>
      </c>
      <c r="AQ32" s="78" t="n">
        <f aca="false">AQ31</f>
        <v>0</v>
      </c>
      <c r="AR32" s="78" t="n">
        <f aca="false">AR31</f>
        <v>0</v>
      </c>
      <c r="AS32" s="78" t="n">
        <f aca="false">AS31</f>
        <v>0</v>
      </c>
      <c r="AT32" s="78" t="n">
        <f aca="false">AT31</f>
        <v>0</v>
      </c>
      <c r="AU32" s="78" t="n">
        <f aca="false">AU31</f>
        <v>0</v>
      </c>
      <c r="AV32" s="78" t="n">
        <f aca="false">AV31</f>
        <v>0</v>
      </c>
      <c r="AW32" s="78" t="n">
        <f aca="false">AW31</f>
        <v>0</v>
      </c>
      <c r="AX32" s="78" t="n">
        <f aca="false">AX31</f>
        <v>0</v>
      </c>
      <c r="AY32" s="78" t="n">
        <f aca="false">AY31</f>
        <v>0</v>
      </c>
      <c r="AZ32" s="78" t="n">
        <f aca="false">AZ31</f>
        <v>0</v>
      </c>
      <c r="BA32" s="78" t="n">
        <f aca="false">BA31</f>
        <v>0</v>
      </c>
      <c r="BB32" s="65" t="n">
        <f aca="false">SUM(BC32:BN32)</f>
        <v>0</v>
      </c>
      <c r="BC32" s="78" t="n">
        <f aca="false">BC31</f>
        <v>0</v>
      </c>
      <c r="BD32" s="78" t="n">
        <f aca="false">BD31</f>
        <v>0</v>
      </c>
      <c r="BE32" s="78" t="n">
        <f aca="false">BE31</f>
        <v>0</v>
      </c>
      <c r="BF32" s="78" t="n">
        <f aca="false">BF31</f>
        <v>0</v>
      </c>
      <c r="BG32" s="78" t="n">
        <f aca="false">BG31</f>
        <v>0</v>
      </c>
      <c r="BH32" s="78" t="n">
        <f aca="false">BH31</f>
        <v>0</v>
      </c>
      <c r="BI32" s="78" t="n">
        <f aca="false">BI31</f>
        <v>0</v>
      </c>
      <c r="BJ32" s="78" t="n">
        <f aca="false">BJ31</f>
        <v>0</v>
      </c>
      <c r="BK32" s="78" t="n">
        <f aca="false">BK31</f>
        <v>0</v>
      </c>
      <c r="BL32" s="78" t="n">
        <f aca="false">BL31</f>
        <v>0</v>
      </c>
      <c r="BM32" s="78" t="n">
        <f aca="false">BM31</f>
        <v>0</v>
      </c>
      <c r="BN32" s="78" t="n">
        <f aca="false">BN31</f>
        <v>0</v>
      </c>
    </row>
    <row r="33" customFormat="false" ht="15" hidden="false" customHeight="false" outlineLevel="0" collapsed="false">
      <c r="A33" s="18" t="s">
        <v>918</v>
      </c>
      <c r="B33" s="65" t="n">
        <f aca="false">SUM(C33:N33)</f>
        <v>172505.596480491</v>
      </c>
      <c r="C33" s="78" t="n">
        <f aca="false">C28+C30+C32</f>
        <v>-12432.9891877575</v>
      </c>
      <c r="D33" s="78" t="n">
        <f aca="false">D28+D30+D32</f>
        <v>-11527.3794040238</v>
      </c>
      <c r="E33" s="78" t="n">
        <f aca="false">E28+E30+E32</f>
        <v>241949.486522271</v>
      </c>
      <c r="F33" s="78" t="n">
        <f aca="false">F28+F30+F32</f>
        <v>-11355.7386210763</v>
      </c>
      <c r="G33" s="78" t="n">
        <f aca="false">G28+G30+G32</f>
        <v>-6204.39487208089</v>
      </c>
      <c r="H33" s="78" t="n">
        <f aca="false">H28+H30+H32</f>
        <v>-5896.01812041257</v>
      </c>
      <c r="I33" s="78" t="n">
        <f aca="false">I28+I30+I32</f>
        <v>-4568.01871554248</v>
      </c>
      <c r="J33" s="78" t="n">
        <f aca="false">J28+J30+J32</f>
        <v>-5286.98188832864</v>
      </c>
      <c r="K33" s="78" t="n">
        <f aca="false">K28+K30+K32</f>
        <v>-4820.26226139864</v>
      </c>
      <c r="L33" s="78" t="n">
        <f aca="false">L28+L30+L32</f>
        <v>-11795.619131655</v>
      </c>
      <c r="M33" s="78" t="n">
        <f aca="false">M28+M30+M32</f>
        <v>1416.83425876172</v>
      </c>
      <c r="N33" s="78" t="n">
        <f aca="false">N28+N30+N32</f>
        <v>3026.67790173439</v>
      </c>
      <c r="O33" s="65" t="n">
        <f aca="false">SUM(P33:AA33)</f>
        <v>78653.5398936215</v>
      </c>
      <c r="P33" s="78" t="n">
        <f aca="false">P28+P30+P32</f>
        <v>3043.17062507648</v>
      </c>
      <c r="Q33" s="78" t="n">
        <f aca="false">Q28+Q30+Q32</f>
        <v>-15422.6125891063</v>
      </c>
      <c r="R33" s="78" t="n">
        <f aca="false">R28+R30+R32</f>
        <v>-13323.9653718436</v>
      </c>
      <c r="S33" s="78" t="n">
        <f aca="false">S28+S30+S32</f>
        <v>-12927.9615186875</v>
      </c>
      <c r="T33" s="78" t="n">
        <f aca="false">T28+T30+T32</f>
        <v>-6870.67172342225</v>
      </c>
      <c r="U33" s="78" t="n">
        <f aca="false">U28+U30+U32</f>
        <v>-3298.0447677158</v>
      </c>
      <c r="V33" s="78" t="n">
        <f aca="false">V28+V30+V32</f>
        <v>1088.90046579524</v>
      </c>
      <c r="W33" s="78" t="n">
        <f aca="false">W28+W30+W32</f>
        <v>9638.40980223104</v>
      </c>
      <c r="X33" s="78" t="n">
        <f aca="false">X28+X30+X32</f>
        <v>16049.0672288307</v>
      </c>
      <c r="Y33" s="78" t="n">
        <f aca="false">Y28+Y30+Y32</f>
        <v>26653.0502465097</v>
      </c>
      <c r="Z33" s="78" t="n">
        <f aca="false">Z28+Z30+Z32</f>
        <v>31897.615612999</v>
      </c>
      <c r="AA33" s="78" t="n">
        <f aca="false">AA28+AA30+AA32</f>
        <v>42126.5818829549</v>
      </c>
      <c r="AB33" s="65" t="n">
        <f aca="false">SUM(AC33:AN33)</f>
        <v>1122234.50494753</v>
      </c>
      <c r="AC33" s="78" t="n">
        <f aca="false">AC28+AC30+AC32</f>
        <v>48584.2176654578</v>
      </c>
      <c r="AD33" s="78" t="n">
        <f aca="false">AD28+AD30+AD32</f>
        <v>26268.2307976074</v>
      </c>
      <c r="AE33" s="78" t="n">
        <f aca="false">AE28+AE30+AE32</f>
        <v>41344.4481537742</v>
      </c>
      <c r="AF33" s="78" t="n">
        <f aca="false">AF28+AF30+AF32</f>
        <v>89615.7353600112</v>
      </c>
      <c r="AG33" s="78" t="n">
        <f aca="false">AG28+AG30+AG32</f>
        <v>43873.1224036209</v>
      </c>
      <c r="AH33" s="78" t="n">
        <f aca="false">AH28+AH30+AH32</f>
        <v>62047.0792609896</v>
      </c>
      <c r="AI33" s="78" t="n">
        <f aca="false">AI28+AI30+AI32</f>
        <v>157813.872344588</v>
      </c>
      <c r="AJ33" s="78" t="n">
        <f aca="false">AJ28+AJ30+AJ32</f>
        <v>75552.2629704172</v>
      </c>
      <c r="AK33" s="78" t="n">
        <f aca="false">AK28+AK30+AK32</f>
        <v>99247.9416403654</v>
      </c>
      <c r="AL33" s="78" t="n">
        <f aca="false">AL28+AL30+AL32</f>
        <v>274055.205079553</v>
      </c>
      <c r="AM33" s="78" t="n">
        <f aca="false">AM28+AM30+AM32</f>
        <v>88864.7836959008</v>
      </c>
      <c r="AN33" s="78" t="n">
        <f aca="false">AN28+AN30+AN32</f>
        <v>114967.605575244</v>
      </c>
      <c r="AO33" s="65" t="n">
        <f aca="false">SUM(AP33:BA33)</f>
        <v>2638910.88637831</v>
      </c>
      <c r="AP33" s="78" t="n">
        <f aca="false">AP28+AP30+AP32</f>
        <v>261790.773574971</v>
      </c>
      <c r="AQ33" s="78" t="n">
        <f aca="false">AQ28+AQ30+AQ32</f>
        <v>106336.042255699</v>
      </c>
      <c r="AR33" s="78" t="n">
        <f aca="false">AR28+AR30+AR32</f>
        <v>139856.037641399</v>
      </c>
      <c r="AS33" s="78" t="n">
        <f aca="false">AS28+AS30+AS32</f>
        <v>27025.4988024816</v>
      </c>
      <c r="AT33" s="78" t="n">
        <f aca="false">AT28+AT30+AT32</f>
        <v>140206.837824447</v>
      </c>
      <c r="AU33" s="78" t="n">
        <f aca="false">AU28+AU30+AU32</f>
        <v>179736.532882346</v>
      </c>
      <c r="AV33" s="78" t="n">
        <f aca="false">AV28+AV30+AV32</f>
        <v>462070.954290753</v>
      </c>
      <c r="AW33" s="78" t="n">
        <f aca="false">AW28+AW30+AW32</f>
        <v>165172.206580418</v>
      </c>
      <c r="AX33" s="78" t="n">
        <f aca="false">AX28+AX30+AX32</f>
        <v>209253.77292524</v>
      </c>
      <c r="AY33" s="78" t="n">
        <f aca="false">AY28+AY30+AY32</f>
        <v>511214.852169832</v>
      </c>
      <c r="AZ33" s="78" t="n">
        <f aca="false">AZ28+AZ30+AZ32</f>
        <v>193535.855413459</v>
      </c>
      <c r="BA33" s="78" t="n">
        <f aca="false">BA28+BA30+BA32</f>
        <v>242711.522017265</v>
      </c>
      <c r="BB33" s="65" t="n">
        <f aca="false">SUM(BC33:BN33)</f>
        <v>4415094.35508777</v>
      </c>
      <c r="BC33" s="78" t="n">
        <f aca="false">BC28+BC30+BC32</f>
        <v>567912.395731606</v>
      </c>
      <c r="BD33" s="78" t="n">
        <f aca="false">BD28+BD30+BD32</f>
        <v>218785.166600423</v>
      </c>
      <c r="BE33" s="78" t="n">
        <f aca="false">BE28+BE30+BE32</f>
        <v>275630.675851505</v>
      </c>
      <c r="BF33" s="78" t="n">
        <f aca="false">BF28+BF30+BF32</f>
        <v>-43308.1329693649</v>
      </c>
      <c r="BG33" s="78" t="n">
        <f aca="false">BG28+BG30+BG32</f>
        <v>239686.636371412</v>
      </c>
      <c r="BH33" s="78" t="n">
        <f aca="false">BH28+BH30+BH32</f>
        <v>300496.200238595</v>
      </c>
      <c r="BI33" s="78" t="n">
        <f aca="false">BI28+BI30+BI32</f>
        <v>713380.138829183</v>
      </c>
      <c r="BJ33" s="78" t="n">
        <f aca="false">BJ28+BJ30+BJ32</f>
        <v>278917.344755618</v>
      </c>
      <c r="BK33" s="78" t="n">
        <f aca="false">BK28+BK30+BK32</f>
        <v>346808.480847626</v>
      </c>
      <c r="BL33" s="78" t="n">
        <f aca="false">BL28+BL30+BL32</f>
        <v>858718.768299225</v>
      </c>
      <c r="BM33" s="78" t="n">
        <f aca="false">BM28+BM30+BM32</f>
        <v>293637.255271686</v>
      </c>
      <c r="BN33" s="78" t="n">
        <f aca="false">BN28+BN30+BN32</f>
        <v>364429.42526025</v>
      </c>
    </row>
    <row r="34" customFormat="false" ht="15" hidden="false" customHeight="false" outlineLevel="0" collapsed="false">
      <c r="A34" s="12" t="s">
        <v>919</v>
      </c>
      <c r="B34" s="65" t="n">
        <f aca="false">MIN(C34:N34)</f>
        <v>26039.6314082187</v>
      </c>
      <c r="C34" s="66" t="n">
        <f aca="false">'Assumption Setting'!$C$20</f>
        <v>50000</v>
      </c>
      <c r="D34" s="66" t="n">
        <f aca="false">C35</f>
        <v>37567.0108122425</v>
      </c>
      <c r="E34" s="66" t="n">
        <f aca="false">D35</f>
        <v>26039.6314082187</v>
      </c>
      <c r="F34" s="66" t="n">
        <f aca="false">E35</f>
        <v>267989.117930489</v>
      </c>
      <c r="G34" s="66" t="n">
        <f aca="false">F35</f>
        <v>256633.379309413</v>
      </c>
      <c r="H34" s="66" t="n">
        <f aca="false">G35</f>
        <v>250428.984437332</v>
      </c>
      <c r="I34" s="66" t="n">
        <f aca="false">H35</f>
        <v>244532.96631692</v>
      </c>
      <c r="J34" s="66" t="n">
        <f aca="false">I35</f>
        <v>239964.947601377</v>
      </c>
      <c r="K34" s="66" t="n">
        <f aca="false">J35</f>
        <v>234677.965713048</v>
      </c>
      <c r="L34" s="66" t="n">
        <f aca="false">K35</f>
        <v>229857.70345165</v>
      </c>
      <c r="M34" s="66" t="n">
        <f aca="false">L35</f>
        <v>218062.084319995</v>
      </c>
      <c r="N34" s="66" t="n">
        <f aca="false">M35</f>
        <v>219478.918578757</v>
      </c>
      <c r="O34" s="65" t="n">
        <f aca="false">MIN(P34:AA34)</f>
        <v>173705.511134792</v>
      </c>
      <c r="P34" s="66" t="n">
        <f aca="false">N35</f>
        <v>222505.596480491</v>
      </c>
      <c r="Q34" s="66" t="n">
        <f aca="false">P35</f>
        <v>225548.767105567</v>
      </c>
      <c r="R34" s="66" t="n">
        <f aca="false">Q35</f>
        <v>210126.154516461</v>
      </c>
      <c r="S34" s="66" t="n">
        <f aca="false">R35</f>
        <v>196802.189144617</v>
      </c>
      <c r="T34" s="66" t="n">
        <f aca="false">S35</f>
        <v>183874.22762593</v>
      </c>
      <c r="U34" s="66" t="n">
        <f aca="false">T35</f>
        <v>177003.555902508</v>
      </c>
      <c r="V34" s="66" t="n">
        <f aca="false">U35</f>
        <v>173705.511134792</v>
      </c>
      <c r="W34" s="66" t="n">
        <f aca="false">V35</f>
        <v>174794.411600587</v>
      </c>
      <c r="X34" s="66" t="n">
        <f aca="false">W35</f>
        <v>184432.821402818</v>
      </c>
      <c r="Y34" s="66" t="n">
        <f aca="false">X35</f>
        <v>200481.888631649</v>
      </c>
      <c r="Z34" s="66" t="n">
        <f aca="false">Y35</f>
        <v>227134.938878159</v>
      </c>
      <c r="AA34" s="66" t="n">
        <f aca="false">Z35</f>
        <v>259032.554491158</v>
      </c>
      <c r="AB34" s="65" t="n">
        <f aca="false">MIN(AC34:AN34)</f>
        <v>301159.136374112</v>
      </c>
      <c r="AC34" s="66" t="n">
        <f aca="false">AA35</f>
        <v>301159.136374112</v>
      </c>
      <c r="AD34" s="66" t="n">
        <f aca="false">AC35</f>
        <v>349743.35403957</v>
      </c>
      <c r="AE34" s="66" t="n">
        <f aca="false">AD35</f>
        <v>376011.584837178</v>
      </c>
      <c r="AF34" s="66" t="n">
        <f aca="false">AE35</f>
        <v>417356.032990952</v>
      </c>
      <c r="AG34" s="66" t="n">
        <f aca="false">AF35</f>
        <v>506971.768350963</v>
      </c>
      <c r="AH34" s="66" t="n">
        <f aca="false">AG35</f>
        <v>550844.890754584</v>
      </c>
      <c r="AI34" s="66" t="n">
        <f aca="false">AH35</f>
        <v>612891.970015573</v>
      </c>
      <c r="AJ34" s="66" t="n">
        <f aca="false">AI35</f>
        <v>770705.842360161</v>
      </c>
      <c r="AK34" s="66" t="n">
        <f aca="false">AJ35</f>
        <v>846258.105330579</v>
      </c>
      <c r="AL34" s="66" t="n">
        <f aca="false">AK35</f>
        <v>945506.046970944</v>
      </c>
      <c r="AM34" s="66" t="n">
        <f aca="false">AL35</f>
        <v>1219561.2520505</v>
      </c>
      <c r="AN34" s="66" t="n">
        <f aca="false">AM35</f>
        <v>1308426.0357464</v>
      </c>
      <c r="AO34" s="65" t="n">
        <f aca="false">MIN(AP34:BA34)</f>
        <v>1423393.64132164</v>
      </c>
      <c r="AP34" s="66" t="n">
        <f aca="false">AN35</f>
        <v>1423393.64132164</v>
      </c>
      <c r="AQ34" s="66" t="n">
        <f aca="false">AP35</f>
        <v>1685184.41489661</v>
      </c>
      <c r="AR34" s="66" t="n">
        <f aca="false">AQ35</f>
        <v>1791520.45715231</v>
      </c>
      <c r="AS34" s="66" t="n">
        <f aca="false">AR35</f>
        <v>1931376.49479371</v>
      </c>
      <c r="AT34" s="66" t="n">
        <f aca="false">AS35</f>
        <v>1958401.99359619</v>
      </c>
      <c r="AU34" s="66" t="n">
        <f aca="false">AT35</f>
        <v>2098608.83142064</v>
      </c>
      <c r="AV34" s="66" t="n">
        <f aca="false">AU35</f>
        <v>2278345.36430299</v>
      </c>
      <c r="AW34" s="66" t="n">
        <f aca="false">AV35</f>
        <v>2740416.31859374</v>
      </c>
      <c r="AX34" s="66" t="n">
        <f aca="false">AW35</f>
        <v>2905588.52517416</v>
      </c>
      <c r="AY34" s="66" t="n">
        <f aca="false">AX35</f>
        <v>3114842.2980994</v>
      </c>
      <c r="AZ34" s="66" t="n">
        <f aca="false">AY35</f>
        <v>3626057.15026923</v>
      </c>
      <c r="BA34" s="66" t="n">
        <f aca="false">AZ35</f>
        <v>3819593.00568269</v>
      </c>
      <c r="BB34" s="65" t="n">
        <f aca="false">MIN(BC34:BN34)</f>
        <v>4062304.52769995</v>
      </c>
      <c r="BC34" s="66" t="n">
        <f aca="false">BA35</f>
        <v>4062304.52769995</v>
      </c>
      <c r="BD34" s="66" t="n">
        <f aca="false">BC35</f>
        <v>4630216.92343156</v>
      </c>
      <c r="BE34" s="66" t="n">
        <f aca="false">BD35</f>
        <v>4849002.09003198</v>
      </c>
      <c r="BF34" s="66" t="n">
        <f aca="false">BE35</f>
        <v>5124632.76588349</v>
      </c>
      <c r="BG34" s="66" t="n">
        <f aca="false">BF35</f>
        <v>5081324.63291412</v>
      </c>
      <c r="BH34" s="66" t="n">
        <f aca="false">BG35</f>
        <v>5321011.26928553</v>
      </c>
      <c r="BI34" s="66" t="n">
        <f aca="false">BH35</f>
        <v>5621507.46952413</v>
      </c>
      <c r="BJ34" s="66" t="n">
        <f aca="false">BI35</f>
        <v>6334887.60835331</v>
      </c>
      <c r="BK34" s="66" t="n">
        <f aca="false">BJ35</f>
        <v>6613804.95310893</v>
      </c>
      <c r="BL34" s="66" t="n">
        <f aca="false">BK35</f>
        <v>6960613.43395656</v>
      </c>
      <c r="BM34" s="66" t="n">
        <f aca="false">BL35</f>
        <v>7819332.20225578</v>
      </c>
      <c r="BN34" s="66" t="n">
        <f aca="false">BM35</f>
        <v>8112969.45752747</v>
      </c>
    </row>
    <row r="35" customFormat="false" ht="15" hidden="false" customHeight="false" outlineLevel="0" collapsed="false">
      <c r="A35" s="67" t="s">
        <v>920</v>
      </c>
      <c r="B35" s="68" t="n">
        <f aca="false">N35</f>
        <v>222505.596480491</v>
      </c>
      <c r="C35" s="69" t="n">
        <f aca="false">C34+C33</f>
        <v>37567.0108122425</v>
      </c>
      <c r="D35" s="69" t="n">
        <f aca="false">D34+D33</f>
        <v>26039.6314082187</v>
      </c>
      <c r="E35" s="69" t="n">
        <f aca="false">E34+E33</f>
        <v>267989.117930489</v>
      </c>
      <c r="F35" s="69" t="n">
        <f aca="false">F34+F33</f>
        <v>256633.379309413</v>
      </c>
      <c r="G35" s="69" t="n">
        <f aca="false">G34+G33</f>
        <v>250428.984437332</v>
      </c>
      <c r="H35" s="69" t="n">
        <f aca="false">H34+H33</f>
        <v>244532.96631692</v>
      </c>
      <c r="I35" s="69" t="n">
        <f aca="false">I34+I33</f>
        <v>239964.947601377</v>
      </c>
      <c r="J35" s="69" t="n">
        <f aca="false">J34+J33</f>
        <v>234677.965713048</v>
      </c>
      <c r="K35" s="69" t="n">
        <f aca="false">K34+K33</f>
        <v>229857.70345165</v>
      </c>
      <c r="L35" s="69" t="n">
        <f aca="false">L34+L33</f>
        <v>218062.084319995</v>
      </c>
      <c r="M35" s="69" t="n">
        <f aca="false">M34+M33</f>
        <v>219478.918578757</v>
      </c>
      <c r="N35" s="69" t="n">
        <f aca="false">N34+N33</f>
        <v>222505.596480491</v>
      </c>
      <c r="O35" s="68" t="n">
        <f aca="false">AA35</f>
        <v>301159.136374112</v>
      </c>
      <c r="P35" s="69" t="n">
        <f aca="false">P34+P33</f>
        <v>225548.767105567</v>
      </c>
      <c r="Q35" s="69" t="n">
        <f aca="false">Q34+Q33</f>
        <v>210126.154516461</v>
      </c>
      <c r="R35" s="69" t="n">
        <f aca="false">R34+R33</f>
        <v>196802.189144617</v>
      </c>
      <c r="S35" s="69" t="n">
        <f aca="false">S34+S33</f>
        <v>183874.22762593</v>
      </c>
      <c r="T35" s="69" t="n">
        <f aca="false">T34+T33</f>
        <v>177003.555902508</v>
      </c>
      <c r="U35" s="69" t="n">
        <f aca="false">U34+U33</f>
        <v>173705.511134792</v>
      </c>
      <c r="V35" s="69" t="n">
        <f aca="false">V34+V33</f>
        <v>174794.411600587</v>
      </c>
      <c r="W35" s="69" t="n">
        <f aca="false">W34+W33</f>
        <v>184432.821402818</v>
      </c>
      <c r="X35" s="69" t="n">
        <f aca="false">X34+X33</f>
        <v>200481.888631649</v>
      </c>
      <c r="Y35" s="69" t="n">
        <f aca="false">Y34+Y33</f>
        <v>227134.938878159</v>
      </c>
      <c r="Z35" s="69" t="n">
        <f aca="false">Z34+Z33</f>
        <v>259032.554491158</v>
      </c>
      <c r="AA35" s="69" t="n">
        <f aca="false">AA34+AA33</f>
        <v>301159.136374112</v>
      </c>
      <c r="AB35" s="68" t="n">
        <f aca="false">AN35</f>
        <v>1423393.64132164</v>
      </c>
      <c r="AC35" s="69" t="n">
        <f aca="false">AC34+AC33</f>
        <v>349743.35403957</v>
      </c>
      <c r="AD35" s="69" t="n">
        <f aca="false">AD34+AD33</f>
        <v>376011.584837178</v>
      </c>
      <c r="AE35" s="69" t="n">
        <f aca="false">AE34+AE33</f>
        <v>417356.032990952</v>
      </c>
      <c r="AF35" s="69" t="n">
        <f aca="false">AF34+AF33</f>
        <v>506971.768350963</v>
      </c>
      <c r="AG35" s="69" t="n">
        <f aca="false">AG34+AG33</f>
        <v>550844.890754584</v>
      </c>
      <c r="AH35" s="69" t="n">
        <f aca="false">AH34+AH33</f>
        <v>612891.970015573</v>
      </c>
      <c r="AI35" s="69" t="n">
        <f aca="false">AI34+AI33</f>
        <v>770705.842360161</v>
      </c>
      <c r="AJ35" s="69" t="n">
        <f aca="false">AJ34+AJ33</f>
        <v>846258.105330579</v>
      </c>
      <c r="AK35" s="69" t="n">
        <f aca="false">AK34+AK33</f>
        <v>945506.046970944</v>
      </c>
      <c r="AL35" s="69" t="n">
        <f aca="false">AL34+AL33</f>
        <v>1219561.2520505</v>
      </c>
      <c r="AM35" s="69" t="n">
        <f aca="false">AM34+AM33</f>
        <v>1308426.0357464</v>
      </c>
      <c r="AN35" s="69" t="n">
        <f aca="false">AN34+AN33</f>
        <v>1423393.64132164</v>
      </c>
      <c r="AO35" s="68" t="n">
        <f aca="false">BA35</f>
        <v>4062304.52769995</v>
      </c>
      <c r="AP35" s="69" t="n">
        <f aca="false">AP34+AP33</f>
        <v>1685184.41489661</v>
      </c>
      <c r="AQ35" s="69" t="n">
        <f aca="false">AQ34+AQ33</f>
        <v>1791520.45715231</v>
      </c>
      <c r="AR35" s="69" t="n">
        <f aca="false">AR34+AR33</f>
        <v>1931376.49479371</v>
      </c>
      <c r="AS35" s="69" t="n">
        <f aca="false">AS34+AS33</f>
        <v>1958401.99359619</v>
      </c>
      <c r="AT35" s="69" t="n">
        <f aca="false">AT34+AT33</f>
        <v>2098608.83142064</v>
      </c>
      <c r="AU35" s="69" t="n">
        <f aca="false">AU34+AU33</f>
        <v>2278345.36430299</v>
      </c>
      <c r="AV35" s="69" t="n">
        <f aca="false">AV34+AV33</f>
        <v>2740416.31859374</v>
      </c>
      <c r="AW35" s="69" t="n">
        <f aca="false">AW34+AW33</f>
        <v>2905588.52517416</v>
      </c>
      <c r="AX35" s="69" t="n">
        <f aca="false">AX34+AX33</f>
        <v>3114842.2980994</v>
      </c>
      <c r="AY35" s="69" t="n">
        <f aca="false">AY34+AY33</f>
        <v>3626057.15026923</v>
      </c>
      <c r="AZ35" s="69" t="n">
        <f aca="false">AZ34+AZ33</f>
        <v>3819593.00568269</v>
      </c>
      <c r="BA35" s="69" t="n">
        <f aca="false">BA34+BA33</f>
        <v>4062304.52769995</v>
      </c>
      <c r="BB35" s="68" t="n">
        <f aca="false">BN35</f>
        <v>8477398.88278772</v>
      </c>
      <c r="BC35" s="69" t="n">
        <f aca="false">BC34+BC33</f>
        <v>4630216.92343156</v>
      </c>
      <c r="BD35" s="69" t="n">
        <f aca="false">BD34+BD33</f>
        <v>4849002.09003198</v>
      </c>
      <c r="BE35" s="69" t="n">
        <f aca="false">BE34+BE33</f>
        <v>5124632.76588349</v>
      </c>
      <c r="BF35" s="69" t="n">
        <f aca="false">BF34+BF33</f>
        <v>5081324.63291412</v>
      </c>
      <c r="BG35" s="69" t="n">
        <f aca="false">BG34+BG33</f>
        <v>5321011.26928553</v>
      </c>
      <c r="BH35" s="69" t="n">
        <f aca="false">BH34+BH33</f>
        <v>5621507.46952413</v>
      </c>
      <c r="BI35" s="69" t="n">
        <f aca="false">BI34+BI33</f>
        <v>6334887.60835331</v>
      </c>
      <c r="BJ35" s="69" t="n">
        <f aca="false">BJ34+BJ33</f>
        <v>6613804.95310893</v>
      </c>
      <c r="BK35" s="69" t="n">
        <f aca="false">BK34+BK33</f>
        <v>6960613.43395656</v>
      </c>
      <c r="BL35" s="69" t="n">
        <f aca="false">BL34+BL33</f>
        <v>7819332.20225578</v>
      </c>
      <c r="BM35" s="69" t="n">
        <f aca="false">BM34+BM33</f>
        <v>8112969.45752747</v>
      </c>
      <c r="BN35" s="69" t="n">
        <f aca="false">BN34+BN33</f>
        <v>8477398.88278772</v>
      </c>
    </row>
    <row r="36" customFormat="false" ht="15" hidden="false" customHeight="false" outlineLevel="0" collapsed="false">
      <c r="A36" s="12" t="s">
        <v>921</v>
      </c>
      <c r="B36" s="65" t="n">
        <f aca="false">MIN(C36:N36)</f>
        <v>-13960.3685917813</v>
      </c>
      <c r="C36" s="66" t="n">
        <f aca="false">C35-'Assumption Setting'!$C$192</f>
        <v>-2432.98918775753</v>
      </c>
      <c r="D36" s="66" t="n">
        <f aca="false">D35-'Assumption Setting'!$C$192</f>
        <v>-13960.3685917813</v>
      </c>
      <c r="E36" s="66" t="n">
        <f aca="false">E35-'Assumption Setting'!$C$192</f>
        <v>227989.117930489</v>
      </c>
      <c r="F36" s="66" t="n">
        <f aca="false">F35-'Assumption Setting'!$C$192</f>
        <v>216633.379309413</v>
      </c>
      <c r="G36" s="66" t="n">
        <f aca="false">G35-'Assumption Setting'!$C$192</f>
        <v>210428.984437332</v>
      </c>
      <c r="H36" s="66" t="n">
        <f aca="false">H35-'Assumption Setting'!$C$192</f>
        <v>204532.96631692</v>
      </c>
      <c r="I36" s="66" t="n">
        <f aca="false">I35-'Assumption Setting'!$C$192</f>
        <v>199964.947601377</v>
      </c>
      <c r="J36" s="66" t="n">
        <f aca="false">J35-'Assumption Setting'!$C$192</f>
        <v>194677.965713048</v>
      </c>
      <c r="K36" s="66" t="n">
        <f aca="false">K35-'Assumption Setting'!$C$192</f>
        <v>189857.70345165</v>
      </c>
      <c r="L36" s="66" t="n">
        <f aca="false">L35-'Assumption Setting'!$C$192</f>
        <v>178062.084319995</v>
      </c>
      <c r="M36" s="66" t="n">
        <f aca="false">M35-'Assumption Setting'!$C$192</f>
        <v>179478.918578757</v>
      </c>
      <c r="N36" s="66" t="n">
        <f aca="false">N35-'Assumption Setting'!$C$192</f>
        <v>182505.596480491</v>
      </c>
      <c r="O36" s="65" t="n">
        <f aca="false">MIN(P36:AA36)</f>
        <v>133705.511134792</v>
      </c>
      <c r="P36" s="66" t="n">
        <f aca="false">P35-'Assumption Setting'!$C$192</f>
        <v>185548.767105567</v>
      </c>
      <c r="Q36" s="66" t="n">
        <f aca="false">Q35-'Assumption Setting'!$C$192</f>
        <v>170126.154516461</v>
      </c>
      <c r="R36" s="66" t="n">
        <f aca="false">R35-'Assumption Setting'!$C$192</f>
        <v>156802.189144617</v>
      </c>
      <c r="S36" s="66" t="n">
        <f aca="false">S35-'Assumption Setting'!$C$192</f>
        <v>143874.22762593</v>
      </c>
      <c r="T36" s="66" t="n">
        <f aca="false">T35-'Assumption Setting'!$C$192</f>
        <v>137003.555902508</v>
      </c>
      <c r="U36" s="66" t="n">
        <f aca="false">U35-'Assumption Setting'!$C$192</f>
        <v>133705.511134792</v>
      </c>
      <c r="V36" s="66" t="n">
        <f aca="false">V35-'Assumption Setting'!$C$192</f>
        <v>134794.411600587</v>
      </c>
      <c r="W36" s="66" t="n">
        <f aca="false">W35-'Assumption Setting'!$C$192</f>
        <v>144432.821402818</v>
      </c>
      <c r="X36" s="66" t="n">
        <f aca="false">X35-'Assumption Setting'!$C$192</f>
        <v>160481.888631649</v>
      </c>
      <c r="Y36" s="66" t="n">
        <f aca="false">Y35-'Assumption Setting'!$C$192</f>
        <v>187134.938878159</v>
      </c>
      <c r="Z36" s="66" t="n">
        <f aca="false">Z35-'Assumption Setting'!$C$192</f>
        <v>219032.554491158</v>
      </c>
      <c r="AA36" s="66" t="n">
        <f aca="false">AA35-'Assumption Setting'!$C$192</f>
        <v>261159.136374112</v>
      </c>
      <c r="AB36" s="65" t="n">
        <f aca="false">MIN(AC36:AN36)</f>
        <v>309743.35403957</v>
      </c>
      <c r="AC36" s="66" t="n">
        <f aca="false">AC35-'Assumption Setting'!$C$192</f>
        <v>309743.35403957</v>
      </c>
      <c r="AD36" s="66" t="n">
        <f aca="false">AD35-'Assumption Setting'!$C$192</f>
        <v>336011.584837178</v>
      </c>
      <c r="AE36" s="66" t="n">
        <f aca="false">AE35-'Assumption Setting'!$C$192</f>
        <v>377356.032990952</v>
      </c>
      <c r="AF36" s="66" t="n">
        <f aca="false">AF35-'Assumption Setting'!$C$192</f>
        <v>466971.768350963</v>
      </c>
      <c r="AG36" s="66" t="n">
        <f aca="false">AG35-'Assumption Setting'!$C$192</f>
        <v>510844.890754584</v>
      </c>
      <c r="AH36" s="66" t="n">
        <f aca="false">AH35-'Assumption Setting'!$C$192</f>
        <v>572891.970015573</v>
      </c>
      <c r="AI36" s="66" t="n">
        <f aca="false">AI35-'Assumption Setting'!$C$192</f>
        <v>730705.842360161</v>
      </c>
      <c r="AJ36" s="66" t="n">
        <f aca="false">AJ35-'Assumption Setting'!$C$192</f>
        <v>806258.105330579</v>
      </c>
      <c r="AK36" s="66" t="n">
        <f aca="false">AK35-'Assumption Setting'!$C$192</f>
        <v>905506.046970944</v>
      </c>
      <c r="AL36" s="66" t="n">
        <f aca="false">AL35-'Assumption Setting'!$C$192</f>
        <v>1179561.2520505</v>
      </c>
      <c r="AM36" s="66" t="n">
        <f aca="false">AM35-'Assumption Setting'!$C$192</f>
        <v>1268426.0357464</v>
      </c>
      <c r="AN36" s="66" t="n">
        <f aca="false">AN35-'Assumption Setting'!$C$192</f>
        <v>1383393.64132164</v>
      </c>
      <c r="AO36" s="65" t="n">
        <f aca="false">MIN(AP36:BA36)</f>
        <v>1645184.41489661</v>
      </c>
      <c r="AP36" s="66" t="n">
        <f aca="false">AP35-'Assumption Setting'!$C$192</f>
        <v>1645184.41489661</v>
      </c>
      <c r="AQ36" s="66" t="n">
        <f aca="false">AQ35-'Assumption Setting'!$C$192</f>
        <v>1751520.45715231</v>
      </c>
      <c r="AR36" s="66" t="n">
        <f aca="false">AR35-'Assumption Setting'!$C$192</f>
        <v>1891376.49479371</v>
      </c>
      <c r="AS36" s="66" t="n">
        <f aca="false">AS35-'Assumption Setting'!$C$192</f>
        <v>1918401.99359619</v>
      </c>
      <c r="AT36" s="66" t="n">
        <f aca="false">AT35-'Assumption Setting'!$C$192</f>
        <v>2058608.83142064</v>
      </c>
      <c r="AU36" s="66" t="n">
        <f aca="false">AU35-'Assumption Setting'!$C$192</f>
        <v>2238345.36430299</v>
      </c>
      <c r="AV36" s="66" t="n">
        <f aca="false">AV35-'Assumption Setting'!$C$192</f>
        <v>2700416.31859374</v>
      </c>
      <c r="AW36" s="66" t="n">
        <f aca="false">AW35-'Assumption Setting'!$C$192</f>
        <v>2865588.52517416</v>
      </c>
      <c r="AX36" s="66" t="n">
        <f aca="false">AX35-'Assumption Setting'!$C$192</f>
        <v>3074842.2980994</v>
      </c>
      <c r="AY36" s="66" t="n">
        <f aca="false">AY35-'Assumption Setting'!$C$192</f>
        <v>3586057.15026923</v>
      </c>
      <c r="AZ36" s="66" t="n">
        <f aca="false">AZ35-'Assumption Setting'!$C$192</f>
        <v>3779593.00568269</v>
      </c>
      <c r="BA36" s="66" t="n">
        <f aca="false">BA35-'Assumption Setting'!$C$192</f>
        <v>4022304.52769995</v>
      </c>
      <c r="BB36" s="65" t="n">
        <f aca="false">MIN(BC36:BN36)</f>
        <v>4590216.92343156</v>
      </c>
      <c r="BC36" s="66" t="n">
        <f aca="false">BC35-'Assumption Setting'!$C$192</f>
        <v>4590216.92343156</v>
      </c>
      <c r="BD36" s="66" t="n">
        <f aca="false">BD35-'Assumption Setting'!$C$192</f>
        <v>4809002.09003198</v>
      </c>
      <c r="BE36" s="66" t="n">
        <f aca="false">BE35-'Assumption Setting'!$C$192</f>
        <v>5084632.76588349</v>
      </c>
      <c r="BF36" s="66" t="n">
        <f aca="false">BF35-'Assumption Setting'!$C$192</f>
        <v>5041324.63291412</v>
      </c>
      <c r="BG36" s="66" t="n">
        <f aca="false">BG35-'Assumption Setting'!$C$192</f>
        <v>5281011.26928553</v>
      </c>
      <c r="BH36" s="66" t="n">
        <f aca="false">BH35-'Assumption Setting'!$C$192</f>
        <v>5581507.46952413</v>
      </c>
      <c r="BI36" s="66" t="n">
        <f aca="false">BI35-'Assumption Setting'!$C$192</f>
        <v>6294887.60835331</v>
      </c>
      <c r="BJ36" s="66" t="n">
        <f aca="false">BJ35-'Assumption Setting'!$C$192</f>
        <v>6573804.95310893</v>
      </c>
      <c r="BK36" s="66" t="n">
        <f aca="false">BK35-'Assumption Setting'!$C$192</f>
        <v>6920613.43395656</v>
      </c>
      <c r="BL36" s="66" t="n">
        <f aca="false">BL35-'Assumption Setting'!$C$192</f>
        <v>7779332.20225578</v>
      </c>
      <c r="BM36" s="66" t="n">
        <f aca="false">BM35-'Assumption Setting'!$C$192</f>
        <v>8072969.45752747</v>
      </c>
      <c r="BN36" s="66" t="n">
        <f aca="false">BN35-'Assumption Setting'!$C$192</f>
        <v>8437398.88278772</v>
      </c>
    </row>
    <row r="37" customFormat="false" ht="15" hidden="false" customHeight="false" outlineLevel="0" collapsed="false">
      <c r="A37" s="12" t="s">
        <v>922</v>
      </c>
      <c r="B37" s="65" t="n">
        <f aca="false">N37</f>
        <v>-77494.4035195091</v>
      </c>
      <c r="C37" s="66" t="n">
        <f aca="false">C28+C30</f>
        <v>-12432.9891877575</v>
      </c>
      <c r="D37" s="66" t="n">
        <f aca="false">C37+D28+D30</f>
        <v>-23960.3685917813</v>
      </c>
      <c r="E37" s="66" t="n">
        <f aca="false">D37+E28+E30</f>
        <v>-32010.8820695108</v>
      </c>
      <c r="F37" s="66" t="n">
        <f aca="false">E37+F28+F30</f>
        <v>-43366.620690587</v>
      </c>
      <c r="G37" s="66" t="n">
        <f aca="false">F37+G28+G30</f>
        <v>-49571.0155626679</v>
      </c>
      <c r="H37" s="66" t="n">
        <f aca="false">G37+H28+H30</f>
        <v>-55467.0336830805</v>
      </c>
      <c r="I37" s="66" t="n">
        <f aca="false">H37+I28+I30</f>
        <v>-60035.052398623</v>
      </c>
      <c r="J37" s="66" t="n">
        <f aca="false">I37+J28+J30</f>
        <v>-65322.0342869516</v>
      </c>
      <c r="K37" s="66" t="n">
        <f aca="false">J37+K28+K30</f>
        <v>-70142.2965483503</v>
      </c>
      <c r="L37" s="66" t="n">
        <f aca="false">K37+L28+L30</f>
        <v>-81937.9156800052</v>
      </c>
      <c r="M37" s="66" t="n">
        <f aca="false">L37+M28+M30</f>
        <v>-80521.0814212435</v>
      </c>
      <c r="N37" s="66" t="n">
        <f aca="false">M37+N28+N30</f>
        <v>-77494.4035195091</v>
      </c>
      <c r="O37" s="65" t="n">
        <f aca="false">AA37</f>
        <v>1159.13637411242</v>
      </c>
      <c r="P37" s="66" t="n">
        <f aca="false">N37+P28+P30</f>
        <v>-74451.2328944326</v>
      </c>
      <c r="Q37" s="66" t="n">
        <f aca="false">P37+Q28+Q30</f>
        <v>-89873.8454835389</v>
      </c>
      <c r="R37" s="66" t="n">
        <f aca="false">Q37+R28+R30</f>
        <v>-103197.810855383</v>
      </c>
      <c r="S37" s="66" t="n">
        <f aca="false">R37+S28+S30</f>
        <v>-116125.77237407</v>
      </c>
      <c r="T37" s="66" t="n">
        <f aca="false">S37+T28+T30</f>
        <v>-122996.444097492</v>
      </c>
      <c r="U37" s="66" t="n">
        <f aca="false">T37+U28+U30</f>
        <v>-126294.488865208</v>
      </c>
      <c r="V37" s="66" t="n">
        <f aca="false">U37+V28+V30</f>
        <v>-125205.588399413</v>
      </c>
      <c r="W37" s="66" t="n">
        <f aca="false">V37+W28+W30</f>
        <v>-115567.178597182</v>
      </c>
      <c r="X37" s="66" t="n">
        <f aca="false">W37+X28+X30</f>
        <v>-99518.1113683511</v>
      </c>
      <c r="Y37" s="66" t="n">
        <f aca="false">X37+Y28+Y30</f>
        <v>-72865.0611218414</v>
      </c>
      <c r="Z37" s="66" t="n">
        <f aca="false">Y37+Z28+Z30</f>
        <v>-40967.4455088425</v>
      </c>
      <c r="AA37" s="66" t="n">
        <f aca="false">Z37+AA28+AA30</f>
        <v>1159.13637411242</v>
      </c>
      <c r="AB37" s="65" t="n">
        <f aca="false">AN37</f>
        <v>1123393.64132164</v>
      </c>
      <c r="AC37" s="66" t="n">
        <f aca="false">AA37+AC28+AC30</f>
        <v>49743.3540395702</v>
      </c>
      <c r="AD37" s="66" t="n">
        <f aca="false">AC37+AD28+AD30</f>
        <v>76011.5848371776</v>
      </c>
      <c r="AE37" s="66" t="n">
        <f aca="false">AD37+AE28+AE30</f>
        <v>117356.032990952</v>
      </c>
      <c r="AF37" s="66" t="n">
        <f aca="false">AE37+AF28+AF30</f>
        <v>206971.768350963</v>
      </c>
      <c r="AG37" s="66" t="n">
        <f aca="false">AF37+AG28+AG30</f>
        <v>250844.890754584</v>
      </c>
      <c r="AH37" s="66" t="n">
        <f aca="false">AG37+AH28+AH30</f>
        <v>312891.970015573</v>
      </c>
      <c r="AI37" s="66" t="n">
        <f aca="false">AH37+AI28+AI30</f>
        <v>470705.842360161</v>
      </c>
      <c r="AJ37" s="66" t="n">
        <f aca="false">AI37+AJ28+AJ30</f>
        <v>546258.105330579</v>
      </c>
      <c r="AK37" s="66" t="n">
        <f aca="false">AJ37+AK28+AK30</f>
        <v>645506.046970944</v>
      </c>
      <c r="AL37" s="66" t="n">
        <f aca="false">AK37+AL28+AL30</f>
        <v>919561.252050498</v>
      </c>
      <c r="AM37" s="66" t="n">
        <f aca="false">AL37+AM28+AM30</f>
        <v>1008426.0357464</v>
      </c>
      <c r="AN37" s="66" t="n">
        <f aca="false">AM37+AN28+AN30</f>
        <v>1123393.64132164</v>
      </c>
      <c r="AO37" s="65" t="n">
        <f aca="false">BA37</f>
        <v>3762304.52769995</v>
      </c>
      <c r="AP37" s="66" t="n">
        <f aca="false">AN37+AP28+AP30</f>
        <v>1385184.41489661</v>
      </c>
      <c r="AQ37" s="66" t="n">
        <f aca="false">AP37+AQ28+AQ30</f>
        <v>1491520.45715231</v>
      </c>
      <c r="AR37" s="66" t="n">
        <f aca="false">AQ37+AR28+AR30</f>
        <v>1631376.49479371</v>
      </c>
      <c r="AS37" s="66" t="n">
        <f aca="false">AR37+AS28+AS30</f>
        <v>1658401.99359619</v>
      </c>
      <c r="AT37" s="66" t="n">
        <f aca="false">AS37+AT28+AT30</f>
        <v>1798608.83142064</v>
      </c>
      <c r="AU37" s="66" t="n">
        <f aca="false">AT37+AU28+AU30</f>
        <v>1978345.36430299</v>
      </c>
      <c r="AV37" s="66" t="n">
        <f aca="false">AU37+AV28+AV30</f>
        <v>2440416.31859374</v>
      </c>
      <c r="AW37" s="66" t="n">
        <f aca="false">AV37+AW28+AW30</f>
        <v>2605588.52517416</v>
      </c>
      <c r="AX37" s="66" t="n">
        <f aca="false">AW37+AX28+AX30</f>
        <v>2814842.2980994</v>
      </c>
      <c r="AY37" s="66" t="n">
        <f aca="false">AX37+AY28+AY30</f>
        <v>3326057.15026923</v>
      </c>
      <c r="AZ37" s="66" t="n">
        <f aca="false">AY37+AZ28+AZ30</f>
        <v>3519593.00568269</v>
      </c>
      <c r="BA37" s="66" t="n">
        <f aca="false">AZ37+BA28+BA30</f>
        <v>3762304.52769995</v>
      </c>
      <c r="BB37" s="65" t="n">
        <f aca="false">BN37</f>
        <v>8177398.88278772</v>
      </c>
      <c r="BC37" s="66" t="n">
        <f aca="false">BA37+BC28+BC30</f>
        <v>4330216.92343156</v>
      </c>
      <c r="BD37" s="66" t="n">
        <f aca="false">BC37+BD28+BD30</f>
        <v>4549002.09003198</v>
      </c>
      <c r="BE37" s="66" t="n">
        <f aca="false">BD37+BE28+BE30</f>
        <v>4824632.76588349</v>
      </c>
      <c r="BF37" s="66" t="n">
        <f aca="false">BE37+BF28+BF30</f>
        <v>4781324.63291412</v>
      </c>
      <c r="BG37" s="66" t="n">
        <f aca="false">BF37+BG28+BG30</f>
        <v>5021011.26928553</v>
      </c>
      <c r="BH37" s="66" t="n">
        <f aca="false">BG37+BH28+BH30</f>
        <v>5321507.46952413</v>
      </c>
      <c r="BI37" s="66" t="n">
        <f aca="false">BH37+BI28+BI30</f>
        <v>6034887.60835331</v>
      </c>
      <c r="BJ37" s="66" t="n">
        <f aca="false">BI37+BJ28+BJ30</f>
        <v>6313804.95310893</v>
      </c>
      <c r="BK37" s="66" t="n">
        <f aca="false">BJ37+BK28+BK30</f>
        <v>6660613.43395656</v>
      </c>
      <c r="BL37" s="66" t="n">
        <f aca="false">BK37+BL28+BL30</f>
        <v>7519332.20225578</v>
      </c>
      <c r="BM37" s="66" t="n">
        <f aca="false">BL37+BM28+BM30</f>
        <v>7812969.45752747</v>
      </c>
      <c r="BN37" s="66" t="n">
        <f aca="false">BM37+BN28+BN30</f>
        <v>8177398.88278772</v>
      </c>
    </row>
    <row r="39" customFormat="false" ht="16.5" hidden="false" customHeight="true" outlineLevel="0" collapsed="false">
      <c r="A39" s="15" t="s">
        <v>923</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false" outlineLevel="0" collapsed="false">
      <c r="A40" s="16"/>
      <c r="B40" s="16"/>
      <c r="C40" s="17" t="s">
        <v>80</v>
      </c>
      <c r="D40" s="17" t="s">
        <v>81</v>
      </c>
      <c r="E40" s="17" t="s">
        <v>82</v>
      </c>
      <c r="F40" s="17" t="s">
        <v>83</v>
      </c>
      <c r="G40" s="17" t="s">
        <v>84</v>
      </c>
    </row>
    <row r="41" customFormat="false" ht="15" hidden="false" customHeight="false" outlineLevel="0" collapsed="false">
      <c r="A41" s="12" t="s">
        <v>878</v>
      </c>
      <c r="B41" s="119" t="n">
        <f aca="false">B9</f>
        <v>-36126.5509537965</v>
      </c>
      <c r="O41" s="119" t="n">
        <f aca="false">O9</f>
        <v>204574.553853475</v>
      </c>
      <c r="AB41" s="119" t="n">
        <f aca="false">AB9</f>
        <v>1119294.67696051</v>
      </c>
      <c r="AO41" s="119" t="n">
        <f aca="false">AO9</f>
        <v>2538327.81556594</v>
      </c>
      <c r="BB41" s="119" t="n">
        <f aca="false">BB9</f>
        <v>4173016.52444145</v>
      </c>
    </row>
    <row r="42" customFormat="false" ht="15" hidden="false" customHeight="false" outlineLevel="0" collapsed="false">
      <c r="A42" s="12" t="s">
        <v>836</v>
      </c>
      <c r="B42" s="119" t="n">
        <f aca="false">B10</f>
        <v>3387.5</v>
      </c>
      <c r="O42" s="119" t="n">
        <f aca="false">O10</f>
        <v>5081.25</v>
      </c>
      <c r="AB42" s="119" t="n">
        <f aca="false">AB10</f>
        <v>10127.0833333333</v>
      </c>
      <c r="AO42" s="119" t="n">
        <f aca="false">AO10</f>
        <v>11608.3333333333</v>
      </c>
      <c r="BB42" s="119" t="n">
        <f aca="false">BB10</f>
        <v>11845.8333333333</v>
      </c>
    </row>
    <row r="43" customFormat="false" ht="15" hidden="false" customHeight="false" outlineLevel="0" collapsed="false">
      <c r="A43" s="12" t="s">
        <v>908</v>
      </c>
      <c r="B43" s="119" t="n">
        <f aca="false">B23</f>
        <v>-59856.4857743939</v>
      </c>
      <c r="O43" s="119" t="n">
        <f aca="false">O23</f>
        <v>-318891.50252399</v>
      </c>
      <c r="AB43" s="119" t="n">
        <f aca="false">AB23</f>
        <v>-585304.13680594</v>
      </c>
      <c r="AO43" s="119" t="n">
        <f aca="false">AO23</f>
        <v>-795986.050963273</v>
      </c>
      <c r="BB43" s="119" t="n">
        <f aca="false">BB23</f>
        <v>-737595.298870367</v>
      </c>
    </row>
    <row r="44" customFormat="false" ht="15" hidden="false" customHeight="false" outlineLevel="0" collapsed="false">
      <c r="A44" s="12" t="s">
        <v>909</v>
      </c>
      <c r="B44" s="119" t="n">
        <f aca="false">B24</f>
        <v>14320.2073211813</v>
      </c>
      <c r="O44" s="119" t="n">
        <f aca="false">O24</f>
        <v>61331.3302619449</v>
      </c>
      <c r="AB44" s="119" t="n">
        <f aca="false">AB24</f>
        <v>121918.27009175</v>
      </c>
      <c r="AO44" s="119" t="n">
        <f aca="false">AO24</f>
        <v>160476.159951379</v>
      </c>
      <c r="BB44" s="119" t="n">
        <f aca="false">BB24</f>
        <v>157289.618024161</v>
      </c>
    </row>
    <row r="45" customFormat="false" ht="15" hidden="false" customHeight="false" outlineLevel="0" collapsed="false">
      <c r="A45" s="12" t="s">
        <v>910</v>
      </c>
      <c r="B45" s="119" t="n">
        <f aca="false">B25</f>
        <v>1251.25</v>
      </c>
      <c r="O45" s="119" t="n">
        <f aca="false">O25</f>
        <v>3445.75</v>
      </c>
      <c r="AB45" s="119" t="n">
        <f aca="false">AB25</f>
        <v>6429.5</v>
      </c>
      <c r="AO45" s="119" t="n">
        <f aca="false">AO25</f>
        <v>4369.75</v>
      </c>
      <c r="BB45" s="119" t="n">
        <f aca="false">BB25</f>
        <v>2868.25</v>
      </c>
    </row>
    <row r="46" customFormat="false" ht="15" hidden="false" customHeight="false" outlineLevel="0" collapsed="false">
      <c r="A46" s="12" t="s">
        <v>911</v>
      </c>
      <c r="B46" s="119" t="n">
        <f aca="false">B26</f>
        <v>13229.6758875</v>
      </c>
      <c r="O46" s="119" t="n">
        <f aca="false">O26</f>
        <v>78257.8993958333</v>
      </c>
      <c r="AB46" s="119" t="n">
        <f aca="false">AB26</f>
        <v>195466.851156667</v>
      </c>
      <c r="AO46" s="119" t="n">
        <f aca="false">AO26</f>
        <v>313537.51567</v>
      </c>
      <c r="BB46" s="119" t="n">
        <f aca="false">BB26</f>
        <v>338482.383646944</v>
      </c>
    </row>
    <row r="47" customFormat="false" ht="15" hidden="false" customHeight="false" outlineLevel="0" collapsed="false">
      <c r="A47" s="12" t="s">
        <v>912</v>
      </c>
      <c r="B47" s="119" t="n">
        <f aca="false">B27</f>
        <v>0</v>
      </c>
      <c r="O47" s="119" t="n">
        <f aca="false">O27</f>
        <v>48904.2589063583</v>
      </c>
      <c r="AB47" s="119" t="n">
        <f aca="false">AB27</f>
        <v>276052.260211209</v>
      </c>
      <c r="AO47" s="119" t="n">
        <f aca="false">AO27</f>
        <v>411977.362820931</v>
      </c>
      <c r="BB47" s="119" t="n">
        <f aca="false">BB27</f>
        <v>474587.044512244</v>
      </c>
    </row>
    <row r="48" customFormat="false" ht="15" hidden="false" customHeight="false" outlineLevel="0" collapsed="false">
      <c r="A48" s="18" t="s">
        <v>913</v>
      </c>
      <c r="B48" s="116" t="n">
        <f aca="false">B28</f>
        <v>-63794.4035195091</v>
      </c>
      <c r="O48" s="116" t="n">
        <f aca="false">O28</f>
        <v>82703.5398936215</v>
      </c>
      <c r="AB48" s="116" t="n">
        <f aca="false">AB28</f>
        <v>1143984.50494753</v>
      </c>
      <c r="AO48" s="116" t="n">
        <f aca="false">AO28</f>
        <v>2644310.88637831</v>
      </c>
      <c r="BB48" s="116" t="n">
        <f aca="false">BB28</f>
        <v>4420494.35508777</v>
      </c>
    </row>
    <row r="49" customFormat="false" ht="15" hidden="false" customHeight="false" outlineLevel="0" collapsed="false">
      <c r="A49" s="18" t="s">
        <v>915</v>
      </c>
      <c r="B49" s="116" t="n">
        <f aca="false">B30</f>
        <v>-13700</v>
      </c>
      <c r="O49" s="116" t="n">
        <f aca="false">O30</f>
        <v>-4050</v>
      </c>
      <c r="AB49" s="116" t="n">
        <f aca="false">AB30</f>
        <v>-21750</v>
      </c>
      <c r="AO49" s="116" t="n">
        <f aca="false">AO30</f>
        <v>-5400</v>
      </c>
      <c r="BB49" s="116" t="n">
        <f aca="false">BB30</f>
        <v>-5400</v>
      </c>
    </row>
    <row r="50" customFormat="false" ht="15" hidden="false" customHeight="false" outlineLevel="0" collapsed="false">
      <c r="A50" s="18" t="s">
        <v>917</v>
      </c>
      <c r="B50" s="116" t="n">
        <f aca="false">B32</f>
        <v>250000</v>
      </c>
      <c r="O50" s="116" t="n">
        <f aca="false">O32</f>
        <v>0</v>
      </c>
      <c r="AB50" s="116" t="n">
        <f aca="false">AB32</f>
        <v>0</v>
      </c>
      <c r="AO50" s="116" t="n">
        <f aca="false">AO32</f>
        <v>0</v>
      </c>
      <c r="BB50" s="116" t="n">
        <f aca="false">BB32</f>
        <v>0</v>
      </c>
    </row>
    <row r="51" customFormat="false" ht="15" hidden="false" customHeight="false" outlineLevel="0" collapsed="false">
      <c r="A51" s="18" t="s">
        <v>918</v>
      </c>
      <c r="B51" s="116" t="n">
        <f aca="false">B33</f>
        <v>172505.596480491</v>
      </c>
      <c r="O51" s="116" t="n">
        <f aca="false">O33</f>
        <v>78653.5398936215</v>
      </c>
      <c r="AB51" s="116" t="n">
        <f aca="false">AB33</f>
        <v>1122234.50494753</v>
      </c>
      <c r="AO51" s="116" t="n">
        <f aca="false">AO33</f>
        <v>2638910.88637831</v>
      </c>
      <c r="BB51" s="116" t="n">
        <f aca="false">BB33</f>
        <v>4415094.35508777</v>
      </c>
    </row>
    <row r="52" customFormat="false" ht="15" hidden="false" customHeight="false" outlineLevel="0" collapsed="false">
      <c r="A52" s="18" t="s">
        <v>924</v>
      </c>
      <c r="B52" s="116" t="n">
        <f aca="false">N35</f>
        <v>222505.596480491</v>
      </c>
      <c r="O52" s="116" t="n">
        <f aca="false">AA35</f>
        <v>301159.136374112</v>
      </c>
      <c r="AB52" s="116" t="n">
        <f aca="false">AN35</f>
        <v>1423393.64132164</v>
      </c>
      <c r="AO52" s="116" t="n">
        <f aca="false">BA35</f>
        <v>4062304.52769995</v>
      </c>
      <c r="BB52" s="116" t="n">
        <f aca="false">BN35</f>
        <v>8477398.88278772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845</v>
      </c>
    </row>
    <row r="2" customFormat="false" ht="13.5" hidden="false" customHeight="true" outlineLevel="0" collapsed="false">
      <c r="A2" s="6" t="s">
        <v>925</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926</v>
      </c>
      <c r="B5" s="15"/>
      <c r="C5" s="15"/>
      <c r="D5" s="15"/>
      <c r="E5" s="15"/>
      <c r="F5" s="15"/>
      <c r="G5" s="15"/>
      <c r="H5" s="15"/>
      <c r="I5" s="15"/>
      <c r="J5" s="15"/>
    </row>
    <row r="6" customFormat="false" ht="15" hidden="false" customHeight="false" outlineLevel="0" collapsed="false">
      <c r="A6" s="16"/>
      <c r="B6" s="16"/>
      <c r="C6" s="17" t="s">
        <v>80</v>
      </c>
      <c r="D6" s="17" t="s">
        <v>81</v>
      </c>
      <c r="E6" s="17" t="s">
        <v>82</v>
      </c>
      <c r="F6" s="17" t="s">
        <v>83</v>
      </c>
      <c r="G6" s="17" t="s">
        <v>84</v>
      </c>
    </row>
    <row r="7" customFormat="false" ht="15" hidden="false" customHeight="false" outlineLevel="0" collapsed="false">
      <c r="A7" s="18" t="s">
        <v>85</v>
      </c>
      <c r="C7" s="25" t="n">
        <f aca="false">'Income Statement'!$C$7</f>
        <v>111092.203503409</v>
      </c>
      <c r="D7" s="25" t="n">
        <f aca="false">'Income Statement'!$D$7</f>
        <v>897001.554313258</v>
      </c>
      <c r="E7" s="25" t="n">
        <f aca="false">'Income Statement'!$E$7</f>
        <v>3342076.96762152</v>
      </c>
      <c r="F7" s="25" t="n">
        <f aca="false">'Income Statement'!$F$7</f>
        <v>6651975.79649727</v>
      </c>
      <c r="G7" s="25" t="n">
        <f aca="false">'Income Statement'!$G$7</f>
        <v>10320927.9251864</v>
      </c>
    </row>
    <row r="8" customFormat="false" ht="15" hidden="false" customHeight="false" outlineLevel="0" collapsed="false">
      <c r="A8" s="12" t="s">
        <v>927</v>
      </c>
      <c r="B8" s="22" t="s">
        <v>928</v>
      </c>
      <c r="C8" s="120" t="s">
        <v>929</v>
      </c>
      <c r="D8" s="120" t="n">
        <f aca="false">IFERROR(D7/C7-1,0)</f>
        <v>7.07438799506512</v>
      </c>
      <c r="E8" s="120" t="n">
        <f aca="false">IFERROR(E7/D7-1,0)</f>
        <v>2.72583185787253</v>
      </c>
      <c r="F8" s="120" t="n">
        <f aca="false">IFERROR(F7/E7-1,0)</f>
        <v>0.990371813977504</v>
      </c>
      <c r="G8" s="120" t="n">
        <f aca="false">IFERROR(G7/F7-1,0)</f>
        <v>0.551558249899387</v>
      </c>
    </row>
    <row r="9" customFormat="false" ht="15" hidden="false" customHeight="false" outlineLevel="0" collapsed="false">
      <c r="A9" s="12" t="s">
        <v>750</v>
      </c>
      <c r="B9" s="22" t="s">
        <v>930</v>
      </c>
      <c r="C9" s="120" t="n">
        <f aca="false">IFERROR('Revenue Streams'!B$41/'Total Revenue'!B$25,0)</f>
        <v>0.941920285133141</v>
      </c>
      <c r="D9" s="120" t="n">
        <f aca="false">IFERROR('Revenue Streams'!O$41/'Total Revenue'!O$25,0)</f>
        <v>0.954736361249293</v>
      </c>
      <c r="E9" s="120" t="n">
        <f aca="false">IFERROR('Revenue Streams'!AB$41/'Total Revenue'!AB$25,0)</f>
        <v>0.939248266994278</v>
      </c>
      <c r="F9" s="120" t="n">
        <f aca="false">IFERROR('Revenue Streams'!AO$41/'Total Revenue'!AO$25,0)</f>
        <v>0.916539714893489</v>
      </c>
      <c r="G9" s="120" t="n">
        <f aca="false">IFERROR('Revenue Streams'!BB$41/'Total Revenue'!BB$25,0)</f>
        <v>0.897481318263611</v>
      </c>
    </row>
    <row r="10" customFormat="false" ht="15" hidden="false" customHeight="false" outlineLevel="0" collapsed="false">
      <c r="A10" s="12" t="s">
        <v>93</v>
      </c>
      <c r="B10" s="22" t="s">
        <v>931</v>
      </c>
      <c r="C10" s="121" t="n">
        <f aca="false">'Revenue Streams'!B$25</f>
        <v>14</v>
      </c>
      <c r="D10" s="121" t="n">
        <f aca="false">'Revenue Streams'!O$25</f>
        <v>48</v>
      </c>
      <c r="E10" s="121" t="n">
        <f aca="false">'Revenue Streams'!AB$25</f>
        <v>136</v>
      </c>
      <c r="F10" s="121" t="n">
        <f aca="false">'Revenue Streams'!AO$25</f>
        <v>232</v>
      </c>
      <c r="G10" s="121" t="n">
        <f aca="false">'Revenue Streams'!BB$25</f>
        <v>328</v>
      </c>
    </row>
    <row r="11" customFormat="false" ht="15" hidden="false" customHeight="false" outlineLevel="0" collapsed="false">
      <c r="A11" s="12" t="s">
        <v>94</v>
      </c>
      <c r="C11" s="121" t="n">
        <f aca="false">Acquisitions!B$72</f>
        <v>4828.05590909091</v>
      </c>
      <c r="D11" s="121" t="n">
        <f aca="false">Acquisitions!O$72</f>
        <v>25676.3454545455</v>
      </c>
      <c r="E11" s="121" t="n">
        <f aca="false">Acquisitions!AB$72</f>
        <v>79411.5663636364</v>
      </c>
      <c r="F11" s="121" t="n">
        <f aca="false">Acquisitions!AO$72</f>
        <v>159213.588484849</v>
      </c>
      <c r="G11" s="121" t="n">
        <f aca="false">Acquisitions!BB$72</f>
        <v>244435.929166667</v>
      </c>
    </row>
    <row r="12" customFormat="false" ht="15" hidden="false" customHeight="false" outlineLevel="0" collapsed="false">
      <c r="A12" s="12" t="s">
        <v>932</v>
      </c>
      <c r="C12" s="121" t="n">
        <f aca="false">Acquisitions!N$73</f>
        <v>5128.05590909091</v>
      </c>
      <c r="D12" s="121" t="n">
        <f aca="false">Acquisitions!AA$73</f>
        <v>30804.4013636364</v>
      </c>
      <c r="E12" s="121" t="n">
        <f aca="false">Acquisitions!AN$73</f>
        <v>110215.967727273</v>
      </c>
      <c r="F12" s="121" t="n">
        <f aca="false">Acquisitions!BA$73</f>
        <v>269429.556212121</v>
      </c>
      <c r="G12" s="121" t="n">
        <f aca="false">Acquisitions!BN$73</f>
        <v>513865.485378788</v>
      </c>
    </row>
    <row r="13" customFormat="false" ht="15" hidden="false" customHeight="false" outlineLevel="0" collapsed="false">
      <c r="A13" s="12" t="s">
        <v>95</v>
      </c>
      <c r="C13" s="121" t="n">
        <f aca="false">Acquisitions!N$75</f>
        <v>138.989340445837</v>
      </c>
      <c r="D13" s="121" t="n">
        <f aca="false">Acquisitions!AA$75</f>
        <v>1006.85664605295</v>
      </c>
      <c r="E13" s="121" t="n">
        <f aca="false">Acquisitions!AN$75</f>
        <v>4226.77646429424</v>
      </c>
      <c r="F13" s="121" t="n">
        <f aca="false">Acquisitions!BA$75</f>
        <v>10863.8739379104</v>
      </c>
      <c r="G13" s="121" t="n">
        <f aca="false">Acquisitions!BN$75</f>
        <v>20256.1404820315</v>
      </c>
    </row>
    <row r="14" customFormat="false" ht="15" hidden="false" customHeight="false" outlineLevel="0" collapsed="false">
      <c r="A14" s="12" t="s">
        <v>92</v>
      </c>
      <c r="B14" s="22" t="s">
        <v>933</v>
      </c>
      <c r="C14" s="121" t="n">
        <f aca="false">Payroll!N$73</f>
        <v>4</v>
      </c>
      <c r="D14" s="121" t="n">
        <f aca="false">Payroll!AA$73</f>
        <v>7</v>
      </c>
      <c r="E14" s="121" t="n">
        <f aca="false">Payroll!AN$73</f>
        <v>12</v>
      </c>
      <c r="F14" s="121" t="n">
        <f aca="false">Payroll!BA$73</f>
        <v>16</v>
      </c>
      <c r="G14" s="121" t="n">
        <f aca="false">Payroll!BN$73</f>
        <v>20</v>
      </c>
    </row>
    <row r="15" customFormat="false" ht="15" hidden="false" customHeight="false" outlineLevel="0" collapsed="false">
      <c r="A15" s="12" t="s">
        <v>934</v>
      </c>
      <c r="C15" s="119" t="n">
        <f aca="false">IFERROR(C7/C14,0)</f>
        <v>27773.0508758523</v>
      </c>
      <c r="D15" s="119" t="n">
        <f aca="false">IFERROR(D7/D14,0)</f>
        <v>128143.079187608</v>
      </c>
      <c r="E15" s="119" t="n">
        <f aca="false">IFERROR(E7/E14,0)</f>
        <v>278506.41396846</v>
      </c>
      <c r="F15" s="119" t="n">
        <f aca="false">IFERROR(F7/F14,0)</f>
        <v>415748.48728108</v>
      </c>
      <c r="G15" s="119" t="n">
        <f aca="false">IFERROR(G7/G14,0)</f>
        <v>516046.396259319</v>
      </c>
    </row>
    <row r="16" customFormat="false" ht="15" hidden="false" customHeight="false" outlineLevel="0" collapsed="false">
      <c r="A16" s="12" t="s">
        <v>294</v>
      </c>
      <c r="B16" s="22" t="s">
        <v>935</v>
      </c>
      <c r="C16" s="121" t="n">
        <f aca="false">'Revenue Streams'!N$23</f>
        <v>15</v>
      </c>
      <c r="D16" s="121" t="n">
        <f aca="false">'Revenue Streams'!AA$23</f>
        <v>34</v>
      </c>
      <c r="E16" s="121" t="n">
        <f aca="false">'Revenue Streams'!AN$23</f>
        <v>58</v>
      </c>
      <c r="F16" s="121" t="n">
        <f aca="false">'Revenue Streams'!BA$23</f>
        <v>90</v>
      </c>
      <c r="G16" s="121" t="n">
        <f aca="false">'Revenue Streams'!BN$23</f>
        <v>122</v>
      </c>
    </row>
    <row r="18" customFormat="false" ht="16.5" hidden="false" customHeight="true" outlineLevel="0" collapsed="false">
      <c r="A18" s="15" t="s">
        <v>936</v>
      </c>
      <c r="B18" s="15"/>
      <c r="C18" s="15"/>
      <c r="D18" s="15"/>
      <c r="E18" s="15"/>
      <c r="F18" s="15"/>
      <c r="G18" s="15"/>
      <c r="H18" s="15"/>
      <c r="I18" s="15"/>
      <c r="J18" s="15"/>
    </row>
    <row r="19" customFormat="false" ht="15" hidden="false" customHeight="false" outlineLevel="0" collapsed="false">
      <c r="A19" s="16"/>
      <c r="B19" s="16"/>
      <c r="C19" s="17" t="s">
        <v>80</v>
      </c>
      <c r="D19" s="17" t="s">
        <v>81</v>
      </c>
      <c r="E19" s="17" t="s">
        <v>82</v>
      </c>
      <c r="F19" s="17" t="s">
        <v>83</v>
      </c>
      <c r="G19" s="17" t="s">
        <v>84</v>
      </c>
    </row>
    <row r="20" customFormat="false" ht="15" hidden="false" customHeight="false" outlineLevel="0" collapsed="false">
      <c r="A20" s="12" t="s">
        <v>86</v>
      </c>
      <c r="C20" s="20" t="n">
        <f aca="false">'Income Statement'!$C$10</f>
        <v>68940.9445288291</v>
      </c>
      <c r="D20" s="20" t="n">
        <f aca="false">'Income Statement'!$D$10</f>
        <v>653883.976372905</v>
      </c>
      <c r="E20" s="20" t="n">
        <f aca="false">'Income Statement'!$E$10</f>
        <v>2424621.15190277</v>
      </c>
      <c r="F20" s="20" t="n">
        <f aca="false">'Income Statement'!$F$10</f>
        <v>4793798.55800812</v>
      </c>
      <c r="G20" s="20" t="n">
        <f aca="false">'Income Statement'!$G$10</f>
        <v>7390234.30645809</v>
      </c>
    </row>
    <row r="21" customFormat="false" ht="15" hidden="false" customHeight="false" outlineLevel="0" collapsed="false">
      <c r="A21" s="18" t="s">
        <v>819</v>
      </c>
      <c r="C21" s="54" t="n">
        <f aca="false">IFERROR(C20/C7,0)</f>
        <v>0.620574102904652</v>
      </c>
      <c r="D21" s="54" t="n">
        <f aca="false">IFERROR(D20/D7,0)</f>
        <v>0.728966380524856</v>
      </c>
      <c r="E21" s="54" t="n">
        <f aca="false">IFERROR(E20/E7,0)</f>
        <v>0.725483337275838</v>
      </c>
      <c r="F21" s="54" t="n">
        <f aca="false">IFERROR(F20/F7,0)</f>
        <v>0.720657847331974</v>
      </c>
      <c r="G21" s="54" t="n">
        <f aca="false">IFERROR(G20/G7,0)</f>
        <v>0.716043592206815</v>
      </c>
    </row>
    <row r="22" customFormat="false" ht="15" hidden="false" customHeight="false" outlineLevel="0" collapsed="false">
      <c r="A22" s="12" t="s">
        <v>87</v>
      </c>
      <c r="C22" s="20" t="n">
        <f aca="false">'Income Statement'!$C$30</f>
        <v>-32739.0509537965</v>
      </c>
      <c r="D22" s="20" t="n">
        <f aca="false">'Income Statement'!$D$30</f>
        <v>258560.062759833</v>
      </c>
      <c r="E22" s="20" t="n">
        <f aca="false">'Income Statement'!$E$30</f>
        <v>1454378.27941141</v>
      </c>
      <c r="F22" s="20" t="n">
        <f aca="false">'Income Statement'!$F$30</f>
        <v>3286870.03083777</v>
      </c>
      <c r="G22" s="20" t="n">
        <f aca="false">'Income Statement'!$G$30</f>
        <v>5396383.28422552</v>
      </c>
    </row>
    <row r="23" customFormat="false" ht="15" hidden="false" customHeight="false" outlineLevel="0" collapsed="false">
      <c r="A23" s="18" t="s">
        <v>870</v>
      </c>
      <c r="C23" s="54" t="n">
        <f aca="false">IFERROR(C22/C7,0)</f>
        <v>-0.294701607505623</v>
      </c>
      <c r="D23" s="54" t="n">
        <f aca="false">IFERROR(D22/D7,0)</f>
        <v>0.288249291783877</v>
      </c>
      <c r="E23" s="54" t="n">
        <f aca="false">IFERROR(E22/E7,0)</f>
        <v>0.435171988407694</v>
      </c>
      <c r="F23" s="54" t="n">
        <f aca="false">IFERROR(F22/F7,0)</f>
        <v>0.494119361133054</v>
      </c>
      <c r="G23" s="54" t="n">
        <f aca="false">IFERROR(G22/G7,0)</f>
        <v>0.522858344069685</v>
      </c>
    </row>
    <row r="24" customFormat="false" ht="15" hidden="false" customHeight="false" outlineLevel="0" collapsed="false">
      <c r="A24" s="12" t="s">
        <v>88</v>
      </c>
      <c r="C24" s="20" t="n">
        <f aca="false">'Income Statement'!$C$40</f>
        <v>-36126.5509537965</v>
      </c>
      <c r="D24" s="20" t="n">
        <f aca="false">'Income Statement'!$D$40</f>
        <v>204574.553853475</v>
      </c>
      <c r="E24" s="20" t="n">
        <f aca="false">'Income Statement'!$E$40</f>
        <v>1119294.67696051</v>
      </c>
      <c r="F24" s="20" t="n">
        <f aca="false">'Income Statement'!$F$40</f>
        <v>2538327.81556594</v>
      </c>
      <c r="G24" s="20" t="n">
        <f aca="false">'Income Statement'!$G$40</f>
        <v>4173016.52444145</v>
      </c>
    </row>
    <row r="25" customFormat="false" ht="15" hidden="false" customHeight="false" outlineLevel="0" collapsed="false">
      <c r="A25" s="18" t="s">
        <v>937</v>
      </c>
      <c r="C25" s="54" t="n">
        <f aca="false">IFERROR(C24/C7,0)</f>
        <v>-0.325194296399818</v>
      </c>
      <c r="D25" s="54" t="n">
        <f aca="false">IFERROR(D24/D7,0)</f>
        <v>0.228064882239916</v>
      </c>
      <c r="E25" s="54" t="n">
        <f aca="false">IFERROR(E24/E7,0)</f>
        <v>0.334909904171683</v>
      </c>
      <c r="F25" s="54" t="n">
        <f aca="false">IFERROR(F24/F7,0)</f>
        <v>0.381590055830111</v>
      </c>
      <c r="G25" s="54" t="n">
        <f aca="false">IFERROR(G24/G7,0)</f>
        <v>0.40432571128202</v>
      </c>
    </row>
    <row r="26" customFormat="false" ht="15" hidden="false" customHeight="false" outlineLevel="0" collapsed="false">
      <c r="A26" s="18" t="s">
        <v>89</v>
      </c>
      <c r="C26" s="19" t="n">
        <f aca="false">Expenses!B$50</f>
        <v>147218.754457206</v>
      </c>
      <c r="D26" s="19" t="n">
        <f aca="false">Expenses!O$50</f>
        <v>643522.741553424</v>
      </c>
      <c r="E26" s="19" t="n">
        <f aca="false">Expenses!AB$50</f>
        <v>1897825.77154344</v>
      </c>
      <c r="F26" s="19" t="n">
        <f aca="false">Expenses!AO$50</f>
        <v>3376714.09899283</v>
      </c>
      <c r="G26" s="19" t="n">
        <f aca="false">Expenses!BB$50</f>
        <v>4936390.4742942</v>
      </c>
    </row>
    <row r="27" customFormat="false" ht="15" hidden="false" customHeight="false" outlineLevel="0" collapsed="false">
      <c r="A27" s="18" t="s">
        <v>938</v>
      </c>
      <c r="B27" s="22" t="s">
        <v>939</v>
      </c>
      <c r="C27" s="23" t="n">
        <f aca="false">'Assumption Setting'!$C$195-C26</f>
        <v>2781.24554279444</v>
      </c>
      <c r="D27" s="23" t="str">
        <f aca="false">""</f>
        <v/>
      </c>
      <c r="E27" s="23" t="str">
        <f aca="false">""</f>
        <v/>
      </c>
      <c r="F27" s="23" t="str">
        <f aca="false">""</f>
        <v/>
      </c>
      <c r="G27" s="23" t="str">
        <f aca="false">""</f>
        <v/>
      </c>
    </row>
    <row r="29" customFormat="false" ht="16.5" hidden="false" customHeight="true" outlineLevel="0" collapsed="false">
      <c r="A29" s="15" t="s">
        <v>940</v>
      </c>
      <c r="B29" s="15"/>
      <c r="C29" s="15"/>
      <c r="D29" s="15"/>
      <c r="E29" s="15"/>
      <c r="F29" s="15"/>
      <c r="G29" s="15"/>
      <c r="H29" s="15"/>
      <c r="I29" s="15"/>
      <c r="J29" s="15"/>
    </row>
    <row r="30" customFormat="false" ht="15" hidden="false" customHeight="false" outlineLevel="0" collapsed="false">
      <c r="A30" s="16"/>
      <c r="B30" s="16"/>
      <c r="C30" s="17" t="s">
        <v>80</v>
      </c>
      <c r="D30" s="17" t="s">
        <v>81</v>
      </c>
      <c r="E30" s="17" t="s">
        <v>82</v>
      </c>
      <c r="F30" s="17" t="s">
        <v>83</v>
      </c>
      <c r="G30" s="17" t="s">
        <v>84</v>
      </c>
    </row>
    <row r="31" customFormat="false" ht="15" hidden="false" customHeight="false" outlineLevel="0" collapsed="false">
      <c r="A31" s="12" t="s">
        <v>941</v>
      </c>
      <c r="C31" s="122" t="n">
        <f aca="false">Acquisitions!B$34</f>
        <v>1.83759766587973</v>
      </c>
      <c r="D31" s="122" t="n">
        <f aca="false">Acquisitions!O$34</f>
        <v>1.80666123098217</v>
      </c>
      <c r="E31" s="122" t="n">
        <f aca="false">Acquisitions!AB$34</f>
        <v>1.75499408829102</v>
      </c>
      <c r="F31" s="122" t="n">
        <f aca="false">Acquisitions!AO$34</f>
        <v>1.76395486859748</v>
      </c>
      <c r="G31" s="122" t="n">
        <f aca="false">Acquisitions!BB$34</f>
        <v>1.74845002066001</v>
      </c>
    </row>
    <row r="32" customFormat="false" ht="15" hidden="false" customHeight="false" outlineLevel="0" collapsed="false">
      <c r="A32" s="12" t="s">
        <v>647</v>
      </c>
      <c r="B32" s="22" t="s">
        <v>942</v>
      </c>
      <c r="C32" s="122" t="n">
        <f aca="false">IFERROR(Acquisitions!B$31*(1-'Assumption Setting'!$C$105)/Acquisitions!B$74,0)</f>
        <v>34.3322071432232</v>
      </c>
      <c r="D32" s="122" t="n">
        <f aca="false">IFERROR(Acquisitions!O$31*(1-'Assumption Setting'!$C$105)/Acquisitions!O$74,0)</f>
        <v>27.3652981061337</v>
      </c>
      <c r="E32" s="122" t="n">
        <f aca="false">IFERROR(Acquisitions!AB$31*(1-'Assumption Setting'!$C$105)/Acquisitions!AB$74,0)</f>
        <v>15.2535443768999</v>
      </c>
      <c r="F32" s="122" t="n">
        <f aca="false">IFERROR(Acquisitions!AO$31*(1-'Assumption Setting'!$C$105)/Acquisitions!AO$74,0)</f>
        <v>10.7175811763047</v>
      </c>
      <c r="G32" s="122" t="n">
        <f aca="false">IFERROR(Acquisitions!BB$31*(1-'Assumption Setting'!$C$105)/Acquisitions!BB$74,0)</f>
        <v>8.93404281725757</v>
      </c>
    </row>
    <row r="33" customFormat="false" ht="15" hidden="false" customHeight="false" outlineLevel="0" collapsed="false">
      <c r="A33" s="12" t="s">
        <v>943</v>
      </c>
      <c r="B33" s="22" t="s">
        <v>944</v>
      </c>
      <c r="C33" s="122" t="n">
        <f aca="false">IFERROR('Revenue Streams'!B$47/12*IFERROR(C20/C7,0)/'Assumption Setting'!$C$74,0)</f>
        <v>73.4346021770505</v>
      </c>
      <c r="D33" s="122" t="n">
        <f aca="false">IFERROR('Revenue Streams'!O$47/12*IFERROR(D20/D7,0)/'Assumption Setting'!$C$74,0)</f>
        <v>86.2610216954412</v>
      </c>
      <c r="E33" s="122" t="n">
        <f aca="false">IFERROR('Revenue Streams'!AB$47/12*IFERROR(E20/E7,0)/'Assumption Setting'!$C$74,0)</f>
        <v>85.8488615776408</v>
      </c>
      <c r="F33" s="122" t="n">
        <f aca="false">IFERROR('Revenue Streams'!AO$47/12*IFERROR(F20/F7,0)/'Assumption Setting'!$C$74,0)</f>
        <v>85.277845267617</v>
      </c>
      <c r="G33" s="122" t="n">
        <f aca="false">IFERROR('Revenue Streams'!BB$47/12*IFERROR(G20/G7,0)/'Assumption Setting'!$C$74,0)</f>
        <v>84.7318250778065</v>
      </c>
    </row>
    <row r="34" customFormat="false" ht="15" hidden="false" customHeight="false" outlineLevel="0" collapsed="false">
      <c r="A34" s="18" t="s">
        <v>945</v>
      </c>
      <c r="C34" s="123" t="n">
        <f aca="false">IFERROR(C33/C32,0)</f>
        <v>2.13894206890645</v>
      </c>
      <c r="D34" s="123" t="n">
        <f aca="false">IFERROR(D33/D32,0)</f>
        <v>3.15220471419262</v>
      </c>
      <c r="E34" s="123" t="n">
        <f aca="false">IFERROR(E33/E32,0)</f>
        <v>5.6281254675242</v>
      </c>
      <c r="F34" s="123" t="n">
        <f aca="false">IFERROR(F33/F32,0)</f>
        <v>7.95681822836635</v>
      </c>
      <c r="G34" s="123" t="n">
        <f aca="false">IFERROR(G33/G32,0)</f>
        <v>9.48415256239124</v>
      </c>
    </row>
    <row r="35" customFormat="false" ht="15" hidden="false" customHeight="false" outlineLevel="0" collapsed="false">
      <c r="A35" s="12" t="s">
        <v>659</v>
      </c>
      <c r="B35" s="22" t="s">
        <v>946</v>
      </c>
      <c r="C35" s="119" t="n">
        <f aca="false">IFERROR(Acquisitions!B$107/Acquisitions!B$102,0)</f>
        <v>2142.77676102352</v>
      </c>
      <c r="D35" s="119" t="n">
        <f aca="false">IFERROR(Acquisitions!O$107/Acquisitions!O$102,0)</f>
        <v>2307.45446155814</v>
      </c>
      <c r="E35" s="119" t="n">
        <f aca="false">IFERROR(Acquisitions!AB$107/Acquisitions!AB$102,0)</f>
        <v>2862.58374095782</v>
      </c>
      <c r="F35" s="119" t="n">
        <f aca="false">IFERROR(Acquisitions!AO$107/Acquisitions!AO$102,0)</f>
        <v>2205.63796789121</v>
      </c>
      <c r="G35" s="119" t="n">
        <f aca="false">IFERROR(Acquisitions!BB$107/Acquisitions!BB$102,0)</f>
        <v>1923.63355377065</v>
      </c>
    </row>
    <row r="36" customFormat="false" ht="15" hidden="false" customHeight="false" outlineLevel="0" collapsed="false">
      <c r="A36" s="12" t="s">
        <v>947</v>
      </c>
      <c r="B36" s="22" t="s">
        <v>948</v>
      </c>
      <c r="C36" s="119" t="n">
        <f aca="false">IFERROR('Revenue Streams'!B$41/Acquisitions!B$102,0)</f>
        <v>22621.0815449456</v>
      </c>
      <c r="D36" s="119" t="n">
        <f aca="false">IFERROR('Revenue Streams'!O$41/Acquisitions!O$102,0)</f>
        <v>28353.1910135214</v>
      </c>
      <c r="E36" s="119" t="n">
        <f aca="false">IFERROR('Revenue Streams'!AB$41/Acquisitions!AB$102,0)</f>
        <v>35957.4424418417</v>
      </c>
      <c r="F36" s="119" t="n">
        <f aca="false">IFERROR('Revenue Streams'!AO$41/Acquisitions!AO$102,0)</f>
        <v>40330.4258556968</v>
      </c>
      <c r="G36" s="119" t="n">
        <f aca="false">IFERROR('Revenue Streams'!BB$41/Acquisitions!BB$102,0)</f>
        <v>43380.1499391571</v>
      </c>
    </row>
    <row r="37" customFormat="false" ht="15" hidden="false" customHeight="false" outlineLevel="0" collapsed="false">
      <c r="A37" s="18" t="s">
        <v>949</v>
      </c>
      <c r="B37" s="22" t="s">
        <v>950</v>
      </c>
      <c r="C37" s="123" t="n">
        <f aca="false">IFERROR(C36*IFERROR(C20/C7,0)*'Assumption Setting'!$C$193/C35,0)</f>
        <v>18.3437497536562</v>
      </c>
      <c r="D37" s="123" t="n">
        <f aca="false">IFERROR(D36*IFERROR(D20/D7,0)*'Assumption Setting'!$C$193/D35,0)</f>
        <v>25.0803928946878</v>
      </c>
      <c r="E37" s="123" t="n">
        <f aca="false">IFERROR(E36*IFERROR(E20/E7,0)*'Assumption Setting'!$C$193/E35,0)</f>
        <v>25.5162040901103</v>
      </c>
      <c r="F37" s="123" t="n">
        <f aca="false">IFERROR(F36*IFERROR(F20/F7,0)*'Assumption Setting'!$C$193/F35,0)</f>
        <v>36.8965475052201</v>
      </c>
      <c r="G37" s="123" t="n">
        <f aca="false">IFERROR(G36*IFERROR(G20/G7,0)*'Assumption Setting'!$C$193/G35,0)</f>
        <v>45.2132992428047</v>
      </c>
    </row>
    <row r="38" customFormat="false" ht="15" hidden="false" customHeight="false" outlineLevel="0" collapsed="false">
      <c r="A38" s="18" t="s">
        <v>656</v>
      </c>
      <c r="B38" s="22" t="s">
        <v>951</v>
      </c>
      <c r="C38" s="123" t="n">
        <f aca="false">Acquisitions!B$104</f>
        <v>0.97729948463992</v>
      </c>
      <c r="D38" s="123" t="n">
        <f aca="false">Acquisitions!O$104</f>
        <v>1.12812430547408</v>
      </c>
      <c r="E38" s="123" t="n">
        <f aca="false">Acquisitions!AB$104</f>
        <v>1.06526843529015</v>
      </c>
      <c r="F38" s="123" t="n">
        <f aca="false">Acquisitions!AO$104</f>
        <v>1.18209657561279</v>
      </c>
      <c r="G38" s="123" t="n">
        <f aca="false">Acquisitions!BB$104</f>
        <v>1.27062214727985</v>
      </c>
    </row>
    <row r="40" customFormat="false" ht="16.5" hidden="false" customHeight="true" outlineLevel="0" collapsed="false">
      <c r="A40" s="15" t="s">
        <v>952</v>
      </c>
      <c r="B40" s="15"/>
      <c r="C40" s="15"/>
      <c r="D40" s="15"/>
      <c r="E40" s="15"/>
      <c r="F40" s="15"/>
      <c r="G40" s="15"/>
      <c r="H40" s="15"/>
      <c r="I40" s="15"/>
      <c r="J40" s="15"/>
    </row>
    <row r="41" customFormat="false" ht="15" hidden="false" customHeight="false" outlineLevel="0" collapsed="false">
      <c r="A41" s="16"/>
      <c r="B41" s="16"/>
      <c r="C41" s="17" t="s">
        <v>80</v>
      </c>
      <c r="D41" s="17" t="s">
        <v>81</v>
      </c>
      <c r="E41" s="17" t="s">
        <v>82</v>
      </c>
      <c r="F41" s="17" t="s">
        <v>83</v>
      </c>
      <c r="G41" s="17" t="s">
        <v>84</v>
      </c>
    </row>
    <row r="42" customFormat="false" ht="15" hidden="false" customHeight="false" outlineLevel="0" collapsed="false">
      <c r="A42" s="18" t="s">
        <v>90</v>
      </c>
      <c r="C42" s="25" t="n">
        <f aca="false">'Cash Flow Statement'!N$35</f>
        <v>222505.596480491</v>
      </c>
      <c r="D42" s="25" t="n">
        <f aca="false">'Cash Flow Statement'!AA$35</f>
        <v>301159.136374112</v>
      </c>
      <c r="E42" s="25" t="n">
        <f aca="false">'Cash Flow Statement'!AN$35</f>
        <v>1423393.64132164</v>
      </c>
      <c r="F42" s="25" t="n">
        <f aca="false">'Cash Flow Statement'!BA$35</f>
        <v>4062304.52769995</v>
      </c>
      <c r="G42" s="25" t="n">
        <f aca="false">'Cash Flow Statement'!BN$35</f>
        <v>8477398.88278772</v>
      </c>
    </row>
    <row r="43" customFormat="false" ht="15" hidden="false" customHeight="false" outlineLevel="0" collapsed="false">
      <c r="A43" s="12" t="s">
        <v>91</v>
      </c>
      <c r="C43" s="119" t="n">
        <f aca="false">MIN('Cash Flow Statement'!C$35:N$35)</f>
        <v>26039.6314082187</v>
      </c>
      <c r="D43" s="119" t="n">
        <f aca="false">MIN('Cash Flow Statement'!P$35:AA$35)</f>
        <v>173705.511134792</v>
      </c>
      <c r="E43" s="119" t="n">
        <f aca="false">MIN('Cash Flow Statement'!AC$35:AN$35)</f>
        <v>349743.35403957</v>
      </c>
      <c r="F43" s="119" t="n">
        <f aca="false">MIN('Cash Flow Statement'!AP$35:BA$35)</f>
        <v>1685184.41489661</v>
      </c>
      <c r="G43" s="119" t="n">
        <f aca="false">MIN('Cash Flow Statement'!BC$35:BN$35)</f>
        <v>4630216.92343156</v>
      </c>
    </row>
    <row r="44" customFormat="false" ht="15" hidden="false" customHeight="false" outlineLevel="0" collapsed="false">
      <c r="A44" s="12" t="s">
        <v>953</v>
      </c>
      <c r="C44" s="119" t="n">
        <f aca="false">'Cash Flow Statement'!B$28</f>
        <v>-63794.4035195091</v>
      </c>
      <c r="D44" s="119" t="n">
        <f aca="false">'Cash Flow Statement'!O$28</f>
        <v>82703.5398936215</v>
      </c>
      <c r="E44" s="119" t="n">
        <f aca="false">'Cash Flow Statement'!AB$28</f>
        <v>1143984.50494753</v>
      </c>
      <c r="F44" s="119" t="n">
        <f aca="false">'Cash Flow Statement'!AO$28</f>
        <v>2644310.88637831</v>
      </c>
      <c r="G44" s="119" t="n">
        <f aca="false">'Cash Flow Statement'!BB$28</f>
        <v>4420494.35508777</v>
      </c>
    </row>
    <row r="45" customFormat="false" ht="15" hidden="false" customHeight="false" outlineLevel="0" collapsed="false">
      <c r="A45" s="18" t="s">
        <v>954</v>
      </c>
      <c r="B45" s="22" t="s">
        <v>955</v>
      </c>
      <c r="C45" s="19" t="n">
        <f aca="false">'Cash Flow Statement'!B$28+'Cash Flow Statement'!B$30</f>
        <v>-77494.4035195091</v>
      </c>
      <c r="D45" s="19" t="n">
        <f aca="false">'Cash Flow Statement'!O$28+'Cash Flow Statement'!O$30</f>
        <v>78653.5398936215</v>
      </c>
      <c r="E45" s="19" t="n">
        <f aca="false">'Cash Flow Statement'!AB$28+'Cash Flow Statement'!AB$30</f>
        <v>1122234.50494753</v>
      </c>
      <c r="F45" s="19" t="n">
        <f aca="false">'Cash Flow Statement'!AO$28+'Cash Flow Statement'!AO$30</f>
        <v>2638910.88637831</v>
      </c>
      <c r="G45" s="19" t="n">
        <f aca="false">'Cash Flow Statement'!BB$28+'Cash Flow Statement'!BB$30</f>
        <v>4415094.35508777</v>
      </c>
    </row>
    <row r="46" customFormat="false" ht="15" hidden="false" customHeight="false" outlineLevel="0" collapsed="false">
      <c r="A46" s="12" t="s">
        <v>956</v>
      </c>
      <c r="C46" s="119" t="n">
        <f aca="false">C45/12</f>
        <v>-6457.86695995909</v>
      </c>
      <c r="D46" s="119" t="n">
        <f aca="false">D45/12</f>
        <v>6554.46165780179</v>
      </c>
      <c r="E46" s="119" t="n">
        <f aca="false">E45/12</f>
        <v>93519.5420789608</v>
      </c>
      <c r="F46" s="119" t="n">
        <f aca="false">F45/12</f>
        <v>219909.240531526</v>
      </c>
      <c r="G46" s="119" t="n">
        <f aca="false">G45/12</f>
        <v>367924.529590647</v>
      </c>
    </row>
    <row r="47" customFormat="false" ht="15" hidden="false" customHeight="false" outlineLevel="0" collapsed="false">
      <c r="A47" s="12" t="s">
        <v>957</v>
      </c>
      <c r="B47" s="22" t="s">
        <v>958</v>
      </c>
      <c r="C47" s="124" t="n">
        <f aca="false">IF(C45&gt;=0,99,IFERROR(C42/(-C45/12),0))</f>
        <v>34.454967539607</v>
      </c>
      <c r="D47" s="124" t="n">
        <f aca="false">IF(D45&gt;=0,99,IFERROR(D42/(-D45/12),0))</f>
        <v>99</v>
      </c>
      <c r="E47" s="124" t="n">
        <f aca="false">IF(E45&gt;=0,99,IFERROR(E42/(-E45/12),0))</f>
        <v>99</v>
      </c>
      <c r="F47" s="124" t="n">
        <f aca="false">IF(F45&gt;=0,99,IFERROR(F42/(-F45/12),0))</f>
        <v>99</v>
      </c>
      <c r="G47" s="124" t="n">
        <f aca="false">IF(G45&gt;=0,99,IFERROR(G42/(-G45/12),0))</f>
        <v>99</v>
      </c>
    </row>
    <row r="48" customFormat="false" ht="15" hidden="false" customHeight="false" outlineLevel="0" collapsed="false">
      <c r="A48" s="12" t="s">
        <v>959</v>
      </c>
      <c r="B48" s="22" t="s">
        <v>960</v>
      </c>
      <c r="C48" s="121" t="n">
        <f aca="false">IFERROR('Cash Flow Statement'!N$14/C7*365,0)</f>
        <v>196.662021444046</v>
      </c>
      <c r="D48" s="121" t="n">
        <f aca="false">IFERROR('Cash Flow Statement'!AA$14/D7*365,0)</f>
        <v>154.116807339034</v>
      </c>
      <c r="E48" s="121" t="n">
        <f aca="false">IFERROR('Cash Flow Statement'!AN$14/E7*365,0)</f>
        <v>105.287529004307</v>
      </c>
      <c r="F48" s="121" t="n">
        <f aca="false">IFERROR('Cash Flow Statement'!BA$14/F7*365,0)</f>
        <v>96.5749055495584</v>
      </c>
      <c r="G48" s="121" t="n">
        <f aca="false">IFERROR('Cash Flow Statement'!BN$14/G7*365,0)</f>
        <v>88.3289007500644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65</v>
      </c>
    </row>
    <row r="3" customFormat="false" ht="15" hidden="false" customHeight="false" outlineLevel="0" collapsed="false">
      <c r="B3" s="3"/>
      <c r="C3" s="3"/>
    </row>
    <row r="5" customFormat="false" ht="30" hidden="false" customHeight="true" outlineLevel="0" collapsed="false">
      <c r="B5" s="35" t="s">
        <v>961</v>
      </c>
      <c r="C5" s="36" t="s">
        <v>68</v>
      </c>
    </row>
    <row r="6" customFormat="false" ht="30" hidden="false" customHeight="true" outlineLevel="0" collapsed="false">
      <c r="B6" s="35" t="s">
        <v>962</v>
      </c>
      <c r="C6" s="36" t="s">
        <v>70</v>
      </c>
    </row>
    <row r="7" customFormat="false" ht="30" hidden="false" customHeight="true" outlineLevel="0" collapsed="false">
      <c r="B7" s="35" t="s">
        <v>963</v>
      </c>
      <c r="C7" s="36" t="s">
        <v>72</v>
      </c>
    </row>
    <row r="8" customFormat="false" ht="30" hidden="false" customHeight="true" outlineLevel="0" collapsed="false">
      <c r="B8" s="35" t="s">
        <v>964</v>
      </c>
      <c r="C8" s="36" t="s">
        <v>74</v>
      </c>
    </row>
    <row r="9" customFormat="false" ht="30" hidden="false" customHeight="true" outlineLevel="0" collapsed="false">
      <c r="B9" s="35" t="s">
        <v>965</v>
      </c>
      <c r="C9" s="36"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4"/>
    <col collapsed="false" customWidth="true" hidden="false" outlineLevel="0" max="8" min="5" style="0" width="15"/>
  </cols>
  <sheetData>
    <row r="1" customFormat="false" ht="24.75" hidden="false" customHeight="true" outlineLevel="0" collapsed="false">
      <c r="A1" s="14" t="s">
        <v>966</v>
      </c>
    </row>
    <row r="2" customFormat="false" ht="13.5" hidden="false" customHeight="true" outlineLevel="0" collapsed="false">
      <c r="A2" s="6" t="s">
        <v>967</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968</v>
      </c>
      <c r="B5" s="15"/>
      <c r="C5" s="15"/>
      <c r="D5" s="15"/>
      <c r="E5" s="15"/>
      <c r="F5" s="15"/>
      <c r="G5" s="15"/>
      <c r="H5" s="15"/>
      <c r="I5" s="15"/>
      <c r="J5" s="15"/>
    </row>
    <row r="6" customFormat="false" ht="15" hidden="false" customHeight="false" outlineLevel="0" collapsed="false">
      <c r="A6" s="16"/>
      <c r="B6" s="16"/>
      <c r="C6" s="17" t="s">
        <v>80</v>
      </c>
      <c r="D6" s="17" t="s">
        <v>81</v>
      </c>
      <c r="E6" s="17" t="s">
        <v>82</v>
      </c>
      <c r="F6" s="17" t="s">
        <v>83</v>
      </c>
      <c r="G6" s="17" t="s">
        <v>84</v>
      </c>
    </row>
    <row r="7" customFormat="false" ht="15" hidden="false" customHeight="false" outlineLevel="0" collapsed="false">
      <c r="A7" s="12" t="s">
        <v>969</v>
      </c>
      <c r="C7" s="20" t="n">
        <f aca="false">'Total Revenue'!B$25</f>
        <v>111092.203503409</v>
      </c>
      <c r="D7" s="20" t="n">
        <f aca="false">'Total Revenue'!O$25</f>
        <v>897001.554313258</v>
      </c>
      <c r="E7" s="20" t="n">
        <f aca="false">'Total Revenue'!AB$25</f>
        <v>3342076.96762152</v>
      </c>
      <c r="F7" s="20" t="n">
        <f aca="false">'Total Revenue'!AO$25</f>
        <v>6651975.79649727</v>
      </c>
      <c r="G7" s="20" t="n">
        <f aca="false">'Total Revenue'!BB$25</f>
        <v>10320927.9251864</v>
      </c>
    </row>
    <row r="8" customFormat="false" ht="15" hidden="false" customHeight="false" outlineLevel="0" collapsed="false">
      <c r="A8" s="12" t="s">
        <v>970</v>
      </c>
      <c r="B8" s="22" t="s">
        <v>971</v>
      </c>
      <c r="C8" s="20" t="n">
        <f aca="false">Expenses!B$23</f>
        <v>42151.25897458</v>
      </c>
      <c r="D8" s="20" t="n">
        <f aca="false">Expenses!O$23</f>
        <v>243117.577940353</v>
      </c>
      <c r="E8" s="20" t="n">
        <f aca="false">Expenses!AB$23</f>
        <v>917455.815718746</v>
      </c>
      <c r="F8" s="20" t="n">
        <f aca="false">Expenses!AO$23</f>
        <v>1858177.23848915</v>
      </c>
      <c r="G8" s="20" t="n">
        <f aca="false">Expenses!BB$23</f>
        <v>2930693.6187283</v>
      </c>
    </row>
    <row r="9" customFormat="false" ht="15" hidden="false" customHeight="false" outlineLevel="0" collapsed="false">
      <c r="A9" s="18" t="s">
        <v>972</v>
      </c>
      <c r="C9" s="19" t="n">
        <f aca="false">C7-C8</f>
        <v>68940.9445288291</v>
      </c>
      <c r="D9" s="19" t="n">
        <f aca="false">D7-D8</f>
        <v>653883.976372905</v>
      </c>
      <c r="E9" s="19" t="n">
        <f aca="false">E7-E8</f>
        <v>2424621.15190277</v>
      </c>
      <c r="F9" s="19" t="n">
        <f aca="false">F7-F8</f>
        <v>4793798.55800812</v>
      </c>
      <c r="G9" s="19" t="n">
        <f aca="false">G7-G8</f>
        <v>7390234.30645809</v>
      </c>
    </row>
    <row r="10" customFormat="false" ht="15" hidden="false" customHeight="false" outlineLevel="0" collapsed="false">
      <c r="A10" s="18" t="s">
        <v>973</v>
      </c>
      <c r="C10" s="54" t="n">
        <f aca="false">IFERROR(C9/C7,0)</f>
        <v>0.620574102904652</v>
      </c>
      <c r="D10" s="54" t="n">
        <f aca="false">IFERROR(D9/D7,0)</f>
        <v>0.728966380524856</v>
      </c>
      <c r="E10" s="54" t="n">
        <f aca="false">IFERROR(E9/E7,0)</f>
        <v>0.725483337275838</v>
      </c>
      <c r="F10" s="54" t="n">
        <f aca="false">IFERROR(F9/F7,0)</f>
        <v>0.720657847331974</v>
      </c>
      <c r="G10" s="54" t="n">
        <f aca="false">IFERROR(G9/G7,0)</f>
        <v>0.716043592206815</v>
      </c>
    </row>
    <row r="11" customFormat="false" ht="15" hidden="false" customHeight="false" outlineLevel="0" collapsed="false">
      <c r="A11" s="12" t="s">
        <v>974</v>
      </c>
      <c r="B11" s="22" t="s">
        <v>975</v>
      </c>
      <c r="C11" s="20" t="n">
        <f aca="false">Expenses!B$46</f>
        <v>105067.495482626</v>
      </c>
      <c r="D11" s="20" t="n">
        <f aca="false">Expenses!O$46</f>
        <v>400405.163613072</v>
      </c>
      <c r="E11" s="20" t="n">
        <f aca="false">Expenses!AB$46</f>
        <v>980369.955824692</v>
      </c>
      <c r="F11" s="20" t="n">
        <f aca="false">Expenses!AO$46</f>
        <v>1518536.86050368</v>
      </c>
      <c r="G11" s="20" t="n">
        <f aca="false">Expenses!BB$46</f>
        <v>2005696.8555659</v>
      </c>
    </row>
    <row r="12" customFormat="false" ht="15" hidden="false" customHeight="false" outlineLevel="0" collapsed="false">
      <c r="A12" s="18" t="s">
        <v>976</v>
      </c>
      <c r="B12" s="22" t="s">
        <v>977</v>
      </c>
      <c r="C12" s="118" t="n">
        <f aca="false">IFERROR(C11/C10,0)</f>
        <v>169306.928843546</v>
      </c>
      <c r="D12" s="118" t="n">
        <f aca="false">IFERROR(D11/D10,0)</f>
        <v>549277.956172383</v>
      </c>
      <c r="E12" s="118" t="n">
        <f aca="false">IFERROR(E11/E10,0)</f>
        <v>1351333.52546172</v>
      </c>
      <c r="F12" s="118" t="n">
        <f aca="false">IFERROR(F11/F10,0)</f>
        <v>2107153.71535275</v>
      </c>
      <c r="G12" s="118" t="n">
        <f aca="false">IFERROR(G11/G10,0)</f>
        <v>2801082.05337671</v>
      </c>
    </row>
    <row r="13" customFormat="false" ht="15" hidden="false" customHeight="false" outlineLevel="0" collapsed="false">
      <c r="A13" s="12" t="s">
        <v>978</v>
      </c>
      <c r="C13" s="119" t="n">
        <f aca="false">C12/12</f>
        <v>14108.9107369622</v>
      </c>
      <c r="D13" s="119" t="n">
        <f aca="false">D12/12</f>
        <v>45773.1630143652</v>
      </c>
      <c r="E13" s="119" t="n">
        <f aca="false">E12/12</f>
        <v>112611.12712181</v>
      </c>
      <c r="F13" s="119" t="n">
        <f aca="false">F12/12</f>
        <v>175596.142946062</v>
      </c>
      <c r="G13" s="119" t="n">
        <f aca="false">G12/12</f>
        <v>233423.504448059</v>
      </c>
    </row>
    <row r="14" customFormat="false" ht="15" hidden="false" customHeight="false" outlineLevel="0" collapsed="false">
      <c r="A14" s="18" t="s">
        <v>979</v>
      </c>
      <c r="B14" s="22" t="s">
        <v>980</v>
      </c>
      <c r="C14" s="54" t="n">
        <f aca="false">IFERROR((C7-C12)/C7,0)</f>
        <v>-0.52402170003182</v>
      </c>
      <c r="D14" s="54" t="n">
        <f aca="false">IFERROR((D7-D12)/D7,0)</f>
        <v>0.387651054191418</v>
      </c>
      <c r="E14" s="54" t="n">
        <f aca="false">IFERROR((E7-E12)/E7,0)</f>
        <v>0.59566056121579</v>
      </c>
      <c r="F14" s="54" t="n">
        <f aca="false">IFERROR((F7-F12)/F7,0)</f>
        <v>0.683228896223238</v>
      </c>
      <c r="G14" s="54" t="n">
        <f aca="false">IFERROR((G7-G12)/G7,0)</f>
        <v>0.728601723248045</v>
      </c>
    </row>
    <row r="15" customFormat="false" ht="15" hidden="false" customHeight="false" outlineLevel="0" collapsed="false">
      <c r="A15" s="12" t="s">
        <v>981</v>
      </c>
      <c r="B15" s="22" t="s">
        <v>982</v>
      </c>
      <c r="C15" s="121" t="n">
        <f aca="false">IFERROR(C12/'Assumption Setting'!$C$59,0)</f>
        <v>26.0472198220841</v>
      </c>
      <c r="D15" s="121" t="n">
        <f aca="false">IFERROR(D12/'Assumption Setting'!$D$59,0)</f>
        <v>76.288605023942</v>
      </c>
      <c r="E15" s="121" t="n">
        <f aca="false">IFERROR(E12/'Assumption Setting'!$E$59,0)</f>
        <v>171.054876640724</v>
      </c>
      <c r="F15" s="121" t="n">
        <f aca="false">IFERROR(F12/'Assumption Setting'!$F$59,0)</f>
        <v>250.851632780089</v>
      </c>
      <c r="G15" s="121" t="n">
        <f aca="false">IFERROR(G12/'Assumption Setting'!$G$59,0)</f>
        <v>314.728320604125</v>
      </c>
    </row>
    <row r="16" customFormat="false" ht="15" hidden="false" customHeight="false" outlineLevel="0" collapsed="false">
      <c r="A16" s="12" t="s">
        <v>983</v>
      </c>
      <c r="B16" s="22" t="s">
        <v>984</v>
      </c>
      <c r="C16" s="21" t="n">
        <f aca="false">'Revenue Streams'!B$25</f>
        <v>14</v>
      </c>
      <c r="D16" s="21" t="n">
        <f aca="false">'Revenue Streams'!O$25</f>
        <v>48</v>
      </c>
      <c r="E16" s="21" t="n">
        <f aca="false">'Revenue Streams'!AB$25</f>
        <v>136</v>
      </c>
      <c r="F16" s="21" t="n">
        <f aca="false">'Revenue Streams'!AO$25</f>
        <v>232</v>
      </c>
      <c r="G16" s="21" t="n">
        <f aca="false">'Revenue Streams'!BB$25</f>
        <v>328</v>
      </c>
    </row>
    <row r="18" customFormat="false" ht="16.5" hidden="false" customHeight="true" outlineLevel="0" collapsed="false">
      <c r="A18" s="15" t="s">
        <v>985</v>
      </c>
      <c r="B18" s="15"/>
      <c r="C18" s="15"/>
      <c r="D18" s="15"/>
      <c r="E18" s="15"/>
      <c r="F18" s="15"/>
      <c r="G18" s="15"/>
      <c r="H18" s="15"/>
      <c r="I18" s="15"/>
      <c r="J18" s="15"/>
    </row>
    <row r="19" customFormat="false" ht="15" hidden="false" customHeight="false" outlineLevel="0" collapsed="false">
      <c r="C19" s="125" t="s">
        <v>986</v>
      </c>
      <c r="D19" s="125" t="s">
        <v>987</v>
      </c>
    </row>
    <row r="20" customFormat="false" ht="15" hidden="true" customHeight="false" outlineLevel="0" collapsed="false">
      <c r="A20" s="37" t="s">
        <v>988</v>
      </c>
      <c r="C20" s="126" t="s">
        <v>506</v>
      </c>
      <c r="D20" s="126" t="s">
        <v>507</v>
      </c>
      <c r="E20" s="126" t="s">
        <v>508</v>
      </c>
      <c r="F20" s="126" t="s">
        <v>509</v>
      </c>
      <c r="G20" s="126" t="s">
        <v>510</v>
      </c>
      <c r="H20" s="126" t="s">
        <v>511</v>
      </c>
      <c r="I20" s="126" t="s">
        <v>512</v>
      </c>
      <c r="J20" s="126" t="s">
        <v>513</v>
      </c>
      <c r="K20" s="126" t="s">
        <v>514</v>
      </c>
      <c r="L20" s="126" t="s">
        <v>515</v>
      </c>
      <c r="M20" s="126" t="s">
        <v>516</v>
      </c>
      <c r="N20" s="126" t="s">
        <v>517</v>
      </c>
      <c r="P20" s="126" t="s">
        <v>518</v>
      </c>
      <c r="Q20" s="126" t="s">
        <v>519</v>
      </c>
      <c r="R20" s="126" t="s">
        <v>520</v>
      </c>
      <c r="S20" s="126" t="s">
        <v>521</v>
      </c>
      <c r="T20" s="126" t="s">
        <v>522</v>
      </c>
      <c r="U20" s="126" t="s">
        <v>523</v>
      </c>
      <c r="V20" s="126" t="s">
        <v>524</v>
      </c>
      <c r="W20" s="126" t="s">
        <v>525</v>
      </c>
      <c r="X20" s="126" t="s">
        <v>526</v>
      </c>
      <c r="Y20" s="126" t="s">
        <v>527</v>
      </c>
      <c r="Z20" s="126" t="s">
        <v>528</v>
      </c>
      <c r="AA20" s="126" t="s">
        <v>529</v>
      </c>
      <c r="AC20" s="126" t="s">
        <v>530</v>
      </c>
      <c r="AD20" s="126" t="s">
        <v>531</v>
      </c>
      <c r="AE20" s="126" t="s">
        <v>532</v>
      </c>
      <c r="AF20" s="126" t="s">
        <v>533</v>
      </c>
      <c r="AG20" s="126" t="s">
        <v>534</v>
      </c>
      <c r="AH20" s="126" t="s">
        <v>535</v>
      </c>
      <c r="AI20" s="126" t="s">
        <v>536</v>
      </c>
      <c r="AJ20" s="126" t="s">
        <v>537</v>
      </c>
      <c r="AK20" s="126" t="s">
        <v>538</v>
      </c>
      <c r="AL20" s="126" t="s">
        <v>539</v>
      </c>
      <c r="AM20" s="126" t="s">
        <v>540</v>
      </c>
      <c r="AN20" s="126" t="s">
        <v>541</v>
      </c>
      <c r="AP20" s="126" t="s">
        <v>542</v>
      </c>
      <c r="AQ20" s="126" t="s">
        <v>543</v>
      </c>
      <c r="AR20" s="126" t="s">
        <v>544</v>
      </c>
      <c r="AS20" s="126" t="s">
        <v>545</v>
      </c>
      <c r="AT20" s="126" t="s">
        <v>546</v>
      </c>
      <c r="AU20" s="126" t="s">
        <v>547</v>
      </c>
      <c r="AV20" s="126" t="s">
        <v>548</v>
      </c>
      <c r="AW20" s="126" t="s">
        <v>549</v>
      </c>
      <c r="AX20" s="126" t="s">
        <v>550</v>
      </c>
      <c r="AY20" s="126" t="s">
        <v>551</v>
      </c>
      <c r="AZ20" s="126" t="s">
        <v>552</v>
      </c>
      <c r="BA20" s="126" t="s">
        <v>553</v>
      </c>
      <c r="BC20" s="126" t="s">
        <v>554</v>
      </c>
      <c r="BD20" s="126" t="s">
        <v>555</v>
      </c>
      <c r="BE20" s="126" t="s">
        <v>556</v>
      </c>
      <c r="BF20" s="126" t="s">
        <v>557</v>
      </c>
      <c r="BG20" s="126" t="s">
        <v>558</v>
      </c>
      <c r="BH20" s="126" t="s">
        <v>559</v>
      </c>
      <c r="BI20" s="126" t="s">
        <v>560</v>
      </c>
      <c r="BJ20" s="126" t="s">
        <v>561</v>
      </c>
      <c r="BK20" s="126" t="s">
        <v>562</v>
      </c>
      <c r="BL20" s="126" t="s">
        <v>563</v>
      </c>
      <c r="BM20" s="126" t="s">
        <v>564</v>
      </c>
      <c r="BN20" s="126" t="s">
        <v>565</v>
      </c>
    </row>
    <row r="21" customFormat="false" ht="15" hidden="true" customHeight="false" outlineLevel="0" collapsed="false">
      <c r="A21" s="12" t="s">
        <v>989</v>
      </c>
      <c r="C21" s="80" t="n">
        <f aca="false">IF(Expenses!C$51&gt;0,1,9999)</f>
        <v>9999</v>
      </c>
      <c r="D21" s="80" t="n">
        <f aca="false">IF(Expenses!D$51&gt;0,2,9999)</f>
        <v>9999</v>
      </c>
      <c r="E21" s="80" t="n">
        <f aca="false">IF(Expenses!E$51&gt;0,3,9999)</f>
        <v>9999</v>
      </c>
      <c r="F21" s="80" t="n">
        <f aca="false">IF(Expenses!F$51&gt;0,4,9999)</f>
        <v>9999</v>
      </c>
      <c r="G21" s="80" t="n">
        <f aca="false">IF(Expenses!G$51&gt;0,5,9999)</f>
        <v>9999</v>
      </c>
      <c r="H21" s="80" t="n">
        <f aca="false">IF(Expenses!H$51&gt;0,6,9999)</f>
        <v>9999</v>
      </c>
      <c r="I21" s="80" t="n">
        <f aca="false">IF(Expenses!I$51&gt;0,7,9999)</f>
        <v>9999</v>
      </c>
      <c r="J21" s="80" t="n">
        <f aca="false">IF(Expenses!J$51&gt;0,8,9999)</f>
        <v>9999</v>
      </c>
      <c r="K21" s="80" t="n">
        <f aca="false">IF(Expenses!K$51&gt;0,9,9999)</f>
        <v>9999</v>
      </c>
      <c r="L21" s="80" t="n">
        <f aca="false">IF(Expenses!L$51&gt;0,10,9999)</f>
        <v>10</v>
      </c>
      <c r="M21" s="80" t="n">
        <f aca="false">IF(Expenses!M$51&gt;0,11,9999)</f>
        <v>11</v>
      </c>
      <c r="N21" s="80" t="n">
        <f aca="false">IF(Expenses!N$51&gt;0,12,9999)</f>
        <v>12</v>
      </c>
      <c r="P21" s="80" t="n">
        <f aca="false">IF(Expenses!P$51&gt;0,13,9999)</f>
        <v>9999</v>
      </c>
      <c r="Q21" s="80" t="n">
        <f aca="false">IF(Expenses!Q$51&gt;0,14,9999)</f>
        <v>9999</v>
      </c>
      <c r="R21" s="80" t="n">
        <f aca="false">IF(Expenses!R$51&gt;0,15,9999)</f>
        <v>9999</v>
      </c>
      <c r="S21" s="80" t="n">
        <f aca="false">IF(Expenses!S$51&gt;0,16,9999)</f>
        <v>9999</v>
      </c>
      <c r="T21" s="80" t="n">
        <f aca="false">IF(Expenses!T$51&gt;0,17,9999)</f>
        <v>17</v>
      </c>
      <c r="U21" s="80" t="n">
        <f aca="false">IF(Expenses!U$51&gt;0,18,9999)</f>
        <v>18</v>
      </c>
      <c r="V21" s="80" t="n">
        <f aca="false">IF(Expenses!V$51&gt;0,19,9999)</f>
        <v>19</v>
      </c>
      <c r="W21" s="80" t="n">
        <f aca="false">IF(Expenses!W$51&gt;0,20,9999)</f>
        <v>20</v>
      </c>
      <c r="X21" s="80" t="n">
        <f aca="false">IF(Expenses!X$51&gt;0,21,9999)</f>
        <v>21</v>
      </c>
      <c r="Y21" s="80" t="n">
        <f aca="false">IF(Expenses!Y$51&gt;0,22,9999)</f>
        <v>22</v>
      </c>
      <c r="Z21" s="80" t="n">
        <f aca="false">IF(Expenses!Z$51&gt;0,23,9999)</f>
        <v>23</v>
      </c>
      <c r="AA21" s="80" t="n">
        <f aca="false">IF(Expenses!AA$51&gt;0,24,9999)</f>
        <v>24</v>
      </c>
      <c r="AC21" s="80" t="n">
        <f aca="false">IF(Expenses!AC$51&gt;0,25,9999)</f>
        <v>25</v>
      </c>
      <c r="AD21" s="80" t="n">
        <f aca="false">IF(Expenses!AD$51&gt;0,26,9999)</f>
        <v>26</v>
      </c>
      <c r="AE21" s="80" t="n">
        <f aca="false">IF(Expenses!AE$51&gt;0,27,9999)</f>
        <v>27</v>
      </c>
      <c r="AF21" s="80" t="n">
        <f aca="false">IF(Expenses!AF$51&gt;0,28,9999)</f>
        <v>28</v>
      </c>
      <c r="AG21" s="80" t="n">
        <f aca="false">IF(Expenses!AG$51&gt;0,29,9999)</f>
        <v>29</v>
      </c>
      <c r="AH21" s="80" t="n">
        <f aca="false">IF(Expenses!AH$51&gt;0,30,9999)</f>
        <v>30</v>
      </c>
      <c r="AI21" s="80" t="n">
        <f aca="false">IF(Expenses!AI$51&gt;0,31,9999)</f>
        <v>31</v>
      </c>
      <c r="AJ21" s="80" t="n">
        <f aca="false">IF(Expenses!AJ$51&gt;0,32,9999)</f>
        <v>32</v>
      </c>
      <c r="AK21" s="80" t="n">
        <f aca="false">IF(Expenses!AK$51&gt;0,33,9999)</f>
        <v>33</v>
      </c>
      <c r="AL21" s="80" t="n">
        <f aca="false">IF(Expenses!AL$51&gt;0,34,9999)</f>
        <v>34</v>
      </c>
      <c r="AM21" s="80" t="n">
        <f aca="false">IF(Expenses!AM$51&gt;0,35,9999)</f>
        <v>35</v>
      </c>
      <c r="AN21" s="80" t="n">
        <f aca="false">IF(Expenses!AN$51&gt;0,36,9999)</f>
        <v>36</v>
      </c>
      <c r="AP21" s="80" t="n">
        <f aca="false">IF(Expenses!AP$51&gt;0,37,9999)</f>
        <v>37</v>
      </c>
      <c r="AQ21" s="80" t="n">
        <f aca="false">IF(Expenses!AQ$51&gt;0,38,9999)</f>
        <v>38</v>
      </c>
      <c r="AR21" s="80" t="n">
        <f aca="false">IF(Expenses!AR$51&gt;0,39,9999)</f>
        <v>39</v>
      </c>
      <c r="AS21" s="80" t="n">
        <f aca="false">IF(Expenses!AS$51&gt;0,40,9999)</f>
        <v>40</v>
      </c>
      <c r="AT21" s="80" t="n">
        <f aca="false">IF(Expenses!AT$51&gt;0,41,9999)</f>
        <v>41</v>
      </c>
      <c r="AU21" s="80" t="n">
        <f aca="false">IF(Expenses!AU$51&gt;0,42,9999)</f>
        <v>42</v>
      </c>
      <c r="AV21" s="80" t="n">
        <f aca="false">IF(Expenses!AV$51&gt;0,43,9999)</f>
        <v>43</v>
      </c>
      <c r="AW21" s="80" t="n">
        <f aca="false">IF(Expenses!AW$51&gt;0,44,9999)</f>
        <v>44</v>
      </c>
      <c r="AX21" s="80" t="n">
        <f aca="false">IF(Expenses!AX$51&gt;0,45,9999)</f>
        <v>45</v>
      </c>
      <c r="AY21" s="80" t="n">
        <f aca="false">IF(Expenses!AY$51&gt;0,46,9999)</f>
        <v>46</v>
      </c>
      <c r="AZ21" s="80" t="n">
        <f aca="false">IF(Expenses!AZ$51&gt;0,47,9999)</f>
        <v>47</v>
      </c>
      <c r="BA21" s="80" t="n">
        <f aca="false">IF(Expenses!BA$51&gt;0,48,9999)</f>
        <v>48</v>
      </c>
      <c r="BC21" s="80" t="n">
        <f aca="false">IF(Expenses!BC$51&gt;0,49,9999)</f>
        <v>49</v>
      </c>
      <c r="BD21" s="80" t="n">
        <f aca="false">IF(Expenses!BD$51&gt;0,50,9999)</f>
        <v>50</v>
      </c>
      <c r="BE21" s="80" t="n">
        <f aca="false">IF(Expenses!BE$51&gt;0,51,9999)</f>
        <v>51</v>
      </c>
      <c r="BF21" s="80" t="n">
        <f aca="false">IF(Expenses!BF$51&gt;0,52,9999)</f>
        <v>52</v>
      </c>
      <c r="BG21" s="80" t="n">
        <f aca="false">IF(Expenses!BG$51&gt;0,53,9999)</f>
        <v>53</v>
      </c>
      <c r="BH21" s="80" t="n">
        <f aca="false">IF(Expenses!BH$51&gt;0,54,9999)</f>
        <v>54</v>
      </c>
      <c r="BI21" s="80" t="n">
        <f aca="false">IF(Expenses!BI$51&gt;0,55,9999)</f>
        <v>55</v>
      </c>
      <c r="BJ21" s="80" t="n">
        <f aca="false">IF(Expenses!BJ$51&gt;0,56,9999)</f>
        <v>56</v>
      </c>
      <c r="BK21" s="80" t="n">
        <f aca="false">IF(Expenses!BK$51&gt;0,57,9999)</f>
        <v>57</v>
      </c>
      <c r="BL21" s="80" t="n">
        <f aca="false">IF(Expenses!BL$51&gt;0,58,9999)</f>
        <v>58</v>
      </c>
      <c r="BM21" s="80" t="n">
        <f aca="false">IF(Expenses!BM$51&gt;0,59,9999)</f>
        <v>59</v>
      </c>
      <c r="BN21" s="80" t="n">
        <f aca="false">IF(Expenses!BN$51&gt;0,60,9999)</f>
        <v>60</v>
      </c>
    </row>
    <row r="22" customFormat="false" ht="15" hidden="true" customHeight="false" outlineLevel="0" collapsed="false">
      <c r="A22" s="12" t="s">
        <v>990</v>
      </c>
      <c r="C22" s="80" t="n">
        <f aca="false">IF('Cash Flow Statement'!C$28&gt;0,1,9999)</f>
        <v>9999</v>
      </c>
      <c r="D22" s="80" t="n">
        <f aca="false">IF('Cash Flow Statement'!D$28&gt;0,2,9999)</f>
        <v>9999</v>
      </c>
      <c r="E22" s="80" t="n">
        <f aca="false">IF('Cash Flow Statement'!E$28&gt;0,3,9999)</f>
        <v>9999</v>
      </c>
      <c r="F22" s="80" t="n">
        <f aca="false">IF('Cash Flow Statement'!F$28&gt;0,4,9999)</f>
        <v>9999</v>
      </c>
      <c r="G22" s="80" t="n">
        <f aca="false">IF('Cash Flow Statement'!G$28&gt;0,5,9999)</f>
        <v>9999</v>
      </c>
      <c r="H22" s="80" t="n">
        <f aca="false">IF('Cash Flow Statement'!H$28&gt;0,6,9999)</f>
        <v>9999</v>
      </c>
      <c r="I22" s="80" t="n">
        <f aca="false">IF('Cash Flow Statement'!I$28&gt;0,7,9999)</f>
        <v>9999</v>
      </c>
      <c r="J22" s="80" t="n">
        <f aca="false">IF('Cash Flow Statement'!J$28&gt;0,8,9999)</f>
        <v>9999</v>
      </c>
      <c r="K22" s="80" t="n">
        <f aca="false">IF('Cash Flow Statement'!K$28&gt;0,9,9999)</f>
        <v>9999</v>
      </c>
      <c r="L22" s="80" t="n">
        <f aca="false">IF('Cash Flow Statement'!L$28&gt;0,10,9999)</f>
        <v>9999</v>
      </c>
      <c r="M22" s="80" t="n">
        <f aca="false">IF('Cash Flow Statement'!M$28&gt;0,11,9999)</f>
        <v>11</v>
      </c>
      <c r="N22" s="80" t="n">
        <f aca="false">IF('Cash Flow Statement'!N$28&gt;0,12,9999)</f>
        <v>12</v>
      </c>
      <c r="P22" s="80" t="n">
        <f aca="false">IF('Cash Flow Statement'!P$28&gt;0,13,9999)</f>
        <v>13</v>
      </c>
      <c r="Q22" s="80" t="n">
        <f aca="false">IF('Cash Flow Statement'!Q$28&gt;0,14,9999)</f>
        <v>9999</v>
      </c>
      <c r="R22" s="80" t="n">
        <f aca="false">IF('Cash Flow Statement'!R$28&gt;0,15,9999)</f>
        <v>9999</v>
      </c>
      <c r="S22" s="80" t="n">
        <f aca="false">IF('Cash Flow Statement'!S$28&gt;0,16,9999)</f>
        <v>9999</v>
      </c>
      <c r="T22" s="80" t="n">
        <f aca="false">IF('Cash Flow Statement'!T$28&gt;0,17,9999)</f>
        <v>9999</v>
      </c>
      <c r="U22" s="80" t="n">
        <f aca="false">IF('Cash Flow Statement'!U$28&gt;0,18,9999)</f>
        <v>9999</v>
      </c>
      <c r="V22" s="80" t="n">
        <f aca="false">IF('Cash Flow Statement'!V$28&gt;0,19,9999)</f>
        <v>19</v>
      </c>
      <c r="W22" s="80" t="n">
        <f aca="false">IF('Cash Flow Statement'!W$28&gt;0,20,9999)</f>
        <v>20</v>
      </c>
      <c r="X22" s="80" t="n">
        <f aca="false">IF('Cash Flow Statement'!X$28&gt;0,21,9999)</f>
        <v>21</v>
      </c>
      <c r="Y22" s="80" t="n">
        <f aca="false">IF('Cash Flow Statement'!Y$28&gt;0,22,9999)</f>
        <v>22</v>
      </c>
      <c r="Z22" s="80" t="n">
        <f aca="false">IF('Cash Flow Statement'!Z$28&gt;0,23,9999)</f>
        <v>23</v>
      </c>
      <c r="AA22" s="80" t="n">
        <f aca="false">IF('Cash Flow Statement'!AA$28&gt;0,24,9999)</f>
        <v>24</v>
      </c>
      <c r="AC22" s="80" t="n">
        <f aca="false">IF('Cash Flow Statement'!AC$28&gt;0,25,9999)</f>
        <v>25</v>
      </c>
      <c r="AD22" s="80" t="n">
        <f aca="false">IF('Cash Flow Statement'!AD$28&gt;0,26,9999)</f>
        <v>26</v>
      </c>
      <c r="AE22" s="80" t="n">
        <f aca="false">IF('Cash Flow Statement'!AE$28&gt;0,27,9999)</f>
        <v>27</v>
      </c>
      <c r="AF22" s="80" t="n">
        <f aca="false">IF('Cash Flow Statement'!AF$28&gt;0,28,9999)</f>
        <v>28</v>
      </c>
      <c r="AG22" s="80" t="n">
        <f aca="false">IF('Cash Flow Statement'!AG$28&gt;0,29,9999)</f>
        <v>29</v>
      </c>
      <c r="AH22" s="80" t="n">
        <f aca="false">IF('Cash Flow Statement'!AH$28&gt;0,30,9999)</f>
        <v>30</v>
      </c>
      <c r="AI22" s="80" t="n">
        <f aca="false">IF('Cash Flow Statement'!AI$28&gt;0,31,9999)</f>
        <v>31</v>
      </c>
      <c r="AJ22" s="80" t="n">
        <f aca="false">IF('Cash Flow Statement'!AJ$28&gt;0,32,9999)</f>
        <v>32</v>
      </c>
      <c r="AK22" s="80" t="n">
        <f aca="false">IF('Cash Flow Statement'!AK$28&gt;0,33,9999)</f>
        <v>33</v>
      </c>
      <c r="AL22" s="80" t="n">
        <f aca="false">IF('Cash Flow Statement'!AL$28&gt;0,34,9999)</f>
        <v>34</v>
      </c>
      <c r="AM22" s="80" t="n">
        <f aca="false">IF('Cash Flow Statement'!AM$28&gt;0,35,9999)</f>
        <v>35</v>
      </c>
      <c r="AN22" s="80" t="n">
        <f aca="false">IF('Cash Flow Statement'!AN$28&gt;0,36,9999)</f>
        <v>36</v>
      </c>
      <c r="AP22" s="80" t="n">
        <f aca="false">IF('Cash Flow Statement'!AP$28&gt;0,37,9999)</f>
        <v>37</v>
      </c>
      <c r="AQ22" s="80" t="n">
        <f aca="false">IF('Cash Flow Statement'!AQ$28&gt;0,38,9999)</f>
        <v>38</v>
      </c>
      <c r="AR22" s="80" t="n">
        <f aca="false">IF('Cash Flow Statement'!AR$28&gt;0,39,9999)</f>
        <v>39</v>
      </c>
      <c r="AS22" s="80" t="n">
        <f aca="false">IF('Cash Flow Statement'!AS$28&gt;0,40,9999)</f>
        <v>40</v>
      </c>
      <c r="AT22" s="80" t="n">
        <f aca="false">IF('Cash Flow Statement'!AT$28&gt;0,41,9999)</f>
        <v>41</v>
      </c>
      <c r="AU22" s="80" t="n">
        <f aca="false">IF('Cash Flow Statement'!AU$28&gt;0,42,9999)</f>
        <v>42</v>
      </c>
      <c r="AV22" s="80" t="n">
        <f aca="false">IF('Cash Flow Statement'!AV$28&gt;0,43,9999)</f>
        <v>43</v>
      </c>
      <c r="AW22" s="80" t="n">
        <f aca="false">IF('Cash Flow Statement'!AW$28&gt;0,44,9999)</f>
        <v>44</v>
      </c>
      <c r="AX22" s="80" t="n">
        <f aca="false">IF('Cash Flow Statement'!AX$28&gt;0,45,9999)</f>
        <v>45</v>
      </c>
      <c r="AY22" s="80" t="n">
        <f aca="false">IF('Cash Flow Statement'!AY$28&gt;0,46,9999)</f>
        <v>46</v>
      </c>
      <c r="AZ22" s="80" t="n">
        <f aca="false">IF('Cash Flow Statement'!AZ$28&gt;0,47,9999)</f>
        <v>47</v>
      </c>
      <c r="BA22" s="80" t="n">
        <f aca="false">IF('Cash Flow Statement'!BA$28&gt;0,48,9999)</f>
        <v>48</v>
      </c>
      <c r="BC22" s="80" t="n">
        <f aca="false">IF('Cash Flow Statement'!BC$28&gt;0,49,9999)</f>
        <v>49</v>
      </c>
      <c r="BD22" s="80" t="n">
        <f aca="false">IF('Cash Flow Statement'!BD$28&gt;0,50,9999)</f>
        <v>50</v>
      </c>
      <c r="BE22" s="80" t="n">
        <f aca="false">IF('Cash Flow Statement'!BE$28&gt;0,51,9999)</f>
        <v>51</v>
      </c>
      <c r="BF22" s="80" t="n">
        <f aca="false">IF('Cash Flow Statement'!BF$28&gt;0,52,9999)</f>
        <v>9999</v>
      </c>
      <c r="BG22" s="80" t="n">
        <f aca="false">IF('Cash Flow Statement'!BG$28&gt;0,53,9999)</f>
        <v>53</v>
      </c>
      <c r="BH22" s="80" t="n">
        <f aca="false">IF('Cash Flow Statement'!BH$28&gt;0,54,9999)</f>
        <v>54</v>
      </c>
      <c r="BI22" s="80" t="n">
        <f aca="false">IF('Cash Flow Statement'!BI$28&gt;0,55,9999)</f>
        <v>55</v>
      </c>
      <c r="BJ22" s="80" t="n">
        <f aca="false">IF('Cash Flow Statement'!BJ$28&gt;0,56,9999)</f>
        <v>56</v>
      </c>
      <c r="BK22" s="80" t="n">
        <f aca="false">IF('Cash Flow Statement'!BK$28&gt;0,57,9999)</f>
        <v>57</v>
      </c>
      <c r="BL22" s="80" t="n">
        <f aca="false">IF('Cash Flow Statement'!BL$28&gt;0,58,9999)</f>
        <v>58</v>
      </c>
      <c r="BM22" s="80" t="n">
        <f aca="false">IF('Cash Flow Statement'!BM$28&gt;0,59,9999)</f>
        <v>59</v>
      </c>
      <c r="BN22" s="80" t="n">
        <f aca="false">IF('Cash Flow Statement'!BN$28&gt;0,60,9999)</f>
        <v>60</v>
      </c>
    </row>
    <row r="23" customFormat="false" ht="15" hidden="true" customHeight="false" outlineLevel="0" collapsed="false">
      <c r="A23" s="12" t="s">
        <v>991</v>
      </c>
      <c r="C23" s="80" t="n">
        <f aca="false">IF('Cash Flow Statement'!C$35=MIN('Cash Flow Statement'!C$35:N$35,'Cash Flow Statement'!P$35:AA$35,'Cash Flow Statement'!AC$35:AN$35,'Cash Flow Statement'!AP$35:BA$35,'Cash Flow Statement'!BC$35:BN$35),1,9999)</f>
        <v>9999</v>
      </c>
      <c r="D23" s="80" t="n">
        <f aca="false">IF('Cash Flow Statement'!D$35=MIN('Cash Flow Statement'!C$35:N$35,'Cash Flow Statement'!P$35:AA$35,'Cash Flow Statement'!AC$35:AN$35,'Cash Flow Statement'!AP$35:BA$35,'Cash Flow Statement'!BC$35:BN$35),2,9999)</f>
        <v>2</v>
      </c>
      <c r="E23" s="80" t="n">
        <f aca="false">IF('Cash Flow Statement'!E$35=MIN('Cash Flow Statement'!C$35:N$35,'Cash Flow Statement'!P$35:AA$35,'Cash Flow Statement'!AC$35:AN$35,'Cash Flow Statement'!AP$35:BA$35,'Cash Flow Statement'!BC$35:BN$35),3,9999)</f>
        <v>9999</v>
      </c>
      <c r="F23" s="80" t="n">
        <f aca="false">IF('Cash Flow Statement'!F$35=MIN('Cash Flow Statement'!C$35:N$35,'Cash Flow Statement'!P$35:AA$35,'Cash Flow Statement'!AC$35:AN$35,'Cash Flow Statement'!AP$35:BA$35,'Cash Flow Statement'!BC$35:BN$35),4,9999)</f>
        <v>9999</v>
      </c>
      <c r="G23" s="80" t="n">
        <f aca="false">IF('Cash Flow Statement'!G$35=MIN('Cash Flow Statement'!C$35:N$35,'Cash Flow Statement'!P$35:AA$35,'Cash Flow Statement'!AC$35:AN$35,'Cash Flow Statement'!AP$35:BA$35,'Cash Flow Statement'!BC$35:BN$35),5,9999)</f>
        <v>9999</v>
      </c>
      <c r="H23" s="80" t="n">
        <f aca="false">IF('Cash Flow Statement'!H$35=MIN('Cash Flow Statement'!C$35:N$35,'Cash Flow Statement'!P$35:AA$35,'Cash Flow Statement'!AC$35:AN$35,'Cash Flow Statement'!AP$35:BA$35,'Cash Flow Statement'!BC$35:BN$35),6,9999)</f>
        <v>9999</v>
      </c>
      <c r="I23" s="80" t="n">
        <f aca="false">IF('Cash Flow Statement'!I$35=MIN('Cash Flow Statement'!C$35:N$35,'Cash Flow Statement'!P$35:AA$35,'Cash Flow Statement'!AC$35:AN$35,'Cash Flow Statement'!AP$35:BA$35,'Cash Flow Statement'!BC$35:BN$35),7,9999)</f>
        <v>9999</v>
      </c>
      <c r="J23" s="80" t="n">
        <f aca="false">IF('Cash Flow Statement'!J$35=MIN('Cash Flow Statement'!C$35:N$35,'Cash Flow Statement'!P$35:AA$35,'Cash Flow Statement'!AC$35:AN$35,'Cash Flow Statement'!AP$35:BA$35,'Cash Flow Statement'!BC$35:BN$35),8,9999)</f>
        <v>9999</v>
      </c>
      <c r="K23" s="80" t="n">
        <f aca="false">IF('Cash Flow Statement'!K$35=MIN('Cash Flow Statement'!C$35:N$35,'Cash Flow Statement'!P$35:AA$35,'Cash Flow Statement'!AC$35:AN$35,'Cash Flow Statement'!AP$35:BA$35,'Cash Flow Statement'!BC$35:BN$35),9,9999)</f>
        <v>9999</v>
      </c>
      <c r="L23" s="80" t="n">
        <f aca="false">IF('Cash Flow Statement'!L$35=MIN('Cash Flow Statement'!C$35:N$35,'Cash Flow Statement'!P$35:AA$35,'Cash Flow Statement'!AC$35:AN$35,'Cash Flow Statement'!AP$35:BA$35,'Cash Flow Statement'!BC$35:BN$35),10,9999)</f>
        <v>9999</v>
      </c>
      <c r="M23" s="80" t="n">
        <f aca="false">IF('Cash Flow Statement'!M$35=MIN('Cash Flow Statement'!C$35:N$35,'Cash Flow Statement'!P$35:AA$35,'Cash Flow Statement'!AC$35:AN$35,'Cash Flow Statement'!AP$35:BA$35,'Cash Flow Statement'!BC$35:BN$35),11,9999)</f>
        <v>9999</v>
      </c>
      <c r="N23" s="80" t="n">
        <f aca="false">IF('Cash Flow Statement'!N$35=MIN('Cash Flow Statement'!C$35:N$35,'Cash Flow Statement'!P$35:AA$35,'Cash Flow Statement'!AC$35:AN$35,'Cash Flow Statement'!AP$35:BA$35,'Cash Flow Statement'!BC$35:BN$35),12,9999)</f>
        <v>9999</v>
      </c>
      <c r="P23" s="80" t="n">
        <f aca="false">IF('Cash Flow Statement'!P$35=MIN('Cash Flow Statement'!C$35:N$35,'Cash Flow Statement'!P$35:AA$35,'Cash Flow Statement'!AC$35:AN$35,'Cash Flow Statement'!AP$35:BA$35,'Cash Flow Statement'!BC$35:BN$35),13,9999)</f>
        <v>9999</v>
      </c>
      <c r="Q23" s="80" t="n">
        <f aca="false">IF('Cash Flow Statement'!Q$35=MIN('Cash Flow Statement'!C$35:N$35,'Cash Flow Statement'!P$35:AA$35,'Cash Flow Statement'!AC$35:AN$35,'Cash Flow Statement'!AP$35:BA$35,'Cash Flow Statement'!BC$35:BN$35),14,9999)</f>
        <v>9999</v>
      </c>
      <c r="R23" s="80" t="n">
        <f aca="false">IF('Cash Flow Statement'!R$35=MIN('Cash Flow Statement'!C$35:N$35,'Cash Flow Statement'!P$35:AA$35,'Cash Flow Statement'!AC$35:AN$35,'Cash Flow Statement'!AP$35:BA$35,'Cash Flow Statement'!BC$35:BN$35),15,9999)</f>
        <v>9999</v>
      </c>
      <c r="S23" s="80" t="n">
        <f aca="false">IF('Cash Flow Statement'!S$35=MIN('Cash Flow Statement'!C$35:N$35,'Cash Flow Statement'!P$35:AA$35,'Cash Flow Statement'!AC$35:AN$35,'Cash Flow Statement'!AP$35:BA$35,'Cash Flow Statement'!BC$35:BN$35),16,9999)</f>
        <v>9999</v>
      </c>
      <c r="T23" s="80" t="n">
        <f aca="false">IF('Cash Flow Statement'!T$35=MIN('Cash Flow Statement'!C$35:N$35,'Cash Flow Statement'!P$35:AA$35,'Cash Flow Statement'!AC$35:AN$35,'Cash Flow Statement'!AP$35:BA$35,'Cash Flow Statement'!BC$35:BN$35),17,9999)</f>
        <v>9999</v>
      </c>
      <c r="U23" s="80" t="n">
        <f aca="false">IF('Cash Flow Statement'!U$35=MIN('Cash Flow Statement'!C$35:N$35,'Cash Flow Statement'!P$35:AA$35,'Cash Flow Statement'!AC$35:AN$35,'Cash Flow Statement'!AP$35:BA$35,'Cash Flow Statement'!BC$35:BN$35),18,9999)</f>
        <v>9999</v>
      </c>
      <c r="V23" s="80" t="n">
        <f aca="false">IF('Cash Flow Statement'!V$35=MIN('Cash Flow Statement'!C$35:N$35,'Cash Flow Statement'!P$35:AA$35,'Cash Flow Statement'!AC$35:AN$35,'Cash Flow Statement'!AP$35:BA$35,'Cash Flow Statement'!BC$35:BN$35),19,9999)</f>
        <v>9999</v>
      </c>
      <c r="W23" s="80" t="n">
        <f aca="false">IF('Cash Flow Statement'!W$35=MIN('Cash Flow Statement'!C$35:N$35,'Cash Flow Statement'!P$35:AA$35,'Cash Flow Statement'!AC$35:AN$35,'Cash Flow Statement'!AP$35:BA$35,'Cash Flow Statement'!BC$35:BN$35),20,9999)</f>
        <v>9999</v>
      </c>
      <c r="X23" s="80" t="n">
        <f aca="false">IF('Cash Flow Statement'!X$35=MIN('Cash Flow Statement'!C$35:N$35,'Cash Flow Statement'!P$35:AA$35,'Cash Flow Statement'!AC$35:AN$35,'Cash Flow Statement'!AP$35:BA$35,'Cash Flow Statement'!BC$35:BN$35),21,9999)</f>
        <v>9999</v>
      </c>
      <c r="Y23" s="80" t="n">
        <f aca="false">IF('Cash Flow Statement'!Y$35=MIN('Cash Flow Statement'!C$35:N$35,'Cash Flow Statement'!P$35:AA$35,'Cash Flow Statement'!AC$35:AN$35,'Cash Flow Statement'!AP$35:BA$35,'Cash Flow Statement'!BC$35:BN$35),22,9999)</f>
        <v>9999</v>
      </c>
      <c r="Z23" s="80" t="n">
        <f aca="false">IF('Cash Flow Statement'!Z$35=MIN('Cash Flow Statement'!C$35:N$35,'Cash Flow Statement'!P$35:AA$35,'Cash Flow Statement'!AC$35:AN$35,'Cash Flow Statement'!AP$35:BA$35,'Cash Flow Statement'!BC$35:BN$35),23,9999)</f>
        <v>9999</v>
      </c>
      <c r="AA23" s="80" t="n">
        <f aca="false">IF('Cash Flow Statement'!AA$35=MIN('Cash Flow Statement'!C$35:N$35,'Cash Flow Statement'!P$35:AA$35,'Cash Flow Statement'!AC$35:AN$35,'Cash Flow Statement'!AP$35:BA$35,'Cash Flow Statement'!BC$35:BN$35),24,9999)</f>
        <v>9999</v>
      </c>
      <c r="AC23" s="80" t="n">
        <f aca="false">IF('Cash Flow Statement'!AC$35=MIN('Cash Flow Statement'!C$35:N$35,'Cash Flow Statement'!P$35:AA$35,'Cash Flow Statement'!AC$35:AN$35,'Cash Flow Statement'!AP$35:BA$35,'Cash Flow Statement'!BC$35:BN$35),25,9999)</f>
        <v>9999</v>
      </c>
      <c r="AD23" s="80" t="n">
        <f aca="false">IF('Cash Flow Statement'!AD$35=MIN('Cash Flow Statement'!C$35:N$35,'Cash Flow Statement'!P$35:AA$35,'Cash Flow Statement'!AC$35:AN$35,'Cash Flow Statement'!AP$35:BA$35,'Cash Flow Statement'!BC$35:BN$35),26,9999)</f>
        <v>9999</v>
      </c>
      <c r="AE23" s="80" t="n">
        <f aca="false">IF('Cash Flow Statement'!AE$35=MIN('Cash Flow Statement'!C$35:N$35,'Cash Flow Statement'!P$35:AA$35,'Cash Flow Statement'!AC$35:AN$35,'Cash Flow Statement'!AP$35:BA$35,'Cash Flow Statement'!BC$35:BN$35),27,9999)</f>
        <v>9999</v>
      </c>
      <c r="AF23" s="80" t="n">
        <f aca="false">IF('Cash Flow Statement'!AF$35=MIN('Cash Flow Statement'!C$35:N$35,'Cash Flow Statement'!P$35:AA$35,'Cash Flow Statement'!AC$35:AN$35,'Cash Flow Statement'!AP$35:BA$35,'Cash Flow Statement'!BC$35:BN$35),28,9999)</f>
        <v>9999</v>
      </c>
      <c r="AG23" s="80" t="n">
        <f aca="false">IF('Cash Flow Statement'!AG$35=MIN('Cash Flow Statement'!C$35:N$35,'Cash Flow Statement'!P$35:AA$35,'Cash Flow Statement'!AC$35:AN$35,'Cash Flow Statement'!AP$35:BA$35,'Cash Flow Statement'!BC$35:BN$35),29,9999)</f>
        <v>9999</v>
      </c>
      <c r="AH23" s="80" t="n">
        <f aca="false">IF('Cash Flow Statement'!AH$35=MIN('Cash Flow Statement'!C$35:N$35,'Cash Flow Statement'!P$35:AA$35,'Cash Flow Statement'!AC$35:AN$35,'Cash Flow Statement'!AP$35:BA$35,'Cash Flow Statement'!BC$35:BN$35),30,9999)</f>
        <v>9999</v>
      </c>
      <c r="AI23" s="80" t="n">
        <f aca="false">IF('Cash Flow Statement'!AI$35=MIN('Cash Flow Statement'!C$35:N$35,'Cash Flow Statement'!P$35:AA$35,'Cash Flow Statement'!AC$35:AN$35,'Cash Flow Statement'!AP$35:BA$35,'Cash Flow Statement'!BC$35:BN$35),31,9999)</f>
        <v>9999</v>
      </c>
      <c r="AJ23" s="80" t="n">
        <f aca="false">IF('Cash Flow Statement'!AJ$35=MIN('Cash Flow Statement'!C$35:N$35,'Cash Flow Statement'!P$35:AA$35,'Cash Flow Statement'!AC$35:AN$35,'Cash Flow Statement'!AP$35:BA$35,'Cash Flow Statement'!BC$35:BN$35),32,9999)</f>
        <v>9999</v>
      </c>
      <c r="AK23" s="80" t="n">
        <f aca="false">IF('Cash Flow Statement'!AK$35=MIN('Cash Flow Statement'!C$35:N$35,'Cash Flow Statement'!P$35:AA$35,'Cash Flow Statement'!AC$35:AN$35,'Cash Flow Statement'!AP$35:BA$35,'Cash Flow Statement'!BC$35:BN$35),33,9999)</f>
        <v>9999</v>
      </c>
      <c r="AL23" s="80" t="n">
        <f aca="false">IF('Cash Flow Statement'!AL$35=MIN('Cash Flow Statement'!C$35:N$35,'Cash Flow Statement'!P$35:AA$35,'Cash Flow Statement'!AC$35:AN$35,'Cash Flow Statement'!AP$35:BA$35,'Cash Flow Statement'!BC$35:BN$35),34,9999)</f>
        <v>9999</v>
      </c>
      <c r="AM23" s="80" t="n">
        <f aca="false">IF('Cash Flow Statement'!AM$35=MIN('Cash Flow Statement'!C$35:N$35,'Cash Flow Statement'!P$35:AA$35,'Cash Flow Statement'!AC$35:AN$35,'Cash Flow Statement'!AP$35:BA$35,'Cash Flow Statement'!BC$35:BN$35),35,9999)</f>
        <v>9999</v>
      </c>
      <c r="AN23" s="80" t="n">
        <f aca="false">IF('Cash Flow Statement'!AN$35=MIN('Cash Flow Statement'!C$35:N$35,'Cash Flow Statement'!P$35:AA$35,'Cash Flow Statement'!AC$35:AN$35,'Cash Flow Statement'!AP$35:BA$35,'Cash Flow Statement'!BC$35:BN$35),36,9999)</f>
        <v>9999</v>
      </c>
      <c r="AP23" s="80" t="n">
        <f aca="false">IF('Cash Flow Statement'!AP$35=MIN('Cash Flow Statement'!C$35:N$35,'Cash Flow Statement'!P$35:AA$35,'Cash Flow Statement'!AC$35:AN$35,'Cash Flow Statement'!AP$35:BA$35,'Cash Flow Statement'!BC$35:BN$35),37,9999)</f>
        <v>9999</v>
      </c>
      <c r="AQ23" s="80" t="n">
        <f aca="false">IF('Cash Flow Statement'!AQ$35=MIN('Cash Flow Statement'!C$35:N$35,'Cash Flow Statement'!P$35:AA$35,'Cash Flow Statement'!AC$35:AN$35,'Cash Flow Statement'!AP$35:BA$35,'Cash Flow Statement'!BC$35:BN$35),38,9999)</f>
        <v>9999</v>
      </c>
      <c r="AR23" s="80" t="n">
        <f aca="false">IF('Cash Flow Statement'!AR$35=MIN('Cash Flow Statement'!C$35:N$35,'Cash Flow Statement'!P$35:AA$35,'Cash Flow Statement'!AC$35:AN$35,'Cash Flow Statement'!AP$35:BA$35,'Cash Flow Statement'!BC$35:BN$35),39,9999)</f>
        <v>9999</v>
      </c>
      <c r="AS23" s="80" t="n">
        <f aca="false">IF('Cash Flow Statement'!AS$35=MIN('Cash Flow Statement'!C$35:N$35,'Cash Flow Statement'!P$35:AA$35,'Cash Flow Statement'!AC$35:AN$35,'Cash Flow Statement'!AP$35:BA$35,'Cash Flow Statement'!BC$35:BN$35),40,9999)</f>
        <v>9999</v>
      </c>
      <c r="AT23" s="80" t="n">
        <f aca="false">IF('Cash Flow Statement'!AT$35=MIN('Cash Flow Statement'!C$35:N$35,'Cash Flow Statement'!P$35:AA$35,'Cash Flow Statement'!AC$35:AN$35,'Cash Flow Statement'!AP$35:BA$35,'Cash Flow Statement'!BC$35:BN$35),41,9999)</f>
        <v>9999</v>
      </c>
      <c r="AU23" s="80" t="n">
        <f aca="false">IF('Cash Flow Statement'!AU$35=MIN('Cash Flow Statement'!C$35:N$35,'Cash Flow Statement'!P$35:AA$35,'Cash Flow Statement'!AC$35:AN$35,'Cash Flow Statement'!AP$35:BA$35,'Cash Flow Statement'!BC$35:BN$35),42,9999)</f>
        <v>9999</v>
      </c>
      <c r="AV23" s="80" t="n">
        <f aca="false">IF('Cash Flow Statement'!AV$35=MIN('Cash Flow Statement'!C$35:N$35,'Cash Flow Statement'!P$35:AA$35,'Cash Flow Statement'!AC$35:AN$35,'Cash Flow Statement'!AP$35:BA$35,'Cash Flow Statement'!BC$35:BN$35),43,9999)</f>
        <v>9999</v>
      </c>
      <c r="AW23" s="80" t="n">
        <f aca="false">IF('Cash Flow Statement'!AW$35=MIN('Cash Flow Statement'!C$35:N$35,'Cash Flow Statement'!P$35:AA$35,'Cash Flow Statement'!AC$35:AN$35,'Cash Flow Statement'!AP$35:BA$35,'Cash Flow Statement'!BC$35:BN$35),44,9999)</f>
        <v>9999</v>
      </c>
      <c r="AX23" s="80" t="n">
        <f aca="false">IF('Cash Flow Statement'!AX$35=MIN('Cash Flow Statement'!C$35:N$35,'Cash Flow Statement'!P$35:AA$35,'Cash Flow Statement'!AC$35:AN$35,'Cash Flow Statement'!AP$35:BA$35,'Cash Flow Statement'!BC$35:BN$35),45,9999)</f>
        <v>9999</v>
      </c>
      <c r="AY23" s="80" t="n">
        <f aca="false">IF('Cash Flow Statement'!AY$35=MIN('Cash Flow Statement'!C$35:N$35,'Cash Flow Statement'!P$35:AA$35,'Cash Flow Statement'!AC$35:AN$35,'Cash Flow Statement'!AP$35:BA$35,'Cash Flow Statement'!BC$35:BN$35),46,9999)</f>
        <v>9999</v>
      </c>
      <c r="AZ23" s="80" t="n">
        <f aca="false">IF('Cash Flow Statement'!AZ$35=MIN('Cash Flow Statement'!C$35:N$35,'Cash Flow Statement'!P$35:AA$35,'Cash Flow Statement'!AC$35:AN$35,'Cash Flow Statement'!AP$35:BA$35,'Cash Flow Statement'!BC$35:BN$35),47,9999)</f>
        <v>9999</v>
      </c>
      <c r="BA23" s="80" t="n">
        <f aca="false">IF('Cash Flow Statement'!BA$35=MIN('Cash Flow Statement'!C$35:N$35,'Cash Flow Statement'!P$35:AA$35,'Cash Flow Statement'!AC$35:AN$35,'Cash Flow Statement'!AP$35:BA$35,'Cash Flow Statement'!BC$35:BN$35),48,9999)</f>
        <v>9999</v>
      </c>
      <c r="BC23" s="80" t="n">
        <f aca="false">IF('Cash Flow Statement'!BC$35=MIN('Cash Flow Statement'!C$35:N$35,'Cash Flow Statement'!P$35:AA$35,'Cash Flow Statement'!AC$35:AN$35,'Cash Flow Statement'!AP$35:BA$35,'Cash Flow Statement'!BC$35:BN$35),49,9999)</f>
        <v>9999</v>
      </c>
      <c r="BD23" s="80" t="n">
        <f aca="false">IF('Cash Flow Statement'!BD$35=MIN('Cash Flow Statement'!C$35:N$35,'Cash Flow Statement'!P$35:AA$35,'Cash Flow Statement'!AC$35:AN$35,'Cash Flow Statement'!AP$35:BA$35,'Cash Flow Statement'!BC$35:BN$35),50,9999)</f>
        <v>9999</v>
      </c>
      <c r="BE23" s="80" t="n">
        <f aca="false">IF('Cash Flow Statement'!BE$35=MIN('Cash Flow Statement'!C$35:N$35,'Cash Flow Statement'!P$35:AA$35,'Cash Flow Statement'!AC$35:AN$35,'Cash Flow Statement'!AP$35:BA$35,'Cash Flow Statement'!BC$35:BN$35),51,9999)</f>
        <v>9999</v>
      </c>
      <c r="BF23" s="80" t="n">
        <f aca="false">IF('Cash Flow Statement'!BF$35=MIN('Cash Flow Statement'!C$35:N$35,'Cash Flow Statement'!P$35:AA$35,'Cash Flow Statement'!AC$35:AN$35,'Cash Flow Statement'!AP$35:BA$35,'Cash Flow Statement'!BC$35:BN$35),52,9999)</f>
        <v>9999</v>
      </c>
      <c r="BG23" s="80" t="n">
        <f aca="false">IF('Cash Flow Statement'!BG$35=MIN('Cash Flow Statement'!C$35:N$35,'Cash Flow Statement'!P$35:AA$35,'Cash Flow Statement'!AC$35:AN$35,'Cash Flow Statement'!AP$35:BA$35,'Cash Flow Statement'!BC$35:BN$35),53,9999)</f>
        <v>9999</v>
      </c>
      <c r="BH23" s="80" t="n">
        <f aca="false">IF('Cash Flow Statement'!BH$35=MIN('Cash Flow Statement'!C$35:N$35,'Cash Flow Statement'!P$35:AA$35,'Cash Flow Statement'!AC$35:AN$35,'Cash Flow Statement'!AP$35:BA$35,'Cash Flow Statement'!BC$35:BN$35),54,9999)</f>
        <v>9999</v>
      </c>
      <c r="BI23" s="80" t="n">
        <f aca="false">IF('Cash Flow Statement'!BI$35=MIN('Cash Flow Statement'!C$35:N$35,'Cash Flow Statement'!P$35:AA$35,'Cash Flow Statement'!AC$35:AN$35,'Cash Flow Statement'!AP$35:BA$35,'Cash Flow Statement'!BC$35:BN$35),55,9999)</f>
        <v>9999</v>
      </c>
      <c r="BJ23" s="80" t="n">
        <f aca="false">IF('Cash Flow Statement'!BJ$35=MIN('Cash Flow Statement'!C$35:N$35,'Cash Flow Statement'!P$35:AA$35,'Cash Flow Statement'!AC$35:AN$35,'Cash Flow Statement'!AP$35:BA$35,'Cash Flow Statement'!BC$35:BN$35),56,9999)</f>
        <v>9999</v>
      </c>
      <c r="BK23" s="80" t="n">
        <f aca="false">IF('Cash Flow Statement'!BK$35=MIN('Cash Flow Statement'!C$35:N$35,'Cash Flow Statement'!P$35:AA$35,'Cash Flow Statement'!AC$35:AN$35,'Cash Flow Statement'!AP$35:BA$35,'Cash Flow Statement'!BC$35:BN$35),57,9999)</f>
        <v>9999</v>
      </c>
      <c r="BL23" s="80" t="n">
        <f aca="false">IF('Cash Flow Statement'!BL$35=MIN('Cash Flow Statement'!C$35:N$35,'Cash Flow Statement'!P$35:AA$35,'Cash Flow Statement'!AC$35:AN$35,'Cash Flow Statement'!AP$35:BA$35,'Cash Flow Statement'!BC$35:BN$35),58,9999)</f>
        <v>9999</v>
      </c>
      <c r="BM23" s="80" t="n">
        <f aca="false">IF('Cash Flow Statement'!BM$35=MIN('Cash Flow Statement'!C$35:N$35,'Cash Flow Statement'!P$35:AA$35,'Cash Flow Statement'!AC$35:AN$35,'Cash Flow Statement'!AP$35:BA$35,'Cash Flow Statement'!BC$35:BN$35),59,9999)</f>
        <v>9999</v>
      </c>
      <c r="BN23" s="80" t="n">
        <f aca="false">IF('Cash Flow Statement'!BN$35=MIN('Cash Flow Statement'!C$35:N$35,'Cash Flow Statement'!P$35:AA$35,'Cash Flow Statement'!AC$35:AN$35,'Cash Flow Statement'!AP$35:BA$35,'Cash Flow Statement'!BC$35:BN$35),60,9999)</f>
        <v>9999</v>
      </c>
    </row>
    <row r="24" customFormat="false" ht="15" hidden="true" customHeight="false" outlineLevel="0" collapsed="false">
      <c r="A24" s="12" t="s">
        <v>992</v>
      </c>
      <c r="C24" s="80" t="n">
        <f aca="false">IF('Cash Flow Statement'!C$37&gt;0,1,9999)</f>
        <v>9999</v>
      </c>
      <c r="D24" s="80" t="n">
        <f aca="false">IF('Cash Flow Statement'!D$37&gt;0,2,9999)</f>
        <v>9999</v>
      </c>
      <c r="E24" s="80" t="n">
        <f aca="false">IF('Cash Flow Statement'!E$37&gt;0,3,9999)</f>
        <v>9999</v>
      </c>
      <c r="F24" s="80" t="n">
        <f aca="false">IF('Cash Flow Statement'!F$37&gt;0,4,9999)</f>
        <v>9999</v>
      </c>
      <c r="G24" s="80" t="n">
        <f aca="false">IF('Cash Flow Statement'!G$37&gt;0,5,9999)</f>
        <v>9999</v>
      </c>
      <c r="H24" s="80" t="n">
        <f aca="false">IF('Cash Flow Statement'!H$37&gt;0,6,9999)</f>
        <v>9999</v>
      </c>
      <c r="I24" s="80" t="n">
        <f aca="false">IF('Cash Flow Statement'!I$37&gt;0,7,9999)</f>
        <v>9999</v>
      </c>
      <c r="J24" s="80" t="n">
        <f aca="false">IF('Cash Flow Statement'!J$37&gt;0,8,9999)</f>
        <v>9999</v>
      </c>
      <c r="K24" s="80" t="n">
        <f aca="false">IF('Cash Flow Statement'!K$37&gt;0,9,9999)</f>
        <v>9999</v>
      </c>
      <c r="L24" s="80" t="n">
        <f aca="false">IF('Cash Flow Statement'!L$37&gt;0,10,9999)</f>
        <v>9999</v>
      </c>
      <c r="M24" s="80" t="n">
        <f aca="false">IF('Cash Flow Statement'!M$37&gt;0,11,9999)</f>
        <v>9999</v>
      </c>
      <c r="N24" s="80" t="n">
        <f aca="false">IF('Cash Flow Statement'!N$37&gt;0,12,9999)</f>
        <v>9999</v>
      </c>
      <c r="P24" s="80" t="n">
        <f aca="false">IF('Cash Flow Statement'!P$37&gt;0,13,9999)</f>
        <v>9999</v>
      </c>
      <c r="Q24" s="80" t="n">
        <f aca="false">IF('Cash Flow Statement'!Q$37&gt;0,14,9999)</f>
        <v>9999</v>
      </c>
      <c r="R24" s="80" t="n">
        <f aca="false">IF('Cash Flow Statement'!R$37&gt;0,15,9999)</f>
        <v>9999</v>
      </c>
      <c r="S24" s="80" t="n">
        <f aca="false">IF('Cash Flow Statement'!S$37&gt;0,16,9999)</f>
        <v>9999</v>
      </c>
      <c r="T24" s="80" t="n">
        <f aca="false">IF('Cash Flow Statement'!T$37&gt;0,17,9999)</f>
        <v>9999</v>
      </c>
      <c r="U24" s="80" t="n">
        <f aca="false">IF('Cash Flow Statement'!U$37&gt;0,18,9999)</f>
        <v>9999</v>
      </c>
      <c r="V24" s="80" t="n">
        <f aca="false">IF('Cash Flow Statement'!V$37&gt;0,19,9999)</f>
        <v>9999</v>
      </c>
      <c r="W24" s="80" t="n">
        <f aca="false">IF('Cash Flow Statement'!W$37&gt;0,20,9999)</f>
        <v>9999</v>
      </c>
      <c r="X24" s="80" t="n">
        <f aca="false">IF('Cash Flow Statement'!X$37&gt;0,21,9999)</f>
        <v>9999</v>
      </c>
      <c r="Y24" s="80" t="n">
        <f aca="false">IF('Cash Flow Statement'!Y$37&gt;0,22,9999)</f>
        <v>9999</v>
      </c>
      <c r="Z24" s="80" t="n">
        <f aca="false">IF('Cash Flow Statement'!Z$37&gt;0,23,9999)</f>
        <v>9999</v>
      </c>
      <c r="AA24" s="80" t="n">
        <f aca="false">IF('Cash Flow Statement'!AA$37&gt;0,24,9999)</f>
        <v>24</v>
      </c>
      <c r="AC24" s="80" t="n">
        <f aca="false">IF('Cash Flow Statement'!AC$37&gt;0,25,9999)</f>
        <v>25</v>
      </c>
      <c r="AD24" s="80" t="n">
        <f aca="false">IF('Cash Flow Statement'!AD$37&gt;0,26,9999)</f>
        <v>26</v>
      </c>
      <c r="AE24" s="80" t="n">
        <f aca="false">IF('Cash Flow Statement'!AE$37&gt;0,27,9999)</f>
        <v>27</v>
      </c>
      <c r="AF24" s="80" t="n">
        <f aca="false">IF('Cash Flow Statement'!AF$37&gt;0,28,9999)</f>
        <v>28</v>
      </c>
      <c r="AG24" s="80" t="n">
        <f aca="false">IF('Cash Flow Statement'!AG$37&gt;0,29,9999)</f>
        <v>29</v>
      </c>
      <c r="AH24" s="80" t="n">
        <f aca="false">IF('Cash Flow Statement'!AH$37&gt;0,30,9999)</f>
        <v>30</v>
      </c>
      <c r="AI24" s="80" t="n">
        <f aca="false">IF('Cash Flow Statement'!AI$37&gt;0,31,9999)</f>
        <v>31</v>
      </c>
      <c r="AJ24" s="80" t="n">
        <f aca="false">IF('Cash Flow Statement'!AJ$37&gt;0,32,9999)</f>
        <v>32</v>
      </c>
      <c r="AK24" s="80" t="n">
        <f aca="false">IF('Cash Flow Statement'!AK$37&gt;0,33,9999)</f>
        <v>33</v>
      </c>
      <c r="AL24" s="80" t="n">
        <f aca="false">IF('Cash Flow Statement'!AL$37&gt;0,34,9999)</f>
        <v>34</v>
      </c>
      <c r="AM24" s="80" t="n">
        <f aca="false">IF('Cash Flow Statement'!AM$37&gt;0,35,9999)</f>
        <v>35</v>
      </c>
      <c r="AN24" s="80" t="n">
        <f aca="false">IF('Cash Flow Statement'!AN$37&gt;0,36,9999)</f>
        <v>36</v>
      </c>
      <c r="AP24" s="80" t="n">
        <f aca="false">IF('Cash Flow Statement'!AP$37&gt;0,37,9999)</f>
        <v>37</v>
      </c>
      <c r="AQ24" s="80" t="n">
        <f aca="false">IF('Cash Flow Statement'!AQ$37&gt;0,38,9999)</f>
        <v>38</v>
      </c>
      <c r="AR24" s="80" t="n">
        <f aca="false">IF('Cash Flow Statement'!AR$37&gt;0,39,9999)</f>
        <v>39</v>
      </c>
      <c r="AS24" s="80" t="n">
        <f aca="false">IF('Cash Flow Statement'!AS$37&gt;0,40,9999)</f>
        <v>40</v>
      </c>
      <c r="AT24" s="80" t="n">
        <f aca="false">IF('Cash Flow Statement'!AT$37&gt;0,41,9999)</f>
        <v>41</v>
      </c>
      <c r="AU24" s="80" t="n">
        <f aca="false">IF('Cash Flow Statement'!AU$37&gt;0,42,9999)</f>
        <v>42</v>
      </c>
      <c r="AV24" s="80" t="n">
        <f aca="false">IF('Cash Flow Statement'!AV$37&gt;0,43,9999)</f>
        <v>43</v>
      </c>
      <c r="AW24" s="80" t="n">
        <f aca="false">IF('Cash Flow Statement'!AW$37&gt;0,44,9999)</f>
        <v>44</v>
      </c>
      <c r="AX24" s="80" t="n">
        <f aca="false">IF('Cash Flow Statement'!AX$37&gt;0,45,9999)</f>
        <v>45</v>
      </c>
      <c r="AY24" s="80" t="n">
        <f aca="false">IF('Cash Flow Statement'!AY$37&gt;0,46,9999)</f>
        <v>46</v>
      </c>
      <c r="AZ24" s="80" t="n">
        <f aca="false">IF('Cash Flow Statement'!AZ$37&gt;0,47,9999)</f>
        <v>47</v>
      </c>
      <c r="BA24" s="80" t="n">
        <f aca="false">IF('Cash Flow Statement'!BA$37&gt;0,48,9999)</f>
        <v>48</v>
      </c>
      <c r="BC24" s="80" t="n">
        <f aca="false">IF('Cash Flow Statement'!BC$37&gt;0,49,9999)</f>
        <v>49</v>
      </c>
      <c r="BD24" s="80" t="n">
        <f aca="false">IF('Cash Flow Statement'!BD$37&gt;0,50,9999)</f>
        <v>50</v>
      </c>
      <c r="BE24" s="80" t="n">
        <f aca="false">IF('Cash Flow Statement'!BE$37&gt;0,51,9999)</f>
        <v>51</v>
      </c>
      <c r="BF24" s="80" t="n">
        <f aca="false">IF('Cash Flow Statement'!BF$37&gt;0,52,9999)</f>
        <v>52</v>
      </c>
      <c r="BG24" s="80" t="n">
        <f aca="false">IF('Cash Flow Statement'!BG$37&gt;0,53,9999)</f>
        <v>53</v>
      </c>
      <c r="BH24" s="80" t="n">
        <f aca="false">IF('Cash Flow Statement'!BH$37&gt;0,54,9999)</f>
        <v>54</v>
      </c>
      <c r="BI24" s="80" t="n">
        <f aca="false">IF('Cash Flow Statement'!BI$37&gt;0,55,9999)</f>
        <v>55</v>
      </c>
      <c r="BJ24" s="80" t="n">
        <f aca="false">IF('Cash Flow Statement'!BJ$37&gt;0,56,9999)</f>
        <v>56</v>
      </c>
      <c r="BK24" s="80" t="n">
        <f aca="false">IF('Cash Flow Statement'!BK$37&gt;0,57,9999)</f>
        <v>57</v>
      </c>
      <c r="BL24" s="80" t="n">
        <f aca="false">IF('Cash Flow Statement'!BL$37&gt;0,58,9999)</f>
        <v>58</v>
      </c>
      <c r="BM24" s="80" t="n">
        <f aca="false">IF('Cash Flow Statement'!BM$37&gt;0,59,9999)</f>
        <v>59</v>
      </c>
      <c r="BN24" s="80" t="n">
        <f aca="false">IF('Cash Flow Statement'!BN$37&gt;0,60,9999)</f>
        <v>60</v>
      </c>
    </row>
    <row r="25" customFormat="false" ht="15" hidden="false" customHeight="false" outlineLevel="0" collapsed="false">
      <c r="A25" s="18" t="s">
        <v>993</v>
      </c>
      <c r="B25" s="22" t="s">
        <v>994</v>
      </c>
      <c r="C25" s="48" t="n">
        <f aca="false">MIN(C21:BN21)</f>
        <v>10</v>
      </c>
      <c r="D25" s="112" t="str">
        <f aca="false">IF(C25=9999,"not within 60 months",INDEX($C$20:$BN$20,1,C25))</f>
        <v>Jul-27</v>
      </c>
    </row>
    <row r="26" customFormat="false" ht="15" hidden="false" customHeight="false" outlineLevel="0" collapsed="false">
      <c r="A26" s="18" t="s">
        <v>995</v>
      </c>
      <c r="B26" s="22" t="s">
        <v>996</v>
      </c>
      <c r="C26" s="48" t="n">
        <f aca="false">MIN(C22:BN22)</f>
        <v>11</v>
      </c>
      <c r="D26" s="112" t="str">
        <f aca="false">IF(C26=9999,"not within 60 months",INDEX($C$20:$BN$20,1,C26))</f>
        <v>Aug-27</v>
      </c>
    </row>
    <row r="27" customFormat="false" ht="15" hidden="false" customHeight="false" outlineLevel="0" collapsed="false">
      <c r="A27" s="18" t="s">
        <v>997</v>
      </c>
      <c r="B27" s="22" t="s">
        <v>998</v>
      </c>
      <c r="C27" s="48" t="n">
        <f aca="false">MIN(C23:BN23)</f>
        <v>2</v>
      </c>
      <c r="D27" s="112" t="str">
        <f aca="false">IF(C27=9999,"not within 60 months",INDEX($C$20:$BN$20,1,C27))</f>
        <v>Nov-26</v>
      </c>
    </row>
    <row r="28" customFormat="false" ht="15" hidden="false" customHeight="false" outlineLevel="0" collapsed="false">
      <c r="A28" s="18" t="s">
        <v>999</v>
      </c>
      <c r="B28" s="22" t="s">
        <v>1000</v>
      </c>
      <c r="C28" s="48" t="n">
        <f aca="false">MIN(C24:BN24)</f>
        <v>24</v>
      </c>
      <c r="D28" s="112" t="str">
        <f aca="false">IF(C28=9999,"not within 60 months",INDEX($C$20:$BN$20,1,C28))</f>
        <v>Aug-28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8"/>
    <col collapsed="false" customWidth="true" hidden="false" outlineLevel="0" max="8" min="5" style="0" width="15"/>
  </cols>
  <sheetData>
    <row r="1" customFormat="false" ht="24.75" hidden="false" customHeight="true" outlineLevel="0" collapsed="false">
      <c r="A1" s="14" t="s">
        <v>1001</v>
      </c>
    </row>
    <row r="2" customFormat="false" ht="13.5" hidden="false" customHeight="true" outlineLevel="0" collapsed="false">
      <c r="A2" s="6" t="s">
        <v>1002</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1003</v>
      </c>
      <c r="B5" s="15"/>
      <c r="C5" s="15"/>
      <c r="D5" s="15"/>
      <c r="E5" s="15"/>
      <c r="F5" s="15"/>
      <c r="G5" s="15"/>
      <c r="H5" s="15"/>
      <c r="I5" s="15"/>
      <c r="J5" s="15"/>
    </row>
    <row r="6" customFormat="false" ht="15" hidden="false" customHeight="false" outlineLevel="0" collapsed="false">
      <c r="A6" s="18" t="s">
        <v>1004</v>
      </c>
      <c r="B6" s="22" t="s">
        <v>1005</v>
      </c>
      <c r="C6" s="19" t="n">
        <f aca="false">'Assumption Setting'!$C$20</f>
        <v>50000</v>
      </c>
      <c r="D6" s="19" t="str">
        <f aca="false">""</f>
        <v/>
      </c>
      <c r="E6" s="19" t="str">
        <f aca="false">""</f>
        <v/>
      </c>
      <c r="F6" s="19" t="str">
        <f aca="false">""</f>
        <v/>
      </c>
      <c r="G6" s="19" t="str">
        <f aca="false">""</f>
        <v/>
      </c>
    </row>
    <row r="7" customFormat="false" ht="15" hidden="false" customHeight="false" outlineLevel="0" collapsed="false">
      <c r="A7" s="18" t="s">
        <v>1006</v>
      </c>
      <c r="B7" s="22" t="s">
        <v>1007</v>
      </c>
      <c r="C7" s="19" t="n">
        <f aca="false">'Assumption Setting'!$C$190</f>
        <v>250000</v>
      </c>
      <c r="D7" s="19" t="str">
        <f aca="false">""</f>
        <v/>
      </c>
      <c r="E7" s="19" t="str">
        <f aca="false">""</f>
        <v/>
      </c>
      <c r="F7" s="19" t="str">
        <f aca="false">""</f>
        <v/>
      </c>
      <c r="G7" s="19" t="str">
        <f aca="false">""</f>
        <v/>
      </c>
    </row>
    <row r="8" customFormat="false" ht="15" hidden="false" customHeight="false" outlineLevel="0" collapsed="false">
      <c r="A8" s="18" t="s">
        <v>1008</v>
      </c>
      <c r="C8" s="118" t="n">
        <f aca="false">'Assumption Setting'!$C$20+'Assumption Setting'!$C$190</f>
        <v>300000</v>
      </c>
      <c r="D8" s="118" t="str">
        <f aca="false">""</f>
        <v/>
      </c>
      <c r="E8" s="118" t="str">
        <f aca="false">""</f>
        <v/>
      </c>
      <c r="F8" s="118" t="str">
        <f aca="false">""</f>
        <v/>
      </c>
      <c r="G8" s="118" t="str">
        <f aca="false">""</f>
        <v/>
      </c>
    </row>
    <row r="10" customFormat="false" ht="16.5" hidden="false" customHeight="true" outlineLevel="0" collapsed="false">
      <c r="A10" s="15" t="s">
        <v>1009</v>
      </c>
      <c r="B10" s="15"/>
      <c r="C10" s="15"/>
      <c r="D10" s="15"/>
      <c r="E10" s="15"/>
      <c r="F10" s="15"/>
      <c r="G10" s="15"/>
      <c r="H10" s="15"/>
      <c r="I10" s="15"/>
      <c r="J10" s="15"/>
    </row>
    <row r="11" customFormat="false" ht="15" hidden="false" customHeight="false" outlineLevel="0" collapsed="false">
      <c r="A11" s="16"/>
      <c r="B11" s="16"/>
      <c r="C11" s="17" t="s">
        <v>80</v>
      </c>
      <c r="D11" s="17" t="s">
        <v>81</v>
      </c>
      <c r="E11" s="17" t="s">
        <v>82</v>
      </c>
      <c r="F11" s="17" t="s">
        <v>83</v>
      </c>
      <c r="G11" s="17" t="s">
        <v>84</v>
      </c>
    </row>
    <row r="12" customFormat="false" ht="15" hidden="false" customHeight="false" outlineLevel="0" collapsed="false">
      <c r="A12" s="12" t="s">
        <v>1010</v>
      </c>
      <c r="B12" s="22" t="s">
        <v>1011</v>
      </c>
      <c r="C12" s="20" t="n">
        <f aca="false">'Financial Indicators'!$C$45</f>
        <v>-77494.4035195091</v>
      </c>
      <c r="D12" s="20" t="n">
        <f aca="false">'Financial Indicators'!$D$45</f>
        <v>78653.5398936215</v>
      </c>
      <c r="E12" s="20" t="n">
        <f aca="false">'Financial Indicators'!$E$45</f>
        <v>1122234.50494753</v>
      </c>
      <c r="F12" s="20" t="n">
        <f aca="false">'Financial Indicators'!$F$45</f>
        <v>2638910.88637831</v>
      </c>
      <c r="G12" s="20" t="n">
        <f aca="false">'Financial Indicators'!$G$45</f>
        <v>4415094.35508777</v>
      </c>
    </row>
    <row r="13" customFormat="false" ht="15" hidden="false" customHeight="false" outlineLevel="0" collapsed="false">
      <c r="A13" s="18" t="s">
        <v>922</v>
      </c>
      <c r="C13" s="19" t="n">
        <f aca="false">C12</f>
        <v>-77494.4035195091</v>
      </c>
      <c r="D13" s="19" t="n">
        <f aca="false">C13+D12</f>
        <v>1159.13637411239</v>
      </c>
      <c r="E13" s="19" t="n">
        <f aca="false">D13+E12</f>
        <v>1123393.64132164</v>
      </c>
      <c r="F13" s="19" t="n">
        <f aca="false">E13+F12</f>
        <v>3762304.52769995</v>
      </c>
      <c r="G13" s="19" t="n">
        <f aca="false">F13+G12</f>
        <v>8177398.88278772</v>
      </c>
    </row>
    <row r="14" customFormat="false" ht="15" hidden="false" customHeight="false" outlineLevel="0" collapsed="false">
      <c r="A14" s="18" t="s">
        <v>1012</v>
      </c>
      <c r="B14" s="22" t="s">
        <v>1013</v>
      </c>
      <c r="C14" s="54" t="n">
        <f aca="false">IFERROR(C13/$C$8,0)</f>
        <v>-0.258314678398364</v>
      </c>
      <c r="D14" s="54" t="n">
        <f aca="false">IFERROR(D13/$C$8,0)</f>
        <v>0.00386378791370798</v>
      </c>
      <c r="E14" s="54" t="n">
        <f aca="false">IFERROR(E13/$C$8,0)</f>
        <v>3.74464547107214</v>
      </c>
      <c r="F14" s="54" t="n">
        <f aca="false">IFERROR(F13/$C$8,0)</f>
        <v>12.5410150923332</v>
      </c>
      <c r="G14" s="54" t="n">
        <f aca="false">IFERROR(G13/$C$8,0)</f>
        <v>27.2579962759591</v>
      </c>
    </row>
    <row r="15" customFormat="false" ht="15" hidden="false" customHeight="false" outlineLevel="0" collapsed="false">
      <c r="A15" s="12" t="s">
        <v>1014</v>
      </c>
      <c r="C15" s="119" t="n">
        <f aca="false">MAX(0,$C$8-C13)</f>
        <v>377494.403519509</v>
      </c>
      <c r="D15" s="119" t="n">
        <f aca="false">MAX(0,$C$8-D13)</f>
        <v>298840.863625888</v>
      </c>
      <c r="E15" s="119" t="n">
        <f aca="false">MAX(0,$C$8-E13)</f>
        <v>0</v>
      </c>
      <c r="F15" s="119" t="n">
        <f aca="false">MAX(0,$C$8-F13)</f>
        <v>0</v>
      </c>
      <c r="G15" s="119" t="n">
        <f aca="false">MAX(0,$C$8-G13)</f>
        <v>0</v>
      </c>
    </row>
    <row r="17" customFormat="false" ht="16.5" hidden="false" customHeight="true" outlineLevel="0" collapsed="false">
      <c r="A17" s="15" t="s">
        <v>1015</v>
      </c>
      <c r="B17" s="15"/>
      <c r="C17" s="15"/>
      <c r="D17" s="15"/>
      <c r="E17" s="15"/>
      <c r="F17" s="15"/>
      <c r="G17" s="15"/>
      <c r="H17" s="15"/>
      <c r="I17" s="15"/>
      <c r="J17" s="15"/>
    </row>
    <row r="18" customFormat="false" ht="15" hidden="true" customHeight="false" outlineLevel="0" collapsed="false">
      <c r="C18" s="126" t="s">
        <v>506</v>
      </c>
      <c r="D18" s="126" t="s">
        <v>507</v>
      </c>
      <c r="E18" s="126" t="s">
        <v>508</v>
      </c>
      <c r="F18" s="126" t="s">
        <v>509</v>
      </c>
      <c r="G18" s="126" t="s">
        <v>510</v>
      </c>
      <c r="H18" s="126" t="s">
        <v>511</v>
      </c>
      <c r="I18" s="126" t="s">
        <v>512</v>
      </c>
      <c r="J18" s="126" t="s">
        <v>513</v>
      </c>
      <c r="K18" s="126" t="s">
        <v>514</v>
      </c>
      <c r="L18" s="126" t="s">
        <v>515</v>
      </c>
      <c r="M18" s="126" t="s">
        <v>516</v>
      </c>
      <c r="N18" s="126" t="s">
        <v>517</v>
      </c>
      <c r="P18" s="126" t="s">
        <v>518</v>
      </c>
      <c r="Q18" s="126" t="s">
        <v>519</v>
      </c>
      <c r="R18" s="126" t="s">
        <v>520</v>
      </c>
      <c r="S18" s="126" t="s">
        <v>521</v>
      </c>
      <c r="T18" s="126" t="s">
        <v>522</v>
      </c>
      <c r="U18" s="126" t="s">
        <v>523</v>
      </c>
      <c r="V18" s="126" t="s">
        <v>524</v>
      </c>
      <c r="W18" s="126" t="s">
        <v>525</v>
      </c>
      <c r="X18" s="126" t="s">
        <v>526</v>
      </c>
      <c r="Y18" s="126" t="s">
        <v>527</v>
      </c>
      <c r="Z18" s="126" t="s">
        <v>528</v>
      </c>
      <c r="AA18" s="126" t="s">
        <v>529</v>
      </c>
      <c r="AC18" s="126" t="s">
        <v>530</v>
      </c>
      <c r="AD18" s="126" t="s">
        <v>531</v>
      </c>
      <c r="AE18" s="126" t="s">
        <v>532</v>
      </c>
      <c r="AF18" s="126" t="s">
        <v>533</v>
      </c>
      <c r="AG18" s="126" t="s">
        <v>534</v>
      </c>
      <c r="AH18" s="126" t="s">
        <v>535</v>
      </c>
      <c r="AI18" s="126" t="s">
        <v>536</v>
      </c>
      <c r="AJ18" s="126" t="s">
        <v>537</v>
      </c>
      <c r="AK18" s="126" t="s">
        <v>538</v>
      </c>
      <c r="AL18" s="126" t="s">
        <v>539</v>
      </c>
      <c r="AM18" s="126" t="s">
        <v>540</v>
      </c>
      <c r="AN18" s="126" t="s">
        <v>541</v>
      </c>
      <c r="AP18" s="126" t="s">
        <v>542</v>
      </c>
      <c r="AQ18" s="126" t="s">
        <v>543</v>
      </c>
      <c r="AR18" s="126" t="s">
        <v>544</v>
      </c>
      <c r="AS18" s="126" t="s">
        <v>545</v>
      </c>
      <c r="AT18" s="126" t="s">
        <v>546</v>
      </c>
      <c r="AU18" s="126" t="s">
        <v>547</v>
      </c>
      <c r="AV18" s="126" t="s">
        <v>548</v>
      </c>
      <c r="AW18" s="126" t="s">
        <v>549</v>
      </c>
      <c r="AX18" s="126" t="s">
        <v>550</v>
      </c>
      <c r="AY18" s="126" t="s">
        <v>551</v>
      </c>
      <c r="AZ18" s="126" t="s">
        <v>552</v>
      </c>
      <c r="BA18" s="126" t="s">
        <v>553</v>
      </c>
      <c r="BC18" s="126" t="s">
        <v>554</v>
      </c>
      <c r="BD18" s="126" t="s">
        <v>555</v>
      </c>
      <c r="BE18" s="126" t="s">
        <v>556</v>
      </c>
      <c r="BF18" s="126" t="s">
        <v>557</v>
      </c>
      <c r="BG18" s="126" t="s">
        <v>558</v>
      </c>
      <c r="BH18" s="126" t="s">
        <v>559</v>
      </c>
      <c r="BI18" s="126" t="s">
        <v>560</v>
      </c>
      <c r="BJ18" s="126" t="s">
        <v>561</v>
      </c>
      <c r="BK18" s="126" t="s">
        <v>562</v>
      </c>
      <c r="BL18" s="126" t="s">
        <v>563</v>
      </c>
      <c r="BM18" s="126" t="s">
        <v>564</v>
      </c>
      <c r="BN18" s="126" t="s">
        <v>565</v>
      </c>
    </row>
    <row r="19" customFormat="false" ht="15" hidden="true" customHeight="false" outlineLevel="0" collapsed="false">
      <c r="A19" s="12" t="s">
        <v>1016</v>
      </c>
      <c r="C19" s="80" t="n">
        <f aca="false">IF('Cash Flow Statement'!C$37&gt;=$C$8,1,9999)</f>
        <v>9999</v>
      </c>
      <c r="D19" s="80" t="n">
        <f aca="false">IF('Cash Flow Statement'!D$37&gt;=$C$8,2,9999)</f>
        <v>9999</v>
      </c>
      <c r="E19" s="80" t="n">
        <f aca="false">IF('Cash Flow Statement'!E$37&gt;=$C$8,3,9999)</f>
        <v>9999</v>
      </c>
      <c r="F19" s="80" t="n">
        <f aca="false">IF('Cash Flow Statement'!F$37&gt;=$C$8,4,9999)</f>
        <v>9999</v>
      </c>
      <c r="G19" s="80" t="n">
        <f aca="false">IF('Cash Flow Statement'!G$37&gt;=$C$8,5,9999)</f>
        <v>9999</v>
      </c>
      <c r="H19" s="80" t="n">
        <f aca="false">IF('Cash Flow Statement'!H$37&gt;=$C$8,6,9999)</f>
        <v>9999</v>
      </c>
      <c r="I19" s="80" t="n">
        <f aca="false">IF('Cash Flow Statement'!I$37&gt;=$C$8,7,9999)</f>
        <v>9999</v>
      </c>
      <c r="J19" s="80" t="n">
        <f aca="false">IF('Cash Flow Statement'!J$37&gt;=$C$8,8,9999)</f>
        <v>9999</v>
      </c>
      <c r="K19" s="80" t="n">
        <f aca="false">IF('Cash Flow Statement'!K$37&gt;=$C$8,9,9999)</f>
        <v>9999</v>
      </c>
      <c r="L19" s="80" t="n">
        <f aca="false">IF('Cash Flow Statement'!L$37&gt;=$C$8,10,9999)</f>
        <v>9999</v>
      </c>
      <c r="M19" s="80" t="n">
        <f aca="false">IF('Cash Flow Statement'!M$37&gt;=$C$8,11,9999)</f>
        <v>9999</v>
      </c>
      <c r="N19" s="80" t="n">
        <f aca="false">IF('Cash Flow Statement'!N$37&gt;=$C$8,12,9999)</f>
        <v>9999</v>
      </c>
      <c r="P19" s="80" t="n">
        <f aca="false">IF('Cash Flow Statement'!P$37&gt;=$C$8,13,9999)</f>
        <v>9999</v>
      </c>
      <c r="Q19" s="80" t="n">
        <f aca="false">IF('Cash Flow Statement'!Q$37&gt;=$C$8,14,9999)</f>
        <v>9999</v>
      </c>
      <c r="R19" s="80" t="n">
        <f aca="false">IF('Cash Flow Statement'!R$37&gt;=$C$8,15,9999)</f>
        <v>9999</v>
      </c>
      <c r="S19" s="80" t="n">
        <f aca="false">IF('Cash Flow Statement'!S$37&gt;=$C$8,16,9999)</f>
        <v>9999</v>
      </c>
      <c r="T19" s="80" t="n">
        <f aca="false">IF('Cash Flow Statement'!T$37&gt;=$C$8,17,9999)</f>
        <v>9999</v>
      </c>
      <c r="U19" s="80" t="n">
        <f aca="false">IF('Cash Flow Statement'!U$37&gt;=$C$8,18,9999)</f>
        <v>9999</v>
      </c>
      <c r="V19" s="80" t="n">
        <f aca="false">IF('Cash Flow Statement'!V$37&gt;=$C$8,19,9999)</f>
        <v>9999</v>
      </c>
      <c r="W19" s="80" t="n">
        <f aca="false">IF('Cash Flow Statement'!W$37&gt;=$C$8,20,9999)</f>
        <v>9999</v>
      </c>
      <c r="X19" s="80" t="n">
        <f aca="false">IF('Cash Flow Statement'!X$37&gt;=$C$8,21,9999)</f>
        <v>9999</v>
      </c>
      <c r="Y19" s="80" t="n">
        <f aca="false">IF('Cash Flow Statement'!Y$37&gt;=$C$8,22,9999)</f>
        <v>9999</v>
      </c>
      <c r="Z19" s="80" t="n">
        <f aca="false">IF('Cash Flow Statement'!Z$37&gt;=$C$8,23,9999)</f>
        <v>9999</v>
      </c>
      <c r="AA19" s="80" t="n">
        <f aca="false">IF('Cash Flow Statement'!AA$37&gt;=$C$8,24,9999)</f>
        <v>9999</v>
      </c>
      <c r="AC19" s="80" t="n">
        <f aca="false">IF('Cash Flow Statement'!AC$37&gt;=$C$8,25,9999)</f>
        <v>9999</v>
      </c>
      <c r="AD19" s="80" t="n">
        <f aca="false">IF('Cash Flow Statement'!AD$37&gt;=$C$8,26,9999)</f>
        <v>9999</v>
      </c>
      <c r="AE19" s="80" t="n">
        <f aca="false">IF('Cash Flow Statement'!AE$37&gt;=$C$8,27,9999)</f>
        <v>9999</v>
      </c>
      <c r="AF19" s="80" t="n">
        <f aca="false">IF('Cash Flow Statement'!AF$37&gt;=$C$8,28,9999)</f>
        <v>9999</v>
      </c>
      <c r="AG19" s="80" t="n">
        <f aca="false">IF('Cash Flow Statement'!AG$37&gt;=$C$8,29,9999)</f>
        <v>9999</v>
      </c>
      <c r="AH19" s="80" t="n">
        <f aca="false">IF('Cash Flow Statement'!AH$37&gt;=$C$8,30,9999)</f>
        <v>30</v>
      </c>
      <c r="AI19" s="80" t="n">
        <f aca="false">IF('Cash Flow Statement'!AI$37&gt;=$C$8,31,9999)</f>
        <v>31</v>
      </c>
      <c r="AJ19" s="80" t="n">
        <f aca="false">IF('Cash Flow Statement'!AJ$37&gt;=$C$8,32,9999)</f>
        <v>32</v>
      </c>
      <c r="AK19" s="80" t="n">
        <f aca="false">IF('Cash Flow Statement'!AK$37&gt;=$C$8,33,9999)</f>
        <v>33</v>
      </c>
      <c r="AL19" s="80" t="n">
        <f aca="false">IF('Cash Flow Statement'!AL$37&gt;=$C$8,34,9999)</f>
        <v>34</v>
      </c>
      <c r="AM19" s="80" t="n">
        <f aca="false">IF('Cash Flow Statement'!AM$37&gt;=$C$8,35,9999)</f>
        <v>35</v>
      </c>
      <c r="AN19" s="80" t="n">
        <f aca="false">IF('Cash Flow Statement'!AN$37&gt;=$C$8,36,9999)</f>
        <v>36</v>
      </c>
      <c r="AP19" s="80" t="n">
        <f aca="false">IF('Cash Flow Statement'!AP$37&gt;=$C$8,37,9999)</f>
        <v>37</v>
      </c>
      <c r="AQ19" s="80" t="n">
        <f aca="false">IF('Cash Flow Statement'!AQ$37&gt;=$C$8,38,9999)</f>
        <v>38</v>
      </c>
      <c r="AR19" s="80" t="n">
        <f aca="false">IF('Cash Flow Statement'!AR$37&gt;=$C$8,39,9999)</f>
        <v>39</v>
      </c>
      <c r="AS19" s="80" t="n">
        <f aca="false">IF('Cash Flow Statement'!AS$37&gt;=$C$8,40,9999)</f>
        <v>40</v>
      </c>
      <c r="AT19" s="80" t="n">
        <f aca="false">IF('Cash Flow Statement'!AT$37&gt;=$C$8,41,9999)</f>
        <v>41</v>
      </c>
      <c r="AU19" s="80" t="n">
        <f aca="false">IF('Cash Flow Statement'!AU$37&gt;=$C$8,42,9999)</f>
        <v>42</v>
      </c>
      <c r="AV19" s="80" t="n">
        <f aca="false">IF('Cash Flow Statement'!AV$37&gt;=$C$8,43,9999)</f>
        <v>43</v>
      </c>
      <c r="AW19" s="80" t="n">
        <f aca="false">IF('Cash Flow Statement'!AW$37&gt;=$C$8,44,9999)</f>
        <v>44</v>
      </c>
      <c r="AX19" s="80" t="n">
        <f aca="false">IF('Cash Flow Statement'!AX$37&gt;=$C$8,45,9999)</f>
        <v>45</v>
      </c>
      <c r="AY19" s="80" t="n">
        <f aca="false">IF('Cash Flow Statement'!AY$37&gt;=$C$8,46,9999)</f>
        <v>46</v>
      </c>
      <c r="AZ19" s="80" t="n">
        <f aca="false">IF('Cash Flow Statement'!AZ$37&gt;=$C$8,47,9999)</f>
        <v>47</v>
      </c>
      <c r="BA19" s="80" t="n">
        <f aca="false">IF('Cash Flow Statement'!BA$37&gt;=$C$8,48,9999)</f>
        <v>48</v>
      </c>
      <c r="BC19" s="80" t="n">
        <f aca="false">IF('Cash Flow Statement'!BC$37&gt;=$C$8,49,9999)</f>
        <v>49</v>
      </c>
      <c r="BD19" s="80" t="n">
        <f aca="false">IF('Cash Flow Statement'!BD$37&gt;=$C$8,50,9999)</f>
        <v>50</v>
      </c>
      <c r="BE19" s="80" t="n">
        <f aca="false">IF('Cash Flow Statement'!BE$37&gt;=$C$8,51,9999)</f>
        <v>51</v>
      </c>
      <c r="BF19" s="80" t="n">
        <f aca="false">IF('Cash Flow Statement'!BF$37&gt;=$C$8,52,9999)</f>
        <v>52</v>
      </c>
      <c r="BG19" s="80" t="n">
        <f aca="false">IF('Cash Flow Statement'!BG$37&gt;=$C$8,53,9999)</f>
        <v>53</v>
      </c>
      <c r="BH19" s="80" t="n">
        <f aca="false">IF('Cash Flow Statement'!BH$37&gt;=$C$8,54,9999)</f>
        <v>54</v>
      </c>
      <c r="BI19" s="80" t="n">
        <f aca="false">IF('Cash Flow Statement'!BI$37&gt;=$C$8,55,9999)</f>
        <v>55</v>
      </c>
      <c r="BJ19" s="80" t="n">
        <f aca="false">IF('Cash Flow Statement'!BJ$37&gt;=$C$8,56,9999)</f>
        <v>56</v>
      </c>
      <c r="BK19" s="80" t="n">
        <f aca="false">IF('Cash Flow Statement'!BK$37&gt;=$C$8,57,9999)</f>
        <v>57</v>
      </c>
      <c r="BL19" s="80" t="n">
        <f aca="false">IF('Cash Flow Statement'!BL$37&gt;=$C$8,58,9999)</f>
        <v>58</v>
      </c>
      <c r="BM19" s="80" t="n">
        <f aca="false">IF('Cash Flow Statement'!BM$37&gt;=$C$8,59,9999)</f>
        <v>59</v>
      </c>
      <c r="BN19" s="80" t="n">
        <f aca="false">IF('Cash Flow Statement'!BN$37&gt;=$C$8,60,9999)</f>
        <v>60</v>
      </c>
    </row>
    <row r="20" customFormat="false" ht="15" hidden="false" customHeight="false" outlineLevel="0" collapsed="false">
      <c r="A20" s="18" t="s">
        <v>1017</v>
      </c>
      <c r="B20" s="22" t="s">
        <v>1018</v>
      </c>
      <c r="C20" s="48" t="n">
        <f aca="false">MIN(C19:BN19)</f>
        <v>30</v>
      </c>
      <c r="D20" s="112" t="str">
        <f aca="false">IF(C20=9999,"beyond the 60 months modelled",INDEX($C$18:$BN$18,1,C20))</f>
        <v>Jan-28</v>
      </c>
    </row>
    <row r="22" customFormat="false" ht="16.5" hidden="false" customHeight="true" outlineLevel="0" collapsed="false">
      <c r="A22" s="15" t="s">
        <v>1019</v>
      </c>
      <c r="B22" s="15"/>
      <c r="C22" s="15"/>
      <c r="D22" s="15"/>
      <c r="E22" s="15"/>
      <c r="F22" s="15"/>
      <c r="G22" s="15"/>
      <c r="H22" s="15"/>
      <c r="I22" s="15"/>
      <c r="J22" s="15"/>
    </row>
    <row r="23" customFormat="false" ht="25.5" hidden="false" customHeight="true" outlineLevel="0" collapsed="false">
      <c r="C23" s="127" t="s">
        <v>1020</v>
      </c>
      <c r="D23" s="127" t="s">
        <v>1021</v>
      </c>
      <c r="E23" s="127" t="s">
        <v>1012</v>
      </c>
    </row>
    <row r="24" customFormat="false" ht="15" hidden="false" customHeight="false" outlineLevel="0" collapsed="false">
      <c r="A24" s="12" t="s">
        <v>1022</v>
      </c>
      <c r="C24" s="60" t="n">
        <v>0.6</v>
      </c>
      <c r="D24" s="119" t="n">
        <f aca="false">SUMPRODUCT(($C$12:$G$12))+('Total Revenue'!B$25+'Total Revenue'!O$25+'Total Revenue'!AB$25+'Total Revenue'!AO$25+'Total Revenue'!BB$25-Expenses!B$23-Expenses!O$23-Expenses!AB$23-Expenses!AO$23-Expenses!BB$23)*(C24-1)</f>
        <v>2044807.30787943</v>
      </c>
      <c r="E24" s="54" t="n">
        <f aca="false">IFERROR(D24/$C$8,0)</f>
        <v>6.8160243595981</v>
      </c>
    </row>
    <row r="25" customFormat="false" ht="15" hidden="false" customHeight="false" outlineLevel="0" collapsed="false">
      <c r="A25" s="12" t="s">
        <v>1022</v>
      </c>
      <c r="C25" s="60" t="n">
        <v>0.75</v>
      </c>
      <c r="D25" s="119" t="n">
        <f aca="false">SUMPRODUCT(($C$12:$G$12))+('Total Revenue'!B$25+'Total Revenue'!O$25+'Total Revenue'!AB$25+'Total Revenue'!AO$25+'Total Revenue'!BB$25-Expenses!B$23-Expenses!O$23-Expenses!AB$23-Expenses!AO$23-Expenses!BB$23)*(C25-1)</f>
        <v>4344529.14847004</v>
      </c>
      <c r="E25" s="54" t="n">
        <f aca="false">IFERROR(D25/$C$8,0)</f>
        <v>14.4817638282335</v>
      </c>
    </row>
    <row r="26" customFormat="false" ht="15" hidden="false" customHeight="false" outlineLevel="0" collapsed="false">
      <c r="A26" s="12" t="s">
        <v>1022</v>
      </c>
      <c r="C26" s="60" t="n">
        <v>0.9</v>
      </c>
      <c r="D26" s="119" t="n">
        <f aca="false">SUMPRODUCT(($C$12:$G$12))+('Total Revenue'!B$25+'Total Revenue'!O$25+'Total Revenue'!AB$25+'Total Revenue'!AO$25+'Total Revenue'!BB$25-Expenses!B$23-Expenses!O$23-Expenses!AB$23-Expenses!AO$23-Expenses!BB$23)*(C26-1)</f>
        <v>6644250.98906065</v>
      </c>
      <c r="E26" s="54" t="n">
        <f aca="false">IFERROR(D26/$C$8,0)</f>
        <v>22.1475032968688</v>
      </c>
    </row>
    <row r="27" customFormat="false" ht="15" hidden="false" customHeight="false" outlineLevel="0" collapsed="false">
      <c r="A27" s="12" t="s">
        <v>1022</v>
      </c>
      <c r="C27" s="60" t="n">
        <v>1</v>
      </c>
      <c r="D27" s="119" t="n">
        <f aca="false">SUMPRODUCT(($C$12:$G$12))+('Total Revenue'!B$25+'Total Revenue'!O$25+'Total Revenue'!AB$25+'Total Revenue'!AO$25+'Total Revenue'!BB$25-Expenses!B$23-Expenses!O$23-Expenses!AB$23-Expenses!AO$23-Expenses!BB$23)*(C27-1)</f>
        <v>8177398.88278772</v>
      </c>
      <c r="E27" s="54" t="n">
        <f aca="false">IFERROR(D27/$C$8,0)</f>
        <v>27.2579962759591</v>
      </c>
    </row>
    <row r="28" customFormat="false" ht="15" hidden="false" customHeight="false" outlineLevel="0" collapsed="false">
      <c r="A28" s="12" t="s">
        <v>1022</v>
      </c>
      <c r="C28" s="60" t="n">
        <v>1.1</v>
      </c>
      <c r="D28" s="119" t="n">
        <f aca="false">SUMPRODUCT(($C$12:$G$12))+('Total Revenue'!B$25+'Total Revenue'!O$25+'Total Revenue'!AB$25+'Total Revenue'!AO$25+'Total Revenue'!BB$25-Expenses!B$23-Expenses!O$23-Expenses!AB$23-Expenses!AO$23-Expenses!BB$23)*(C28-1)</f>
        <v>9710546.77651479</v>
      </c>
      <c r="E28" s="54" t="n">
        <f aca="false">IFERROR(D28/$C$8,0)</f>
        <v>32.3684892550493</v>
      </c>
    </row>
    <row r="29" customFormat="false" ht="15" hidden="false" customHeight="false" outlineLevel="0" collapsed="false">
      <c r="A29" s="12" t="s">
        <v>1022</v>
      </c>
      <c r="C29" s="60" t="n">
        <v>1.25</v>
      </c>
      <c r="D29" s="119" t="n">
        <f aca="false">SUMPRODUCT(($C$12:$G$12))+('Total Revenue'!B$25+'Total Revenue'!O$25+'Total Revenue'!AB$25+'Total Revenue'!AO$25+'Total Revenue'!BB$25-Expenses!B$23-Expenses!O$23-Expenses!AB$23-Expenses!AO$23-Expenses!BB$23)*(C29-1)</f>
        <v>12010268.6171054</v>
      </c>
      <c r="E29" s="54" t="n">
        <f aca="false">IFERROR(D29/$C$8,0)</f>
        <v>40.0342287236847</v>
      </c>
    </row>
    <row r="30" customFormat="false" ht="15" hidden="false" customHeight="false" outlineLevel="0" collapsed="false">
      <c r="A30" s="72" t="s">
        <v>1023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7" min="2" style="0" width="14"/>
  </cols>
  <sheetData>
    <row r="1" customFormat="false" ht="24.75" hidden="false" customHeight="true" outlineLevel="0" collapsed="false">
      <c r="A1" s="14" t="s">
        <v>1024</v>
      </c>
    </row>
    <row r="2" customFormat="false" ht="13.5" hidden="false" customHeight="true" outlineLevel="0" collapsed="false">
      <c r="A2" s="6" t="s">
        <v>1025</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1026</v>
      </c>
      <c r="B5" s="15"/>
      <c r="C5" s="15"/>
      <c r="D5" s="15"/>
      <c r="E5" s="15"/>
      <c r="F5" s="15"/>
      <c r="G5" s="15"/>
      <c r="H5" s="15"/>
      <c r="I5" s="15"/>
    </row>
    <row r="6" customFormat="false" ht="15" hidden="false" customHeight="false" outlineLevel="0" collapsed="false">
      <c r="A6" s="72" t="s">
        <v>1027</v>
      </c>
    </row>
    <row r="7" customFormat="false" ht="15" hidden="false" customHeight="false" outlineLevel="0" collapsed="false">
      <c r="B7" s="128" t="s">
        <v>1028</v>
      </c>
      <c r="C7" s="129" t="n">
        <v>-0.15</v>
      </c>
      <c r="D7" s="129" t="n">
        <v>-0.075</v>
      </c>
      <c r="E7" s="129" t="n">
        <v>0</v>
      </c>
      <c r="F7" s="129" t="n">
        <v>0.075</v>
      </c>
      <c r="G7" s="129" t="n">
        <v>0.15</v>
      </c>
    </row>
    <row r="8" customFormat="false" ht="15" hidden="false" customHeight="false" outlineLevel="0" collapsed="false">
      <c r="A8" s="128" t="s">
        <v>1029</v>
      </c>
      <c r="B8" s="130" t="n">
        <v>-0.3</v>
      </c>
      <c r="C8" s="131" t="n">
        <f aca="false">'Total Revenue'!BB$25*(1+$B$8)*(1+C$7)-Expenses!BB$23*(1+$B$8)-Expenses!BB$44</f>
        <v>2095615.56014352</v>
      </c>
      <c r="D8" s="131" t="n">
        <f aca="false">'Total Revenue'!BB$25*(1+$B$8)*(1+D$7)-Expenses!BB$23*(1+$B$8)-Expenses!BB$44</f>
        <v>2637464.27621581</v>
      </c>
      <c r="E8" s="131" t="n">
        <f aca="false">'Total Revenue'!BB$25*(1+$B$8)*(1+E$7)-Expenses!BB$23*(1+$B$8)-Expenses!BB$44</f>
        <v>3179312.99228809</v>
      </c>
      <c r="F8" s="131" t="n">
        <f aca="false">'Total Revenue'!BB$25*(1+$B$8)*(1+F$7)-Expenses!BB$23*(1+$B$8)-Expenses!BB$44</f>
        <v>3721161.70836038</v>
      </c>
      <c r="G8" s="131" t="n">
        <f aca="false">'Total Revenue'!BB$25*(1+$B$8)*(1+G$7)-Expenses!BB$23*(1+$B$8)-Expenses!BB$44</f>
        <v>4263010.42443267</v>
      </c>
    </row>
    <row r="9" customFormat="false" ht="15" hidden="false" customHeight="false" outlineLevel="0" collapsed="false">
      <c r="A9" s="128"/>
      <c r="B9" s="130" t="n">
        <v>-0.15</v>
      </c>
      <c r="C9" s="131" t="n">
        <f aca="false">'Total Revenue'!BB$25*(1+$B$9)*(1+C$7)-Expenses!BB$23*(1+$B$9)-Expenses!BB$44</f>
        <v>2971929.82779554</v>
      </c>
      <c r="D9" s="131" t="n">
        <f aca="false">'Total Revenue'!BB$25*(1+$B$9)*(1+D$7)-Expenses!BB$23*(1+$B$9)-Expenses!BB$44</f>
        <v>3629888.98302618</v>
      </c>
      <c r="E9" s="131" t="n">
        <f aca="false">'Total Revenue'!BB$25*(1+$B$9)*(1+E$7)-Expenses!BB$23*(1+$B$9)-Expenses!BB$44</f>
        <v>4287848.13825681</v>
      </c>
      <c r="F9" s="131" t="n">
        <f aca="false">'Total Revenue'!BB$25*(1+$B$9)*(1+F$7)-Expenses!BB$23*(1+$B$9)-Expenses!BB$44</f>
        <v>4945807.29348744</v>
      </c>
      <c r="G9" s="131" t="n">
        <f aca="false">'Total Revenue'!BB$25*(1+$B$9)*(1+G$7)-Expenses!BB$23*(1+$B$9)-Expenses!BB$44</f>
        <v>5603766.44871807</v>
      </c>
    </row>
    <row r="10" customFormat="false" ht="15" hidden="false" customHeight="false" outlineLevel="0" collapsed="false">
      <c r="A10" s="128"/>
      <c r="B10" s="130" t="n">
        <v>0</v>
      </c>
      <c r="C10" s="131" t="n">
        <f aca="false">'Total Revenue'!BB$25*(1+$B$10)*(1+C$7)-Expenses!BB$23*(1+$B$10)-Expenses!BB$44</f>
        <v>3848244.09544756</v>
      </c>
      <c r="D10" s="131" t="n">
        <f aca="false">'Total Revenue'!BB$25*(1+$B$10)*(1+D$7)-Expenses!BB$23*(1+$B$10)-Expenses!BB$44</f>
        <v>4622313.68983655</v>
      </c>
      <c r="E10" s="131" t="n">
        <f aca="false">'Total Revenue'!BB$25*(1+$B$10)*(1+E$7)-Expenses!BB$23*(1+$B$10)-Expenses!BB$44</f>
        <v>5396383.28422552</v>
      </c>
      <c r="F10" s="131" t="n">
        <f aca="false">'Total Revenue'!BB$25*(1+$B$10)*(1+F$7)-Expenses!BB$23*(1+$B$10)-Expenses!BB$44</f>
        <v>6170452.8786145</v>
      </c>
      <c r="G10" s="131" t="n">
        <f aca="false">'Total Revenue'!BB$25*(1+$B$10)*(1+G$7)-Expenses!BB$23*(1+$B$10)-Expenses!BB$44</f>
        <v>6944522.47300348</v>
      </c>
    </row>
    <row r="11" customFormat="false" ht="15" hidden="false" customHeight="false" outlineLevel="0" collapsed="false">
      <c r="A11" s="128"/>
      <c r="B11" s="130" t="n">
        <v>0.15</v>
      </c>
      <c r="C11" s="131" t="n">
        <f aca="false">'Total Revenue'!BB$25*(1+$B$11)*(1+C$7)-Expenses!BB$23*(1+$B$11)-Expenses!BB$44</f>
        <v>4724558.36309958</v>
      </c>
      <c r="D11" s="131" t="n">
        <f aca="false">'Total Revenue'!BB$25*(1+$B$11)*(1+D$7)-Expenses!BB$23*(1+$B$11)-Expenses!BB$44</f>
        <v>5614738.39664691</v>
      </c>
      <c r="E11" s="131" t="n">
        <f aca="false">'Total Revenue'!BB$25*(1+$B$11)*(1+E$7)-Expenses!BB$23*(1+$B$11)-Expenses!BB$44</f>
        <v>6504918.43019424</v>
      </c>
      <c r="F11" s="131" t="n">
        <f aca="false">'Total Revenue'!BB$25*(1+$B$11)*(1+F$7)-Expenses!BB$23*(1+$B$11)-Expenses!BB$44</f>
        <v>7395098.46374156</v>
      </c>
      <c r="G11" s="131" t="n">
        <f aca="false">'Total Revenue'!BB$25*(1+$B$11)*(1+G$7)-Expenses!BB$23*(1+$B$11)-Expenses!BB$44</f>
        <v>8285278.49728889</v>
      </c>
    </row>
    <row r="12" customFormat="false" ht="15" hidden="false" customHeight="false" outlineLevel="0" collapsed="false">
      <c r="A12" s="128"/>
      <c r="B12" s="130" t="n">
        <v>0.3</v>
      </c>
      <c r="C12" s="131" t="n">
        <f aca="false">'Total Revenue'!BB$25*(1+$B$12)*(1+C$7)-Expenses!BB$23*(1+$B$12)-Expenses!BB$44</f>
        <v>5600872.6307516</v>
      </c>
      <c r="D12" s="131" t="n">
        <f aca="false">'Total Revenue'!BB$25*(1+$B$12)*(1+D$7)-Expenses!BB$23*(1+$B$12)-Expenses!BB$44</f>
        <v>6607163.10345728</v>
      </c>
      <c r="E12" s="131" t="n">
        <f aca="false">'Total Revenue'!BB$25*(1+$B$12)*(1+E$7)-Expenses!BB$23*(1+$B$12)-Expenses!BB$44</f>
        <v>7613453.57616295</v>
      </c>
      <c r="F12" s="131" t="n">
        <f aca="false">'Total Revenue'!BB$25*(1+$B$12)*(1+F$7)-Expenses!BB$23*(1+$B$12)-Expenses!BB$44</f>
        <v>8619744.04886862</v>
      </c>
      <c r="G12" s="131" t="n">
        <f aca="false">'Total Revenue'!BB$25*(1+$B$12)*(1+G$7)-Expenses!BB$23*(1+$B$12)-Expenses!BB$44</f>
        <v>9626034.5215743</v>
      </c>
    </row>
    <row r="14" customFormat="false" ht="16.5" hidden="false" customHeight="true" outlineLevel="0" collapsed="false">
      <c r="A14" s="15" t="s">
        <v>1030</v>
      </c>
      <c r="B14" s="15"/>
      <c r="C14" s="15"/>
      <c r="D14" s="15"/>
      <c r="E14" s="15"/>
      <c r="F14" s="15"/>
      <c r="G14" s="15"/>
      <c r="H14" s="15"/>
      <c r="I14" s="15"/>
    </row>
    <row r="15" customFormat="false" ht="15" hidden="false" customHeight="false" outlineLevel="0" collapsed="false">
      <c r="A15" s="72" t="s">
        <v>1031</v>
      </c>
    </row>
    <row r="16" customFormat="false" ht="15" hidden="false" customHeight="false" outlineLevel="0" collapsed="false">
      <c r="B16" s="128" t="s">
        <v>1032</v>
      </c>
      <c r="C16" s="129" t="n">
        <v>-0.2</v>
      </c>
      <c r="D16" s="129" t="n">
        <v>-0.1</v>
      </c>
      <c r="E16" s="129" t="n">
        <v>0</v>
      </c>
      <c r="F16" s="129" t="n">
        <v>0.1</v>
      </c>
      <c r="G16" s="129" t="n">
        <v>0.2</v>
      </c>
    </row>
    <row r="17" customFormat="false" ht="15" hidden="false" customHeight="false" outlineLevel="0" collapsed="false">
      <c r="A17" s="128" t="s">
        <v>1029</v>
      </c>
      <c r="B17" s="130" t="n">
        <v>-0.3</v>
      </c>
      <c r="C17" s="131" t="n">
        <f aca="false">'Total Revenue'!BB$25*(1+$B$17)-Expenses!BB$23*(1+$B$17)-Expenses!BB$44*(1+C$16)</f>
        <v>3578083.19673461</v>
      </c>
      <c r="D17" s="131" t="n">
        <f aca="false">'Total Revenue'!BB$25*(1+$B$17)-Expenses!BB$23*(1+$B$17)-Expenses!BB$44*(1+D$16)</f>
        <v>3378698.09451135</v>
      </c>
      <c r="E17" s="131" t="n">
        <f aca="false">'Total Revenue'!BB$25*(1+$B$17)-Expenses!BB$23*(1+$B$17)-Expenses!BB$44*(1+E$16)</f>
        <v>3179312.99228809</v>
      </c>
      <c r="F17" s="131" t="n">
        <f aca="false">'Total Revenue'!BB$25*(1+$B$17)-Expenses!BB$23*(1+$B$17)-Expenses!BB$44*(1+F$16)</f>
        <v>2979927.89006484</v>
      </c>
      <c r="G17" s="131" t="n">
        <f aca="false">'Total Revenue'!BB$25*(1+$B$17)-Expenses!BB$23*(1+$B$17)-Expenses!BB$44*(1+G$16)</f>
        <v>2780542.78784158</v>
      </c>
    </row>
    <row r="18" customFormat="false" ht="15" hidden="false" customHeight="false" outlineLevel="0" collapsed="false">
      <c r="A18" s="128"/>
      <c r="B18" s="130" t="n">
        <v>-0.15</v>
      </c>
      <c r="C18" s="131" t="n">
        <f aca="false">'Total Revenue'!BB$25*(1+$B$18)-Expenses!BB$23*(1+$B$18)-Expenses!BB$44*(1+C$16)</f>
        <v>4686618.34270332</v>
      </c>
      <c r="D18" s="131" t="n">
        <f aca="false">'Total Revenue'!BB$25*(1+$B$18)-Expenses!BB$23*(1+$B$18)-Expenses!BB$44*(1+D$16)</f>
        <v>4487233.24048007</v>
      </c>
      <c r="E18" s="131" t="n">
        <f aca="false">'Total Revenue'!BB$25*(1+$B$18)-Expenses!BB$23*(1+$B$18)-Expenses!BB$44*(1+E$16)</f>
        <v>4287848.13825681</v>
      </c>
      <c r="F18" s="131" t="n">
        <f aca="false">'Total Revenue'!BB$25*(1+$B$18)-Expenses!BB$23*(1+$B$18)-Expenses!BB$44*(1+F$16)</f>
        <v>4088463.03603355</v>
      </c>
      <c r="G18" s="131" t="n">
        <f aca="false">'Total Revenue'!BB$25*(1+$B$18)-Expenses!BB$23*(1+$B$18)-Expenses!BB$44*(1+G$16)</f>
        <v>3889077.93381029</v>
      </c>
    </row>
    <row r="19" customFormat="false" ht="15" hidden="false" customHeight="false" outlineLevel="0" collapsed="false">
      <c r="A19" s="128"/>
      <c r="B19" s="130" t="n">
        <v>0</v>
      </c>
      <c r="C19" s="131" t="n">
        <f aca="false">'Total Revenue'!BB$25*(1+$B$19)-Expenses!BB$23*(1+$B$19)-Expenses!BB$44*(1+C$16)</f>
        <v>5795153.48867204</v>
      </c>
      <c r="D19" s="131" t="n">
        <f aca="false">'Total Revenue'!BB$25*(1+$B$19)-Expenses!BB$23*(1+$B$19)-Expenses!BB$44*(1+D$16)</f>
        <v>5595768.38644878</v>
      </c>
      <c r="E19" s="131" t="n">
        <f aca="false">'Total Revenue'!BB$25*(1+$B$19)-Expenses!BB$23*(1+$B$19)-Expenses!BB$44*(1+E$16)</f>
        <v>5396383.28422552</v>
      </c>
      <c r="F19" s="131" t="n">
        <f aca="false">'Total Revenue'!BB$25*(1+$B$19)-Expenses!BB$23*(1+$B$19)-Expenses!BB$44*(1+F$16)</f>
        <v>5196998.18200227</v>
      </c>
      <c r="G19" s="131" t="n">
        <f aca="false">'Total Revenue'!BB$25*(1+$B$19)-Expenses!BB$23*(1+$B$19)-Expenses!BB$44*(1+G$16)</f>
        <v>4997613.07977901</v>
      </c>
    </row>
    <row r="20" customFormat="false" ht="15" hidden="false" customHeight="false" outlineLevel="0" collapsed="false">
      <c r="A20" s="128"/>
      <c r="B20" s="130" t="n">
        <v>0.15</v>
      </c>
      <c r="C20" s="131" t="n">
        <f aca="false">'Total Revenue'!BB$25*(1+$B$20)-Expenses!BB$23*(1+$B$20)-Expenses!BB$44*(1+C$16)</f>
        <v>6903688.63464075</v>
      </c>
      <c r="D20" s="131" t="n">
        <f aca="false">'Total Revenue'!BB$25*(1+$B$20)-Expenses!BB$23*(1+$B$20)-Expenses!BB$44*(1+D$16)</f>
        <v>6704303.53241749</v>
      </c>
      <c r="E20" s="131" t="n">
        <f aca="false">'Total Revenue'!BB$25*(1+$B$20)-Expenses!BB$23*(1+$B$20)-Expenses!BB$44*(1+E$16)</f>
        <v>6504918.43019424</v>
      </c>
      <c r="F20" s="131" t="n">
        <f aca="false">'Total Revenue'!BB$25*(1+$B$20)-Expenses!BB$23*(1+$B$20)-Expenses!BB$44*(1+F$16)</f>
        <v>6305533.32797098</v>
      </c>
      <c r="G20" s="131" t="n">
        <f aca="false">'Total Revenue'!BB$25*(1+$B$20)-Expenses!BB$23*(1+$B$20)-Expenses!BB$44*(1+G$16)</f>
        <v>6106148.22574772</v>
      </c>
    </row>
    <row r="21" customFormat="false" ht="15" hidden="false" customHeight="false" outlineLevel="0" collapsed="false">
      <c r="A21" s="128"/>
      <c r="B21" s="130" t="n">
        <v>0.3</v>
      </c>
      <c r="C21" s="131" t="n">
        <f aca="false">'Total Revenue'!BB$25*(1+$B$21)-Expenses!BB$23*(1+$B$21)-Expenses!BB$44*(1+C$16)</f>
        <v>8012223.78060946</v>
      </c>
      <c r="D21" s="131" t="n">
        <f aca="false">'Total Revenue'!BB$25*(1+$B$21)-Expenses!BB$23*(1+$B$21)-Expenses!BB$44*(1+D$16)</f>
        <v>7812838.67838621</v>
      </c>
      <c r="E21" s="131" t="n">
        <f aca="false">'Total Revenue'!BB$25*(1+$B$21)-Expenses!BB$23*(1+$B$21)-Expenses!BB$44*(1+E$16)</f>
        <v>7613453.57616295</v>
      </c>
      <c r="F21" s="131" t="n">
        <f aca="false">'Total Revenue'!BB$25*(1+$B$21)-Expenses!BB$23*(1+$B$21)-Expenses!BB$44*(1+F$16)</f>
        <v>7414068.47393969</v>
      </c>
      <c r="G21" s="131" t="n">
        <f aca="false">'Total Revenue'!BB$25*(1+$B$21)-Expenses!BB$23*(1+$B$21)-Expenses!BB$44*(1+G$16)</f>
        <v>7214683.37171644</v>
      </c>
    </row>
    <row r="23" customFormat="false" ht="16.5" hidden="false" customHeight="true" outlineLevel="0" collapsed="false">
      <c r="A23" s="15" t="s">
        <v>1033</v>
      </c>
      <c r="B23" s="15"/>
      <c r="C23" s="15"/>
      <c r="D23" s="15"/>
      <c r="E23" s="15"/>
      <c r="F23" s="15"/>
      <c r="G23" s="15"/>
      <c r="H23" s="15"/>
      <c r="I23" s="15"/>
    </row>
    <row r="24" customFormat="false" ht="15" hidden="false" customHeight="false" outlineLevel="0" collapsed="false">
      <c r="A24" s="72" t="s">
        <v>1034</v>
      </c>
    </row>
    <row r="25" customFormat="false" ht="15" hidden="false" customHeight="false" outlineLevel="0" collapsed="false">
      <c r="B25" s="128" t="s">
        <v>1035</v>
      </c>
      <c r="C25" s="129" t="n">
        <v>-0.4</v>
      </c>
      <c r="D25" s="129" t="n">
        <v>-0.2</v>
      </c>
      <c r="E25" s="129" t="n">
        <v>0</v>
      </c>
      <c r="F25" s="129" t="n">
        <v>0.25</v>
      </c>
      <c r="G25" s="129" t="n">
        <v>0.5</v>
      </c>
    </row>
    <row r="26" customFormat="false" ht="15" hidden="false" customHeight="false" outlineLevel="0" collapsed="false">
      <c r="A26" s="128" t="s">
        <v>1036</v>
      </c>
      <c r="B26" s="130" t="n">
        <v>-0.3</v>
      </c>
      <c r="C26" s="131" t="n">
        <f aca="false">'Total Revenue'!BB$25-Expenses!BB$23-Expenses!BB$44+('Revenue Streams'!BB$49*C$25)-(Acquisitions!BB$31*$B$26)</f>
        <v>5043708.11415097</v>
      </c>
      <c r="D26" s="131" t="n">
        <f aca="false">'Total Revenue'!BB$25-Expenses!BB$23-Expenses!BB$44+('Revenue Streams'!BB$49*D$25)-(Acquisitions!BB$31*$B$26)</f>
        <v>5255325.69918825</v>
      </c>
      <c r="E26" s="131" t="n">
        <f aca="false">'Total Revenue'!BB$25-Expenses!BB$23-Expenses!BB$44+('Revenue Streams'!BB$49*E$25)-(Acquisitions!BB$31*$B$26)</f>
        <v>5466943.28422552</v>
      </c>
      <c r="F26" s="131" t="n">
        <f aca="false">'Total Revenue'!BB$25-Expenses!BB$23-Expenses!BB$44+('Revenue Streams'!BB$49*F$25)-(Acquisitions!BB$31*$B$26)</f>
        <v>5731465.26552212</v>
      </c>
      <c r="G26" s="131" t="n">
        <f aca="false">'Total Revenue'!BB$25-Expenses!BB$23-Expenses!BB$44+('Revenue Streams'!BB$49*G$25)-(Acquisitions!BB$31*$B$26)</f>
        <v>5995987.24681872</v>
      </c>
    </row>
    <row r="27" customFormat="false" ht="15" hidden="false" customHeight="false" outlineLevel="0" collapsed="false">
      <c r="A27" s="128"/>
      <c r="B27" s="130" t="n">
        <v>-0.15</v>
      </c>
      <c r="C27" s="131" t="n">
        <f aca="false">'Total Revenue'!BB$25-Expenses!BB$23-Expenses!BB$44+('Revenue Streams'!BB$49*C$25)-(Acquisitions!BB$31*$B$27)</f>
        <v>5008428.11415097</v>
      </c>
      <c r="D27" s="131" t="n">
        <f aca="false">'Total Revenue'!BB$25-Expenses!BB$23-Expenses!BB$44+('Revenue Streams'!BB$49*D$25)-(Acquisitions!BB$31*$B$27)</f>
        <v>5220045.69918825</v>
      </c>
      <c r="E27" s="131" t="n">
        <f aca="false">'Total Revenue'!BB$25-Expenses!BB$23-Expenses!BB$44+('Revenue Streams'!BB$49*E$25)-(Acquisitions!BB$31*$B$27)</f>
        <v>5431663.28422552</v>
      </c>
      <c r="F27" s="131" t="n">
        <f aca="false">'Total Revenue'!BB$25-Expenses!BB$23-Expenses!BB$44+('Revenue Streams'!BB$49*F$25)-(Acquisitions!BB$31*$B$27)</f>
        <v>5696185.26552212</v>
      </c>
      <c r="G27" s="131" t="n">
        <f aca="false">'Total Revenue'!BB$25-Expenses!BB$23-Expenses!BB$44+('Revenue Streams'!BB$49*G$25)-(Acquisitions!BB$31*$B$27)</f>
        <v>5960707.24681872</v>
      </c>
    </row>
    <row r="28" customFormat="false" ht="15" hidden="false" customHeight="false" outlineLevel="0" collapsed="false">
      <c r="A28" s="128"/>
      <c r="B28" s="130" t="n">
        <v>0</v>
      </c>
      <c r="C28" s="131" t="n">
        <f aca="false">'Total Revenue'!BB$25-Expenses!BB$23-Expenses!BB$44+('Revenue Streams'!BB$49*C$25)-(Acquisitions!BB$31*$B$28)</f>
        <v>4973148.11415097</v>
      </c>
      <c r="D28" s="131" t="n">
        <f aca="false">'Total Revenue'!BB$25-Expenses!BB$23-Expenses!BB$44+('Revenue Streams'!BB$49*D$25)-(Acquisitions!BB$31*$B$28)</f>
        <v>5184765.69918825</v>
      </c>
      <c r="E28" s="131" t="n">
        <f aca="false">'Total Revenue'!BB$25-Expenses!BB$23-Expenses!BB$44+('Revenue Streams'!BB$49*E$25)-(Acquisitions!BB$31*$B$28)</f>
        <v>5396383.28422552</v>
      </c>
      <c r="F28" s="131" t="n">
        <f aca="false">'Total Revenue'!BB$25-Expenses!BB$23-Expenses!BB$44+('Revenue Streams'!BB$49*F$25)-(Acquisitions!BB$31*$B$28)</f>
        <v>5660905.26552212</v>
      </c>
      <c r="G28" s="131" t="n">
        <f aca="false">'Total Revenue'!BB$25-Expenses!BB$23-Expenses!BB$44+('Revenue Streams'!BB$49*G$25)-(Acquisitions!BB$31*$B$28)</f>
        <v>5925427.24681872</v>
      </c>
    </row>
    <row r="29" customFormat="false" ht="15" hidden="false" customHeight="false" outlineLevel="0" collapsed="false">
      <c r="A29" s="128"/>
      <c r="B29" s="130" t="n">
        <v>0.25</v>
      </c>
      <c r="C29" s="131" t="n">
        <f aca="false">'Total Revenue'!BB$25-Expenses!BB$23-Expenses!BB$44+('Revenue Streams'!BB$49*C$25)-(Acquisitions!BB$31*$B$29)</f>
        <v>4914348.11415097</v>
      </c>
      <c r="D29" s="131" t="n">
        <f aca="false">'Total Revenue'!BB$25-Expenses!BB$23-Expenses!BB$44+('Revenue Streams'!BB$49*D$25)-(Acquisitions!BB$31*$B$29)</f>
        <v>5125965.69918825</v>
      </c>
      <c r="E29" s="131" t="n">
        <f aca="false">'Total Revenue'!BB$25-Expenses!BB$23-Expenses!BB$44+('Revenue Streams'!BB$49*E$25)-(Acquisitions!BB$31*$B$29)</f>
        <v>5337583.28422552</v>
      </c>
      <c r="F29" s="131" t="n">
        <f aca="false">'Total Revenue'!BB$25-Expenses!BB$23-Expenses!BB$44+('Revenue Streams'!BB$49*F$25)-(Acquisitions!BB$31*$B$29)</f>
        <v>5602105.26552212</v>
      </c>
      <c r="G29" s="131" t="n">
        <f aca="false">'Total Revenue'!BB$25-Expenses!BB$23-Expenses!BB$44+('Revenue Streams'!BB$49*G$25)-(Acquisitions!BB$31*$B$29)</f>
        <v>5866627.24681872</v>
      </c>
    </row>
    <row r="30" customFormat="false" ht="15" hidden="false" customHeight="false" outlineLevel="0" collapsed="false">
      <c r="A30" s="128"/>
      <c r="B30" s="130" t="n">
        <v>0.5</v>
      </c>
      <c r="C30" s="131" t="n">
        <f aca="false">'Total Revenue'!BB$25-Expenses!BB$23-Expenses!BB$44+('Revenue Streams'!BB$49*C$25)-(Acquisitions!BB$31*$B$30)</f>
        <v>4855548.11415097</v>
      </c>
      <c r="D30" s="131" t="n">
        <f aca="false">'Total Revenue'!BB$25-Expenses!BB$23-Expenses!BB$44+('Revenue Streams'!BB$49*D$25)-(Acquisitions!BB$31*$B$30)</f>
        <v>5067165.69918825</v>
      </c>
      <c r="E30" s="131" t="n">
        <f aca="false">'Total Revenue'!BB$25-Expenses!BB$23-Expenses!BB$44+('Revenue Streams'!BB$49*E$25)-(Acquisitions!BB$31*$B$30)</f>
        <v>5278783.28422552</v>
      </c>
      <c r="F30" s="131" t="n">
        <f aca="false">'Total Revenue'!BB$25-Expenses!BB$23-Expenses!BB$44+('Revenue Streams'!BB$49*F$25)-(Acquisitions!BB$31*$B$30)</f>
        <v>5543305.26552212</v>
      </c>
      <c r="G30" s="131" t="n">
        <f aca="false">'Total Revenue'!BB$25-Expenses!BB$23-Expenses!BB$44+('Revenue Streams'!BB$49*G$25)-(Acquisitions!BB$31*$B$30)</f>
        <v>5807827.24681872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8" min="3" style="0" width="13"/>
  </cols>
  <sheetData>
    <row r="1" customFormat="false" ht="24.75" hidden="false" customHeight="true" outlineLevel="0" collapsed="false">
      <c r="A1" s="14" t="s">
        <v>1037</v>
      </c>
    </row>
    <row r="2" customFormat="false" ht="13.5" hidden="false" customHeight="true" outlineLevel="0" collapsed="false">
      <c r="A2" s="6" t="s">
        <v>1038</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1039</v>
      </c>
      <c r="B5" s="15"/>
      <c r="C5" s="15"/>
      <c r="D5" s="15"/>
      <c r="E5" s="15"/>
      <c r="F5" s="15"/>
      <c r="G5" s="15"/>
      <c r="H5" s="15"/>
      <c r="I5" s="15"/>
      <c r="J5" s="15"/>
    </row>
    <row r="6" customFormat="false" ht="25.5" hidden="false" customHeight="true" outlineLevel="0" collapsed="false">
      <c r="A6" s="125" t="s">
        <v>1040</v>
      </c>
      <c r="B6" s="16"/>
      <c r="C6" s="127" t="s">
        <v>1041</v>
      </c>
      <c r="D6" s="127" t="s">
        <v>1042</v>
      </c>
      <c r="E6" s="127" t="s">
        <v>1043</v>
      </c>
      <c r="F6" s="127" t="s">
        <v>1044</v>
      </c>
      <c r="G6" s="127" t="s">
        <v>1045</v>
      </c>
    </row>
    <row r="7" customFormat="false" ht="15" hidden="false" customHeight="false" outlineLevel="0" collapsed="false">
      <c r="A7" s="18" t="s">
        <v>1046</v>
      </c>
      <c r="B7" s="22" t="s">
        <v>1047</v>
      </c>
      <c r="C7" s="60" t="n">
        <v>1</v>
      </c>
      <c r="D7" s="60" t="n">
        <v>1</v>
      </c>
      <c r="E7" s="60" t="n">
        <v>1</v>
      </c>
      <c r="F7" s="60" t="n">
        <v>1</v>
      </c>
      <c r="G7" s="60" t="n">
        <v>1</v>
      </c>
    </row>
    <row r="8" customFormat="false" ht="15" hidden="false" customHeight="false" outlineLevel="0" collapsed="false">
      <c r="A8" s="12" t="s">
        <v>1048</v>
      </c>
      <c r="B8" s="22" t="s">
        <v>1049</v>
      </c>
      <c r="C8" s="60" t="n">
        <v>1.2</v>
      </c>
      <c r="D8" s="60" t="n">
        <v>1.03</v>
      </c>
      <c r="E8" s="60" t="n">
        <v>1.06</v>
      </c>
      <c r="F8" s="60" t="n">
        <v>0.92</v>
      </c>
      <c r="G8" s="60" t="n">
        <v>1.15</v>
      </c>
    </row>
    <row r="9" customFormat="false" ht="15" hidden="false" customHeight="false" outlineLevel="0" collapsed="false">
      <c r="A9" s="12" t="s">
        <v>1050</v>
      </c>
      <c r="B9" s="22" t="s">
        <v>1051</v>
      </c>
      <c r="C9" s="60" t="n">
        <v>0.72</v>
      </c>
      <c r="D9" s="60" t="n">
        <v>0.94</v>
      </c>
      <c r="E9" s="60" t="n">
        <v>1</v>
      </c>
      <c r="F9" s="60" t="n">
        <v>1.2</v>
      </c>
      <c r="G9" s="60" t="n">
        <v>0.8</v>
      </c>
    </row>
    <row r="10" customFormat="false" ht="15" hidden="false" customHeight="false" outlineLevel="0" collapsed="false">
      <c r="A10" s="12" t="s">
        <v>1052</v>
      </c>
      <c r="B10" s="22" t="s">
        <v>1053</v>
      </c>
      <c r="C10" s="60" t="n">
        <v>0.5</v>
      </c>
      <c r="D10" s="60" t="n">
        <v>0.86</v>
      </c>
      <c r="E10" s="60" t="n">
        <v>0.96</v>
      </c>
      <c r="F10" s="60" t="n">
        <v>1.45</v>
      </c>
      <c r="G10" s="60" t="n">
        <v>0.65</v>
      </c>
    </row>
    <row r="12" customFormat="false" ht="16.5" hidden="false" customHeight="true" outlineLevel="0" collapsed="false">
      <c r="A12" s="15" t="s">
        <v>1054</v>
      </c>
      <c r="B12" s="15"/>
      <c r="C12" s="15"/>
      <c r="D12" s="15"/>
      <c r="E12" s="15"/>
      <c r="F12" s="15"/>
      <c r="G12" s="15"/>
      <c r="H12" s="15"/>
      <c r="I12" s="15"/>
      <c r="J12" s="15"/>
    </row>
    <row r="13" customFormat="false" ht="15" hidden="false" customHeight="false" outlineLevel="0" collapsed="false">
      <c r="A13" s="16"/>
      <c r="B13" s="16"/>
      <c r="C13" s="17" t="s">
        <v>80</v>
      </c>
      <c r="D13" s="17" t="s">
        <v>81</v>
      </c>
      <c r="E13" s="17" t="s">
        <v>82</v>
      </c>
      <c r="F13" s="17" t="s">
        <v>83</v>
      </c>
      <c r="G13" s="17" t="s">
        <v>84</v>
      </c>
    </row>
    <row r="14" customFormat="false" ht="15" hidden="false" customHeight="false" outlineLevel="0" collapsed="false">
      <c r="A14" s="18" t="s">
        <v>1046</v>
      </c>
      <c r="C14" s="19" t="n">
        <f aca="false">'Total Revenue'!B$25*$C$7*$D$7</f>
        <v>111092.203503409</v>
      </c>
      <c r="D14" s="19" t="n">
        <f aca="false">'Total Revenue'!O$25*$C$7*$D$7</f>
        <v>897001.554313258</v>
      </c>
      <c r="E14" s="19" t="n">
        <f aca="false">'Total Revenue'!AB$25*$C$7*$D$7</f>
        <v>3342076.96762152</v>
      </c>
      <c r="F14" s="19" t="n">
        <f aca="false">'Total Revenue'!AO$25*$C$7*$D$7</f>
        <v>6651975.79649727</v>
      </c>
      <c r="G14" s="19" t="n">
        <f aca="false">'Total Revenue'!BB$25*$C$7*$D$7</f>
        <v>10320927.9251864</v>
      </c>
    </row>
    <row r="15" customFormat="false" ht="15" hidden="false" customHeight="false" outlineLevel="0" collapsed="false">
      <c r="A15" s="12" t="s">
        <v>1048</v>
      </c>
      <c r="C15" s="119" t="n">
        <f aca="false">'Total Revenue'!B$25*$C$8*$D$8</f>
        <v>137309.963530214</v>
      </c>
      <c r="D15" s="119" t="n">
        <f aca="false">'Total Revenue'!O$25*$C$8*$D$8</f>
        <v>1108693.92113119</v>
      </c>
      <c r="E15" s="119" t="n">
        <f aca="false">'Total Revenue'!AB$25*$C$8*$D$8</f>
        <v>4130807.13198019</v>
      </c>
      <c r="F15" s="119" t="n">
        <f aca="false">'Total Revenue'!AO$25*$C$8*$D$8</f>
        <v>8221842.08447063</v>
      </c>
      <c r="G15" s="119" t="n">
        <f aca="false">'Total Revenue'!BB$25*$C$8*$D$8</f>
        <v>12756666.9155304</v>
      </c>
    </row>
    <row r="16" customFormat="false" ht="15" hidden="false" customHeight="false" outlineLevel="0" collapsed="false">
      <c r="A16" s="12" t="s">
        <v>1050</v>
      </c>
      <c r="C16" s="119" t="n">
        <f aca="false">'Total Revenue'!B$25*$C$9*$D$9</f>
        <v>75187.2033311073</v>
      </c>
      <c r="D16" s="119" t="n">
        <f aca="false">'Total Revenue'!O$25*$C$9*$D$9</f>
        <v>607090.651959213</v>
      </c>
      <c r="E16" s="119" t="n">
        <f aca="false">'Total Revenue'!AB$25*$C$9*$D$9</f>
        <v>2261917.69168624</v>
      </c>
      <c r="F16" s="119" t="n">
        <f aca="false">'Total Revenue'!AO$25*$C$9*$D$9</f>
        <v>4502057.21906935</v>
      </c>
      <c r="G16" s="119" t="n">
        <f aca="false">'Total Revenue'!BB$25*$C$9*$D$9</f>
        <v>6985204.01976615</v>
      </c>
    </row>
    <row r="17" customFormat="false" ht="15" hidden="false" customHeight="false" outlineLevel="0" collapsed="false">
      <c r="A17" s="12" t="s">
        <v>1052</v>
      </c>
      <c r="C17" s="119" t="n">
        <f aca="false">'Total Revenue'!B$25*$C$10*$D$10</f>
        <v>47769.6475064659</v>
      </c>
      <c r="D17" s="119" t="n">
        <f aca="false">'Total Revenue'!O$25*$C$10*$D$10</f>
        <v>385710.668354701</v>
      </c>
      <c r="E17" s="119" t="n">
        <f aca="false">'Total Revenue'!AB$25*$C$10*$D$10</f>
        <v>1437093.09607725</v>
      </c>
      <c r="F17" s="119" t="n">
        <f aca="false">'Total Revenue'!AO$25*$C$10*$D$10</f>
        <v>2860349.59249383</v>
      </c>
      <c r="G17" s="119" t="n">
        <f aca="false">'Total Revenue'!BB$25*$C$10*$D$10</f>
        <v>4437999.00783015</v>
      </c>
    </row>
    <row r="19" customFormat="false" ht="16.5" hidden="false" customHeight="true" outlineLevel="0" collapsed="false">
      <c r="A19" s="15" t="s">
        <v>1055</v>
      </c>
      <c r="B19" s="15"/>
      <c r="C19" s="15"/>
      <c r="D19" s="15"/>
      <c r="E19" s="15"/>
      <c r="F19" s="15"/>
      <c r="G19" s="15"/>
      <c r="H19" s="15"/>
      <c r="I19" s="15"/>
      <c r="J19" s="15"/>
    </row>
    <row r="20" customFormat="false" ht="15" hidden="false" customHeight="false" outlineLevel="0" collapsed="false">
      <c r="A20" s="16"/>
      <c r="B20" s="16"/>
      <c r="C20" s="17" t="s">
        <v>80</v>
      </c>
      <c r="D20" s="17" t="s">
        <v>81</v>
      </c>
      <c r="E20" s="17" t="s">
        <v>82</v>
      </c>
      <c r="F20" s="17" t="s">
        <v>83</v>
      </c>
      <c r="G20" s="17" t="s">
        <v>84</v>
      </c>
    </row>
    <row r="21" customFormat="false" ht="15" hidden="false" customHeight="false" outlineLevel="0" collapsed="false">
      <c r="A21" s="18" t="s">
        <v>1046</v>
      </c>
      <c r="C21" s="19" t="n">
        <f aca="false">'Total Revenue'!B$25*$C$7*$D$7-Expenses!B$23*$C$7-Expenses!B$44*$E$7</f>
        <v>-32739.0509537965</v>
      </c>
      <c r="D21" s="19" t="n">
        <f aca="false">'Total Revenue'!O$25*$C$7*$D$7-Expenses!O$23*$C$7-Expenses!O$44*$E$7</f>
        <v>258560.062759833</v>
      </c>
      <c r="E21" s="19" t="n">
        <f aca="false">'Total Revenue'!AB$25*$C$7*$D$7-Expenses!AB$23*$C$7-Expenses!AB$44*$E$7</f>
        <v>1454378.27941141</v>
      </c>
      <c r="F21" s="19" t="n">
        <f aca="false">'Total Revenue'!AO$25*$C$7*$D$7-Expenses!AO$23*$C$7-Expenses!AO$44*$E$7</f>
        <v>3286870.03083777</v>
      </c>
      <c r="G21" s="19" t="n">
        <f aca="false">'Total Revenue'!BB$25*$C$7*$D$7-Expenses!BB$23*$C$7-Expenses!BB$44*$E$7</f>
        <v>5396383.28422552</v>
      </c>
    </row>
    <row r="22" customFormat="false" ht="15" hidden="false" customHeight="false" outlineLevel="0" collapsed="false">
      <c r="A22" s="12" t="s">
        <v>1048</v>
      </c>
      <c r="C22" s="119" t="n">
        <f aca="false">'Total Revenue'!B$25*$C$8*$D$8-Expenses!B$23*$C$8-Expenses!B$44*$E$8</f>
        <v>-21052.3424508654</v>
      </c>
      <c r="D22" s="119" t="n">
        <f aca="false">'Total Revenue'!O$25*$C$8*$D$8-Expenses!O$23*$C$8-Expenses!O$44*$E$8</f>
        <v>397909.479172907</v>
      </c>
      <c r="E22" s="119" t="n">
        <f aca="false">'Total Revenue'!AB$25*$C$8*$D$8-Expenses!AB$23*$C$8-Expenses!AB$44*$E$8</f>
        <v>2001402.70827686</v>
      </c>
      <c r="F22" s="119" t="n">
        <f aca="false">'Total Revenue'!AO$25*$C$8*$D$8-Expenses!AO$23*$C$8-Expenses!AO$44*$E$8</f>
        <v>4394685.15948308</v>
      </c>
      <c r="G22" s="119" t="n">
        <f aca="false">'Total Revenue'!BB$25*$C$8*$D$8-Expenses!BB$23*$C$8-Expenses!BB$44*$E$8</f>
        <v>7126352.4894899</v>
      </c>
    </row>
    <row r="23" customFormat="false" ht="15" hidden="false" customHeight="false" outlineLevel="0" collapsed="false">
      <c r="A23" s="12" t="s">
        <v>1050</v>
      </c>
      <c r="C23" s="119" t="n">
        <f aca="false">'Total Revenue'!B$25*$C$9*$D$9-Expenses!B$23*$C$9-Expenses!B$44*$E$9</f>
        <v>-56841.6986132159</v>
      </c>
      <c r="D23" s="119" t="n">
        <f aca="false">'Total Revenue'!O$25*$C$9*$D$9-Expenses!O$23*$C$9-Expenses!O$44*$E$9</f>
        <v>36722.0822290871</v>
      </c>
      <c r="E23" s="119" t="n">
        <f aca="false">'Total Revenue'!AB$25*$C$9*$D$9-Expenses!AB$23*$C$9-Expenses!AB$44*$E$9</f>
        <v>631106.631877386</v>
      </c>
      <c r="F23" s="119" t="n">
        <f aca="false">'Total Revenue'!AO$25*$C$9*$D$9-Expenses!AO$23*$C$9-Expenses!AO$44*$E$9</f>
        <v>1657241.08018682</v>
      </c>
      <c r="G23" s="119" t="n">
        <f aca="false">'Total Revenue'!BB$25*$C$9*$D$9-Expenses!BB$23*$C$9-Expenses!BB$44*$E$9</f>
        <v>2881253.59204921</v>
      </c>
    </row>
    <row r="24" customFormat="false" ht="15" hidden="false" customHeight="false" outlineLevel="0" collapsed="false">
      <c r="A24" s="12" t="s">
        <v>1052</v>
      </c>
      <c r="C24" s="119" t="n">
        <f aca="false">'Total Revenue'!B$25*$C$10*$D$10-Expenses!B$23*$C$10-Expenses!B$44*$E$10</f>
        <v>-70918.7776441446</v>
      </c>
      <c r="D24" s="119" t="n">
        <f aca="false">'Total Revenue'!O$25*$C$10*$D$10-Expenses!O$23*$C$10-Expenses!O$44*$E$10</f>
        <v>-115359.077684025</v>
      </c>
      <c r="E24" s="119" t="n">
        <f aca="false">'Total Revenue'!AB$25*$C$10*$D$10-Expenses!AB$23*$C$10-Expenses!AB$44*$E$10</f>
        <v>46932.0306261749</v>
      </c>
      <c r="F24" s="119" t="n">
        <f aca="false">'Total Revenue'!AO$25*$C$10*$D$10-Expenses!AO$23*$C$10-Expenses!AO$44*$E$10</f>
        <v>484609.587165717</v>
      </c>
      <c r="G24" s="119" t="n">
        <f aca="false">'Total Revenue'!BB$25*$C$10*$D$10-Expenses!BB$23*$C$10-Expenses!BB$44*$E$10</f>
        <v>1058555.21712273</v>
      </c>
    </row>
    <row r="26" customFormat="false" ht="16.5" hidden="false" customHeight="true" outlineLevel="0" collapsed="false">
      <c r="A26" s="15" t="s">
        <v>1056</v>
      </c>
      <c r="B26" s="15"/>
      <c r="C26" s="15"/>
      <c r="D26" s="15"/>
      <c r="E26" s="15"/>
      <c r="F26" s="15"/>
      <c r="G26" s="15"/>
      <c r="H26" s="15"/>
      <c r="I26" s="15"/>
      <c r="J26" s="15"/>
    </row>
    <row r="27" customFormat="false" ht="25.5" hidden="false" customHeight="true" outlineLevel="0" collapsed="false">
      <c r="A27" s="132" t="s">
        <v>1040</v>
      </c>
      <c r="C27" s="127" t="s">
        <v>80</v>
      </c>
      <c r="D27" s="127" t="s">
        <v>81</v>
      </c>
      <c r="E27" s="127" t="s">
        <v>82</v>
      </c>
      <c r="F27" s="127" t="s">
        <v>83</v>
      </c>
      <c r="G27" s="127" t="s">
        <v>84</v>
      </c>
      <c r="H27" s="127" t="s">
        <v>1057</v>
      </c>
      <c r="I27" s="127" t="s">
        <v>1058</v>
      </c>
    </row>
    <row r="28" customFormat="false" ht="15" hidden="false" customHeight="false" outlineLevel="0" collapsed="false">
      <c r="A28" s="18" t="s">
        <v>1046</v>
      </c>
      <c r="C28" s="19" t="n">
        <f aca="false">'Assumption Setting'!$C$20+'Assumption Setting'!$C$190+C21-'Capital Expenditure'!B$16-'Cash Flow Statement'!N$14*($F$7-1)</f>
        <v>253560.949046204</v>
      </c>
      <c r="D28" s="19" t="n">
        <f aca="false">C28+D21-'Capital Expenditure'!O$16-'Cash Flow Statement'!AA$14*($F$7-1)</f>
        <v>508071.011806037</v>
      </c>
      <c r="E28" s="19" t="n">
        <f aca="false">D28+E21-'Capital Expenditure'!AB$16-'Cash Flow Statement'!AN$14*($F$7-1)</f>
        <v>1940699.29121745</v>
      </c>
      <c r="F28" s="19" t="n">
        <f aca="false">E28+F21-'Capital Expenditure'!AO$16-'Cash Flow Statement'!BA$14*($F$7-1)</f>
        <v>5222169.32205522</v>
      </c>
      <c r="G28" s="19" t="n">
        <f aca="false">F28+G21-'Capital Expenditure'!BB$16-'Cash Flow Statement'!BN$14*($F$7-1)</f>
        <v>10613152.6062807</v>
      </c>
      <c r="H28" s="19" t="n">
        <f aca="false">MIN(C28:G28)</f>
        <v>253560.949046204</v>
      </c>
      <c r="I28" s="23" t="n">
        <f aca="false">MAX(0,'Assumption Setting'!$C$192-H28)</f>
        <v>0</v>
      </c>
    </row>
    <row r="29" customFormat="false" ht="15" hidden="false" customHeight="false" outlineLevel="0" collapsed="false">
      <c r="A29" s="12" t="s">
        <v>1048</v>
      </c>
      <c r="C29" s="119" t="n">
        <f aca="false">'Assumption Setting'!$C$20+'Assumption Setting'!$C$190+C22-'Capital Expenditure'!B$16-'Cash Flow Statement'!N$14*($F$8-1)</f>
        <v>270036.176411086</v>
      </c>
      <c r="D29" s="119" t="n">
        <f aca="false">C29+D22-'Capital Expenditure'!O$16-'Cash Flow Statement'!AA$14*($F$8-1)</f>
        <v>694195.494647864</v>
      </c>
      <c r="E29" s="119" t="n">
        <f aca="false">D29+E22-'Capital Expenditure'!AB$16-'Cash Flow Statement'!AN$14*($F$8-1)</f>
        <v>2750972.37293307</v>
      </c>
      <c r="F29" s="119" t="n">
        <f aca="false">E29+F22-'Capital Expenditure'!AO$16-'Cash Flow Statement'!BA$14*($F$8-1)</f>
        <v>7281060.58650155</v>
      </c>
      <c r="G29" s="119" t="n">
        <f aca="false">F29+G22-'Capital Expenditure'!BB$16-'Cash Flow Statement'!BN$14*($F$8-1)</f>
        <v>14601823.7539865</v>
      </c>
      <c r="H29" s="19" t="n">
        <f aca="false">MIN(C29:G29)</f>
        <v>270036.176411086</v>
      </c>
      <c r="I29" s="23" t="n">
        <f aca="false">MAX(0,'Assumption Setting'!$C$192-H29)</f>
        <v>0</v>
      </c>
    </row>
    <row r="30" customFormat="false" ht="15" hidden="false" customHeight="false" outlineLevel="0" collapsed="false">
      <c r="A30" s="12" t="s">
        <v>1050</v>
      </c>
      <c r="C30" s="119" t="n">
        <f aca="false">'Assumption Setting'!$C$20+'Assumption Setting'!$C$190+C23-'Capital Expenditure'!B$16-'Cash Flow Statement'!N$14*($F$9-1)</f>
        <v>217487.004231905</v>
      </c>
      <c r="D30" s="119" t="n">
        <f aca="false">C30+D23-'Capital Expenditure'!O$16-'Cash Flow Statement'!AA$14*($F$9-1)</f>
        <v>174409.488801316</v>
      </c>
      <c r="E30" s="119" t="n">
        <f aca="false">D30+E23-'Capital Expenditure'!AB$16-'Cash Flow Statement'!AN$14*($F$9-1)</f>
        <v>590955.695657837</v>
      </c>
      <c r="F30" s="119" t="n">
        <f aca="false">E30+F23-'Capital Expenditure'!AO$16-'Cash Flow Statement'!BA$14*($F$9-1)</f>
        <v>1890789.14063113</v>
      </c>
      <c r="G30" s="119" t="n">
        <f aca="false">F30+G23-'Capital Expenditure'!BB$16-'Cash Flow Statement'!BN$14*($F$9-1)</f>
        <v>4267116.03769275</v>
      </c>
      <c r="H30" s="19" t="n">
        <f aca="false">MIN(C30:G30)</f>
        <v>174409.488801316</v>
      </c>
      <c r="I30" s="23" t="n">
        <f aca="false">MAX(0,'Assumption Setting'!$C$192-H30)</f>
        <v>0</v>
      </c>
    </row>
    <row r="31" customFormat="false" ht="15" hidden="false" customHeight="false" outlineLevel="0" collapsed="false">
      <c r="A31" s="12" t="s">
        <v>1052</v>
      </c>
      <c r="C31" s="119" t="n">
        <f aca="false">'Assumption Setting'!$C$20+'Assumption Setting'!$C$190+C24-'Capital Expenditure'!B$16-'Cash Flow Statement'!N$14*($F$10-1)</f>
        <v>188445.803757378</v>
      </c>
      <c r="D31" s="119" t="n">
        <f aca="false">C31+D24-'Capital Expenditure'!O$16-'Cash Flow Statement'!AA$14*($F$10-1)</f>
        <v>-101399.868660919</v>
      </c>
      <c r="E31" s="119" t="n">
        <f aca="false">D31+E24-'Capital Expenditure'!AB$16-'Cash Flow Statement'!AN$14*($F$10-1)</f>
        <v>-510041.29433169</v>
      </c>
      <c r="F31" s="119" t="n">
        <f aca="false">E31+F24-'Capital Expenditure'!AO$16-'Cash Flow Statement'!BA$14*($F$10-1)</f>
        <v>-822848.886396391</v>
      </c>
      <c r="G31" s="119" t="n">
        <f aca="false">F31+G24-'Capital Expenditure'!BB$16-'Cash Flow Statement'!BN$14*($F$10-1)</f>
        <v>-893628.732995742</v>
      </c>
      <c r="H31" s="19" t="n">
        <f aca="false">MIN(C31:G31)</f>
        <v>-893628.732995742</v>
      </c>
      <c r="I31" s="23" t="n">
        <f aca="false">MAX(0,'Assumption Setting'!$C$192-H31)</f>
        <v>933628.732995742</v>
      </c>
    </row>
    <row r="33" customFormat="false" ht="15" hidden="false" customHeight="false" outlineLevel="0" collapsed="false">
      <c r="A33" s="72" t="s">
        <v>1059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28"/>
    <col collapsed="false" customWidth="true" hidden="false" outlineLevel="0" max="5" min="3" style="0" width="17"/>
  </cols>
  <sheetData>
    <row r="1" customFormat="false" ht="24.75" hidden="false" customHeight="true" outlineLevel="0" collapsed="false">
      <c r="A1" s="14" t="s">
        <v>1060</v>
      </c>
    </row>
    <row r="2" customFormat="false" ht="13.5" hidden="false" customHeight="true" outlineLevel="0" collapsed="false">
      <c r="A2" s="6" t="s">
        <v>1061</v>
      </c>
    </row>
    <row r="3" customFormat="false" ht="3.75" hidden="false" customHeight="true" outlineLevel="0" collapsed="false">
      <c r="A3" s="3"/>
      <c r="B3" s="3"/>
      <c r="C3" s="3"/>
      <c r="D3" s="3"/>
      <c r="E3" s="3"/>
      <c r="F3" s="3"/>
    </row>
    <row r="5" customFormat="false" ht="16.5" hidden="false" customHeight="true" outlineLevel="0" collapsed="false">
      <c r="A5" s="15" t="s">
        <v>1062</v>
      </c>
      <c r="B5" s="15"/>
      <c r="C5" s="15"/>
      <c r="D5" s="15"/>
      <c r="E5" s="15"/>
      <c r="F5" s="15"/>
    </row>
    <row r="6" customFormat="false" ht="15" hidden="false" customHeight="false" outlineLevel="0" collapsed="false">
      <c r="A6" s="16"/>
      <c r="B6" s="16"/>
      <c r="C6" s="133" t="s">
        <v>1063</v>
      </c>
      <c r="D6" s="133" t="s">
        <v>1064</v>
      </c>
    </row>
    <row r="7" customFormat="false" ht="15" hidden="false" customHeight="false" outlineLevel="0" collapsed="false">
      <c r="A7" s="12" t="s">
        <v>1065</v>
      </c>
      <c r="B7" s="22" t="s">
        <v>1066</v>
      </c>
      <c r="C7" s="44" t="n">
        <v>125000</v>
      </c>
      <c r="D7" s="44" t="n">
        <v>750000</v>
      </c>
    </row>
    <row r="8" customFormat="false" ht="15" hidden="false" customHeight="false" outlineLevel="0" collapsed="false">
      <c r="A8" s="12" t="s">
        <v>1067</v>
      </c>
      <c r="B8" s="22" t="s">
        <v>1068</v>
      </c>
      <c r="C8" s="44" t="n">
        <v>900000</v>
      </c>
      <c r="D8" s="44" t="n">
        <v>4500000</v>
      </c>
    </row>
    <row r="9" customFormat="false" ht="15" hidden="false" customHeight="false" outlineLevel="0" collapsed="false">
      <c r="A9" s="18" t="s">
        <v>1069</v>
      </c>
      <c r="C9" s="19" t="n">
        <f aca="false">C8+C7</f>
        <v>1025000</v>
      </c>
      <c r="D9" s="19" t="n">
        <f aca="false">D8+D7</f>
        <v>5250000</v>
      </c>
    </row>
    <row r="10" customFormat="false" ht="15" hidden="false" customHeight="false" outlineLevel="0" collapsed="false">
      <c r="A10" s="18" t="s">
        <v>1070</v>
      </c>
      <c r="C10" s="54" t="n">
        <f aca="false">IFERROR(C7/C9,0)</f>
        <v>0.121951219512195</v>
      </c>
      <c r="D10" s="54" t="n">
        <f aca="false">IFERROR(D7/D9,0)</f>
        <v>0.142857142857143</v>
      </c>
    </row>
    <row r="11" customFormat="false" ht="15" hidden="false" customHeight="false" outlineLevel="0" collapsed="false">
      <c r="A11" s="12" t="s">
        <v>1071</v>
      </c>
      <c r="B11" s="22" t="s">
        <v>1072</v>
      </c>
      <c r="C11" s="41" t="n">
        <v>0.42</v>
      </c>
      <c r="D11" s="41" t="n">
        <v>0.25</v>
      </c>
    </row>
    <row r="12" customFormat="false" ht="15" hidden="false" customHeight="false" outlineLevel="0" collapsed="false">
      <c r="A12" s="18" t="s">
        <v>1073</v>
      </c>
      <c r="C12" s="134" t="n">
        <f aca="false">C10*(1-C11)</f>
        <v>0.0707317073170732</v>
      </c>
      <c r="D12" s="134" t="n">
        <f aca="false">D10*(1-D11)</f>
        <v>0.107142857142857</v>
      </c>
    </row>
    <row r="14" customFormat="false" ht="16.5" hidden="false" customHeight="true" outlineLevel="0" collapsed="false">
      <c r="A14" s="15" t="s">
        <v>1074</v>
      </c>
      <c r="B14" s="15"/>
      <c r="C14" s="15"/>
      <c r="D14" s="15"/>
      <c r="E14" s="15"/>
      <c r="F14" s="15"/>
    </row>
    <row r="15" customFormat="false" ht="15" hidden="false" customHeight="false" outlineLevel="0" collapsed="false">
      <c r="A15" s="72" t="s">
        <v>1075</v>
      </c>
    </row>
    <row r="16" customFormat="false" ht="24" hidden="false" customHeight="true" outlineLevel="0" collapsed="false">
      <c r="A16" s="125" t="s">
        <v>1076</v>
      </c>
      <c r="B16" s="127" t="s">
        <v>1077</v>
      </c>
      <c r="C16" s="127" t="s">
        <v>1078</v>
      </c>
      <c r="D16" s="127" t="s">
        <v>1079</v>
      </c>
      <c r="E16" s="127" t="s">
        <v>1080</v>
      </c>
    </row>
    <row r="17" customFormat="false" ht="15" hidden="false" customHeight="false" outlineLevel="0" collapsed="false">
      <c r="A17" s="18" t="s">
        <v>1081</v>
      </c>
      <c r="B17" s="22" t="s">
        <v>1082</v>
      </c>
      <c r="C17" s="60" t="n">
        <v>2</v>
      </c>
      <c r="D17" s="19" t="n">
        <f aca="false">C17*'Financial Indicators'!$G$7</f>
        <v>20641855.8503728</v>
      </c>
      <c r="E17" s="119" t="n">
        <f aca="false">$D$17*C$12</f>
        <v>1460033.70648978</v>
      </c>
      <c r="F17" s="119" t="n">
        <f aca="false">$D$17*D$12</f>
        <v>2211627.41253994</v>
      </c>
    </row>
    <row r="18" customFormat="false" ht="15" hidden="false" customHeight="false" outlineLevel="0" collapsed="false">
      <c r="A18" s="18" t="s">
        <v>1083</v>
      </c>
      <c r="B18" s="22" t="s">
        <v>1084</v>
      </c>
      <c r="C18" s="60" t="n">
        <v>3.5</v>
      </c>
      <c r="D18" s="19" t="n">
        <f aca="false">C18*'Financial Indicators'!$G$7</f>
        <v>36123247.7381524</v>
      </c>
      <c r="E18" s="119" t="n">
        <f aca="false">$D$18*C$12</f>
        <v>2555058.98635712</v>
      </c>
      <c r="F18" s="119" t="n">
        <f aca="false">$D$18*D$12</f>
        <v>3870347.9719449</v>
      </c>
    </row>
    <row r="19" customFormat="false" ht="15" hidden="false" customHeight="false" outlineLevel="0" collapsed="false">
      <c r="A19" s="18" t="s">
        <v>1085</v>
      </c>
      <c r="B19" s="22" t="s">
        <v>1086</v>
      </c>
      <c r="C19" s="60" t="n">
        <v>5.5</v>
      </c>
      <c r="D19" s="19" t="n">
        <f aca="false">C19*'Financial Indicators'!$G$7</f>
        <v>56765103.5885251</v>
      </c>
      <c r="E19" s="119" t="n">
        <f aca="false">$D$19*C$12</f>
        <v>4015092.6928469</v>
      </c>
      <c r="F19" s="119" t="n">
        <f aca="false">$D$19*D$12</f>
        <v>6081975.38448484</v>
      </c>
    </row>
    <row r="20" customFormat="false" ht="15" hidden="false" customHeight="false" outlineLevel="0" collapsed="false">
      <c r="A20" s="18" t="s">
        <v>1087</v>
      </c>
      <c r="B20" s="22" t="s">
        <v>1088</v>
      </c>
      <c r="C20" s="60" t="n">
        <v>10</v>
      </c>
      <c r="D20" s="19" t="n">
        <f aca="false">C20*'Financial Indicators'!$G$22</f>
        <v>53963832.8422552</v>
      </c>
      <c r="E20" s="119" t="n">
        <f aca="false">$D$20*C$12</f>
        <v>3816954.03030586</v>
      </c>
      <c r="F20" s="119" t="n">
        <f aca="false">$D$20*D$12</f>
        <v>5781839.23309878</v>
      </c>
    </row>
    <row r="22" customFormat="false" ht="16.5" hidden="false" customHeight="true" outlineLevel="0" collapsed="false">
      <c r="A22" s="15" t="s">
        <v>1089</v>
      </c>
      <c r="B22" s="15"/>
      <c r="C22" s="15"/>
      <c r="D22" s="15"/>
      <c r="E22" s="15"/>
      <c r="F22" s="15"/>
    </row>
    <row r="23" customFormat="false" ht="15" hidden="false" customHeight="false" outlineLevel="0" collapsed="false">
      <c r="A23" s="12" t="s">
        <v>1090</v>
      </c>
      <c r="B23" s="22" t="s">
        <v>1091</v>
      </c>
      <c r="C23" s="59" t="n">
        <v>5</v>
      </c>
      <c r="D23" s="59" t="n">
        <v>3.5</v>
      </c>
    </row>
    <row r="24" customFormat="false" ht="15" hidden="false" customHeight="false" outlineLevel="0" collapsed="false">
      <c r="A24" s="18" t="s">
        <v>1092</v>
      </c>
      <c r="B24" s="22" t="s">
        <v>1093</v>
      </c>
      <c r="C24" s="19" t="n">
        <f aca="false">E18</f>
        <v>2555058.98635712</v>
      </c>
      <c r="D24" s="19" t="n">
        <f aca="false">F18</f>
        <v>3870347.9719449</v>
      </c>
    </row>
    <row r="25" customFormat="false" ht="15" hidden="false" customHeight="false" outlineLevel="0" collapsed="false">
      <c r="A25" s="18" t="s">
        <v>1094</v>
      </c>
      <c r="C25" s="135" t="n">
        <f aca="false">IFERROR(C24/C7,0)</f>
        <v>20.4404718908569</v>
      </c>
      <c r="D25" s="135" t="n">
        <f aca="false">IFERROR(D24/D7,0)</f>
        <v>5.16046396259319</v>
      </c>
    </row>
    <row r="26" customFormat="false" ht="15" hidden="false" customHeight="false" outlineLevel="0" collapsed="false">
      <c r="A26" s="18" t="s">
        <v>1095</v>
      </c>
      <c r="B26" s="22" t="s">
        <v>1096</v>
      </c>
      <c r="C26" s="134" t="n">
        <f aca="false">IFERROR(C25^(1/C23)-1,0)</f>
        <v>0.828513552405606</v>
      </c>
      <c r="D26" s="134" t="n">
        <f aca="false">IFERROR(D25^(1/D23)-1,0)</f>
        <v>0.598178769117411</v>
      </c>
    </row>
    <row r="28" customFormat="false" ht="16.5" hidden="false" customHeight="true" outlineLevel="0" collapsed="false">
      <c r="A28" s="15" t="s">
        <v>1097</v>
      </c>
      <c r="B28" s="15"/>
      <c r="C28" s="15"/>
      <c r="D28" s="15"/>
      <c r="E28" s="15"/>
      <c r="F28" s="15"/>
    </row>
    <row r="29" customFormat="false" ht="33.75" hidden="false" customHeight="true" outlineLevel="0" collapsed="false">
      <c r="A29" s="18" t="s">
        <v>1098</v>
      </c>
      <c r="B29" s="136" t="s">
        <v>1099</v>
      </c>
      <c r="C29" s="136"/>
      <c r="D29" s="136"/>
      <c r="E29" s="136"/>
      <c r="F29" s="136"/>
    </row>
    <row r="30" customFormat="false" ht="33.75" hidden="false" customHeight="true" outlineLevel="0" collapsed="false">
      <c r="A30" s="18" t="s">
        <v>1100</v>
      </c>
      <c r="B30" s="136" t="s">
        <v>1101</v>
      </c>
      <c r="C30" s="136"/>
      <c r="D30" s="136"/>
      <c r="E30" s="136"/>
      <c r="F30" s="136"/>
    </row>
    <row r="31" customFormat="false" ht="33.75" hidden="false" customHeight="true" outlineLevel="0" collapsed="false">
      <c r="A31" s="18" t="s">
        <v>1102</v>
      </c>
      <c r="B31" s="136" t="s">
        <v>1103</v>
      </c>
      <c r="C31" s="136"/>
      <c r="D31" s="136"/>
      <c r="E31" s="136"/>
      <c r="F31" s="136"/>
    </row>
    <row r="32" customFormat="false" ht="33.75" hidden="false" customHeight="true" outlineLevel="0" collapsed="false">
      <c r="A32" s="18" t="s">
        <v>1104</v>
      </c>
      <c r="B32" s="136" t="s">
        <v>1105</v>
      </c>
      <c r="C32" s="136"/>
      <c r="D32" s="136"/>
      <c r="E32" s="136"/>
      <c r="F32" s="136"/>
    </row>
    <row r="33" customFormat="false" ht="33.75" hidden="false" customHeight="true" outlineLevel="0" collapsed="false">
      <c r="A33" s="18" t="s">
        <v>1106</v>
      </c>
      <c r="B33" s="136" t="s">
        <v>1107</v>
      </c>
      <c r="C33" s="136"/>
      <c r="D33" s="136"/>
      <c r="E33" s="136"/>
      <c r="F33" s="136"/>
    </row>
  </sheetData>
  <mergeCells count="5">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2026-10-20T10:04:14Z</dcterms:created>
  <dc:creator>openpyxl</dc:creator>
  <dc:description/>
  <dc:language>en-US</dc:language>
  <cp:lastModifiedBy/>
  <dcterms:modified xsi:type="dcterms:W3CDTF">2026-10-20T10:04:20Z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