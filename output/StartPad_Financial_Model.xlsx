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Assumptions" sheetId="3" state="visible" r:id="rId5"/>
    <sheet name="HR_Model" sheetId="4" state="visible" r:id="rId6"/>
    <sheet name="Actuals" sheetId="5" state="visible" r:id="rId7"/>
    <sheet name="Capex" sheetId="6" state="visible" r:id="rId8"/>
    <sheet name="Acquisition" sheetId="7" state="visible" r:id="rId9"/>
    <sheet name="Revenue" sheetId="8" state="visible" r:id="rId10"/>
    <sheet name="Expenses" sheetId="9" state="visible" r:id="rId11"/>
    <sheet name="Depreciation" sheetId="10" state="visible" r:id="rId12"/>
    <sheet name="Income_Statement" sheetId="11" state="visible" r:id="rId13"/>
    <sheet name="Balance_Sheet" sheetId="12" state="visible" r:id="rId14"/>
    <sheet name="Cash_Flow" sheetId="13" state="visible" r:id="rId15"/>
    <sheet name="Stress_Test" sheetId="14" state="visible" r:id="rId16"/>
    <sheet name="KPIs" sheetId="15" state="visible" r:id="rId17"/>
    <sheet name="Sensitivity" sheetId="16" state="visible" r:id="rId18"/>
    <sheet name="Break_Even" sheetId="17" state="visible" r:id="rId19"/>
    <sheet name="Payback" sheetId="18" state="visible" r:id="rId20"/>
    <sheet name="Exit_Strategy"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<sst xmlns="http://schemas.openxmlformats.org/spreadsheetml/2006/main" count="2225" uniqueCount="865">
  <si>
    <t xml:space="preserve">StartPad</t>
  </si>
  <si>
    <t xml:space="preserve">Operational Financial Model</t>
  </si>
  <si>
    <t xml:space="preserve">Thirty-six months · October 2026 to September 2029 · Egypt and Saudi Arabia · USD</t>
  </si>
  <si>
    <t xml:space="preserve">WHAT THIS IS</t>
  </si>
  <si>
    <t xml:space="preserve">A monthly operating model for three years, built directly on the volumes and the establishment in the StartPad business plan and on the channel structure in the go-to-market strategy.</t>
  </si>
  <si>
    <t xml:space="preserve">Every figure in the workbook is a formula. The only typed numbers are the inputs on the Assumptions, HR Model and Actuals sheets, which are shown in blue on a yellow fill.</t>
  </si>
  <si>
    <t xml:space="preserve">Change an input and the acquisition funnel, the revenue streams, the expense base, the three statements and every analysis sheet move with it.</t>
  </si>
  <si>
    <t xml:space="preserve">CONVENTIONS</t>
  </si>
  <si>
    <t xml:space="preserve">Blue figure on a yellow fill</t>
  </si>
  <si>
    <t xml:space="preserve">A typed input. Change these.</t>
  </si>
  <si>
    <t xml:space="preserve">Black figure</t>
  </si>
  <si>
    <t xml:space="preserve">A formula on this sheet.</t>
  </si>
  <si>
    <t xml:space="preserve">Green figure</t>
  </si>
  <si>
    <t xml:space="preserve">A link to another sheet.</t>
  </si>
  <si>
    <t xml:space="preserve">Red figure</t>
  </si>
  <si>
    <t xml:space="preserve">A check that must read nil.</t>
  </si>
  <si>
    <t xml:space="preserve">Lime band</t>
  </si>
  <si>
    <t xml:space="preserve">A headline result.</t>
  </si>
  <si>
    <t xml:space="preserve">CONTENTS</t>
  </si>
  <si>
    <t xml:space="preserve">01   Cover</t>
  </si>
  <si>
    <t xml:space="preserve">This page — what the model is and how to read it</t>
  </si>
  <si>
    <t xml:space="preserve">02   Dashboard</t>
  </si>
  <si>
    <t xml:space="preserve">The whole model on one page, with charts</t>
  </si>
  <si>
    <t xml:space="preserve">03   Assumptions</t>
  </si>
  <si>
    <t xml:space="preserve">INPUT · every typed number: volumes, prices, acquisition, cost, revenue share, working capital</t>
  </si>
  <si>
    <t xml:space="preserve">04   HR Model</t>
  </si>
  <si>
    <t xml:space="preserve">INPUT · eighteen roles, salaries and start months, monthly and annual</t>
  </si>
  <si>
    <t xml:space="preserve">05   Actuals</t>
  </si>
  <si>
    <t xml:space="preserve">INPUT · the opening position and a grid to record each month as it closes</t>
  </si>
  <si>
    <t xml:space="preserve">06   Capex</t>
  </si>
  <si>
    <t xml:space="preserve">INPUT · assets driven by new hires, plus shared and intangible assets</t>
  </si>
  <si>
    <t xml:space="preserve">07   Acquisition</t>
  </si>
  <si>
    <t xml:space="preserve">PROCESS · offline and online channels, both funnels, 36 months</t>
  </si>
  <si>
    <t xml:space="preserve">08   Revenue</t>
  </si>
  <si>
    <t xml:space="preserve">PROCESS · thirteen revenue lines across eight engines, 36 months</t>
  </si>
  <si>
    <t xml:space="preserve">09   Expenses</t>
  </si>
  <si>
    <t xml:space="preserve">PROCESS · direct cost, revenue share to three parties, operating cost, 36 months</t>
  </si>
  <si>
    <t xml:space="preserve">10   Depreciation</t>
  </si>
  <si>
    <t xml:space="preserve">PROCESS · straight-line depreciation and amortisation by asset class</t>
  </si>
  <si>
    <t xml:space="preserve">11   Income Statement</t>
  </si>
  <si>
    <t xml:space="preserve">OUTPUT · three years to 30 September</t>
  </si>
  <si>
    <t xml:space="preserve">12   Balance Sheet</t>
  </si>
  <si>
    <t xml:space="preserve">OUTPUT · three years, with the balance check</t>
  </si>
  <si>
    <t xml:space="preserve">13   Cash Flow</t>
  </si>
  <si>
    <t xml:space="preserve">OUTPUT · monthly working and the annual statement</t>
  </si>
  <si>
    <t xml:space="preserve">14   Stress Test</t>
  </si>
  <si>
    <t xml:space="preserve">ANALYSIS · four scenarios on volume, price, cost and collection</t>
  </si>
  <si>
    <t xml:space="preserve">15   KPIs</t>
  </si>
  <si>
    <t xml:space="preserve">ANALYSIS · growth, profitability, unit economics, cash</t>
  </si>
  <si>
    <t xml:space="preserve">16   Sensitivity</t>
  </si>
  <si>
    <t xml:space="preserve">ANALYSIS · three two-way grids on the year-three result</t>
  </si>
  <si>
    <t xml:space="preserve">17   Break Even</t>
  </si>
  <si>
    <t xml:space="preserve">ANALYSIS · break-even revenue and the month it turns</t>
  </si>
  <si>
    <t xml:space="preserve">18   Payback</t>
  </si>
  <si>
    <t xml:space="preserve">ANALYSIS · when the capital comes back, base and stressed</t>
  </si>
  <si>
    <t xml:space="preserve">19   Exit Strategy</t>
  </si>
  <si>
    <t xml:space="preserve">ANALYSIS · angel and venture returns, and the routes out</t>
  </si>
  <si>
    <t xml:space="preserve">Built from business_plan/model.py. Rebuild with: python scripts/build_financial_model_xlsx.py</t>
  </si>
  <si>
    <t xml:space="preserve">Dashboard</t>
  </si>
  <si>
    <t xml:space="preserve">The whole model on one page. Every figure is a link; nothing here is typed.</t>
  </si>
  <si>
    <t xml:space="preserve">HEADLINES</t>
  </si>
  <si>
    <t xml:space="preserve">Year 1</t>
  </si>
  <si>
    <t xml:space="preserve">Year 2</t>
  </si>
  <si>
    <t xml:space="preserve">Year 3</t>
  </si>
  <si>
    <t xml:space="preserve">Total revenue</t>
  </si>
  <si>
    <t xml:space="preserve">Gross profit</t>
  </si>
  <si>
    <t xml:space="preserve">EBITDA</t>
  </si>
  <si>
    <t xml:space="preserve">Net profit</t>
  </si>
  <si>
    <t xml:space="preserve">Cash at year end</t>
  </si>
  <si>
    <t xml:space="preserve">Lowest cash in the year</t>
  </si>
  <si>
    <t xml:space="preserve">Employees at year end</t>
  </si>
  <si>
    <t xml:space="preserve">Learners reached</t>
  </si>
  <si>
    <t xml:space="preserve">BALANCE SHEET AND CHECK</t>
  </si>
  <si>
    <t xml:space="preserve">At inception</t>
  </si>
  <si>
    <t xml:space="preserve">Total assets</t>
  </si>
  <si>
    <t xml:space="preserve">CHECK — must be nil</t>
  </si>
  <si>
    <t xml:space="preserve">HOW TO USE THIS WORKBOOK</t>
  </si>
  <si>
    <t xml:space="preserve">·  Blue figures on a yellow fill are inputs. Change those and the whole model moves. Everything else is a formula.</t>
  </si>
  <si>
    <t xml:space="preserve">·  The Assumptions sheet holds every typed number in the model. Nothing is typed on any process or output sheet.</t>
  </si>
  <si>
    <t xml:space="preserve">·  Volume comes from the twelve-quarter plan in the business plan, split into months by the phasing weights on the Assumptions sheet.</t>
  </si>
  <si>
    <t xml:space="preserve">·  The check line on the balance sheet must read nil in every column. If it does not, something upstream has been broken.</t>
  </si>
  <si>
    <t xml:space="preserve">Assumptions</t>
  </si>
  <si>
    <t xml:space="preserve">Every typed input in the model. Blue on yellow is an input you may change; black is a formula. Nothing elsewhere in the workbook is typed.</t>
  </si>
  <si>
    <t xml:space="preserve">1 · TIMELINE AND BASIS</t>
  </si>
  <si>
    <t xml:space="preserve">Month 1 is October 2026, the Land quarter in the business plan. Year 1 runs Oct 2026 - Sep 2029 in three twelve-month blocks.</t>
  </si>
  <si>
    <t xml:space="preserve">Reporting currency</t>
  </si>
  <si>
    <t xml:space="preserve">USD</t>
  </si>
  <si>
    <t xml:space="preserve">Corporate tax rate (Egypt)</t>
  </si>
  <si>
    <t xml:space="preserve">Egyptian corporate income tax</t>
  </si>
  <si>
    <t xml:space="preserve">Tax paid in month of the following year</t>
  </si>
  <si>
    <t xml:space="preserve">Month 4 of the next financial year</t>
  </si>
  <si>
    <t xml:space="preserve">2 · VOLUME DRIVERS — QUARTERLY, FROM THE BUSINESS PLAN</t>
  </si>
  <si>
    <t xml:space="preserve">These twelve quarters are the delivery plan. Monthly figures everywhere else are this quarter's volume split by the phasing weights below, so an annual total always ties back to the plan.</t>
  </si>
  <si>
    <t xml:space="preserve">Driver</t>
  </si>
  <si>
    <t xml:space="preserve">Unit</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</si>
  <si>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</si>
  <si>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</si>
  <si>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</si>
  <si>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</si>
  <si>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</si>
  <si>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</si>
  <si>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</si>
  <si>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</si>
  <si>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</si>
  <si>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</si>
  <si>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</si>
  <si>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</si>
  <si>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University cohorts — Egypt</t>
  </si>
  <si>
    <t xml:space="preserve">cohorts</t>
  </si>
  <si>
    <t xml:space="preserve">University cohorts — Saudi Arabia</t>
  </si>
  <si>
    <t xml:space="preserve">University pilot cohorts (unpaid)</t>
  </si>
  <si>
    <t xml:space="preserve">Faculty licences sold</t>
  </si>
  <si>
    <t xml:space="preserve">licences</t>
  </si>
  <si>
    <t xml:space="preserve">School cohorts</t>
  </si>
  <si>
    <t xml:space="preserve">School licences sold</t>
  </si>
  <si>
    <t xml:space="preserve">Technical and vocational cohorts</t>
  </si>
  <si>
    <t xml:space="preserve">National initiative seats</t>
  </si>
  <si>
    <t xml:space="preserve">seats</t>
  </si>
  <si>
    <t xml:space="preserve">Train-the-trainer cohorts</t>
  </si>
  <si>
    <t xml:space="preserve">NGO and donor programmes</t>
  </si>
  <si>
    <t xml:space="preserve">programmes</t>
  </si>
  <si>
    <t xml:space="preserve">Sponsored competitions</t>
  </si>
  <si>
    <t xml:space="preserve">competitions</t>
  </si>
  <si>
    <t xml:space="preserve">Corporate and CSR programmes</t>
  </si>
  <si>
    <t xml:space="preserve">Programme and incubator partners active</t>
  </si>
  <si>
    <t xml:space="preserve">partners</t>
  </si>
  <si>
    <t xml:space="preserve">Seats per programme partner</t>
  </si>
  <si>
    <t xml:space="preserve">Certified facilitators in the pool</t>
  </si>
  <si>
    <t xml:space="preserve">cumulative at quarter end</t>
  </si>
  <si>
    <t xml:space="preserve">Certified delivery partner organisations</t>
  </si>
  <si>
    <t xml:space="preserve">Monthly phasing within a quarter</t>
  </si>
  <si>
    <t xml:space="preserve">month 1 / month 2 / month 3 of each quarter</t>
  </si>
  <si>
    <t xml:space="preserve">must be 100%</t>
  </si>
  <si>
    <t xml:space="preserve">3 · PRICING — BY YEAR</t>
  </si>
  <si>
    <t xml:space="preserve">University cohort — all-in programme fee</t>
  </si>
  <si>
    <t xml:space="preserve">6 bootcamp days, seats, judging, cohort report</t>
  </si>
  <si>
    <t xml:space="preserve">Faculty licence — annual</t>
  </si>
  <si>
    <t xml:space="preserve">faculty-wide, per year</t>
  </si>
  <si>
    <t xml:space="preserve">School cohort</t>
  </si>
  <si>
    <t xml:space="preserve">4 days, larger groups, employability frame</t>
  </si>
  <si>
    <t xml:space="preserve">School licence — annual</t>
  </si>
  <si>
    <t xml:space="preserve">Technical and vocational cohort</t>
  </si>
  <si>
    <t xml:space="preserve">5 days</t>
  </si>
  <si>
    <t xml:space="preserve">National initiative seat</t>
  </si>
  <si>
    <t xml:space="preserve">per participant, bulk provisioned</t>
  </si>
  <si>
    <t xml:space="preserve">Train-the-trainer cohort</t>
  </si>
  <si>
    <t xml:space="preserve">NGO and donor programme</t>
  </si>
  <si>
    <t xml:space="preserve">multi-site, logframe reporting</t>
  </si>
  <si>
    <t xml:space="preserve">Sponsored competition</t>
  </si>
  <si>
    <t xml:space="preserve">paid by the sponsor, not the organiser</t>
  </si>
  <si>
    <t xml:space="preserve">Corporate and CSR programme</t>
  </si>
  <si>
    <t xml:space="preserve">Programme and incubator seat</t>
  </si>
  <si>
    <t xml:space="preserve">Subscription — Pro, annual</t>
  </si>
  <si>
    <t xml:space="preserve">Subscription — Team, annual</t>
  </si>
  <si>
    <t xml:space="preserve">Share of new subscribers taking Team</t>
  </si>
  <si>
    <t xml:space="preserve">Subscription monthly churn</t>
  </si>
  <si>
    <t xml:space="preserve">of the active base, monthly</t>
  </si>
  <si>
    <t xml:space="preserve">Cohort size — university</t>
  </si>
  <si>
    <t xml:space="preserve">Cohort size — school and technical</t>
  </si>
  <si>
    <t xml:space="preserve">4 · ACQUISITION — OFFLINE CHANNELS (they create sign-ups)</t>
  </si>
  <si>
    <t xml:space="preserve">Five offline channels, from the go-to-market strategy. Activities per month is the lever; cost, sign-ups and institutional leads follow from it.</t>
  </si>
  <si>
    <t xml:space="preserve">Offline channel</t>
  </si>
  <si>
    <t xml:space="preserve">Activities / month — Y1</t>
  </si>
  <si>
    <t xml:space="preserve">Y2</t>
  </si>
  <si>
    <t xml:space="preserve">Y3</t>
  </si>
  <si>
    <t xml:space="preserve">Cost per activity</t>
  </si>
  <si>
    <t xml:space="preserve">Sign-ups per activity</t>
  </si>
  <si>
    <t xml:space="preserve">Institutional leads per activity</t>
  </si>
  <si>
    <t xml:space="preserve">Campus workshops</t>
  </si>
  <si>
    <t xml:space="preserve">Mission 01 completed live in an hour</t>
  </si>
  <si>
    <t xml:space="preserve">Ambassador campus activity</t>
  </si>
  <si>
    <t xml:space="preserve">run by the stipended ambassador network</t>
  </si>
  <si>
    <t xml:space="preserve">Competitions and qualifying rounds</t>
  </si>
  <si>
    <t xml:space="preserve">a sponsor pays; entry is a free account</t>
  </si>
  <si>
    <t xml:space="preserve">Events, fairs and conferences</t>
  </si>
  <si>
    <t xml:space="preserve">judged on meetings booked, not stand traffic</t>
  </si>
  <si>
    <t xml:space="preserve">Partner sessions inside NGO and programme cohorts</t>
  </si>
  <si>
    <t xml:space="preserve">talks inside somebody else's cohort</t>
  </si>
  <si>
    <t xml:space="preserve">Direct outreach by the partnership heads</t>
  </si>
  <si>
    <t xml:space="preserve">their own prospecting; the cost sits in payroll, not marketing</t>
  </si>
  <si>
    <t xml:space="preserve">5 · ACQUISITION — ONLINE CHANNELS (they create reach)</t>
  </si>
  <si>
    <t xml:space="preserve">Monthly spend is the lever. Reach, clicks and sign-ups follow. There is no cold paid-acquisition line beyond the budget shown: digital retargets people the engines already reached.</t>
  </si>
  <si>
    <t xml:space="preserve">Online channel</t>
  </si>
  <si>
    <t xml:space="preserve">Spend / month — Y1</t>
  </si>
  <si>
    <t xml:space="preserve">Cost per 1,000 reached</t>
  </si>
  <si>
    <t xml:space="preserve">Reach to click</t>
  </si>
  <si>
    <t xml:space="preserve">Click to free account</t>
  </si>
  <si>
    <t xml:space="preserve">Short video — TikTok, Instagram, Facebook</t>
  </si>
  <si>
    <t xml:space="preserve">organic-first, boosted selectively</t>
  </si>
  <si>
    <t xml:space="preserve">Paid social — targeted by age, city, university</t>
  </si>
  <si>
    <t xml:space="preserve">retargeting and event fill only</t>
  </si>
  <si>
    <t xml:space="preserve">Influencers and student creators</t>
  </si>
  <si>
    <t xml:space="preserve">Arabic student and founder voices</t>
  </si>
  <si>
    <t xml:space="preserve">Mission Zero — the founder podcast</t>
  </si>
  <si>
    <t xml:space="preserve">its real return is institutional, not sign-ups</t>
  </si>
  <si>
    <t xml:space="preserve">Webinars — live Mission 01 sessions</t>
  </si>
  <si>
    <t xml:space="preserve">highest intent, smallest reach</t>
  </si>
  <si>
    <t xml:space="preserve">SEO and organic search</t>
  </si>
  <si>
    <t xml:space="preserve">content and the annual readiness report</t>
  </si>
  <si>
    <t xml:space="preserve">6 · FUNNEL CONVERSION</t>
  </si>
  <si>
    <t xml:space="preserve">Two funnels. The institutional one ends in a signed contract; the learner one ends at Mission 01 and then a paid plan.</t>
  </si>
  <si>
    <t xml:space="preserve">Institutional lead to first meeting</t>
  </si>
  <si>
    <t xml:space="preserve">Meeting to proposal, pilot or bid</t>
  </si>
  <si>
    <t xml:space="preserve">Proposal to signed contract</t>
  </si>
  <si>
    <t xml:space="preserve">Sales cycle — months from lead to signature</t>
  </si>
  <si>
    <t xml:space="preserve">the lag applied between leads and wins</t>
  </si>
  <si>
    <t xml:space="preserve">Free account to Mission 01 activation</t>
  </si>
  <si>
    <t xml:space="preserve">activation is finishing Mission 01</t>
  </si>
  <si>
    <t xml:space="preserve">Activation to engaged (Discovery complete)</t>
  </si>
  <si>
    <t xml:space="preserve">Engaged to paid — reached through an institution</t>
  </si>
  <si>
    <t xml:space="preserve">Engaged to paid — reached online</t>
  </si>
  <si>
    <t xml:space="preserve">Inbound institutional enquiries per 1,000 online sign-ups</t>
  </si>
  <si>
    <t xml:space="preserve">content and the podcast, working as pipeline rather than brand</t>
  </si>
  <si>
    <t xml:space="preserve">Share of online spend serving institutional demand</t>
  </si>
  <si>
    <t xml:space="preserve">splits marketing cost between the two funnels for the CAC calculations</t>
  </si>
  <si>
    <t xml:space="preserve">Deliveries per signed contract</t>
  </si>
  <si>
    <t xml:space="preserve">land and expand: one agreement covers more cohorts each year</t>
  </si>
  <si>
    <t xml:space="preserve">Entrants per sponsored competition</t>
  </si>
  <si>
    <t xml:space="preserve">Participants per NGO or donor programme</t>
  </si>
  <si>
    <t xml:space="preserve">Participants per corporate programme</t>
  </si>
  <si>
    <t xml:space="preserve">7 · DIRECT COST OF DELIVERY</t>
  </si>
  <si>
    <t xml:space="preserve">Facilitator day rate</t>
  </si>
  <si>
    <t xml:space="preserve">Facilitators per cohort</t>
  </si>
  <si>
    <t xml:space="preserve">Delivery days — university cohort</t>
  </si>
  <si>
    <t xml:space="preserve">Delivery days — school cohort</t>
  </si>
  <si>
    <t xml:space="preserve">Delivery days — technical cohort</t>
  </si>
  <si>
    <t xml:space="preserve">Materials and showcase — university cohort</t>
  </si>
  <si>
    <t xml:space="preserve">Materials and showcase — school cohort</t>
  </si>
  <si>
    <t xml:space="preserve">Materials and showcase — technical cohort</t>
  </si>
  <si>
    <t xml:space="preserve">Delivery cost — train-the-trainer cohort</t>
  </si>
  <si>
    <t xml:space="preserve">Delivery cost — NGO and donor programme</t>
  </si>
  <si>
    <t xml:space="preserve">Delivery cost — sponsored competition</t>
  </si>
  <si>
    <t xml:space="preserve">Delivery cost — corporate programme</t>
  </si>
  <si>
    <t xml:space="preserve">Support cost per national initiative seat</t>
  </si>
  <si>
    <t xml:space="preserve">provisioning, bilingual support, partner reporting</t>
  </si>
  <si>
    <t xml:space="preserve">Support cost per programme seat</t>
  </si>
  <si>
    <t xml:space="preserve">Subscription hosting and inference, per paid user per month</t>
  </si>
  <si>
    <t xml:space="preserve">8 · REVENUE SHARING WITH THIRD PARTIES</t>
  </si>
  <si>
    <t xml:space="preserve">Three counterparties take a share. Each is margin deliberately surrendered to buy delivery capacity, distribution or access that would otherwise have to be hired for.</t>
  </si>
  <si>
    <t xml:space="preserve">Party 1 · share of cohorts delivered by certified partners</t>
  </si>
  <si>
    <t xml:space="preserve">certified delivery partner organisations</t>
  </si>
  <si>
    <t xml:space="preserve">Party 1 · partner's share of the cohort fee</t>
  </si>
  <si>
    <t xml:space="preserve">they deliver, StartPad audits</t>
  </si>
  <si>
    <t xml:space="preserve">Party 2 · share of competition revenue</t>
  </si>
  <si>
    <t xml:space="preserve">youth and channel organisations — Enactus, INJAZ, chapters</t>
  </si>
  <si>
    <t xml:space="preserve">Party 2 · share of programme and incubator seat revenue</t>
  </si>
  <si>
    <t xml:space="preserve">Party 3 · share of national initiative seat revenue</t>
  </si>
  <si>
    <t xml:space="preserve">government aggregators and local distributors</t>
  </si>
  <si>
    <t xml:space="preserve">Party 3 · payment processing on subscriptions</t>
  </si>
  <si>
    <t xml:space="preserve">9 · INDIRECT OPERATING COST — MONTHLY, BY YEAR</t>
  </si>
  <si>
    <t xml:space="preserve">Costs that do not move with a cohort. Payroll comes from the HR model and marketing from the acquisition sheet, so neither is typed here.</t>
  </si>
  <si>
    <t xml:space="preserve">Office rent — Cairo</t>
  </si>
  <si>
    <t xml:space="preserve">Office rent and desks — Riyadh</t>
  </si>
  <si>
    <t xml:space="preserve">a desk in year one, an office later</t>
  </si>
  <si>
    <t xml:space="preserve">Utilities, internet and communications</t>
  </si>
  <si>
    <t xml:space="preserve">Cloud, AI inference and third-party APIs — fixed</t>
  </si>
  <si>
    <t xml:space="preserve">Cloud and inference — variable, per active learner per month</t>
  </si>
  <si>
    <t xml:space="preserve">Software and tooling, per employee</t>
  </si>
  <si>
    <t xml:space="preserve">Travel — per commercial head, per month</t>
  </si>
  <si>
    <t xml:space="preserve">Cairo, Riyadh, campuses, governorates</t>
  </si>
  <si>
    <t xml:space="preserve">Outsourced finance, legal, audit and the KSA entity</t>
  </si>
  <si>
    <t xml:space="preserve">Safeguarding, child protection and compliance</t>
  </si>
  <si>
    <t xml:space="preserve">Partner enablement — certification, audits, regional hubs</t>
  </si>
  <si>
    <t xml:space="preserve">Insurance, bank charges and sundries</t>
  </si>
  <si>
    <t xml:space="preserve">Contingency on operating cost</t>
  </si>
  <si>
    <t xml:space="preserve">Sales commission on institutional revenue</t>
  </si>
  <si>
    <t xml:space="preserve">Ambassador stipend per month</t>
  </si>
  <si>
    <t xml:space="preserve">Ambassadors on stipend</t>
  </si>
  <si>
    <t xml:space="preserve">Ambassador active months per year</t>
  </si>
  <si>
    <t xml:space="preserve">10 · WORKING CAPITAL, ASSETS AND FUNDING</t>
  </si>
  <si>
    <t xml:space="preserve">Days sales outstanding — institutional</t>
  </si>
  <si>
    <t xml:space="preserve">universities and ministries pay slowly; this is the single biggest cash risk in the model</t>
  </si>
  <si>
    <t xml:space="preserve">Days sales outstanding — subscriptions</t>
  </si>
  <si>
    <t xml:space="preserve">card payments settle immediately</t>
  </si>
  <si>
    <t xml:space="preserve">Days payable outstanding — suppliers</t>
  </si>
  <si>
    <t xml:space="preserve">Accrued payroll — days outstanding</t>
  </si>
  <si>
    <t xml:space="preserve">Institutional contracts invoiced in advance</t>
  </si>
  <si>
    <t xml:space="preserve">creates deferred revenue</t>
  </si>
  <si>
    <t xml:space="preserve">Opening cash — the money already in</t>
  </si>
  <si>
    <t xml:space="preserve">stated by the founder; see the Actuals sheet</t>
  </si>
  <si>
    <t xml:space="preserve">Seed round raised</t>
  </si>
  <si>
    <t xml:space="preserve">sized on this model's own cash trough and the buffer below, not on a round number — see the lowest-cash row on the KPI sheet</t>
  </si>
  <si>
    <t xml:space="preserve">Month the seed round lands</t>
  </si>
  <si>
    <t xml:space="preserve">month one: the capitalised platform build and the office are paid for before any cohort has been invoiced</t>
  </si>
  <si>
    <t xml:space="preserve">Minimum cash buffer to hold</t>
  </si>
  <si>
    <t xml:space="preserve">11 · ASSETS — DRIVEN BY HEADCOUNT</t>
  </si>
  <si>
    <t xml:space="preserve">Every new employee arrives with a kit. Asset purchases therefore follow the hiring plan rather than being guessed at.</t>
  </si>
  <si>
    <t xml:space="preserve">Per-employee asset</t>
  </si>
  <si>
    <t xml:space="preserve">Cost per unit</t>
  </si>
  <si>
    <t xml:space="preserve">Units per new employee</t>
  </si>
  <si>
    <t xml:space="preserve">Useful life (months)</t>
  </si>
  <si>
    <t xml:space="preserve">Laptop</t>
  </si>
  <si>
    <t xml:space="preserve">Desk, chair and storage</t>
  </si>
  <si>
    <t xml:space="preserve">Monitor and peripherals</t>
  </si>
  <si>
    <t xml:space="preserve">Mobile handset and line setup</t>
  </si>
  <si>
    <t xml:space="preserve">Total per new employee</t>
  </si>
  <si>
    <t xml:space="preserve">Shared and intangible assets</t>
  </si>
  <si>
    <t xml:space="preserve">month acquired · cost · life</t>
  </si>
  <si>
    <t xml:space="preserve">Office fit-out — Cairo</t>
  </si>
  <si>
    <t xml:space="preserve">Mission Zero production kit — camera, audio, lighting</t>
  </si>
  <si>
    <t xml:space="preserve">Riyadh office setup</t>
  </si>
  <si>
    <t xml:space="preserve">Network, servers and security</t>
  </si>
  <si>
    <t xml:space="preserve">Capitalised platform development</t>
  </si>
  <si>
    <t xml:space="preserve">Capitalised curriculum and certification build</t>
  </si>
  <si>
    <t xml:space="preserve">Trademark, IP registration and entity formation</t>
  </si>
  <si>
    <t xml:space="preserve">HR Model</t>
  </si>
  <si>
    <t xml:space="preserve">Eighteen roles, each with a start month and a headcount per year. Payroll is computed monthly and summed annually; new hires drive the asset purchases on the Capex sheet.</t>
  </si>
  <si>
    <t xml:space="preserve">ESTABLISHMENT — INPUTS</t>
  </si>
  <si>
    <t xml:space="preserve">Role</t>
  </si>
  <si>
    <t xml:space="preserve">Function</t>
  </si>
  <si>
    <t xml:space="preserve">Start month</t>
  </si>
  <si>
    <t xml:space="preserve">Base monthly gross</t>
  </si>
  <si>
    <t xml:space="preserve">Headcount Y1</t>
  </si>
  <si>
    <t xml:space="preserve">Headcount Y2</t>
  </si>
  <si>
    <t xml:space="preserve">Headcount Y3</t>
  </si>
  <si>
    <t xml:space="preserve">Chief Executive Officer</t>
  </si>
  <si>
    <t xml:space="preserve">Leadership</t>
  </si>
  <si>
    <t xml:space="preserve">Chief Technology Officer</t>
  </si>
  <si>
    <t xml:space="preserve">Chief Operating Officer</t>
  </si>
  <si>
    <t xml:space="preserve">Senior full-stack engineer</t>
  </si>
  <si>
    <t xml:space="preserve">Product and Engineering</t>
  </si>
  <si>
    <t xml:space="preserve">AI and data engineer</t>
  </si>
  <si>
    <t xml:space="preserve">Product designer</t>
  </si>
  <si>
    <t xml:space="preserve">Head of Curriculum and Certification</t>
  </si>
  <si>
    <t xml:space="preserve">Curriculum and Delivery</t>
  </si>
  <si>
    <t xml:space="preserve">Partner network manager</t>
  </si>
  <si>
    <t xml:space="preserve">Programme delivery coordinator</t>
  </si>
  <si>
    <t xml:space="preserve">Bilingual curriculum producer</t>
  </si>
  <si>
    <t xml:space="preserve">Head of Partnerships — Egypt</t>
  </si>
  <si>
    <t xml:space="preserve">Institutional Partnerships</t>
  </si>
  <si>
    <t xml:space="preserve">Country Manager — KSA (Riyadh)</t>
  </si>
  <si>
    <t xml:space="preserve">Head of Government, Initiatives and Donors</t>
  </si>
  <si>
    <t xml:space="preserve">Partnerships and bids associate</t>
  </si>
  <si>
    <t xml:space="preserve">Head of Schools and Technical Education</t>
  </si>
  <si>
    <t xml:space="preserve">Account manager — renewals</t>
  </si>
  <si>
    <t xml:space="preserve">Head of Growth and Content</t>
  </si>
  <si>
    <t xml:space="preserve">Growth and Content</t>
  </si>
  <si>
    <t xml:space="preserve">Student success (bilingual)</t>
  </si>
  <si>
    <t xml:space="preserve">Total establishment</t>
  </si>
  <si>
    <t xml:space="preserve">the cap the business plan commits to</t>
  </si>
  <si>
    <t xml:space="preserve">Employer burden on gross salary</t>
  </si>
  <si>
    <t xml:space="preserve">social insurance, end-of-service, medical</t>
  </si>
  <si>
    <t xml:space="preserve">Annual salary increment</t>
  </si>
  <si>
    <t xml:space="preserve">applied from year two</t>
  </si>
  <si>
    <t xml:space="preserve">MONTHLY PAYROLL — FULLY LOADED</t>
  </si>
  <si>
    <t xml:space="preserve">Line item</t>
  </si>
  <si>
    <t xml:space="preserve">Driver / source</t>
  </si>
  <si>
    <t xml:space="preserve">Oct 26</t>
  </si>
  <si>
    <t xml:space="preserve">Nov 26</t>
  </si>
  <si>
    <t xml:space="preserve">Dec 26</t>
  </si>
  <si>
    <t xml:space="preserve">Jan 26</t>
  </si>
  <si>
    <t xml:space="preserve">Feb 26</t>
  </si>
  <si>
    <t xml:space="preserve">Mar 26</t>
  </si>
  <si>
    <t xml:space="preserve">Apr 26</t>
  </si>
  <si>
    <t xml:space="preserve">May 26</t>
  </si>
  <si>
    <t xml:space="preserve">Jun 26</t>
  </si>
  <si>
    <t xml:space="preserve">Jul 27</t>
  </si>
  <si>
    <t xml:space="preserve">Aug 27</t>
  </si>
  <si>
    <t xml:space="preserve">Sep 27</t>
  </si>
  <si>
    <t xml:space="preserve">Oct 27</t>
  </si>
  <si>
    <t xml:space="preserve">Nov 27</t>
  </si>
  <si>
    <t xml:space="preserve">Dec 27</t>
  </si>
  <si>
    <t xml:space="preserve">Jan 27</t>
  </si>
  <si>
    <t xml:space="preserve">Feb 27</t>
  </si>
  <si>
    <t xml:space="preserve">Mar 27</t>
  </si>
  <si>
    <t xml:space="preserve">Apr 27</t>
  </si>
  <si>
    <t xml:space="preserve">May 27</t>
  </si>
  <si>
    <t xml:space="preserve">Jun 27</t>
  </si>
  <si>
    <t xml:space="preserve">Jul 28</t>
  </si>
  <si>
    <t xml:space="preserve">Aug 28</t>
  </si>
  <si>
    <t xml:space="preserve">Sep 28</t>
  </si>
  <si>
    <t xml:space="preserve">Oct 28</t>
  </si>
  <si>
    <t xml:space="preserve">Nov 28</t>
  </si>
  <si>
    <t xml:space="preserve">Dec 28</t>
  </si>
  <si>
    <t xml:space="preserve">Jan 28</t>
  </si>
  <si>
    <t xml:space="preserve">Feb 28</t>
  </si>
  <si>
    <t xml:space="preserve">Mar 28</t>
  </si>
  <si>
    <t xml:space="preserve">Apr 28</t>
  </si>
  <si>
    <t xml:space="preserve">May 28</t>
  </si>
  <si>
    <t xml:space="preserve">Jun 28</t>
  </si>
  <si>
    <t xml:space="preserve">Jul 29</t>
  </si>
  <si>
    <t xml:space="preserve">Aug 29</t>
  </si>
  <si>
    <t xml:space="preserve">Sep 29</t>
  </si>
  <si>
    <t xml:space="preserve">YEAR 1</t>
  </si>
  <si>
    <t xml:space="preserve">YEAR 2</t>
  </si>
  <si>
    <t xml:space="preserve">YEAR 3</t>
  </si>
  <si>
    <t xml:space="preserve">Total payroll</t>
  </si>
  <si>
    <t xml:space="preserve">fully loaded, all roles</t>
  </si>
  <si>
    <t xml:space="preserve">MONTHLY HEADCOUNT</t>
  </si>
  <si>
    <t xml:space="preserve">Total headcount</t>
  </si>
  <si>
    <t xml:space="preserve">at month end</t>
  </si>
  <si>
    <t xml:space="preserve">New employees joining in the month</t>
  </si>
  <si>
    <t xml:space="preserve">drives the Capex sheet</t>
  </si>
  <si>
    <t xml:space="preserve">Commercial heads on the road</t>
  </si>
  <si>
    <t xml:space="preserve">drives the travel line on Expenses</t>
  </si>
  <si>
    <t xml:space="preserve">Actuals and Opening Position</t>
  </si>
  <si>
    <t xml:space="preserve">The money already in, the opening balance sheet it creates, and a grid to record each month as it closes so this becomes an operating tool rather than a one-off forecast.</t>
  </si>
  <si>
    <t xml:space="preserve">OPENING POSITION AT 30 SEPTEMBER 2026</t>
  </si>
  <si>
    <t xml:space="preserve">Cash at bank</t>
  </si>
  <si>
    <t xml:space="preserve">founder capital already contributed</t>
  </si>
  <si>
    <t xml:space="preserve">Trade receivables</t>
  </si>
  <si>
    <t xml:space="preserve">nothing invoiced yet</t>
  </si>
  <si>
    <t xml:space="preserve">Property and equipment, net</t>
  </si>
  <si>
    <t xml:space="preserve">nothing acquired yet</t>
  </si>
  <si>
    <t xml:space="preserve">Intangible assets, net</t>
  </si>
  <si>
    <t xml:space="preserve">capitalised from month 1</t>
  </si>
  <si>
    <t xml:space="preserve">Total opening assets</t>
  </si>
  <si>
    <t xml:space="preserve">Trade and other payables</t>
  </si>
  <si>
    <t xml:space="preserve">none at inception</t>
  </si>
  <si>
    <t xml:space="preserve">Paid-in share capital</t>
  </si>
  <si>
    <t xml:space="preserve">the opening cash, recorded as equity</t>
  </si>
  <si>
    <t xml:space="preserve">Retained earnings</t>
  </si>
  <si>
    <t xml:space="preserve">no trading before month 1</t>
  </si>
  <si>
    <t xml:space="preserve">Total opening liabilities and equity</t>
  </si>
  <si>
    <t xml:space="preserve">CHECK — assets less liabilities and equity</t>
  </si>
  <si>
    <t xml:space="preserve">must read nil</t>
  </si>
  <si>
    <t xml:space="preserve">MONTHLY ACTUALS — ENTER AS EACH MONTH CLOSES</t>
  </si>
  <si>
    <t xml:space="preserve">Leave a month blank until it has closed. Nothing downstream reads this grid: the statements run on the forecast, and these rows exist so the variance can be read without disturbing the model.</t>
  </si>
  <si>
    <t xml:space="preserve">Revenue — actual</t>
  </si>
  <si>
    <t xml:space="preserve">enter when the month closes</t>
  </si>
  <si>
    <t xml:space="preserve">Direct cost — actual</t>
  </si>
  <si>
    <t xml:space="preserve">Operating cost — actual</t>
  </si>
  <si>
    <t xml:space="preserve">Closing cash — actual</t>
  </si>
  <si>
    <t xml:space="preserve">VARIANCE AGAINST THE MODEL</t>
  </si>
  <si>
    <t xml:space="preserve">Revenue — forecast</t>
  </si>
  <si>
    <t xml:space="preserve">from the model</t>
  </si>
  <si>
    <t xml:space="preserve">Revenue — variance</t>
  </si>
  <si>
    <t xml:space="preserve">blank months read as nil</t>
  </si>
  <si>
    <t xml:space="preserve">Direct cost — forecast</t>
  </si>
  <si>
    <t xml:space="preserve">Direct cost — variance</t>
  </si>
  <si>
    <t xml:space="preserve">Operating cost — forecast</t>
  </si>
  <si>
    <t xml:space="preserve">Operating cost — variance</t>
  </si>
  <si>
    <t xml:space="preserve">Closing cash — forecast</t>
  </si>
  <si>
    <t xml:space="preserve">Closing cash — variance</t>
  </si>
  <si>
    <t xml:space="preserve">Assets and Capital Expenditure</t>
  </si>
  <si>
    <t xml:space="preserve">Per-employee assets follow the hiring plan: every new employee arrives with a laptop, a desk, peripherals and a handset. Shared and intangible assets are dated explicitly.</t>
  </si>
  <si>
    <t xml:space="preserve">ADDITIONS IN THE MONTH</t>
  </si>
  <si>
    <t xml:space="preserve">per new employee · 36 month life</t>
  </si>
  <si>
    <t xml:space="preserve">per new employee · 60 month life</t>
  </si>
  <si>
    <t xml:space="preserve">per new employee · 48 month life</t>
  </si>
  <si>
    <t xml:space="preserve">per new employee · 24 month life</t>
  </si>
  <si>
    <t xml:space="preserve">one-off · 60 month life</t>
  </si>
  <si>
    <t xml:space="preserve">one-off · 48 month life</t>
  </si>
  <si>
    <t xml:space="preserve">one-off · 36 month life</t>
  </si>
  <si>
    <t xml:space="preserve">Total capital expenditure</t>
  </si>
  <si>
    <t xml:space="preserve">feeds investing activities</t>
  </si>
  <si>
    <t xml:space="preserve">GROSS COST — CUMULATIVE</t>
  </si>
  <si>
    <t xml:space="preserve">Total gross assets</t>
  </si>
  <si>
    <t xml:space="preserve">Acquisition</t>
  </si>
  <si>
    <t xml:space="preserve">Two funnels. Offline channels create sign-ups and institutional leads; online channels create reach. Both land on the same first step — Mission 01 — and only then on a paid plan.</t>
  </si>
  <si>
    <t xml:space="preserve">OFFLINE CHANNELS — THEY CREATE SIGN-UPS</t>
  </si>
  <si>
    <t xml:space="preserve">activities in the month</t>
  </si>
  <si>
    <t xml:space="preserve">    Cost</t>
  </si>
  <si>
    <t xml:space="preserve">    Free sign-ups</t>
  </si>
  <si>
    <t xml:space="preserve">    Institutional leads</t>
  </si>
  <si>
    <t xml:space="preserve">Offline marketing cost</t>
  </si>
  <si>
    <t xml:space="preserve">Offline sign-ups</t>
  </si>
  <si>
    <t xml:space="preserve">Offline institutional leads</t>
  </si>
  <si>
    <t xml:space="preserve">ONLINE CHANNELS — THEY CREATE REACH</t>
  </si>
  <si>
    <t xml:space="preserve">spend in the month</t>
  </si>
  <si>
    <t xml:space="preserve">    Reach</t>
  </si>
  <si>
    <t xml:space="preserve">reach x click-through x conversion</t>
  </si>
  <si>
    <t xml:space="preserve">Online marketing cost</t>
  </si>
  <si>
    <t xml:space="preserve">Online reach</t>
  </si>
  <si>
    <t xml:space="preserve">Online sign-ups</t>
  </si>
  <si>
    <t xml:space="preserve">Total marketing cost</t>
  </si>
  <si>
    <t xml:space="preserve">carried to the Expenses sheet</t>
  </si>
  <si>
    <t xml:space="preserve">INSTITUTIONAL FUNNEL — MAP, MEET, SIGN</t>
  </si>
  <si>
    <t xml:space="preserve">Inbound enquiries from content</t>
  </si>
  <si>
    <t xml:space="preserve">podcast, search and the readiness report</t>
  </si>
  <si>
    <t xml:space="preserve">Total institutional leads</t>
  </si>
  <si>
    <t xml:space="preserve">First meetings held</t>
  </si>
  <si>
    <t xml:space="preserve">Proposals, pilots and bids submitted</t>
  </si>
  <si>
    <t xml:space="preserve">Contracts signed</t>
  </si>
  <si>
    <t xml:space="preserve">proposals lagged by the sales cycle</t>
  </si>
  <si>
    <t xml:space="preserve">Contracts the delivery plan requires</t>
  </si>
  <si>
    <t xml:space="preserve">deliveries, over deliveries per contract</t>
  </si>
  <si>
    <t xml:space="preserve">Coverage — signings against the plan</t>
  </si>
  <si>
    <t xml:space="preserve">below 1.0x means the funnel is short</t>
  </si>
  <si>
    <t xml:space="preserve">Cost per institutional contract won</t>
  </si>
  <si>
    <t xml:space="preserve">institutional CAC</t>
  </si>
  <si>
    <t xml:space="preserve">LEARNER FUNNEL — EVERY CHANNEL LANDS ON MISSION 01</t>
  </si>
  <si>
    <t xml:space="preserve">Reached — cohort participants</t>
  </si>
  <si>
    <t xml:space="preserve">university, school and technical</t>
  </si>
  <si>
    <t xml:space="preserve">Reached — competition entrants</t>
  </si>
  <si>
    <t xml:space="preserve">entry is a free account</t>
  </si>
  <si>
    <t xml:space="preserve">Reached — sponsored and programme seats</t>
  </si>
  <si>
    <t xml:space="preserve">Reached — NGO and corporate participants</t>
  </si>
  <si>
    <t xml:space="preserve">Free accounts — through an institution</t>
  </si>
  <si>
    <t xml:space="preserve">Free accounts — direct, offline and online</t>
  </si>
  <si>
    <t xml:space="preserve">Total new free accounts</t>
  </si>
  <si>
    <t xml:space="preserve">Activated — Mission 01 completed</t>
  </si>
  <si>
    <t xml:space="preserve">activation is finishing Mission 01, not opening an account</t>
  </si>
  <si>
    <t xml:space="preserve">    Engaged — through an institution</t>
  </si>
  <si>
    <t xml:space="preserve">    Engaged — direct</t>
  </si>
  <si>
    <t xml:space="preserve">New paid subscribers</t>
  </si>
  <si>
    <t xml:space="preserve">institutional reach converts far better</t>
  </si>
  <si>
    <t xml:space="preserve">Active paid subscribers</t>
  </si>
  <si>
    <t xml:space="preserve">after monthly churn</t>
  </si>
  <si>
    <t xml:space="preserve">Cost per paid subscriber</t>
  </si>
  <si>
    <t xml:space="preserve">learner CAC, on the online spend only</t>
  </si>
  <si>
    <t xml:space="preserve">Revenue Streams</t>
  </si>
  <si>
    <t xml:space="preserve">Thirteen lines across eight engines. Volume comes from the quarterly plan split by the monthly phasing weight, so every annual total ties back to the business plan exactly.</t>
  </si>
  <si>
    <t xml:space="preserve">DELIVERY VOLUME</t>
  </si>
  <si>
    <t xml:space="preserve">sales cost</t>
  </si>
  <si>
    <t xml:space="preserve">Faculty licences</t>
  </si>
  <si>
    <t xml:space="preserve">School licences</t>
  </si>
  <si>
    <t xml:space="preserve">Programme and incubator seats</t>
  </si>
  <si>
    <t xml:space="preserve">All in-person cohorts delivered</t>
  </si>
  <si>
    <t xml:space="preserve">the capacity constraint</t>
  </si>
  <si>
    <t xml:space="preserve">REVENUE BY STREAM</t>
  </si>
  <si>
    <t xml:space="preserve">University cohort programmes</t>
  </si>
  <si>
    <t xml:space="preserve">Engine 1</t>
  </si>
  <si>
    <t xml:space="preserve">Engine 2</t>
  </si>
  <si>
    <t xml:space="preserve">Engine 3</t>
  </si>
  <si>
    <t xml:space="preserve">Engine 4</t>
  </si>
  <si>
    <t xml:space="preserve">Engine 5</t>
  </si>
  <si>
    <t xml:space="preserve">Engine 6</t>
  </si>
  <si>
    <t xml:space="preserve">Engine 7</t>
  </si>
  <si>
    <t xml:space="preserve">Institutional revenue</t>
  </si>
  <si>
    <t xml:space="preserve">engines 1 to 7 — somebody else pays</t>
  </si>
  <si>
    <t xml:space="preserve">ENGINE 8 · FOUNDER SUBSCRIPTIONS</t>
  </si>
  <si>
    <t xml:space="preserve">New paid subscribers in the month</t>
  </si>
  <si>
    <t xml:space="preserve">from the Acquisition sheet</t>
  </si>
  <si>
    <t xml:space="preserve">Blended annual subscription price</t>
  </si>
  <si>
    <t xml:space="preserve">Pro and Team at the stated mix</t>
  </si>
  <si>
    <t xml:space="preserve">Subscription bookings — cash received</t>
  </si>
  <si>
    <t xml:space="preserve">annual plans, billed in advance</t>
  </si>
  <si>
    <t xml:space="preserve">Subscription revenue recognised</t>
  </si>
  <si>
    <t xml:space="preserve">one twelfth of each annual plan, monthly</t>
  </si>
  <si>
    <t xml:space="preserve">Deferred subscription revenue — balance</t>
  </si>
  <si>
    <t xml:space="preserve">a liability until the month is served</t>
  </si>
  <si>
    <t xml:space="preserve">TOTAL REVENUE</t>
  </si>
  <si>
    <t xml:space="preserve">Institutional share of revenue</t>
  </si>
  <si>
    <t xml:space="preserve">Expenses</t>
  </si>
  <si>
    <t xml:space="preserve">Direct cost moves with delivery; operating cost does not. Payroll comes from the HR model, marketing from the acquisition sheet and depreciation from the asset register, so none of the three is typed twice.</t>
  </si>
  <si>
    <t xml:space="preserve">DIRECT COST OF DELIVERY</t>
  </si>
  <si>
    <t xml:space="preserve">Facilitation — university cohorts</t>
  </si>
  <si>
    <t xml:space="preserve">certified freelancers, never employees</t>
  </si>
  <si>
    <t xml:space="preserve">Facilitation — school cohorts</t>
  </si>
  <si>
    <t xml:space="preserve">Facilitation — technical cohorts</t>
  </si>
  <si>
    <t xml:space="preserve">Materials, kits and showcases</t>
  </si>
  <si>
    <t xml:space="preserve">Train-the-trainer delivery</t>
  </si>
  <si>
    <t xml:space="preserve">NGO and donor programme delivery</t>
  </si>
  <si>
    <t xml:space="preserve">multi-site</t>
  </si>
  <si>
    <t xml:space="preserve">Competition delivery and judging</t>
  </si>
  <si>
    <t xml:space="preserve">Corporate programme delivery</t>
  </si>
  <si>
    <t xml:space="preserve">National initiative seat support</t>
  </si>
  <si>
    <t xml:space="preserve">provisioning, support queue, partner reporting</t>
  </si>
  <si>
    <t xml:space="preserve">Programme and incubator seat support</t>
  </si>
  <si>
    <t xml:space="preserve">Subscription hosting and inference</t>
  </si>
  <si>
    <t xml:space="preserve">Revenue share — certified delivery partners</t>
  </si>
  <si>
    <t xml:space="preserve">party 1 · they deliver, StartPad audits</t>
  </si>
  <si>
    <t xml:space="preserve">Revenue share — youth and channel organisations</t>
  </si>
  <si>
    <t xml:space="preserve">party 2 · Enactus, INJAZ, chapters</t>
  </si>
  <si>
    <t xml:space="preserve">Revenue share — aggregators and payment processing</t>
  </si>
  <si>
    <t xml:space="preserve">party 3 · distributors and card fees</t>
  </si>
  <si>
    <t xml:space="preserve">Total direct cost</t>
  </si>
  <si>
    <t xml:space="preserve">Gross margin</t>
  </si>
  <si>
    <t xml:space="preserve">OPERATING COST</t>
  </si>
  <si>
    <t xml:space="preserve">Payroll — fully loaded</t>
  </si>
  <si>
    <t xml:space="preserve">from the HR model</t>
  </si>
  <si>
    <t xml:space="preserve">Sales commission</t>
  </si>
  <si>
    <t xml:space="preserve">on institutional revenue</t>
  </si>
  <si>
    <t xml:space="preserve">Ambassador stipends</t>
  </si>
  <si>
    <t xml:space="preserve">a stipend and standing, not a salary</t>
  </si>
  <si>
    <t xml:space="preserve">Marketing — offline channels</t>
  </si>
  <si>
    <t xml:space="preserve">from Acquisition</t>
  </si>
  <si>
    <t xml:space="preserve">Marketing — online channels</t>
  </si>
  <si>
    <t xml:space="preserve">Office rent</t>
  </si>
  <si>
    <t xml:space="preserve">Cairo, and a Riyadh desk from year two</t>
  </si>
  <si>
    <t xml:space="preserve">Cloud, AI inference and APIs</t>
  </si>
  <si>
    <t xml:space="preserve">fixed, plus a charge per active learner</t>
  </si>
  <si>
    <t xml:space="preserve">Software and tooling</t>
  </si>
  <si>
    <t xml:space="preserve">per employee</t>
  </si>
  <si>
    <t xml:space="preserve">Travel</t>
  </si>
  <si>
    <t xml:space="preserve">per commercial head</t>
  </si>
  <si>
    <t xml:space="preserve">Outsourced finance, legal and audit</t>
  </si>
  <si>
    <t xml:space="preserve">bought, not hired</t>
  </si>
  <si>
    <t xml:space="preserve">Safeguarding and compliance</t>
  </si>
  <si>
    <t xml:space="preserve">a condition of entry to the school market</t>
  </si>
  <si>
    <t xml:space="preserve">Partner enablement — certification and audit</t>
  </si>
  <si>
    <t xml:space="preserve">what keeps the licence meaningful</t>
  </si>
  <si>
    <t xml:space="preserve">Contingency</t>
  </si>
  <si>
    <t xml:space="preserve">on operating cost</t>
  </si>
  <si>
    <t xml:space="preserve">Operating cost before depreciation</t>
  </si>
  <si>
    <t xml:space="preserve">Depreciation and amortisation</t>
  </si>
  <si>
    <t xml:space="preserve">from the asset register</t>
  </si>
  <si>
    <t xml:space="preserve">Total operating cost</t>
  </si>
  <si>
    <t xml:space="preserve">RESULT</t>
  </si>
  <si>
    <t xml:space="preserve">EBIT — operating profit</t>
  </si>
  <si>
    <t xml:space="preserve">Cash operating cost, excluding payroll</t>
  </si>
  <si>
    <t xml:space="preserve">used for the payables calculation</t>
  </si>
  <si>
    <t xml:space="preserve">Depreciation and Amortisation</t>
  </si>
  <si>
    <t xml:space="preserve">Straight line over each class's useful life, charged from the month after acquisition and capped so an asset is never written down below nil.</t>
  </si>
  <si>
    <t xml:space="preserve">DEPRECIATION CHARGE IN THE MONTH</t>
  </si>
  <si>
    <t xml:space="preserve">36 months, straight line</t>
  </si>
  <si>
    <t xml:space="preserve">60 months, straight line</t>
  </si>
  <si>
    <t xml:space="preserve">48 months, straight line</t>
  </si>
  <si>
    <t xml:space="preserve">24 months, straight line</t>
  </si>
  <si>
    <t xml:space="preserve">Total depreciation and amortisation</t>
  </si>
  <si>
    <t xml:space="preserve">feeds Expenses and the cash flow add-back</t>
  </si>
  <si>
    <t xml:space="preserve">ACCUMULATED DEPRECIATION</t>
  </si>
  <si>
    <t xml:space="preserve">Total accumulated depreciation</t>
  </si>
  <si>
    <t xml:space="preserve">NET BOOK VALUE</t>
  </si>
  <si>
    <t xml:space="preserve">Total net book value</t>
  </si>
  <si>
    <t xml:space="preserve">carried to the balance sheet</t>
  </si>
  <si>
    <t xml:space="preserve">Net book value — tangible fixed assets</t>
  </si>
  <si>
    <t xml:space="preserve">property, equipment and fit-out</t>
  </si>
  <si>
    <t xml:space="preserve">Net book value — intangible assets</t>
  </si>
  <si>
    <t xml:space="preserve">capitalised platform, curriculum and IP</t>
  </si>
  <si>
    <t xml:space="preserve">Income Statement</t>
  </si>
  <si>
    <t xml:space="preserve">Three years to 30 September. Every line is the sum of its thirty-six monthly cells, so the annual figures cannot drift from the monthly model.</t>
  </si>
  <si>
    <t xml:space="preserve">FOR THE YEARS ENDED 30 SEPTEMBER</t>
  </si>
  <si>
    <t xml:space="preserve">% rev Y1</t>
  </si>
  <si>
    <t xml:space="preserve">% rev Y2</t>
  </si>
  <si>
    <t xml:space="preserve">% rev Y3</t>
  </si>
  <si>
    <t xml:space="preserve">engines 1 to 7</t>
  </si>
  <si>
    <t xml:space="preserve">Founder subscription revenue</t>
  </si>
  <si>
    <t xml:space="preserve">engine 8, recognised monthly</t>
  </si>
  <si>
    <t xml:space="preserve">Direct cost of delivery</t>
  </si>
  <si>
    <t xml:space="preserve">facilitation, materials, seats and revenue share</t>
  </si>
  <si>
    <t xml:space="preserve">payroll, marketing, premises and overhead</t>
  </si>
  <si>
    <t xml:space="preserve">Profit before tax</t>
  </si>
  <si>
    <t xml:space="preserve">no debt in the plan, so no interest</t>
  </si>
  <si>
    <t xml:space="preserve">Tax losses carried forward, opening</t>
  </si>
  <si>
    <t xml:space="preserve">year one's loss shelters year two</t>
  </si>
  <si>
    <t xml:space="preserve">Tax losses carried forward, closing</t>
  </si>
  <si>
    <t xml:space="preserve">Taxable profit</t>
  </si>
  <si>
    <t xml:space="preserve">after the carried-forward loss</t>
  </si>
  <si>
    <t xml:space="preserve">Corporate income tax</t>
  </si>
  <si>
    <t xml:space="preserve">Egyptian rate on taxable profit</t>
  </si>
  <si>
    <t xml:space="preserve">Net profit for the year</t>
  </si>
  <si>
    <t xml:space="preserve">Balance Sheet</t>
  </si>
  <si>
    <t xml:space="preserve">At 30 September each year, with the opening position at inception. The check line at the foot is nil in every column, which is the only proof that the model hangs together.</t>
  </si>
  <si>
    <t xml:space="preserve">STATEMENT OF FINANCIAL POSITION</t>
  </si>
  <si>
    <t xml:space="preserve">Cash and cash equivalents</t>
  </si>
  <si>
    <t xml:space="preserve">see the cash flow statement</t>
  </si>
  <si>
    <t xml:space="preserve">institutional invoices outstanding</t>
  </si>
  <si>
    <t xml:space="preserve">laptops, desks, fit-out</t>
  </si>
  <si>
    <t xml:space="preserve">Accrued payroll</t>
  </si>
  <si>
    <t xml:space="preserve">Deferred revenue</t>
  </si>
  <si>
    <t xml:space="preserve">billed, not yet earned</t>
  </si>
  <si>
    <t xml:space="preserve">Tax payable</t>
  </si>
  <si>
    <t xml:space="preserve">paid in arrears</t>
  </si>
  <si>
    <t xml:space="preserve">Total liabilities</t>
  </si>
  <si>
    <t xml:space="preserve">Share capital</t>
  </si>
  <si>
    <t xml:space="preserve">founder capital plus the seed round</t>
  </si>
  <si>
    <t xml:space="preserve">cumulative profit and loss</t>
  </si>
  <si>
    <t xml:space="preserve">Total equity</t>
  </si>
  <si>
    <t xml:space="preserve">Total liabilities and equity</t>
  </si>
  <si>
    <t xml:space="preserve">CHECK — total assets less liabilities and equity</t>
  </si>
  <si>
    <t xml:space="preserve">nil in every column, or the model is wrong</t>
  </si>
  <si>
    <t xml:space="preserve">Cash Flow</t>
  </si>
  <si>
    <t xml:space="preserve">Indirect method, monthly, with the working-capital balances the balance sheet is built from. Institutional customers pay slowly, which is the single largest cash risk in the model.</t>
  </si>
  <si>
    <t xml:space="preserve">OPERATING ACTIVITIES</t>
  </si>
  <si>
    <t xml:space="preserve">Corporate income tax charge</t>
  </si>
  <si>
    <t xml:space="preserve">the year's charge, spread evenly</t>
  </si>
  <si>
    <t xml:space="preserve">Add back depreciation and amortisation</t>
  </si>
  <si>
    <t xml:space="preserve">non-cash</t>
  </si>
  <si>
    <t xml:space="preserve">WORKING CAPITAL BALANCES AT MONTH END</t>
  </si>
  <si>
    <t xml:space="preserve">institutions pay slowly; cards settle at once</t>
  </si>
  <si>
    <t xml:space="preserve">suppliers and freelancers</t>
  </si>
  <si>
    <t xml:space="preserve">annual plans and contracts billed in advance</t>
  </si>
  <si>
    <t xml:space="preserve">paid in arrears, in the stated month</t>
  </si>
  <si>
    <t xml:space="preserve">Tax paid in the month</t>
  </si>
  <si>
    <t xml:space="preserve">the prior year's charge</t>
  </si>
  <si>
    <t xml:space="preserve">CASH FLOW</t>
  </si>
  <si>
    <t xml:space="preserve">(Increase) decrease in receivables</t>
  </si>
  <si>
    <t xml:space="preserve">the cash cost of a 75-day collection cycle</t>
  </si>
  <si>
    <t xml:space="preserve">Increase (decrease) in payables</t>
  </si>
  <si>
    <t xml:space="preserve">Increase (decrease) in accrued payroll</t>
  </si>
  <si>
    <t xml:space="preserve">Increase (decrease) in deferred revenue</t>
  </si>
  <si>
    <t xml:space="preserve">cash received before the service is given</t>
  </si>
  <si>
    <t xml:space="preserve">Increase (decrease) in tax payable</t>
  </si>
  <si>
    <t xml:space="preserve">Net cash from operating activities</t>
  </si>
  <si>
    <t xml:space="preserve">Capital expenditure</t>
  </si>
  <si>
    <t xml:space="preserve">laptops, desks, fit-out, capitalised build</t>
  </si>
  <si>
    <t xml:space="preserve">Net cash used in investing activities</t>
  </si>
  <si>
    <t xml:space="preserve">Share capital raised</t>
  </si>
  <si>
    <t xml:space="preserve">the seed round in the month it lands</t>
  </si>
  <si>
    <t xml:space="preserve">Net cash from financing activities</t>
  </si>
  <si>
    <t xml:space="preserve">Net movement in cash</t>
  </si>
  <si>
    <t xml:space="preserve">Cash at the start of the month</t>
  </si>
  <si>
    <t xml:space="preserve">Cash at the end of the month</t>
  </si>
  <si>
    <t xml:space="preserve">Headroom against the minimum cash buffer</t>
  </si>
  <si>
    <t xml:space="preserve">negative means the buffer is breached</t>
  </si>
  <si>
    <t xml:space="preserve">CASH FLOW STATEMENT — ANNUAL</t>
  </si>
  <si>
    <t xml:space="preserve">Cash at the end of the year</t>
  </si>
  <si>
    <t xml:space="preserve">Stress Testing</t>
  </si>
  <si>
    <t xml:space="preserve">Four scenarios applied to the base case. Delivery volume and price flex; operating cost barely does, which is what makes a volume shortfall expensive.</t>
  </si>
  <si>
    <t xml:space="preserve">SCENARIO LEVERS</t>
  </si>
  <si>
    <t xml:space="preserve">Scenario</t>
  </si>
  <si>
    <t xml:space="preserve">Volume</t>
  </si>
  <si>
    <t xml:space="preserve">Price</t>
  </si>
  <si>
    <t xml:space="preserve">Operating cost</t>
  </si>
  <si>
    <t xml:space="preserve">Collection days</t>
  </si>
  <si>
    <t xml:space="preserve">Conversion</t>
  </si>
  <si>
    <t xml:space="preserve">Base case</t>
  </si>
  <si>
    <t xml:space="preserve">the plan as modelled</t>
  </si>
  <si>
    <t xml:space="preserve">Upside</t>
  </si>
  <si>
    <t xml:space="preserve">institutional demand lands early</t>
  </si>
  <si>
    <t xml:space="preserve">Downside</t>
  </si>
  <si>
    <t xml:space="preserve">a slow first year in Egypt</t>
  </si>
  <si>
    <t xml:space="preserve">Severe</t>
  </si>
  <si>
    <t xml:space="preserve">public budgets freeze and a market slips</t>
  </si>
  <si>
    <t xml:space="preserve">REVENUE UNDER STRESS</t>
  </si>
  <si>
    <t xml:space="preserve">EBITDA UNDER STRESS</t>
  </si>
  <si>
    <t xml:space="preserve">CASH AT YEAR END, AND WHAT IT WOULD TAKE TO SURVIVE</t>
  </si>
  <si>
    <t xml:space="preserve">Lowest cash</t>
  </si>
  <si>
    <t xml:space="preserve">Further funding needed</t>
  </si>
  <si>
    <t xml:space="preserve">The cash rows above re-run the base-case cash walk with the scenario's EBITDA and collection cycle substituted. They are an overlay on the model, not a second model: capital expenditure, payables and deferred revenue are held at the base case, which makes the downside figures slightly flattering and is the honest direction for an error to run.</t>
  </si>
  <si>
    <t xml:space="preserve">KPI Performance</t>
  </si>
  <si>
    <t xml:space="preserve">The numbers the business is actually run on, taken from the model rather than restated beside it.</t>
  </si>
  <si>
    <t xml:space="preserve">GROWTH AND SCALE</t>
  </si>
  <si>
    <t xml:space="preserve">Revenue growth</t>
  </si>
  <si>
    <t xml:space="preserve">year on year</t>
  </si>
  <si>
    <t xml:space="preserve">n/a</t>
  </si>
  <si>
    <t xml:space="preserve">Cohorts delivered</t>
  </si>
  <si>
    <t xml:space="preserve">all formats, including free pilots</t>
  </si>
  <si>
    <t xml:space="preserve">cohorts, seats, competitions, direct</t>
  </si>
  <si>
    <t xml:space="preserve">at year end</t>
  </si>
  <si>
    <t xml:space="preserve">Employees</t>
  </si>
  <si>
    <t xml:space="preserve">Revenue per employee</t>
  </si>
  <si>
    <t xml:space="preserve">Learners per employee</t>
  </si>
  <si>
    <t xml:space="preserve">the leverage the plan claims</t>
  </si>
  <si>
    <t xml:space="preserve">PROFITABILITY</t>
  </si>
  <si>
    <t xml:space="preserve">EBITDA margin</t>
  </si>
  <si>
    <t xml:space="preserve">Net margin</t>
  </si>
  <si>
    <t xml:space="preserve">UNIT ECONOMICS</t>
  </si>
  <si>
    <t xml:space="preserve">Average institutional contract value</t>
  </si>
  <si>
    <t xml:space="preserve">first-year value</t>
  </si>
  <si>
    <t xml:space="preserve">Institutional LTV to CAC</t>
  </si>
  <si>
    <t xml:space="preserve">contract value x gross margin x retained years, over CAC</t>
  </si>
  <si>
    <t xml:space="preserve">learner CAC</t>
  </si>
  <si>
    <t xml:space="preserve">Subscriber lifetime value</t>
  </si>
  <si>
    <t xml:space="preserve">annual price x gross margin, over monthly churn</t>
  </si>
  <si>
    <t xml:space="preserve">Subscriber LTV to CAC</t>
  </si>
  <si>
    <t xml:space="preserve">Funnel — free account to Mission 01</t>
  </si>
  <si>
    <t xml:space="preserve">activation rate</t>
  </si>
  <si>
    <t xml:space="preserve">Funnel — coverage of the signing plan</t>
  </si>
  <si>
    <t xml:space="preserve">below 1.0x means the pipeline is short</t>
  </si>
  <si>
    <t xml:space="preserve">CASH AND EFFICIENCY</t>
  </si>
  <si>
    <t xml:space="preserve">Lowest cash balance in the year</t>
  </si>
  <si>
    <t xml:space="preserve">Net cash from operations</t>
  </si>
  <si>
    <t xml:space="preserve">Free cash flow</t>
  </si>
  <si>
    <t xml:space="preserve">operations less capital expenditure</t>
  </si>
  <si>
    <t xml:space="preserve">Average monthly burn or generation</t>
  </si>
  <si>
    <t xml:space="preserve">Months of runway at year-end cash</t>
  </si>
  <si>
    <t xml:space="preserve">on the year's burn</t>
  </si>
  <si>
    <t xml:space="preserve">Debtor days achieved</t>
  </si>
  <si>
    <t xml:space="preserve">receivables over revenue</t>
  </si>
  <si>
    <t xml:space="preserve">Sensitivity Analysis</t>
  </si>
  <si>
    <t xml:space="preserve">Two-way grids on the year-three result. Each cell is a live formula, so a changed assumption moves the whole grid.</t>
  </si>
  <si>
    <t xml:space="preserve">YEAR-THREE EBITDA · VOLUME AGAINST PRICE</t>
  </si>
  <si>
    <t xml:space="preserve">Rows flex delivery volume; columns flex price. Direct cost moves with volume, operating cost does not.</t>
  </si>
  <si>
    <t xml:space="preserve">Price change</t>
  </si>
  <si>
    <t xml:space="preserve">Volume change</t>
  </si>
  <si>
    <t xml:space="preserve">YEAR-THREE EBITDA · VOLUME AGAINST OPERATING COST</t>
  </si>
  <si>
    <t xml:space="preserve">Rows flex delivery volume; columns flex the fixed operating base — the cost of holding the establishment and the network.</t>
  </si>
  <si>
    <t xml:space="preserve">Operating cost change</t>
  </si>
  <si>
    <t xml:space="preserve">YEAR-THREE GROSS MARGIN · PARTNER SHARE AGAINST FACILITATOR RATE</t>
  </si>
  <si>
    <t xml:space="preserve">Rows flex the share of cohorts delivered by certified partners; columns flex the facilitator day rate. The two levers that decide whether the delivery model pays for itself.</t>
  </si>
  <si>
    <t xml:space="preserve">Partner-delivered share</t>
  </si>
  <si>
    <t xml:space="preserve">Break-even Analysis</t>
  </si>
  <si>
    <t xml:space="preserve">Where the contribution from delivery covers the cost of existing, and the month the company stops consuming cash.</t>
  </si>
  <si>
    <t xml:space="preserve">ANNUAL BREAK-EVEN</t>
  </si>
  <si>
    <t xml:space="preserve">Revenue</t>
  </si>
  <si>
    <t xml:space="preserve">Variable cost of delivery</t>
  </si>
  <si>
    <t xml:space="preserve">direct cost and revenue share</t>
  </si>
  <si>
    <t xml:space="preserve">Contribution</t>
  </si>
  <si>
    <t xml:space="preserve">Contribution margin</t>
  </si>
  <si>
    <t xml:space="preserve">Fixed operating cost</t>
  </si>
  <si>
    <t xml:space="preserve">everything that does not move with a cohort, including depreciation</t>
  </si>
  <si>
    <t xml:space="preserve">Break-even revenue</t>
  </si>
  <si>
    <t xml:space="preserve">fixed cost over contribution margin</t>
  </si>
  <si>
    <t xml:space="preserve">Break-even revenue per month</t>
  </si>
  <si>
    <t xml:space="preserve">Margin of safety</t>
  </si>
  <si>
    <t xml:space="preserve">how far revenue can fall before a loss</t>
  </si>
  <si>
    <t xml:space="preserve">Break-even in university-cohort equivalents</t>
  </si>
  <si>
    <t xml:space="preserve">at that year's cohort price and margin</t>
  </si>
  <si>
    <t xml:space="preserve">THE MONTH IT TURNS</t>
  </si>
  <si>
    <t xml:space="preserve">Month number</t>
  </si>
  <si>
    <t xml:space="preserve">Which month</t>
  </si>
  <si>
    <t xml:space="preserve">Month labels — lookup row</t>
  </si>
  <si>
    <t xml:space="preserve">First month with positive EBITDA — working</t>
  </si>
  <si>
    <t xml:space="preserve">the month delivery covers the cost of existing</t>
  </si>
  <si>
    <t xml:space="preserve">First month with positive operating cash flow — working</t>
  </si>
  <si>
    <t xml:space="preserve">profit converted into cash</t>
  </si>
  <si>
    <t xml:space="preserve">First month cash stops falling — working</t>
  </si>
  <si>
    <t xml:space="preserve">the trough of the cash curve</t>
  </si>
  <si>
    <t xml:space="preserve">First month with positive EBITDA</t>
  </si>
  <si>
    <t xml:space="preserve">First month with positive operating cash flow</t>
  </si>
  <si>
    <t xml:space="preserve">First month cash stops falling</t>
  </si>
  <si>
    <t xml:space="preserve">Payback and Funding Scenarios</t>
  </si>
  <si>
    <t xml:space="preserve">When the money put in comes back, under the base case and under stress.</t>
  </si>
  <si>
    <t xml:space="preserve">CAPITAL IN</t>
  </si>
  <si>
    <t xml:space="preserve">Founder capital at inception</t>
  </si>
  <si>
    <t xml:space="preserve">already contributed</t>
  </si>
  <si>
    <t xml:space="preserve">Seed round</t>
  </si>
  <si>
    <t xml:space="preserve">the business plan's funding requirement</t>
  </si>
  <si>
    <t xml:space="preserve">Total capital invested</t>
  </si>
  <si>
    <t xml:space="preserve">CASH RETURNED — BASE CASE</t>
  </si>
  <si>
    <t xml:space="preserve">Free cash flow in the year</t>
  </si>
  <si>
    <t xml:space="preserve">operations less capex</t>
  </si>
  <si>
    <t xml:space="preserve">Cumulative free cash flow</t>
  </si>
  <si>
    <t xml:space="preserve">Capital recovered</t>
  </si>
  <si>
    <t xml:space="preserve">cumulative free cash flow over capital in</t>
  </si>
  <si>
    <t xml:space="preserve">Capital still outstanding</t>
  </si>
  <si>
    <t xml:space="preserve">PAYBACK PERIOD</t>
  </si>
  <si>
    <t xml:space="preserve">Cumulative free cash flow — working</t>
  </si>
  <si>
    <t xml:space="preserve">Payback flag — working</t>
  </si>
  <si>
    <t xml:space="preserve">Months to repay all capital invested</t>
  </si>
  <si>
    <t xml:space="preserve">cumulative free cash flow covers the money in</t>
  </si>
  <si>
    <t xml:space="preserve">PAYBACK UNDER STRESS</t>
  </si>
  <si>
    <t xml:space="preserve">Capital recovered by Y3</t>
  </si>
  <si>
    <t xml:space="preserve">EBITDA less capital expenditure</t>
  </si>
  <si>
    <t xml:space="preserve">Investor Return and Exit</t>
  </si>
  <si>
    <t xml:space="preserve">What an angel and a venture investor each put in, what they hold after dilution, and what the holding is worth on three exit assumptions.</t>
  </si>
  <si>
    <t xml:space="preserve">THE ROUND</t>
  </si>
  <si>
    <t xml:space="preserve">Angel round</t>
  </si>
  <si>
    <t xml:space="preserve">Venture round</t>
  </si>
  <si>
    <t xml:space="preserve">Amount invested</t>
  </si>
  <si>
    <t xml:space="preserve">the seed requirement, split two ways</t>
  </si>
  <si>
    <t xml:space="preserve">Pre-money valuation</t>
  </si>
  <si>
    <t xml:space="preserve">a MENA pre-revenue to early-revenue range</t>
  </si>
  <si>
    <t xml:space="preserve">Post-money valuation</t>
  </si>
  <si>
    <t xml:space="preserve">Ownership at entry</t>
  </si>
  <si>
    <t xml:space="preserve">Dilution from later rounds</t>
  </si>
  <si>
    <t xml:space="preserve">two further rounds assumed</t>
  </si>
  <si>
    <t xml:space="preserve">Ownership at exit</t>
  </si>
  <si>
    <t xml:space="preserve">WHAT THE COMPANY IS WORTH AT EXIT</t>
  </si>
  <si>
    <t xml:space="preserve">Three bases, because no single multiple is defensible on its own. Education-technology businesses selling to institutions trade on revenue while they are growing and on earnings once they are not.</t>
  </si>
  <si>
    <t xml:space="preserve">Basis</t>
  </si>
  <si>
    <t xml:space="preserve">Multiple</t>
  </si>
  <si>
    <t xml:space="preserve">Exit value</t>
  </si>
  <si>
    <t xml:space="preserve">Angel proceeds</t>
  </si>
  <si>
    <t xml:space="preserve">Venture proceeds</t>
  </si>
  <si>
    <t xml:space="preserve">Year-three revenue multiple — conservative</t>
  </si>
  <si>
    <t xml:space="preserve">a slower-growth trade sale</t>
  </si>
  <si>
    <t xml:space="preserve">Year-three revenue multiple — central</t>
  </si>
  <si>
    <t xml:space="preserve">the base case for a strategic buyer</t>
  </si>
  <si>
    <t xml:space="preserve">Year-three revenue multiple — strong</t>
  </si>
  <si>
    <t xml:space="preserve">a competitive process</t>
  </si>
  <si>
    <t xml:space="preserve">Year-three EBITDA multiple</t>
  </si>
  <si>
    <t xml:space="preserve">a cash-generative buyer's view</t>
  </si>
  <si>
    <t xml:space="preserve">RETURN TO THE INVESTOR — CENTRAL CASE</t>
  </si>
  <si>
    <t xml:space="preserve">Years held from entry to exit</t>
  </si>
  <si>
    <t xml:space="preserve">entry at the seed round, exit after year three</t>
  </si>
  <si>
    <t xml:space="preserve">Proceeds at exit</t>
  </si>
  <si>
    <t xml:space="preserve">on the central revenue multiple</t>
  </si>
  <si>
    <t xml:space="preserve">Multiple of money returned</t>
  </si>
  <si>
    <t xml:space="preserve">Annualised return</t>
  </si>
  <si>
    <t xml:space="preserve">the internal rate of return on a single investment and a single exit</t>
  </si>
  <si>
    <t xml:space="preserve">THE ROUTES OUT</t>
  </si>
  <si>
    <t xml:space="preserve">Strategic acquisition by an education group</t>
  </si>
  <si>
    <t xml:space="preserve">A regional training or education group buying the institutional relationships and the certified network. The most likely route, and the one the business is shaped for: a buyer acquires delivery capacity in two markets without building it.</t>
  </si>
  <si>
    <t xml:space="preserve">Acquisition by a platform or edtech consolidator</t>
  </si>
  <si>
    <t xml:space="preserve">A buyer acquiring the curriculum, the assessment record and the Arabic product. Values the platform and the data rather than the relationships.</t>
  </si>
  <si>
    <t xml:space="preserve">Secondary sale at the Series A or B</t>
  </si>
  <si>
    <t xml:space="preserve">Early investors sell part of the holding to an incoming fund. Partial liquidity at three to four years without an exit.</t>
  </si>
  <si>
    <t xml:space="preserve">Acquisition by a government-backed vehicle</t>
  </si>
  <si>
    <t xml:space="preserve">A sovereign or development-backed fund buying national delivery capacity. Slower, lower multiple, highest certainty once the initiative engine is contracted.</t>
  </si>
  <si>
    <t xml:space="preserve">Continue and distribute</t>
  </si>
  <si>
    <t xml:space="preserve">A profitable company of this size can pay dividends rather than sell. The weakest return for an investor and the one a founder should name openly rather than leave implied.</t>
  </si>
</sst>
</file>

<file path=xl/styles.xml><?xml version="1.0" encoding="utf-8"?>
<styleSheet xmlns="http://schemas.openxmlformats.org/spreadsheetml/2006/main">
  <numFmts count="10">
    <numFmt numFmtId="164" formatCode="General"/>
    <numFmt numFmtId="165" formatCode="\$#,##0;&quot;($&quot;#,##0\);\-"/>
    <numFmt numFmtId="166" formatCode="#,##0;\(#,##0\);\-"/>
    <numFmt numFmtId="167" formatCode="\$#,##0"/>
    <numFmt numFmtId="168" formatCode="@"/>
    <numFmt numFmtId="169" formatCode="0.0%"/>
    <numFmt numFmtId="170" formatCode="\$#,##0.00;&quot;($&quot;#,##0.00\);\-"/>
    <numFmt numFmtId="171" formatCode="#,##0.0;\(#,##0.0\);\-"/>
    <numFmt numFmtId="172" formatCode="0&quot; days&quot;"/>
    <numFmt numFmtId="173" formatCode="0.0\x"/>
  </numFmts>
  <fonts count="36">
    <font>
      <sz val="11"/>
      <color theme="1"/>
      <name val="Calibri"/>
      <family val="2"/>
      <charset val="1"/>
    </font>
    <font>
      <sz val="10"/>
      <name val="Arial"/>
      <family val="0"/>
    </font>
    <font>
      <sz val="10"/>
      <name val="Arial"/>
      <family val="0"/>
    </font>
    <font>
      <sz val="10"/>
      <name val="Arial"/>
      <family val="0"/>
    </font>
    <font>
      <b val="true"/>
      <sz val="30"/>
      <color rgb="FF3418E0"/>
      <name val="Arial"/>
      <family val="0"/>
      <charset val="1"/>
    </font>
    <font>
      <sz val="19"/>
      <color rgb="FF0B0E14"/>
      <name val="Arial"/>
      <family val="0"/>
      <charset val="1"/>
    </font>
    <font>
      <sz val="10"/>
      <color rgb="FF6B7285"/>
      <name val="Arial"/>
      <family val="0"/>
      <charset val="1"/>
    </font>
    <font>
      <b val="true"/>
      <sz val="9"/>
      <color rgb="FF3418E0"/>
      <name val="Arial"/>
      <family val="0"/>
      <charset val="1"/>
    </font>
    <font>
      <sz val="9"/>
      <color rgb="FF3A4050"/>
      <name val="Arial"/>
      <family val="0"/>
      <charset val="1"/>
    </font>
    <font>
      <b val="true"/>
      <sz val="9"/>
      <color rgb="FF0000FF"/>
      <name val="Arial"/>
      <family val="0"/>
      <charset val="1"/>
    </font>
    <font>
      <b val="true"/>
      <sz val="9"/>
      <color rgb="FF0B0E14"/>
      <name val="Arial"/>
      <family val="0"/>
      <charset val="1"/>
    </font>
    <font>
      <b val="true"/>
      <sz val="9"/>
      <color rgb="FF008000"/>
      <name val="Arial"/>
      <family val="0"/>
      <charset val="1"/>
    </font>
    <font>
      <b val="true"/>
      <sz val="9"/>
      <color rgb="FFB00020"/>
      <name val="Arial"/>
      <family val="0"/>
      <charset val="1"/>
    </font>
    <font>
      <sz val="8.5"/>
      <color rgb="FF3A4050"/>
      <name val="Arial"/>
      <family val="0"/>
      <charset val="1"/>
    </font>
    <font>
      <i val="true"/>
      <sz val="8"/>
      <color rgb="FF9AA0AF"/>
      <name val="Arial"/>
      <family val="0"/>
      <charset val="1"/>
    </font>
    <font>
      <b val="true"/>
      <sz val="15"/>
      <color rgb="FF3418E0"/>
      <name val="Arial"/>
      <family val="0"/>
      <charset val="1"/>
    </font>
    <font>
      <sz val="8.5"/>
      <color rgb="FF6B7285"/>
      <name val="Arial"/>
      <family val="0"/>
      <charset val="1"/>
    </font>
    <font>
      <b val="true"/>
      <sz val="9"/>
      <color rgb="FFFFFFFF"/>
      <name val="Arial"/>
      <family val="0"/>
      <charset val="1"/>
    </font>
    <font>
      <sz val="7.5"/>
      <color rgb="FF6B7285"/>
      <name val="Arial"/>
      <family val="0"/>
      <charset val="1"/>
    </font>
    <font>
      <sz val="9"/>
      <color rgb="FF0B0E14"/>
      <name val="Arial"/>
      <family val="0"/>
      <charset val="1"/>
    </font>
    <font>
      <sz val="9"/>
      <color rgb="FF008000"/>
      <name val="Arial"/>
      <family val="0"/>
      <charset val="1"/>
    </font>
    <font>
      <b val="true"/>
      <sz val="18"/>
      <color rgb="FF000000"/>
      <name val="Calibri"/>
      <family val="2"/>
    </font>
    <font>
      <sz val="10"/>
      <color rgb="FF000000"/>
      <name val="Calibri"/>
      <family val="2"/>
    </font>
    <font>
      <i val="true"/>
      <sz val="8"/>
      <color rgb="FF6B7285"/>
      <name val="Arial"/>
      <family val="0"/>
      <charset val="1"/>
    </font>
    <font>
      <sz val="9"/>
      <color rgb="FF0000FF"/>
      <name val="Arial"/>
      <family val="0"/>
      <charset val="1"/>
    </font>
    <font>
      <b val="true"/>
      <sz val="8.5"/>
      <color rgb="FFFFFFFF"/>
      <name val="Arial"/>
      <family val="0"/>
      <charset val="1"/>
    </font>
    <font>
      <b val="true"/>
      <sz val="8"/>
      <color rgb="FFFFFFFF"/>
      <name val="Arial"/>
      <family val="0"/>
      <charset val="1"/>
    </font>
    <font>
      <b val="true"/>
      <sz val="8.5"/>
      <color rgb="FF0B0E14"/>
      <name val="Arial"/>
      <family val="0"/>
      <charset val="1"/>
    </font>
    <font>
      <b val="true"/>
      <sz val="7.6"/>
      <color rgb="FFFFFFFF"/>
      <name val="Arial"/>
      <family val="0"/>
      <charset val="1"/>
    </font>
    <font>
      <sz val="8.5"/>
      <color rgb="FF0B0E14"/>
      <name val="Arial"/>
      <family val="0"/>
      <charset val="1"/>
    </font>
    <font>
      <sz val="8.5"/>
      <color rgb="FF0000FF"/>
      <name val="Arial"/>
      <family val="0"/>
      <charset val="1"/>
    </font>
    <font>
      <sz val="8.5"/>
      <color rgb="FF008000"/>
      <name val="Arial"/>
      <family val="0"/>
      <charset val="1"/>
    </font>
    <font>
      <b val="true"/>
      <sz val="8"/>
      <color rgb="FF0B0E14"/>
      <name val="Arial"/>
      <family val="0"/>
      <charset val="1"/>
    </font>
    <font>
      <sz val="8"/>
      <color rgb="FF6B7285"/>
      <name val="Arial"/>
      <family val="0"/>
      <charset val="1"/>
    </font>
    <font>
      <b val="true"/>
      <sz val="10"/>
      <color rgb="FF0B0E14"/>
      <name val="Arial"/>
      <family val="0"/>
      <charset val="1"/>
    </font>
    <font>
      <b val="true"/>
      <sz val="8"/>
      <color rgb="FF3418E0"/>
      <name val="Arial"/>
      <family val="0"/>
      <charset val="1"/>
    </font>
  </fonts>
  <fills count="9">
    <fill>
      <patternFill patternType="none"/>
    </fill>
    <fill>
      <patternFill patternType="gray125"/>
    </fill>
    <fill>
      <patternFill patternType="solid">
        <fgColor rgb="FFFFFF00"/>
        <bgColor rgb="FFCBF24A"/>
      </patternFill>
    </fill>
    <fill>
      <patternFill patternType="solid">
        <fgColor rgb="FFCBF24A"/>
        <bgColor rgb="FFFFFF00"/>
      </patternFill>
    </fill>
    <fill>
      <patternFill patternType="solid">
        <fgColor rgb="FFF2F3F7"/>
        <bgColor rgb="FFE8EAF4"/>
      </patternFill>
    </fill>
    <fill>
      <patternFill patternType="solid">
        <fgColor rgb="FF3418E0"/>
        <bgColor rgb="FF1E0C8C"/>
      </patternFill>
    </fill>
    <fill>
      <patternFill patternType="solid">
        <fgColor rgb="FF1E0C8C"/>
        <bgColor rgb="FF000080"/>
      </patternFill>
    </fill>
    <fill>
      <patternFill patternType="solid">
        <fgColor rgb="FFFFFFFF"/>
        <bgColor rgb="FFF2F3F7"/>
      </patternFill>
    </fill>
    <fill>
      <patternFill patternType="solid">
        <fgColor rgb="FFE8EAF4"/>
        <bgColor rgb="FFF2F3F7"/>
      </patternFill>
    </fill>
  </fills>
  <borders count="2">
    <border diagonalUp="false" diagonalDown="false">
      <left/>
      <right/>
      <top/>
      <bottom/>
      <diagonal/>
    </border>
    <border diagonalUp="false" diagonalDown="false">
      <left/>
      <right/>
      <top/>
      <bottom style="medium">
        <color rgb="FF3418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top"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17"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17" fillId="6"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5" fontId="20" fillId="0" borderId="0" xfId="0" applyFont="true" applyBorder="false" applyAlignment="true" applyProtection="true">
      <alignment horizontal="general" vertical="bottom" textRotation="0" wrapText="false" indent="0" shrinkToFit="false"/>
      <protection locked="true" hidden="false"/>
    </xf>
    <xf numFmtId="166" fontId="20" fillId="0" borderId="0" xfId="0" applyFont="true" applyBorder="false" applyAlignment="true" applyProtection="true">
      <alignment horizontal="general"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8" fontId="24" fillId="2" borderId="0" xfId="0" applyFont="true" applyBorder="false" applyAlignment="true" applyProtection="true">
      <alignment horizontal="general" vertical="bottom" textRotation="0" wrapText="false" indent="0" shrinkToFit="false"/>
      <protection locked="true" hidden="false"/>
    </xf>
    <xf numFmtId="169" fontId="24" fillId="2" borderId="0" xfId="0" applyFont="true" applyBorder="false" applyAlignment="true" applyProtection="true">
      <alignment horizontal="general" vertical="bottom" textRotation="0" wrapText="false" indent="0" shrinkToFit="false"/>
      <protection locked="true" hidden="false"/>
    </xf>
    <xf numFmtId="166" fontId="24" fillId="2" borderId="0" xfId="0" applyFont="true" applyBorder="false" applyAlignment="true" applyProtection="true">
      <alignment horizontal="general" vertical="bottom" textRotation="0" wrapText="false" indent="0" shrinkToFit="false"/>
      <protection locked="true" hidden="false"/>
    </xf>
    <xf numFmtId="164" fontId="25" fillId="6" borderId="0" xfId="0" applyFont="true" applyBorder="false" applyAlignment="true" applyProtection="true">
      <alignment horizontal="general" vertical="bottom" textRotation="0" wrapText="false" indent="0" shrinkToFit="false"/>
      <protection locked="true" hidden="false"/>
    </xf>
    <xf numFmtId="164" fontId="26" fillId="6" borderId="0" xfId="0" applyFont="true" applyBorder="false" applyAlignment="true" applyProtection="true">
      <alignment horizontal="center" vertical="bottom" textRotation="0" wrapText="false" indent="0" shrinkToFit="false"/>
      <protection locked="true" hidden="false"/>
    </xf>
    <xf numFmtId="169" fontId="27" fillId="0" borderId="0" xfId="0" applyFont="true" applyBorder="false" applyAlignment="true" applyProtection="true">
      <alignment horizontal="general" vertical="bottom" textRotation="0" wrapText="false" indent="0" shrinkToFit="false"/>
      <protection locked="true" hidden="false"/>
    </xf>
    <xf numFmtId="165" fontId="24" fillId="2" borderId="0" xfId="0" applyFont="true" applyBorder="false" applyAlignment="true" applyProtection="true">
      <alignment horizontal="general" vertical="bottom" textRotation="0" wrapText="false" indent="0" shrinkToFit="false"/>
      <protection locked="true" hidden="false"/>
    </xf>
    <xf numFmtId="170" fontId="24" fillId="2" borderId="0" xfId="0" applyFont="true" applyBorder="false" applyAlignment="true" applyProtection="true">
      <alignment horizontal="general" vertical="bottom" textRotation="0" wrapText="false" indent="0" shrinkToFit="false"/>
      <protection locked="true" hidden="false"/>
    </xf>
    <xf numFmtId="164" fontId="28" fillId="6" borderId="0" xfId="0" applyFont="true" applyBorder="false" applyAlignment="true" applyProtection="true">
      <alignment horizontal="center" vertical="bottom" textRotation="0" wrapText="true" indent="0" shrinkToFit="false"/>
      <protection locked="true" hidden="false"/>
    </xf>
    <xf numFmtId="171" fontId="24" fillId="2" borderId="0" xfId="0" applyFont="true" applyBorder="false" applyAlignment="true" applyProtection="true">
      <alignment horizontal="general" vertical="bottom" textRotation="0" wrapText="false" indent="0" shrinkToFit="false"/>
      <protection locked="true" hidden="false"/>
    </xf>
    <xf numFmtId="172" fontId="24" fillId="2" borderId="0" xfId="0" applyFont="true" applyBorder="false" applyAlignment="true" applyProtection="true">
      <alignment horizontal="general" vertical="bottom" textRotation="0" wrapText="false" indent="0" shrinkToFit="false"/>
      <protection locked="true" hidden="false"/>
    </xf>
    <xf numFmtId="164" fontId="26" fillId="6" borderId="0" xfId="0" applyFont="true" applyBorder="false" applyAlignment="true" applyProtection="true">
      <alignment horizontal="center" vertical="bottom" textRotation="0" wrapText="tru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8" fontId="26" fillId="6" borderId="0" xfId="0" applyFont="true" applyBorder="false" applyAlignment="true" applyProtection="true">
      <alignment horizontal="center" vertical="bottom" textRotation="0" wrapText="false" indent="0" shrinkToFit="false"/>
      <protection locked="true" hidden="false"/>
    </xf>
    <xf numFmtId="168" fontId="26" fillId="5" borderId="0" xfId="0" applyFont="tru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8" fontId="27" fillId="3" borderId="0" xfId="0" applyFont="true" applyBorder="false" applyAlignment="true" applyProtection="true">
      <alignment horizontal="center" vertical="bottom" textRotation="0" wrapText="false" indent="0" shrinkToFit="false"/>
      <protection locked="true" hidden="false"/>
    </xf>
    <xf numFmtId="165" fontId="29" fillId="0" borderId="0" xfId="0" applyFont="true" applyBorder="false" applyAlignment="true" applyProtection="true">
      <alignment horizontal="general" vertical="bottom" textRotation="0" wrapText="false" indent="0" shrinkToFit="false"/>
      <protection locked="true" hidden="false"/>
    </xf>
    <xf numFmtId="165" fontId="27" fillId="4" borderId="0" xfId="0" applyFont="true" applyBorder="false" applyAlignment="true" applyProtection="true">
      <alignment horizontal="general" vertical="bottom" textRotation="0" wrapText="false" indent="0" shrinkToFit="false"/>
      <protection locked="true" hidden="false"/>
    </xf>
    <xf numFmtId="164" fontId="10" fillId="8" borderId="0" xfId="0" applyFont="true" applyBorder="false" applyAlignment="true" applyProtection="true">
      <alignment horizontal="general" vertical="bottom" textRotation="0" wrapText="false" indent="0" shrinkToFit="false"/>
      <protection locked="true" hidden="false"/>
    </xf>
    <xf numFmtId="164" fontId="18" fillId="8" borderId="0" xfId="0" applyFont="true" applyBorder="false" applyAlignment="true" applyProtection="true">
      <alignment horizontal="general" vertical="bottom" textRotation="0" wrapText="false" indent="0" shrinkToFit="false"/>
      <protection locked="true" hidden="false"/>
    </xf>
    <xf numFmtId="165" fontId="27" fillId="8" borderId="0" xfId="0" applyFont="true" applyBorder="false" applyAlignment="true" applyProtection="true">
      <alignment horizontal="general" vertical="bottom" textRotation="0" wrapText="false" indent="0" shrinkToFit="false"/>
      <protection locked="true" hidden="false"/>
    </xf>
    <xf numFmtId="166" fontId="29" fillId="0" borderId="0" xfId="0" applyFont="true" applyBorder="false" applyAlignment="true" applyProtection="true">
      <alignment horizontal="general" vertical="bottom" textRotation="0" wrapText="false" indent="0" shrinkToFit="false"/>
      <protection locked="true" hidden="false"/>
    </xf>
    <xf numFmtId="166" fontId="27" fillId="4" borderId="0" xfId="0" applyFont="true" applyBorder="false" applyAlignment="true" applyProtection="true">
      <alignment horizontal="general" vertical="bottom" textRotation="0" wrapText="false" indent="0" shrinkToFit="false"/>
      <protection locked="true" hidden="false"/>
    </xf>
    <xf numFmtId="166" fontId="27" fillId="8" borderId="0" xfId="0" applyFont="true" applyBorder="false" applyAlignment="true" applyProtection="true">
      <alignment horizontal="general" vertical="bottom" textRotation="0" wrapText="false" indent="0" shrinkToFit="false"/>
      <protection locked="true" hidden="false"/>
    </xf>
    <xf numFmtId="166" fontId="27"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5" fontId="10" fillId="8" borderId="0" xfId="0" applyFont="tru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5" fontId="30" fillId="2" borderId="0" xfId="0" applyFont="true" applyBorder="false" applyAlignment="true" applyProtection="true">
      <alignment horizontal="general" vertical="bottom" textRotation="0" wrapText="false" indent="0" shrinkToFit="false"/>
      <protection locked="true" hidden="false"/>
    </xf>
    <xf numFmtId="165" fontId="27" fillId="0" borderId="0" xfId="0" applyFont="true" applyBorder="false" applyAlignment="true" applyProtection="true">
      <alignment horizontal="general" vertical="bottom" textRotation="0" wrapText="false" indent="0" shrinkToFit="false"/>
      <protection locked="true" hidden="false"/>
    </xf>
    <xf numFmtId="165" fontId="31" fillId="0" borderId="0" xfId="0" applyFont="true" applyBorder="false" applyAlignment="true" applyProtection="true">
      <alignment horizontal="general" vertical="bottom" textRotation="0" wrapText="false" indent="0" shrinkToFit="false"/>
      <protection locked="true" hidden="false"/>
    </xf>
    <xf numFmtId="171" fontId="29" fillId="0" borderId="0" xfId="0" applyFont="true" applyBorder="false" applyAlignment="true" applyProtection="true">
      <alignment horizontal="general" vertical="bottom" textRotation="0" wrapText="false" indent="0" shrinkToFit="false"/>
      <protection locked="true" hidden="false"/>
    </xf>
    <xf numFmtId="171" fontId="27" fillId="4" borderId="0" xfId="0" applyFont="true" applyBorder="false" applyAlignment="true" applyProtection="true">
      <alignment horizontal="general" vertical="bottom" textRotation="0" wrapText="false" indent="0" shrinkToFit="false"/>
      <protection locked="true" hidden="false"/>
    </xf>
    <xf numFmtId="171" fontId="27" fillId="0" borderId="0" xfId="0" applyFont="true" applyBorder="false" applyAlignment="true" applyProtection="true">
      <alignment horizontal="general" vertical="bottom" textRotation="0" wrapText="false" indent="0" shrinkToFit="false"/>
      <protection locked="true" hidden="false"/>
    </xf>
    <xf numFmtId="164" fontId="18" fillId="3" borderId="0" xfId="0" applyFont="true" applyBorder="false" applyAlignment="true" applyProtection="true">
      <alignment horizontal="general" vertical="bottom" textRotation="0" wrapText="false" indent="0" shrinkToFit="false"/>
      <protection locked="true" hidden="false"/>
    </xf>
    <xf numFmtId="165" fontId="27" fillId="3" borderId="0" xfId="0" applyFont="true" applyBorder="false" applyAlignment="true" applyProtection="true">
      <alignment horizontal="general" vertical="bottom" textRotation="0" wrapText="false" indent="0" shrinkToFit="false"/>
      <protection locked="true" hidden="false"/>
    </xf>
    <xf numFmtId="171" fontId="31" fillId="0" borderId="0" xfId="0" applyFont="true" applyBorder="false" applyAlignment="true" applyProtection="true">
      <alignment horizontal="general" vertical="bottom" textRotation="0" wrapText="false" indent="0" shrinkToFit="false"/>
      <protection locked="true" hidden="false"/>
    </xf>
    <xf numFmtId="169" fontId="27" fillId="4" borderId="0" xfId="0" applyFont="true" applyBorder="false" applyAlignment="true" applyProtection="true">
      <alignment horizontal="general" vertical="bottom" textRotation="0" wrapText="false" indent="0" shrinkToFit="false"/>
      <protection locked="true" hidden="false"/>
    </xf>
    <xf numFmtId="166" fontId="27" fillId="3" borderId="0" xfId="0" applyFont="true" applyBorder="false" applyAlignment="true" applyProtection="true">
      <alignment horizontal="general" vertical="bottom" textRotation="0" wrapText="false" indent="0" shrinkToFit="false"/>
      <protection locked="true" hidden="false"/>
    </xf>
    <xf numFmtId="166" fontId="31" fillId="0" borderId="0" xfId="0" applyFont="true" applyBorder="false" applyAlignment="true" applyProtection="true">
      <alignment horizontal="general" vertical="bottom" textRotation="0" wrapText="false" indent="0" shrinkToFit="false"/>
      <protection locked="true" hidden="false"/>
    </xf>
    <xf numFmtId="169" fontId="29" fillId="0" borderId="0" xfId="0" applyFont="true" applyBorder="false" applyAlignment="true" applyProtection="true">
      <alignment horizontal="general" vertical="bottom" textRotation="0" wrapText="false" indent="0" shrinkToFit="false"/>
      <protection locked="true" hidden="false"/>
    </xf>
    <xf numFmtId="164" fontId="32" fillId="3" borderId="0" xfId="0" applyFont="true" applyBorder="false" applyAlignment="true" applyProtection="true">
      <alignment horizontal="center" vertical="bottom" textRotation="0" wrapText="false" indent="0" shrinkToFit="false"/>
      <protection locked="true" hidden="false"/>
    </xf>
    <xf numFmtId="169" fontId="33" fillId="8" borderId="0" xfId="0" applyFont="true" applyBorder="false" applyAlignment="true" applyProtection="true">
      <alignment horizontal="general" vertical="bottom" textRotation="0" wrapText="false" indent="0" shrinkToFit="false"/>
      <protection locked="true" hidden="false"/>
    </xf>
    <xf numFmtId="169" fontId="33" fillId="0" borderId="0" xfId="0" applyFont="true" applyBorder="false" applyAlignment="true" applyProtection="true">
      <alignment horizontal="general" vertical="bottom" textRotation="0" wrapText="false" indent="0" shrinkToFit="false"/>
      <protection locked="true" hidden="false"/>
    </xf>
    <xf numFmtId="165" fontId="10" fillId="3" borderId="0" xfId="0" applyFont="true" applyBorder="false" applyAlignment="true" applyProtection="true">
      <alignment horizontal="general" vertical="bottom" textRotation="0" wrapText="false" indent="0" shrinkToFit="false"/>
      <protection locked="true" hidden="false"/>
    </xf>
    <xf numFmtId="169" fontId="33"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5" fontId="34" fillId="3" borderId="0" xfId="0" applyFont="true" applyBorder="false" applyAlignment="true" applyProtection="true">
      <alignment horizontal="general" vertical="bottom" textRotation="0" wrapText="false" indent="0" shrinkToFit="false"/>
      <protection locked="true" hidden="false"/>
    </xf>
    <xf numFmtId="164" fontId="17" fillId="6" borderId="0" xfId="0" applyFont="true" applyBorder="false" applyAlignment="true" applyProtection="true">
      <alignment horizontal="general" vertical="bottom" textRotation="0" wrapText="false" indent="0" shrinkToFit="false"/>
      <protection locked="true" hidden="false"/>
    </xf>
    <xf numFmtId="164" fontId="25" fillId="6" borderId="0" xfId="0" applyFont="true" applyBorder="false" applyAlignment="true" applyProtection="true">
      <alignment horizontal="center" vertical="bottom" textRotation="0" wrapText="true" indent="0" shrinkToFit="false"/>
      <protection locked="true" hidden="false"/>
    </xf>
    <xf numFmtId="173" fontId="24" fillId="2"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general" vertical="top" textRotation="0" wrapText="true" indent="0" shrinkToFit="false"/>
      <protection locked="true" hidden="false"/>
    </xf>
    <xf numFmtId="169" fontId="19" fillId="0" borderId="0" xfId="0" applyFont="tru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general" vertical="bottom" textRotation="0" wrapText="false" indent="0" shrinkToFit="false"/>
      <protection locked="true" hidden="false"/>
    </xf>
    <xf numFmtId="170" fontId="19" fillId="0" borderId="0" xfId="0" applyFont="true" applyBorder="false" applyAlignment="true" applyProtection="true">
      <alignment horizontal="general" vertical="bottom" textRotation="0" wrapText="false" indent="0" shrinkToFit="false"/>
      <protection locked="true" hidden="false"/>
    </xf>
    <xf numFmtId="171" fontId="19"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9" fontId="25" fillId="6" borderId="0" xfId="0" applyFont="true" applyBorder="false" applyAlignment="true" applyProtection="true">
      <alignment horizontal="center" vertical="bottom" textRotation="0" wrapText="false" indent="0" shrinkToFit="false"/>
      <protection locked="true" hidden="false"/>
    </xf>
    <xf numFmtId="169" fontId="27" fillId="3" borderId="0" xfId="0" applyFont="true" applyBorder="fals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9" fontId="10" fillId="3" borderId="0" xfId="0" applyFont="true" applyBorder="false" applyAlignment="true" applyProtection="true">
      <alignment horizontal="general" vertical="bottom" textRotation="0" wrapText="false" indent="0" shrinkToFit="false"/>
      <protection locked="true" hidden="false"/>
    </xf>
    <xf numFmtId="173" fontId="10" fillId="3"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B00020"/>
      <rgbColor rgb="FF008000"/>
      <rgbColor rgb="FF1E0C8C"/>
      <rgbColor rgb="FF808000"/>
      <rgbColor rgb="FF800080"/>
      <rgbColor rgb="FF008080"/>
      <rgbColor rgb="FFC0C0C0"/>
      <rgbColor rgb="FF878787"/>
      <rgbColor rgb="FF9999FF"/>
      <rgbColor rgb="FFBE4B48"/>
      <rgbColor rgb="FFF2F3F7"/>
      <rgbColor rgb="FFE8EAF4"/>
      <rgbColor rgb="FF660066"/>
      <rgbColor rgb="FFFF8080"/>
      <rgbColor rgb="FF0066CC"/>
      <rgbColor rgb="FFD9D9D9"/>
      <rgbColor rgb="FF000080"/>
      <rgbColor rgb="FFFF00FF"/>
      <rgbColor rgb="FFCBF24A"/>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9CC00"/>
      <rgbColor rgb="FFFFCC00"/>
      <rgbColor rgb="FFFF9900"/>
      <rgbColor rgb="FFFF6600"/>
      <rgbColor rgb="FF6B7285"/>
      <rgbColor rgb="FF9AA0AF"/>
      <rgbColor rgb="FF003366"/>
      <rgbColor rgb="FF339966"/>
      <rgbColor rgb="FF0B0E14"/>
      <rgbColor rgb="FF333300"/>
      <rgbColor rgb="FF993300"/>
      <rgbColor rgb="FF993366"/>
      <rgbColor rgb="FF3418E0"/>
      <rgbColor rgb="FF3A4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against total cost</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Revenue!$C$49:$AL$49</c:f>
              <c:numCache>
                <c:formatCode>\$#,##0;"($"#,##0\);\-</c:formatCode>
                <c:ptCount val="36"/>
                <c:pt idx="0">
                  <c:v>2340.71277504808</c:v>
                </c:pt>
                <c:pt idx="1">
                  <c:v>2656.90740165865</c:v>
                </c:pt>
                <c:pt idx="2">
                  <c:v>3048.74449701923</c:v>
                </c:pt>
                <c:pt idx="3">
                  <c:v>23738.9578439423</c:v>
                </c:pt>
                <c:pt idx="4">
                  <c:v>26202.1030996154</c:v>
                </c:pt>
                <c:pt idx="5">
                  <c:v>29448.4909002885</c:v>
                </c:pt>
                <c:pt idx="6">
                  <c:v>48411.7743128365</c:v>
                </c:pt>
                <c:pt idx="7">
                  <c:v>53317.3966406971</c:v>
                </c:pt>
                <c:pt idx="8">
                  <c:v>59817.1375223077</c:v>
                </c:pt>
                <c:pt idx="9">
                  <c:v>109684.799975481</c:v>
                </c:pt>
                <c:pt idx="10">
                  <c:v>120791.539248029</c:v>
                </c:pt>
                <c:pt idx="11">
                  <c:v>135532.047613077</c:v>
                </c:pt>
                <c:pt idx="12">
                  <c:v>155008.466787095</c:v>
                </c:pt>
                <c:pt idx="13">
                  <c:v>170772.199883325</c:v>
                </c:pt>
                <c:pt idx="14">
                  <c:v>191662.018209172</c:v>
                </c:pt>
                <c:pt idx="15">
                  <c:v>177716.505413314</c:v>
                </c:pt>
                <c:pt idx="16">
                  <c:v>195627.313342682</c:v>
                </c:pt>
                <c:pt idx="17">
                  <c:v>219373.348905683</c:v>
                </c:pt>
                <c:pt idx="18">
                  <c:v>237502.639841951</c:v>
                </c:pt>
                <c:pt idx="19">
                  <c:v>261373.511876656</c:v>
                </c:pt>
                <c:pt idx="20">
                  <c:v>293033.025375944</c:v>
                </c:pt>
                <c:pt idx="21">
                  <c:v>265335.650667087</c:v>
                </c:pt>
                <c:pt idx="22">
                  <c:v>291775.270492155</c:v>
                </c:pt>
                <c:pt idx="23">
                  <c:v>326861.149695789</c:v>
                </c:pt>
                <c:pt idx="24">
                  <c:v>377206.954854734</c:v>
                </c:pt>
                <c:pt idx="25">
                  <c:v>415188.796655841</c:v>
                </c:pt>
                <c:pt idx="26">
                  <c:v>465510.820646498</c:v>
                </c:pt>
                <c:pt idx="27">
                  <c:v>421537.074303443</c:v>
                </c:pt>
                <c:pt idx="28">
                  <c:v>463711.96945235</c:v>
                </c:pt>
                <c:pt idx="29">
                  <c:v>519588.786590541</c:v>
                </c:pt>
                <c:pt idx="30">
                  <c:v>489283.323846611</c:v>
                </c:pt>
                <c:pt idx="31">
                  <c:v>537894.170954556</c:v>
                </c:pt>
                <c:pt idx="32">
                  <c:v>602327.364531667</c:v>
                </c:pt>
                <c:pt idx="33">
                  <c:v>546973.004279737</c:v>
                </c:pt>
                <c:pt idx="34">
                  <c:v>600916.404128882</c:v>
                </c:pt>
                <c:pt idx="35">
                  <c:v>672449.284112793</c:v>
                </c:pt>
              </c:numCache>
            </c:numRef>
          </c:val>
          <c:smooth val="1"/>
        </c:ser>
        <c:ser>
          <c:idx val="1"/>
          <c:order val="1"/>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Expenses!$C$44:$AL$44</c:f>
              <c:numCache>
                <c:formatCode>\$#,##0;"($"#,##0\);\-</c:formatCode>
                <c:ptCount val="36"/>
                <c:pt idx="0">
                  <c:v>42877.3792405806</c:v>
                </c:pt>
                <c:pt idx="1">
                  <c:v>47384.6872841922</c:v>
                </c:pt>
                <c:pt idx="2">
                  <c:v>47603.5406203774</c:v>
                </c:pt>
                <c:pt idx="3">
                  <c:v>48961.4017602589</c:v>
                </c:pt>
                <c:pt idx="4">
                  <c:v>49116.8436134067</c:v>
                </c:pt>
                <c:pt idx="5">
                  <c:v>49323.6385855108</c:v>
                </c:pt>
                <c:pt idx="6">
                  <c:v>50548.3212562438</c:v>
                </c:pt>
                <c:pt idx="7">
                  <c:v>50862.041774468</c:v>
                </c:pt>
                <c:pt idx="8">
                  <c:v>51279.8967285211</c:v>
                </c:pt>
                <c:pt idx="9">
                  <c:v>54572.3024747411</c:v>
                </c:pt>
                <c:pt idx="10">
                  <c:v>55289.2267052427</c:v>
                </c:pt>
                <c:pt idx="11">
                  <c:v>56244.3687483537</c:v>
                </c:pt>
                <c:pt idx="12">
                  <c:v>100973.86511823</c:v>
                </c:pt>
                <c:pt idx="13">
                  <c:v>102201.012622018</c:v>
                </c:pt>
                <c:pt idx="14">
                  <c:v>103689.307116487</c:v>
                </c:pt>
                <c:pt idx="15">
                  <c:v>102755.366028138</c:v>
                </c:pt>
                <c:pt idx="16">
                  <c:v>103907.281682404</c:v>
                </c:pt>
                <c:pt idx="17">
                  <c:v>105441.420147265</c:v>
                </c:pt>
                <c:pt idx="18">
                  <c:v>106621.175946464</c:v>
                </c:pt>
                <c:pt idx="19">
                  <c:v>108158.931180671</c:v>
                </c:pt>
                <c:pt idx="20">
                  <c:v>110207.311452804</c:v>
                </c:pt>
                <c:pt idx="21">
                  <c:v>108373.645717588</c:v>
                </c:pt>
                <c:pt idx="22">
                  <c:v>110084.849083299</c:v>
                </c:pt>
                <c:pt idx="23">
                  <c:v>112364.492624208</c:v>
                </c:pt>
                <c:pt idx="24">
                  <c:v>177875.376861515</c:v>
                </c:pt>
                <c:pt idx="25">
                  <c:v>180535.247542166</c:v>
                </c:pt>
                <c:pt idx="26">
                  <c:v>183789.101629132</c:v>
                </c:pt>
                <c:pt idx="27">
                  <c:v>180845.772070693</c:v>
                </c:pt>
                <c:pt idx="28">
                  <c:v>183560.318171929</c:v>
                </c:pt>
                <c:pt idx="29">
                  <c:v>187174.969280852</c:v>
                </c:pt>
                <c:pt idx="30">
                  <c:v>185109.542621263</c:v>
                </c:pt>
                <c:pt idx="31">
                  <c:v>188245.813019158</c:v>
                </c:pt>
                <c:pt idx="32">
                  <c:v>192422.808541518</c:v>
                </c:pt>
                <c:pt idx="33">
                  <c:v>188658.489506579</c:v>
                </c:pt>
                <c:pt idx="34">
                  <c:v>191948.292336768</c:v>
                </c:pt>
                <c:pt idx="35">
                  <c:v>196590.448018973</c:v>
                </c:pt>
              </c:numCache>
            </c:numRef>
          </c:val>
          <c:smooth val="1"/>
        </c:ser>
        <c:hiLowLines>
          <c:spPr>
            <a:ln w="0">
              <a:noFill/>
            </a:ln>
          </c:spPr>
        </c:hiLowLines>
        <c:marker val="0"/>
        <c:axId val="96496764"/>
        <c:axId val="15586524"/>
      </c:lineChart>
      <c:catAx>
        <c:axId val="9649676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586524"/>
        <c:crosses val="autoZero"/>
        <c:auto val="1"/>
        <c:lblAlgn val="ctr"/>
        <c:lblOffset val="100"/>
        <c:noMultiLvlLbl val="0"/>
      </c:catAx>
      <c:valAx>
        <c:axId val="1558652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4967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balance, month by month</a:t>
            </a:r>
          </a:p>
        </c:rich>
      </c:tx>
      <c:overlay val="0"/>
      <c:spPr>
        <a:noFill/>
        <a:ln w="0">
          <a:noFill/>
        </a:ln>
      </c:spPr>
    </c:title>
    <c:autoTitleDeleted val="0"/>
    <c:plotArea>
      <c:lineChart>
        <c:grouping val="standard"/>
        <c:varyColors val="0"/>
        <c:ser>
          <c:idx val="0"/>
          <c:order val="0"/>
          <c:spPr>
            <a:solidFill>
              <a:srgbClr val="be4b48"/>
            </a:solidFill>
            <a:ln w="4752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Cash_Flow!$C$33:$AL$33</c:f>
              <c:numCache>
                <c:formatCode>\$#,##0;"($"#,##0\);\-</c:formatCode>
                <c:ptCount val="36"/>
                <c:pt idx="0">
                  <c:v>468135.73252584</c:v>
                </c:pt>
                <c:pt idx="1">
                  <c:v>415500.486453303</c:v>
                </c:pt>
                <c:pt idx="2">
                  <c:v>372162.279186004</c:v>
                </c:pt>
                <c:pt idx="3">
                  <c:v>305954.41672243</c:v>
                </c:pt>
                <c:pt idx="4">
                  <c:v>273252.829705481</c:v>
                </c:pt>
                <c:pt idx="5">
                  <c:v>240844.629027119</c:v>
                </c:pt>
                <c:pt idx="6">
                  <c:v>191743.640829844</c:v>
                </c:pt>
                <c:pt idx="7">
                  <c:v>172382.067070431</c:v>
                </c:pt>
                <c:pt idx="8">
                  <c:v>154009.034045021</c:v>
                </c:pt>
                <c:pt idx="9">
                  <c:v>91108.3224329443</c:v>
                </c:pt>
                <c:pt idx="10">
                  <c:v>104303.738507203</c:v>
                </c:pt>
                <c:pt idx="11">
                  <c:v>120154.622461016</c:v>
                </c:pt>
                <c:pt idx="12">
                  <c:v>131065.450286386</c:v>
                </c:pt>
                <c:pt idx="13">
                  <c:v>116282.95758477</c:v>
                </c:pt>
                <c:pt idx="14">
                  <c:v>113684.966811069</c:v>
                </c:pt>
                <c:pt idx="15">
                  <c:v>162483.561668681</c:v>
                </c:pt>
                <c:pt idx="16">
                  <c:v>166306.302646202</c:v>
                </c:pt>
                <c:pt idx="17">
                  <c:v>174305.881368006</c:v>
                </c:pt>
                <c:pt idx="18">
                  <c:v>202743.225448178</c:v>
                </c:pt>
                <c:pt idx="19">
                  <c:v>238478.595047869</c:v>
                </c:pt>
                <c:pt idx="20">
                  <c:v>280091.125606067</c:v>
                </c:pt>
                <c:pt idx="21">
                  <c:v>407286.673939362</c:v>
                </c:pt>
                <c:pt idx="22">
                  <c:v>456073.749080536</c:v>
                </c:pt>
                <c:pt idx="23">
                  <c:v>511419.658916153</c:v>
                </c:pt>
                <c:pt idx="24">
                  <c:v>573923.797827378</c:v>
                </c:pt>
                <c:pt idx="25">
                  <c:v>621782.944784904</c:v>
                </c:pt>
                <c:pt idx="26">
                  <c:v>679095.287688031</c:v>
                </c:pt>
                <c:pt idx="27">
                  <c:v>789169.781039565</c:v>
                </c:pt>
                <c:pt idx="28">
                  <c:v>855574.70021692</c:v>
                </c:pt>
                <c:pt idx="29">
                  <c:v>932349.670087864</c:v>
                </c:pt>
                <c:pt idx="30">
                  <c:v>1136731.98294706</c:v>
                </c:pt>
                <c:pt idx="31">
                  <c:v>1238133.55159527</c:v>
                </c:pt>
                <c:pt idx="32">
                  <c:v>1351855.24012415</c:v>
                </c:pt>
                <c:pt idx="33">
                  <c:v>1634884.75733829</c:v>
                </c:pt>
                <c:pt idx="34">
                  <c:v>1762359.55720015</c:v>
                </c:pt>
                <c:pt idx="35">
                  <c:v>1903484.2164159</c:v>
                </c:pt>
              </c:numCache>
            </c:numRef>
          </c:val>
          <c:smooth val="1"/>
        </c:ser>
        <c:hiLowLines>
          <c:spPr>
            <a:ln w="0">
              <a:noFill/>
            </a:ln>
          </c:spPr>
        </c:hiLowLines>
        <c:marker val="0"/>
        <c:axId val="34692693"/>
        <c:axId val="61792357"/>
      </c:lineChart>
      <c:catAx>
        <c:axId val="3469269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792357"/>
        <c:crosses val="autoZero"/>
        <c:auto val="1"/>
        <c:lblAlgn val="ctr"/>
        <c:lblOffset val="100"/>
        <c:noMultiLvlLbl val="0"/>
      </c:catAx>
      <c:valAx>
        <c:axId val="6179235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69269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2</xdr:col>
      <xdr:colOff>612000</xdr:colOff>
      <xdr:row>34</xdr:row>
      <xdr:rowOff>32400</xdr:rowOff>
    </xdr:to>
    <xdr:graphicFrame>
      <xdr:nvGraphicFramePr>
        <xdr:cNvPr id="0" name="Chart 1"/>
        <xdr:cNvGraphicFramePr/>
      </xdr:nvGraphicFramePr>
      <xdr:xfrm>
        <a:off x="0" y="3819600"/>
        <a:ext cx="647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20</xdr:row>
      <xdr:rowOff>0</xdr:rowOff>
    </xdr:from>
    <xdr:to>
      <xdr:col>13</xdr:col>
      <xdr:colOff>18000</xdr:colOff>
      <xdr:row>34</xdr:row>
      <xdr:rowOff>32400</xdr:rowOff>
    </xdr:to>
    <xdr:graphicFrame>
      <xdr:nvGraphicFramePr>
        <xdr:cNvPr id="1" name="Chart 2"/>
        <xdr:cNvGraphicFramePr/>
      </xdr:nvGraphicFramePr>
      <xdr:xfrm>
        <a:off x="11201400" y="3819600"/>
        <a:ext cx="647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
    <col collapsed="false" customWidth="true" hidden="false" outlineLevel="0" max="2" min="2" style="1" width="34"/>
    <col collapsed="false" customWidth="true" hidden="false" outlineLevel="0" max="3" min="3" style="1" width="72"/>
    <col collapsed="false" customWidth="true" hidden="false" outlineLevel="0" max="4" min="4" style="1" width="20"/>
  </cols>
  <sheetData>
    <row r="3" customFormat="false" ht="42" hidden="false" customHeight="true" outlineLevel="0" collapsed="false">
      <c r="B3" s="2" t="s">
        <v>0</v>
      </c>
      <c r="C3" s="2"/>
      <c r="D3" s="2"/>
    </row>
    <row r="4" customFormat="false" ht="27.75" hidden="false" customHeight="true" outlineLevel="0" collapsed="false">
      <c r="B4" s="3" t="s">
        <v>1</v>
      </c>
      <c r="C4" s="3"/>
      <c r="D4" s="3"/>
    </row>
    <row r="5" customFormat="false" ht="15" hidden="false" customHeight="false" outlineLevel="0" collapsed="false">
      <c r="B5" s="4" t="s">
        <v>2</v>
      </c>
      <c r="C5" s="4"/>
      <c r="D5" s="4"/>
    </row>
    <row r="7" customFormat="false" ht="15" hidden="false" customHeight="false" outlineLevel="0" collapsed="false">
      <c r="B7" s="5"/>
      <c r="C7" s="5"/>
      <c r="D7" s="5"/>
    </row>
    <row r="8" customFormat="false" ht="15" hidden="false" customHeight="false" outlineLevel="0" collapsed="false">
      <c r="B8" s="6" t="s">
        <v>3</v>
      </c>
    </row>
    <row r="9" customFormat="false" ht="30" hidden="false" customHeight="true" outlineLevel="0" collapsed="false">
      <c r="B9" s="7" t="s">
        <v>4</v>
      </c>
      <c r="C9" s="7"/>
      <c r="D9" s="7"/>
    </row>
    <row r="10" customFormat="false" ht="30" hidden="false" customHeight="true" outlineLevel="0" collapsed="false">
      <c r="B10" s="7" t="s">
        <v>5</v>
      </c>
      <c r="C10" s="7"/>
      <c r="D10" s="7"/>
    </row>
    <row r="11" customFormat="false" ht="30" hidden="false" customHeight="true" outlineLevel="0" collapsed="false">
      <c r="B11" s="7" t="s">
        <v>6</v>
      </c>
      <c r="C11" s="7"/>
      <c r="D11" s="7"/>
    </row>
    <row r="13" customFormat="false" ht="15" hidden="false" customHeight="false" outlineLevel="0" collapsed="false">
      <c r="B13" s="6" t="s">
        <v>7</v>
      </c>
    </row>
    <row r="14" customFormat="false" ht="15" hidden="false" customHeight="false" outlineLevel="0" collapsed="false">
      <c r="B14" s="8" t="s">
        <v>8</v>
      </c>
      <c r="C14" s="9" t="s">
        <v>9</v>
      </c>
    </row>
    <row r="15" customFormat="false" ht="15" hidden="false" customHeight="false" outlineLevel="0" collapsed="false">
      <c r="B15" s="10" t="s">
        <v>10</v>
      </c>
      <c r="C15" s="9" t="s">
        <v>11</v>
      </c>
    </row>
    <row r="16" customFormat="false" ht="15" hidden="false" customHeight="false" outlineLevel="0" collapsed="false">
      <c r="B16" s="11" t="s">
        <v>12</v>
      </c>
      <c r="C16" s="9" t="s">
        <v>13</v>
      </c>
    </row>
    <row r="17" customFormat="false" ht="15" hidden="false" customHeight="false" outlineLevel="0" collapsed="false">
      <c r="B17" s="12" t="s">
        <v>14</v>
      </c>
      <c r="C17" s="9" t="s">
        <v>15</v>
      </c>
    </row>
    <row r="18" customFormat="false" ht="15" hidden="false" customHeight="false" outlineLevel="0" collapsed="false">
      <c r="B18" s="13" t="s">
        <v>16</v>
      </c>
      <c r="C18" s="9" t="s">
        <v>17</v>
      </c>
    </row>
    <row r="20" customFormat="false" ht="15" hidden="false" customHeight="false" outlineLevel="0" collapsed="false">
      <c r="B20" s="6" t="s">
        <v>18</v>
      </c>
    </row>
    <row r="21" customFormat="false" ht="15" hidden="false" customHeight="false" outlineLevel="0" collapsed="false">
      <c r="B21" s="14" t="s">
        <v>19</v>
      </c>
      <c r="C21" s="15" t="s">
        <v>20</v>
      </c>
      <c r="D21" s="16"/>
    </row>
    <row r="22" customFormat="false" ht="15" hidden="false" customHeight="false" outlineLevel="0" collapsed="false">
      <c r="B22" s="6" t="s">
        <v>21</v>
      </c>
      <c r="C22" s="17" t="s">
        <v>22</v>
      </c>
    </row>
    <row r="23" customFormat="false" ht="15" hidden="false" customHeight="false" outlineLevel="0" collapsed="false">
      <c r="B23" s="14" t="s">
        <v>23</v>
      </c>
      <c r="C23" s="15" t="s">
        <v>24</v>
      </c>
      <c r="D23" s="16"/>
    </row>
    <row r="24" customFormat="false" ht="15" hidden="false" customHeight="false" outlineLevel="0" collapsed="false">
      <c r="B24" s="6" t="s">
        <v>25</v>
      </c>
      <c r="C24" s="17" t="s">
        <v>26</v>
      </c>
    </row>
    <row r="25" customFormat="false" ht="15" hidden="false" customHeight="false" outlineLevel="0" collapsed="false">
      <c r="B25" s="14" t="s">
        <v>27</v>
      </c>
      <c r="C25" s="15" t="s">
        <v>28</v>
      </c>
      <c r="D25" s="16"/>
    </row>
    <row r="26" customFormat="false" ht="15" hidden="false" customHeight="false" outlineLevel="0" collapsed="false">
      <c r="B26" s="6" t="s">
        <v>29</v>
      </c>
      <c r="C26" s="17" t="s">
        <v>30</v>
      </c>
    </row>
    <row r="27" customFormat="false" ht="15" hidden="false" customHeight="false" outlineLevel="0" collapsed="false">
      <c r="B27" s="14" t="s">
        <v>31</v>
      </c>
      <c r="C27" s="15" t="s">
        <v>32</v>
      </c>
      <c r="D27" s="16"/>
    </row>
    <row r="28" customFormat="false" ht="15" hidden="false" customHeight="false" outlineLevel="0" collapsed="false">
      <c r="B28" s="6" t="s">
        <v>33</v>
      </c>
      <c r="C28" s="17" t="s">
        <v>34</v>
      </c>
    </row>
    <row r="29" customFormat="false" ht="15" hidden="false" customHeight="false" outlineLevel="0" collapsed="false">
      <c r="B29" s="14" t="s">
        <v>35</v>
      </c>
      <c r="C29" s="15" t="s">
        <v>36</v>
      </c>
      <c r="D29" s="16"/>
    </row>
    <row r="30" customFormat="false" ht="15" hidden="false" customHeight="false" outlineLevel="0" collapsed="false">
      <c r="B30" s="6" t="s">
        <v>37</v>
      </c>
      <c r="C30" s="17" t="s">
        <v>38</v>
      </c>
    </row>
    <row r="31" customFormat="false" ht="15" hidden="false" customHeight="false" outlineLevel="0" collapsed="false">
      <c r="B31" s="14" t="s">
        <v>39</v>
      </c>
      <c r="C31" s="15" t="s">
        <v>40</v>
      </c>
      <c r="D31" s="16"/>
    </row>
    <row r="32" customFormat="false" ht="15" hidden="false" customHeight="false" outlineLevel="0" collapsed="false">
      <c r="B32" s="6" t="s">
        <v>41</v>
      </c>
      <c r="C32" s="17" t="s">
        <v>42</v>
      </c>
    </row>
    <row r="33" customFormat="false" ht="15" hidden="false" customHeight="false" outlineLevel="0" collapsed="false">
      <c r="B33" s="14" t="s">
        <v>43</v>
      </c>
      <c r="C33" s="15" t="s">
        <v>44</v>
      </c>
      <c r="D33" s="16"/>
    </row>
    <row r="34" customFormat="false" ht="15" hidden="false" customHeight="false" outlineLevel="0" collapsed="false">
      <c r="B34" s="6" t="s">
        <v>45</v>
      </c>
      <c r="C34" s="17" t="s">
        <v>46</v>
      </c>
    </row>
    <row r="35" customFormat="false" ht="15" hidden="false" customHeight="false" outlineLevel="0" collapsed="false">
      <c r="B35" s="14" t="s">
        <v>47</v>
      </c>
      <c r="C35" s="15" t="s">
        <v>48</v>
      </c>
      <c r="D35" s="16"/>
    </row>
    <row r="36" customFormat="false" ht="15" hidden="false" customHeight="false" outlineLevel="0" collapsed="false">
      <c r="B36" s="6" t="s">
        <v>49</v>
      </c>
      <c r="C36" s="17" t="s">
        <v>50</v>
      </c>
    </row>
    <row r="37" customFormat="false" ht="15" hidden="false" customHeight="false" outlineLevel="0" collapsed="false">
      <c r="B37" s="14" t="s">
        <v>51</v>
      </c>
      <c r="C37" s="15" t="s">
        <v>52</v>
      </c>
      <c r="D37" s="16"/>
    </row>
    <row r="38" customFormat="false" ht="15" hidden="false" customHeight="false" outlineLevel="0" collapsed="false">
      <c r="B38" s="6" t="s">
        <v>53</v>
      </c>
      <c r="C38" s="17" t="s">
        <v>54</v>
      </c>
    </row>
    <row r="39" customFormat="false" ht="15" hidden="false" customHeight="false" outlineLevel="0" collapsed="false">
      <c r="B39" s="14" t="s">
        <v>55</v>
      </c>
      <c r="C39" s="15" t="s">
        <v>56</v>
      </c>
      <c r="D39" s="16"/>
    </row>
    <row r="41" customFormat="false" ht="15" hidden="false" customHeight="false" outlineLevel="0" collapsed="false">
      <c r="B41" s="18" t="s">
        <v>57</v>
      </c>
      <c r="C41" s="18"/>
      <c r="D41" s="18"/>
    </row>
  </sheetData>
  <mergeCells count="7">
    <mergeCell ref="B3:D3"/>
    <mergeCell ref="B4:D4"/>
    <mergeCell ref="B5:D5"/>
    <mergeCell ref="B9:D9"/>
    <mergeCell ref="B10:D10"/>
    <mergeCell ref="B11:D11"/>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0"/>
    <col collapsed="false" customWidth="true" hidden="false" outlineLevel="0" max="2" min="2" style="1" width="26"/>
    <col collapsed="false" customWidth="true" hidden="false" outlineLevel="0" max="8" min="3" style="1" width="15"/>
  </cols>
  <sheetData>
    <row r="1" customFormat="false" ht="25.5" hidden="false" customHeight="true" outlineLevel="0" collapsed="false">
      <c r="A1" s="19" t="s">
        <v>58</v>
      </c>
      <c r="B1" s="19"/>
      <c r="C1" s="19"/>
      <c r="D1" s="19"/>
      <c r="E1" s="19"/>
      <c r="F1" s="19"/>
      <c r="G1" s="19"/>
      <c r="H1" s="19"/>
      <c r="I1" s="19"/>
      <c r="J1" s="19"/>
      <c r="K1" s="19"/>
      <c r="L1" s="19"/>
    </row>
    <row r="2" customFormat="false" ht="13.5" hidden="false" customHeight="true" outlineLevel="0" collapsed="false">
      <c r="A2" s="20" t="s">
        <v>59</v>
      </c>
      <c r="B2" s="20"/>
      <c r="C2" s="20"/>
      <c r="D2" s="20"/>
      <c r="E2" s="20"/>
      <c r="F2" s="20"/>
      <c r="G2" s="20"/>
      <c r="H2" s="20"/>
      <c r="I2" s="20"/>
      <c r="J2" s="20"/>
      <c r="K2" s="20"/>
      <c r="L2" s="20"/>
    </row>
    <row r="3" customFormat="false" ht="3.75" hidden="false" customHeight="true" outlineLevel="0" collapsed="false">
      <c r="A3" s="5"/>
      <c r="B3" s="5"/>
      <c r="C3" s="5"/>
      <c r="D3" s="5"/>
      <c r="E3" s="5"/>
      <c r="F3" s="5"/>
      <c r="G3" s="5"/>
      <c r="H3" s="5"/>
      <c r="I3" s="5"/>
      <c r="J3" s="5"/>
      <c r="K3" s="5"/>
      <c r="L3" s="5"/>
    </row>
    <row r="5" customFormat="false" ht="16.5" hidden="false" customHeight="true" outlineLevel="0" collapsed="false">
      <c r="A5" s="21" t="s">
        <v>60</v>
      </c>
      <c r="B5" s="21"/>
      <c r="C5" s="21"/>
      <c r="D5" s="21"/>
      <c r="E5" s="21"/>
      <c r="F5" s="21"/>
      <c r="G5" s="21"/>
      <c r="H5" s="21"/>
      <c r="I5" s="21"/>
      <c r="J5" s="21"/>
      <c r="K5" s="21"/>
      <c r="L5" s="21"/>
    </row>
    <row r="6" customFormat="false" ht="15" hidden="false" customHeight="false" outlineLevel="0" collapsed="false">
      <c r="A6" s="22"/>
      <c r="B6" s="22"/>
      <c r="C6" s="23" t="s">
        <v>61</v>
      </c>
      <c r="D6" s="23" t="s">
        <v>62</v>
      </c>
      <c r="E6" s="23" t="s">
        <v>63</v>
      </c>
    </row>
    <row r="7" customFormat="false" ht="15" hidden="false" customHeight="false" outlineLevel="0" collapsed="false">
      <c r="A7" s="10" t="s">
        <v>64</v>
      </c>
      <c r="B7" s="24"/>
      <c r="C7" s="25" t="n">
        <f aca="false">Income_Statement!$C$9</f>
        <v>614990.61183</v>
      </c>
      <c r="D7" s="25" t="n">
        <f aca="false">Income_Statement!$D$9</f>
        <v>2786041.10049085</v>
      </c>
      <c r="E7" s="25" t="n">
        <f aca="false">Income_Statement!$E$9</f>
        <v>6112587.95435765</v>
      </c>
    </row>
    <row r="8" customFormat="false" ht="15" hidden="false" customHeight="false" outlineLevel="0" collapsed="false">
      <c r="A8" s="26" t="s">
        <v>65</v>
      </c>
      <c r="B8" s="24"/>
      <c r="C8" s="27" t="n">
        <f aca="false">Income_Statement!$C$11</f>
        <v>388814.787661384</v>
      </c>
      <c r="D8" s="27" t="n">
        <f aca="false">Income_Statement!$D$11</f>
        <v>1856296.99971427</v>
      </c>
      <c r="E8" s="27" t="n">
        <f aca="false">Income_Statement!$E$11</f>
        <v>4043811.61184519</v>
      </c>
    </row>
    <row r="9" customFormat="false" ht="15" hidden="false" customHeight="false" outlineLevel="0" collapsed="false">
      <c r="A9" s="10" t="s">
        <v>66</v>
      </c>
      <c r="B9" s="24"/>
      <c r="C9" s="25" t="n">
        <f aca="false">Income_Statement!$C$13</f>
        <v>-163865.333352736</v>
      </c>
      <c r="D9" s="25" t="n">
        <f aca="false">Income_Statement!$D$13</f>
        <v>641579.382661359</v>
      </c>
      <c r="E9" s="25" t="n">
        <f aca="false">Income_Statement!$E$13</f>
        <v>1869599.30724464</v>
      </c>
    </row>
    <row r="10" customFormat="false" ht="15" hidden="false" customHeight="false" outlineLevel="0" collapsed="false">
      <c r="A10" s="10" t="s">
        <v>67</v>
      </c>
      <c r="B10" s="24"/>
      <c r="C10" s="25" t="n">
        <f aca="false">Income_Statement!$C$22</f>
        <v>-215248.861130513</v>
      </c>
      <c r="D10" s="25" t="n">
        <f aca="false">Income_Statement!$D$22</f>
        <v>499107.708025252</v>
      </c>
      <c r="E10" s="25" t="n">
        <f aca="false">Income_Statement!$E$22</f>
        <v>1400467.9599896</v>
      </c>
    </row>
    <row r="11" customFormat="false" ht="15" hidden="false" customHeight="false" outlineLevel="0" collapsed="false">
      <c r="A11" s="10" t="s">
        <v>68</v>
      </c>
      <c r="B11" s="24"/>
      <c r="C11" s="25" t="n">
        <f aca="false">KPIs!$C$39</f>
        <v>120154.622461016</v>
      </c>
      <c r="D11" s="25" t="n">
        <f aca="false">KPIs!$D$39</f>
        <v>511419.658916153</v>
      </c>
      <c r="E11" s="25" t="n">
        <f aca="false">KPIs!$E$39</f>
        <v>1903484.2164159</v>
      </c>
    </row>
    <row r="12" customFormat="false" ht="15" hidden="false" customHeight="false" outlineLevel="0" collapsed="false">
      <c r="A12" s="26" t="s">
        <v>69</v>
      </c>
      <c r="B12" s="24"/>
      <c r="C12" s="27" t="n">
        <f aca="false">KPIs!$C$40</f>
        <v>91108.3224329443</v>
      </c>
      <c r="D12" s="27" t="n">
        <f aca="false">KPIs!$D$40</f>
        <v>113684.966811069</v>
      </c>
      <c r="E12" s="27" t="n">
        <f aca="false">KPIs!$E$40</f>
        <v>573923.797827378</v>
      </c>
    </row>
    <row r="13" customFormat="false" ht="15" hidden="false" customHeight="false" outlineLevel="0" collapsed="false">
      <c r="A13" s="26" t="s">
        <v>70</v>
      </c>
      <c r="B13" s="24"/>
      <c r="C13" s="28" t="n">
        <f aca="false">KPIs!$C$13</f>
        <v>6</v>
      </c>
      <c r="D13" s="28" t="n">
        <f aca="false">KPIs!$D$13</f>
        <v>9</v>
      </c>
      <c r="E13" s="28" t="n">
        <f aca="false">KPIs!$E$13</f>
        <v>12</v>
      </c>
    </row>
    <row r="14" customFormat="false" ht="15" hidden="false" customHeight="false" outlineLevel="0" collapsed="false">
      <c r="A14" s="26" t="s">
        <v>71</v>
      </c>
      <c r="B14" s="24"/>
      <c r="C14" s="28" t="n">
        <f aca="false">KPIs!$C$11</f>
        <v>27014.1098901099</v>
      </c>
      <c r="D14" s="28" t="n">
        <f aca="false">KPIs!$D$11</f>
        <v>83235.956043956</v>
      </c>
      <c r="E14" s="28" t="n">
        <f aca="false">KPIs!$E$11</f>
        <v>179961.340659341</v>
      </c>
    </row>
    <row r="16" customFormat="false" ht="16.5" hidden="false" customHeight="true" outlineLevel="0" collapsed="false">
      <c r="A16" s="21" t="s">
        <v>72</v>
      </c>
      <c r="B16" s="21"/>
      <c r="C16" s="21"/>
      <c r="D16" s="21"/>
      <c r="E16" s="21"/>
      <c r="F16" s="21"/>
      <c r="G16" s="21"/>
      <c r="H16" s="21"/>
      <c r="I16" s="21"/>
      <c r="J16" s="21"/>
      <c r="K16" s="21"/>
      <c r="L16" s="21"/>
    </row>
    <row r="17" customFormat="false" ht="15" hidden="false" customHeight="false" outlineLevel="0" collapsed="false">
      <c r="A17" s="22"/>
      <c r="B17" s="22"/>
      <c r="C17" s="23" t="s">
        <v>73</v>
      </c>
      <c r="D17" s="23" t="s">
        <v>61</v>
      </c>
      <c r="E17" s="23" t="s">
        <v>62</v>
      </c>
      <c r="F17" s="23" t="s">
        <v>63</v>
      </c>
    </row>
    <row r="18" customFormat="false" ht="15" hidden="false" customHeight="false" outlineLevel="0" collapsed="false">
      <c r="A18" s="10" t="s">
        <v>74</v>
      </c>
      <c r="B18" s="24"/>
      <c r="C18" s="29" t="n">
        <f aca="false">Balance_Sheet!$C$11</f>
        <v>50000</v>
      </c>
      <c r="D18" s="29" t="n">
        <f aca="false">Balance_Sheet!$D$11</f>
        <v>585936.931190777</v>
      </c>
      <c r="E18" s="29" t="n">
        <f aca="false">Balance_Sheet!$E$11</f>
        <v>1394400.00611809</v>
      </c>
      <c r="F18" s="29" t="n">
        <f aca="false">Balance_Sheet!$F$11</f>
        <v>3551860.87757898</v>
      </c>
    </row>
    <row r="19" customFormat="false" ht="15" hidden="false" customHeight="false" outlineLevel="0" collapsed="false">
      <c r="A19" s="10" t="s">
        <v>75</v>
      </c>
      <c r="B19" s="24"/>
      <c r="C19" s="30" t="n">
        <f aca="false">Balance_Sheet!$C$24</f>
        <v>0</v>
      </c>
      <c r="D19" s="30" t="n">
        <f aca="false">Balance_Sheet!$D$24</f>
        <v>0</v>
      </c>
      <c r="E19" s="30" t="n">
        <f aca="false">Balance_Sheet!$E$24</f>
        <v>0</v>
      </c>
      <c r="F19" s="30" t="n">
        <f aca="false">Balance_Sheet!$F$24</f>
        <v>0</v>
      </c>
    </row>
    <row r="41" customFormat="false" ht="16.5" hidden="false" customHeight="true" outlineLevel="0" collapsed="false">
      <c r="A41" s="21" t="s">
        <v>76</v>
      </c>
      <c r="B41" s="21"/>
      <c r="C41" s="21"/>
      <c r="D41" s="21"/>
      <c r="E41" s="21"/>
      <c r="F41" s="21"/>
      <c r="G41" s="21"/>
      <c r="H41" s="21"/>
      <c r="I41" s="21"/>
      <c r="J41" s="21"/>
      <c r="K41" s="21"/>
      <c r="L41" s="21"/>
    </row>
    <row r="42" customFormat="false" ht="15" hidden="false" customHeight="false" outlineLevel="0" collapsed="false">
      <c r="A42" s="31" t="s">
        <v>77</v>
      </c>
      <c r="B42" s="31"/>
      <c r="C42" s="31"/>
      <c r="D42" s="31"/>
      <c r="E42" s="31"/>
      <c r="F42" s="31"/>
      <c r="G42" s="31"/>
      <c r="H42" s="31"/>
      <c r="I42" s="31"/>
      <c r="J42" s="31"/>
      <c r="K42" s="31"/>
      <c r="L42" s="31"/>
    </row>
    <row r="43" customFormat="false" ht="15" hidden="false" customHeight="false" outlineLevel="0" collapsed="false">
      <c r="A43" s="31" t="s">
        <v>78</v>
      </c>
      <c r="B43" s="31"/>
      <c r="C43" s="31"/>
      <c r="D43" s="31"/>
      <c r="E43" s="31"/>
      <c r="F43" s="31"/>
      <c r="G43" s="31"/>
      <c r="H43" s="31"/>
      <c r="I43" s="31"/>
      <c r="J43" s="31"/>
      <c r="K43" s="31"/>
      <c r="L43" s="31"/>
    </row>
    <row r="44" customFormat="false" ht="15" hidden="false" customHeight="false" outlineLevel="0" collapsed="false">
      <c r="A44" s="31" t="s">
        <v>79</v>
      </c>
      <c r="B44" s="31"/>
      <c r="C44" s="31"/>
      <c r="D44" s="31"/>
      <c r="E44" s="31"/>
      <c r="F44" s="31"/>
      <c r="G44" s="31"/>
      <c r="H44" s="31"/>
      <c r="I44" s="31"/>
      <c r="J44" s="31"/>
      <c r="K44" s="31"/>
      <c r="L44" s="31"/>
    </row>
    <row r="45" customFormat="false" ht="15" hidden="false" customHeight="false" outlineLevel="0" collapsed="false">
      <c r="A45" s="31" t="s">
        <v>80</v>
      </c>
      <c r="B45" s="31"/>
      <c r="C45" s="31"/>
      <c r="D45" s="31"/>
      <c r="E45" s="31"/>
      <c r="F45" s="31"/>
      <c r="G45" s="31"/>
      <c r="H45" s="31"/>
      <c r="I45" s="31"/>
      <c r="J45" s="31"/>
      <c r="K45" s="31"/>
      <c r="L45" s="31"/>
    </row>
  </sheetData>
  <mergeCells count="6">
    <mergeCell ref="A1:L1"/>
    <mergeCell ref="A2:L2"/>
    <mergeCell ref="A42:L42"/>
    <mergeCell ref="A43:L43"/>
    <mergeCell ref="A44:L44"/>
    <mergeCell ref="A45:L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34"/>
    <col collapsed="false" customWidth="true" hidden="false" outlineLevel="0" max="15" min="3" style="1" width="11"/>
    <col collapsed="false" customWidth="true" hidden="false" outlineLevel="0" max="16" min="16" style="1" width="2"/>
    <col collapsed="false" customWidth="true" hidden="false" outlineLevel="0" max="17" min="17" style="1" width="58"/>
  </cols>
  <sheetData>
    <row r="1" customFormat="false" ht="25.5" hidden="false" customHeight="true" outlineLevel="0" collapsed="false">
      <c r="A1" s="19" t="s">
        <v>81</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82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83</v>
      </c>
      <c r="B5" s="21"/>
      <c r="C5" s="21"/>
      <c r="D5" s="21"/>
      <c r="E5" s="21"/>
      <c r="F5" s="21"/>
      <c r="G5" s="21"/>
      <c r="H5" s="21"/>
      <c r="I5" s="21"/>
      <c r="J5" s="21"/>
      <c r="K5" s="21"/>
      <c r="L5" s="21"/>
      <c r="M5" s="21"/>
      <c r="N5" s="21"/>
      <c r="O5" s="21"/>
      <c r="P5" s="21"/>
      <c r="Q5" s="21"/>
    </row>
    <row r="6" customFormat="false" ht="15" hidden="false" customHeight="false" outlineLevel="0" collapsed="false">
      <c r="A6" s="32" t="s">
        <v>84</v>
      </c>
      <c r="B6" s="32"/>
      <c r="C6" s="32"/>
      <c r="D6" s="32"/>
      <c r="E6" s="32"/>
      <c r="F6" s="32"/>
      <c r="G6" s="32"/>
      <c r="H6" s="32"/>
      <c r="I6" s="32"/>
      <c r="J6" s="32"/>
      <c r="K6" s="32"/>
      <c r="L6" s="32"/>
      <c r="M6" s="32"/>
      <c r="N6" s="32"/>
    </row>
    <row r="7" customFormat="false" ht="15" hidden="false" customHeight="false" outlineLevel="0" collapsed="false">
      <c r="A7" s="26" t="s">
        <v>85</v>
      </c>
      <c r="B7" s="24"/>
      <c r="C7" s="33" t="s">
        <v>86</v>
      </c>
    </row>
    <row r="8" customFormat="false" ht="15" hidden="false" customHeight="false" outlineLevel="0" collapsed="false">
      <c r="A8" s="26" t="s">
        <v>87</v>
      </c>
      <c r="B8" s="24" t="s">
        <v>88</v>
      </c>
      <c r="C8" s="34" t="n">
        <v>0.225</v>
      </c>
    </row>
    <row r="9" customFormat="false" ht="15" hidden="false" customHeight="false" outlineLevel="0" collapsed="false">
      <c r="A9" s="26" t="s">
        <v>89</v>
      </c>
      <c r="B9" s="24" t="s">
        <v>90</v>
      </c>
      <c r="C9" s="35" t="n">
        <v>4</v>
      </c>
    </row>
    <row r="11" customFormat="false" ht="16.5" hidden="false" customHeight="true" outlineLevel="0" collapsed="false">
      <c r="A11" s="21" t="s">
        <v>91</v>
      </c>
      <c r="B11" s="21"/>
      <c r="C11" s="21"/>
      <c r="D11" s="21"/>
      <c r="E11" s="21"/>
      <c r="F11" s="21"/>
      <c r="G11" s="21"/>
      <c r="H11" s="21"/>
      <c r="I11" s="21"/>
      <c r="J11" s="21"/>
      <c r="K11" s="21"/>
      <c r="L11" s="21"/>
      <c r="M11" s="21"/>
      <c r="N11" s="21"/>
      <c r="O11" s="21"/>
      <c r="P11" s="21"/>
      <c r="Q11" s="21"/>
    </row>
    <row r="12" customFormat="false" ht="15" hidden="false" customHeight="false" outlineLevel="0" collapsed="false">
      <c r="A12" s="32" t="s">
        <v>92</v>
      </c>
      <c r="B12" s="32"/>
      <c r="C12" s="32"/>
      <c r="D12" s="32"/>
      <c r="E12" s="32"/>
      <c r="F12" s="32"/>
      <c r="G12" s="32"/>
      <c r="H12" s="32"/>
      <c r="I12" s="32"/>
      <c r="J12" s="32"/>
      <c r="K12" s="32"/>
      <c r="L12" s="32"/>
      <c r="M12" s="32"/>
      <c r="N12" s="32"/>
    </row>
    <row r="13" customFormat="false" ht="15" hidden="false" customHeight="false" outlineLevel="0" collapsed="false">
      <c r="A13" s="36" t="s">
        <v>93</v>
      </c>
      <c r="B13" s="36" t="s">
        <v>94</v>
      </c>
      <c r="C13" s="37" t="s">
        <v>95</v>
      </c>
      <c r="D13" s="37" t="s">
        <v>96</v>
      </c>
      <c r="E13" s="37" t="s">
        <v>97</v>
      </c>
      <c r="F13" s="37" t="s">
        <v>98</v>
      </c>
      <c r="G13" s="37" t="s">
        <v>99</v>
      </c>
      <c r="H13" s="37" t="s">
        <v>100</v>
      </c>
      <c r="I13" s="37" t="s">
        <v>101</v>
      </c>
      <c r="J13" s="37" t="s">
        <v>102</v>
      </c>
      <c r="K13" s="37" t="s">
        <v>103</v>
      </c>
      <c r="L13" s="37" t="s">
        <v>104</v>
      </c>
      <c r="M13" s="37" t="s">
        <v>105</v>
      </c>
      <c r="N13" s="37" t="s">
        <v>106</v>
      </c>
    </row>
    <row r="14" customFormat="false" ht="15" hidden="false" customHeight="false" outlineLevel="0" collapsed="false">
      <c r="A14" s="26" t="s">
        <v>107</v>
      </c>
      <c r="B14" s="24" t="s">
        <v>108</v>
      </c>
      <c r="C14" s="35" t="n">
        <v>0</v>
      </c>
      <c r="D14" s="35" t="n">
        <v>4</v>
      </c>
      <c r="E14" s="35" t="n">
        <v>7</v>
      </c>
      <c r="F14" s="35" t="n">
        <v>9</v>
      </c>
      <c r="G14" s="35" t="n">
        <v>11</v>
      </c>
      <c r="H14" s="35" t="n">
        <v>13</v>
      </c>
      <c r="I14" s="35" t="n">
        <v>15</v>
      </c>
      <c r="J14" s="35" t="n">
        <v>17</v>
      </c>
      <c r="K14" s="35" t="n">
        <v>20</v>
      </c>
      <c r="L14" s="35" t="n">
        <v>23</v>
      </c>
      <c r="M14" s="35" t="n">
        <v>25</v>
      </c>
      <c r="N14" s="35" t="n">
        <v>28</v>
      </c>
    </row>
    <row r="15" customFormat="false" ht="15" hidden="false" customHeight="false" outlineLevel="0" collapsed="false">
      <c r="A15" s="26" t="s">
        <v>109</v>
      </c>
      <c r="B15" s="24" t="s">
        <v>108</v>
      </c>
      <c r="C15" s="35" t="n">
        <v>1</v>
      </c>
      <c r="D15" s="35" t="n">
        <v>2</v>
      </c>
      <c r="E15" s="35" t="n">
        <v>3</v>
      </c>
      <c r="F15" s="35" t="n">
        <v>4</v>
      </c>
      <c r="G15" s="35" t="n">
        <v>5</v>
      </c>
      <c r="H15" s="35" t="n">
        <v>5</v>
      </c>
      <c r="I15" s="35" t="n">
        <v>6</v>
      </c>
      <c r="J15" s="35" t="n">
        <v>6</v>
      </c>
      <c r="K15" s="35" t="n">
        <v>8</v>
      </c>
      <c r="L15" s="35" t="n">
        <v>9</v>
      </c>
      <c r="M15" s="35" t="n">
        <v>10</v>
      </c>
      <c r="N15" s="35" t="n">
        <v>11</v>
      </c>
    </row>
    <row r="16" customFormat="false" ht="15" hidden="false" customHeight="false" outlineLevel="0" collapsed="false">
      <c r="A16" s="26" t="s">
        <v>110</v>
      </c>
      <c r="B16" s="24" t="s">
        <v>108</v>
      </c>
      <c r="C16" s="35" t="n">
        <v>4</v>
      </c>
      <c r="D16" s="35" t="n">
        <v>2</v>
      </c>
      <c r="E16" s="35" t="n">
        <v>1</v>
      </c>
      <c r="F16" s="35" t="n">
        <v>1</v>
      </c>
      <c r="G16" s="35" t="n">
        <v>1</v>
      </c>
      <c r="H16" s="35" t="n">
        <v>1</v>
      </c>
      <c r="I16" s="35" t="n">
        <v>1</v>
      </c>
      <c r="J16" s="35" t="n">
        <v>1</v>
      </c>
      <c r="K16" s="35" t="n">
        <v>1</v>
      </c>
      <c r="L16" s="35" t="n">
        <v>1</v>
      </c>
      <c r="M16" s="35" t="n">
        <v>1</v>
      </c>
      <c r="N16" s="35" t="n">
        <v>1</v>
      </c>
    </row>
    <row r="17" customFormat="false" ht="15" hidden="false" customHeight="false" outlineLevel="0" collapsed="false">
      <c r="A17" s="26" t="s">
        <v>111</v>
      </c>
      <c r="B17" s="24" t="s">
        <v>112</v>
      </c>
      <c r="C17" s="35" t="n">
        <v>0</v>
      </c>
      <c r="D17" s="35" t="n">
        <v>0</v>
      </c>
      <c r="E17" s="35" t="n">
        <v>0</v>
      </c>
      <c r="F17" s="35" t="n">
        <v>1</v>
      </c>
      <c r="G17" s="35" t="n">
        <v>1</v>
      </c>
      <c r="H17" s="35" t="n">
        <v>1</v>
      </c>
      <c r="I17" s="35" t="n">
        <v>2</v>
      </c>
      <c r="J17" s="35" t="n">
        <v>2</v>
      </c>
      <c r="K17" s="35" t="n">
        <v>3</v>
      </c>
      <c r="L17" s="35" t="n">
        <v>3</v>
      </c>
      <c r="M17" s="35" t="n">
        <v>4</v>
      </c>
      <c r="N17" s="35" t="n">
        <v>4</v>
      </c>
    </row>
    <row r="18" customFormat="false" ht="15" hidden="false" customHeight="false" outlineLevel="0" collapsed="false">
      <c r="A18" s="26" t="s">
        <v>113</v>
      </c>
      <c r="B18" s="24" t="s">
        <v>108</v>
      </c>
      <c r="C18" s="35" t="n">
        <v>0</v>
      </c>
      <c r="D18" s="35" t="n">
        <v>0</v>
      </c>
      <c r="E18" s="35" t="n">
        <v>3</v>
      </c>
      <c r="F18" s="35" t="n">
        <v>6</v>
      </c>
      <c r="G18" s="35" t="n">
        <v>9</v>
      </c>
      <c r="H18" s="35" t="n">
        <v>12</v>
      </c>
      <c r="I18" s="35" t="n">
        <v>14</v>
      </c>
      <c r="J18" s="35" t="n">
        <v>16</v>
      </c>
      <c r="K18" s="35" t="n">
        <v>20</v>
      </c>
      <c r="L18" s="35" t="n">
        <v>24</v>
      </c>
      <c r="M18" s="35" t="n">
        <v>26</v>
      </c>
      <c r="N18" s="35" t="n">
        <v>30</v>
      </c>
    </row>
    <row r="19" customFormat="false" ht="15" hidden="false" customHeight="false" outlineLevel="0" collapsed="false">
      <c r="A19" s="26" t="s">
        <v>114</v>
      </c>
      <c r="B19" s="24" t="s">
        <v>112</v>
      </c>
      <c r="C19" s="35" t="n">
        <v>0</v>
      </c>
      <c r="D19" s="35" t="n">
        <v>0</v>
      </c>
      <c r="E19" s="35" t="n">
        <v>0</v>
      </c>
      <c r="F19" s="35" t="n">
        <v>0</v>
      </c>
      <c r="G19" s="35" t="n">
        <v>1</v>
      </c>
      <c r="H19" s="35" t="n">
        <v>1</v>
      </c>
      <c r="I19" s="35" t="n">
        <v>2</v>
      </c>
      <c r="J19" s="35" t="n">
        <v>2</v>
      </c>
      <c r="K19" s="35" t="n">
        <v>3</v>
      </c>
      <c r="L19" s="35" t="n">
        <v>3</v>
      </c>
      <c r="M19" s="35" t="n">
        <v>4</v>
      </c>
      <c r="N19" s="35" t="n">
        <v>4</v>
      </c>
    </row>
    <row r="20" customFormat="false" ht="15" hidden="false" customHeight="false" outlineLevel="0" collapsed="false">
      <c r="A20" s="26" t="s">
        <v>115</v>
      </c>
      <c r="B20" s="24" t="s">
        <v>108</v>
      </c>
      <c r="C20" s="35" t="n">
        <v>0</v>
      </c>
      <c r="D20" s="35" t="n">
        <v>0</v>
      </c>
      <c r="E20" s="35" t="n">
        <v>0</v>
      </c>
      <c r="F20" s="35" t="n">
        <v>2</v>
      </c>
      <c r="G20" s="35" t="n">
        <v>4</v>
      </c>
      <c r="H20" s="35" t="n">
        <v>5</v>
      </c>
      <c r="I20" s="35" t="n">
        <v>7</v>
      </c>
      <c r="J20" s="35" t="n">
        <v>8</v>
      </c>
      <c r="K20" s="35" t="n">
        <v>10</v>
      </c>
      <c r="L20" s="35" t="n">
        <v>12</v>
      </c>
      <c r="M20" s="35" t="n">
        <v>13</v>
      </c>
      <c r="N20" s="35" t="n">
        <v>15</v>
      </c>
    </row>
    <row r="21" customFormat="false" ht="15" hidden="false" customHeight="false" outlineLevel="0" collapsed="false">
      <c r="A21" s="26" t="s">
        <v>116</v>
      </c>
      <c r="B21" s="24" t="s">
        <v>117</v>
      </c>
      <c r="C21" s="35" t="n">
        <v>0</v>
      </c>
      <c r="D21" s="35" t="n">
        <v>0</v>
      </c>
      <c r="E21" s="35" t="n">
        <v>0</v>
      </c>
      <c r="F21" s="35" t="n">
        <v>2000</v>
      </c>
      <c r="G21" s="35" t="n">
        <v>3000</v>
      </c>
      <c r="H21" s="35" t="n">
        <v>4000</v>
      </c>
      <c r="I21" s="35" t="n">
        <v>6000</v>
      </c>
      <c r="J21" s="35" t="n">
        <v>8000</v>
      </c>
      <c r="K21" s="35" t="n">
        <v>12000</v>
      </c>
      <c r="L21" s="35" t="n">
        <v>15000</v>
      </c>
      <c r="M21" s="35" t="n">
        <v>18000</v>
      </c>
      <c r="N21" s="35" t="n">
        <v>20000</v>
      </c>
    </row>
    <row r="22" customFormat="false" ht="15" hidden="false" customHeight="false" outlineLevel="0" collapsed="false">
      <c r="A22" s="26" t="s">
        <v>118</v>
      </c>
      <c r="B22" s="24" t="s">
        <v>108</v>
      </c>
      <c r="C22" s="35" t="n">
        <v>0</v>
      </c>
      <c r="D22" s="35" t="n">
        <v>0</v>
      </c>
      <c r="E22" s="35" t="n">
        <v>0</v>
      </c>
      <c r="F22" s="35" t="n">
        <v>1</v>
      </c>
      <c r="G22" s="35" t="n">
        <v>1</v>
      </c>
      <c r="H22" s="35" t="n">
        <v>2</v>
      </c>
      <c r="I22" s="35" t="n">
        <v>2</v>
      </c>
      <c r="J22" s="35" t="n">
        <v>3</v>
      </c>
      <c r="K22" s="35" t="n">
        <v>4</v>
      </c>
      <c r="L22" s="35" t="n">
        <v>5</v>
      </c>
      <c r="M22" s="35" t="n">
        <v>5</v>
      </c>
      <c r="N22" s="35" t="n">
        <v>6</v>
      </c>
    </row>
    <row r="23" customFormat="false" ht="15" hidden="false" customHeight="false" outlineLevel="0" collapsed="false">
      <c r="A23" s="26" t="s">
        <v>119</v>
      </c>
      <c r="B23" s="24" t="s">
        <v>120</v>
      </c>
      <c r="C23" s="35" t="n">
        <v>0</v>
      </c>
      <c r="D23" s="35" t="n">
        <v>0</v>
      </c>
      <c r="E23" s="35" t="n">
        <v>1</v>
      </c>
      <c r="F23" s="35" t="n">
        <v>1</v>
      </c>
      <c r="G23" s="35" t="n">
        <v>2</v>
      </c>
      <c r="H23" s="35" t="n">
        <v>2</v>
      </c>
      <c r="I23" s="35" t="n">
        <v>3</v>
      </c>
      <c r="J23" s="35" t="n">
        <v>3</v>
      </c>
      <c r="K23" s="35" t="n">
        <v>4</v>
      </c>
      <c r="L23" s="35" t="n">
        <v>4</v>
      </c>
      <c r="M23" s="35" t="n">
        <v>5</v>
      </c>
      <c r="N23" s="35" t="n">
        <v>5</v>
      </c>
    </row>
    <row r="24" customFormat="false" ht="15" hidden="false" customHeight="false" outlineLevel="0" collapsed="false">
      <c r="A24" s="26" t="s">
        <v>121</v>
      </c>
      <c r="B24" s="24" t="s">
        <v>122</v>
      </c>
      <c r="C24" s="35" t="n">
        <v>0</v>
      </c>
      <c r="D24" s="35" t="n">
        <v>1</v>
      </c>
      <c r="E24" s="35" t="n">
        <v>1</v>
      </c>
      <c r="F24" s="35" t="n">
        <v>2</v>
      </c>
      <c r="G24" s="35" t="n">
        <v>2</v>
      </c>
      <c r="H24" s="35" t="n">
        <v>2</v>
      </c>
      <c r="I24" s="35" t="n">
        <v>3</v>
      </c>
      <c r="J24" s="35" t="n">
        <v>3</v>
      </c>
      <c r="K24" s="35" t="n">
        <v>4</v>
      </c>
      <c r="L24" s="35" t="n">
        <v>4</v>
      </c>
      <c r="M24" s="35" t="n">
        <v>5</v>
      </c>
      <c r="N24" s="35" t="n">
        <v>5</v>
      </c>
    </row>
    <row r="25" customFormat="false" ht="15" hidden="false" customHeight="false" outlineLevel="0" collapsed="false">
      <c r="A25" s="26" t="s">
        <v>123</v>
      </c>
      <c r="B25" s="24" t="s">
        <v>120</v>
      </c>
      <c r="C25" s="35" t="n">
        <v>0</v>
      </c>
      <c r="D25" s="35" t="n">
        <v>0</v>
      </c>
      <c r="E25" s="35" t="n">
        <v>0</v>
      </c>
      <c r="F25" s="35" t="n">
        <v>1</v>
      </c>
      <c r="G25" s="35" t="n">
        <v>1</v>
      </c>
      <c r="H25" s="35" t="n">
        <v>1</v>
      </c>
      <c r="I25" s="35" t="n">
        <v>1</v>
      </c>
      <c r="J25" s="35" t="n">
        <v>1</v>
      </c>
      <c r="K25" s="35" t="n">
        <v>2</v>
      </c>
      <c r="L25" s="35" t="n">
        <v>2</v>
      </c>
      <c r="M25" s="35" t="n">
        <v>2</v>
      </c>
      <c r="N25" s="35" t="n">
        <v>3</v>
      </c>
    </row>
    <row r="26" customFormat="false" ht="15" hidden="false" customHeight="false" outlineLevel="0" collapsed="false">
      <c r="A26" s="26" t="s">
        <v>124</v>
      </c>
      <c r="B26" s="24" t="s">
        <v>125</v>
      </c>
      <c r="C26" s="35" t="n">
        <v>0</v>
      </c>
      <c r="D26" s="35" t="n">
        <v>2</v>
      </c>
      <c r="E26" s="35" t="n">
        <v>3</v>
      </c>
      <c r="F26" s="35" t="n">
        <v>4</v>
      </c>
      <c r="G26" s="35" t="n">
        <v>5</v>
      </c>
      <c r="H26" s="35" t="n">
        <v>6</v>
      </c>
      <c r="I26" s="35" t="n">
        <v>7</v>
      </c>
      <c r="J26" s="35" t="n">
        <v>8</v>
      </c>
      <c r="K26" s="35" t="n">
        <v>10</v>
      </c>
      <c r="L26" s="35" t="n">
        <v>11</v>
      </c>
      <c r="M26" s="35" t="n">
        <v>12</v>
      </c>
      <c r="N26" s="35" t="n">
        <v>13</v>
      </c>
    </row>
    <row r="27" customFormat="false" ht="15" hidden="false" customHeight="false" outlineLevel="0" collapsed="false">
      <c r="A27" s="26" t="s">
        <v>126</v>
      </c>
      <c r="B27" s="24" t="s">
        <v>117</v>
      </c>
      <c r="C27" s="35" t="n">
        <v>60</v>
      </c>
      <c r="D27" s="35" t="n">
        <v>60</v>
      </c>
      <c r="E27" s="35" t="n">
        <v>60</v>
      </c>
      <c r="F27" s="35" t="n">
        <v>60</v>
      </c>
      <c r="G27" s="35" t="n">
        <v>70</v>
      </c>
      <c r="H27" s="35" t="n">
        <v>70</v>
      </c>
      <c r="I27" s="35" t="n">
        <v>70</v>
      </c>
      <c r="J27" s="35" t="n">
        <v>70</v>
      </c>
      <c r="K27" s="35" t="n">
        <v>80</v>
      </c>
      <c r="L27" s="35" t="n">
        <v>80</v>
      </c>
      <c r="M27" s="35" t="n">
        <v>80</v>
      </c>
      <c r="N27" s="35" t="n">
        <v>80</v>
      </c>
    </row>
    <row r="28" customFormat="false" ht="15" hidden="false" customHeight="false" outlineLevel="0" collapsed="false">
      <c r="A28" s="26" t="s">
        <v>127</v>
      </c>
      <c r="B28" s="24" t="s">
        <v>128</v>
      </c>
      <c r="C28" s="35" t="n">
        <v>8</v>
      </c>
      <c r="D28" s="35" t="n">
        <v>12</v>
      </c>
      <c r="E28" s="35" t="n">
        <v>18</v>
      </c>
      <c r="F28" s="35" t="n">
        <v>24</v>
      </c>
      <c r="G28" s="35" t="n">
        <v>30</v>
      </c>
      <c r="H28" s="35" t="n">
        <v>36</v>
      </c>
      <c r="I28" s="35" t="n">
        <v>42</v>
      </c>
      <c r="J28" s="35" t="n">
        <v>48</v>
      </c>
      <c r="K28" s="35" t="n">
        <v>54</v>
      </c>
      <c r="L28" s="35" t="n">
        <v>60</v>
      </c>
      <c r="M28" s="35" t="n">
        <v>68</v>
      </c>
      <c r="N28" s="35" t="n">
        <v>76</v>
      </c>
    </row>
    <row r="29" customFormat="false" ht="15" hidden="false" customHeight="false" outlineLevel="0" collapsed="false">
      <c r="A29" s="26" t="s">
        <v>129</v>
      </c>
      <c r="B29" s="24" t="s">
        <v>128</v>
      </c>
      <c r="C29" s="35" t="n">
        <v>0</v>
      </c>
      <c r="D29" s="35" t="n">
        <v>1</v>
      </c>
      <c r="E29" s="35" t="n">
        <v>2</v>
      </c>
      <c r="F29" s="35" t="n">
        <v>3</v>
      </c>
      <c r="G29" s="35" t="n">
        <v>5</v>
      </c>
      <c r="H29" s="35" t="n">
        <v>6</v>
      </c>
      <c r="I29" s="35" t="n">
        <v>8</v>
      </c>
      <c r="J29" s="35" t="n">
        <v>9</v>
      </c>
      <c r="K29" s="35" t="n">
        <v>10</v>
      </c>
      <c r="L29" s="35" t="n">
        <v>11</v>
      </c>
      <c r="M29" s="35" t="n">
        <v>12</v>
      </c>
      <c r="N29" s="35" t="n">
        <v>13</v>
      </c>
    </row>
    <row r="31" customFormat="false" ht="15" hidden="false" customHeight="false" outlineLevel="0" collapsed="false">
      <c r="A31" s="26" t="s">
        <v>130</v>
      </c>
      <c r="B31" s="24" t="s">
        <v>131</v>
      </c>
      <c r="C31" s="34" t="n">
        <v>0.3</v>
      </c>
      <c r="D31" s="34" t="n">
        <v>0.33</v>
      </c>
      <c r="E31" s="34" t="n">
        <v>0.37</v>
      </c>
      <c r="F31" s="38" t="n">
        <f aca="false">SUM(C31:E31)</f>
        <v>1</v>
      </c>
      <c r="G31" s="24" t="s">
        <v>132</v>
      </c>
    </row>
    <row r="33" customFormat="false" ht="16.5" hidden="false" customHeight="true" outlineLevel="0" collapsed="false">
      <c r="A33" s="21" t="s">
        <v>133</v>
      </c>
      <c r="B33" s="21"/>
      <c r="C33" s="21"/>
      <c r="D33" s="21"/>
      <c r="E33" s="21"/>
      <c r="F33" s="21"/>
      <c r="G33" s="21"/>
      <c r="H33" s="21"/>
      <c r="I33" s="21"/>
      <c r="J33" s="21"/>
      <c r="K33" s="21"/>
      <c r="L33" s="21"/>
      <c r="M33" s="21"/>
      <c r="N33" s="21"/>
      <c r="O33" s="21"/>
      <c r="P33" s="21"/>
      <c r="Q33" s="21"/>
    </row>
    <row r="34" customFormat="false" ht="15" hidden="false" customHeight="false" outlineLevel="0" collapsed="false">
      <c r="A34" s="26" t="s">
        <v>134</v>
      </c>
      <c r="B34" s="24" t="s">
        <v>135</v>
      </c>
      <c r="C34" s="39" t="n">
        <v>7500</v>
      </c>
      <c r="D34" s="39" t="n">
        <v>7900</v>
      </c>
      <c r="E34" s="39" t="n">
        <v>8300</v>
      </c>
    </row>
    <row r="35" customFormat="false" ht="15" hidden="false" customHeight="false" outlineLevel="0" collapsed="false">
      <c r="A35" s="26" t="s">
        <v>136</v>
      </c>
      <c r="B35" s="24" t="s">
        <v>137</v>
      </c>
      <c r="C35" s="39" t="n">
        <v>25000</v>
      </c>
      <c r="D35" s="39" t="n">
        <v>25000</v>
      </c>
      <c r="E35" s="39" t="n">
        <v>25000</v>
      </c>
    </row>
    <row r="36" customFormat="false" ht="15" hidden="false" customHeight="false" outlineLevel="0" collapsed="false">
      <c r="A36" s="26" t="s">
        <v>138</v>
      </c>
      <c r="B36" s="24" t="s">
        <v>139</v>
      </c>
      <c r="C36" s="39" t="n">
        <v>4500</v>
      </c>
      <c r="D36" s="39" t="n">
        <v>4700</v>
      </c>
      <c r="E36" s="39" t="n">
        <v>4900</v>
      </c>
    </row>
    <row r="37" customFormat="false" ht="15" hidden="false" customHeight="false" outlineLevel="0" collapsed="false">
      <c r="A37" s="26" t="s">
        <v>140</v>
      </c>
      <c r="B37" s="24"/>
      <c r="C37" s="39" t="n">
        <v>12000</v>
      </c>
      <c r="D37" s="39" t="n">
        <v>12000</v>
      </c>
      <c r="E37" s="39" t="n">
        <v>12000</v>
      </c>
    </row>
    <row r="38" customFormat="false" ht="15" hidden="false" customHeight="false" outlineLevel="0" collapsed="false">
      <c r="A38" s="26" t="s">
        <v>141</v>
      </c>
      <c r="B38" s="24" t="s">
        <v>142</v>
      </c>
      <c r="C38" s="39" t="n">
        <v>5000</v>
      </c>
      <c r="D38" s="39" t="n">
        <v>5200</v>
      </c>
      <c r="E38" s="39" t="n">
        <v>5400</v>
      </c>
    </row>
    <row r="39" customFormat="false" ht="15" hidden="false" customHeight="false" outlineLevel="0" collapsed="false">
      <c r="A39" s="26" t="s">
        <v>143</v>
      </c>
      <c r="B39" s="24" t="s">
        <v>144</v>
      </c>
      <c r="C39" s="40" t="n">
        <v>22</v>
      </c>
      <c r="D39" s="40" t="n">
        <v>20</v>
      </c>
      <c r="E39" s="40" t="n">
        <v>18</v>
      </c>
    </row>
    <row r="40" customFormat="false" ht="15" hidden="false" customHeight="false" outlineLevel="0" collapsed="false">
      <c r="A40" s="26" t="s">
        <v>145</v>
      </c>
      <c r="B40" s="24"/>
      <c r="C40" s="39" t="n">
        <v>12000</v>
      </c>
      <c r="D40" s="39" t="n">
        <v>12500</v>
      </c>
      <c r="E40" s="39" t="n">
        <v>13000</v>
      </c>
    </row>
    <row r="41" customFormat="false" ht="15" hidden="false" customHeight="false" outlineLevel="0" collapsed="false">
      <c r="A41" s="26" t="s">
        <v>146</v>
      </c>
      <c r="B41" s="24" t="s">
        <v>147</v>
      </c>
      <c r="C41" s="39" t="n">
        <v>35000</v>
      </c>
      <c r="D41" s="39" t="n">
        <v>38000</v>
      </c>
      <c r="E41" s="39" t="n">
        <v>40000</v>
      </c>
    </row>
    <row r="42" customFormat="false" ht="15" hidden="false" customHeight="false" outlineLevel="0" collapsed="false">
      <c r="A42" s="26" t="s">
        <v>148</v>
      </c>
      <c r="B42" s="24" t="s">
        <v>149</v>
      </c>
      <c r="C42" s="39" t="n">
        <v>28000</v>
      </c>
      <c r="D42" s="39" t="n">
        <v>32000</v>
      </c>
      <c r="E42" s="39" t="n">
        <v>36000</v>
      </c>
    </row>
    <row r="43" customFormat="false" ht="15" hidden="false" customHeight="false" outlineLevel="0" collapsed="false">
      <c r="A43" s="26" t="s">
        <v>150</v>
      </c>
      <c r="B43" s="24"/>
      <c r="C43" s="39" t="n">
        <v>45000</v>
      </c>
      <c r="D43" s="39" t="n">
        <v>55000</v>
      </c>
      <c r="E43" s="39" t="n">
        <v>60000</v>
      </c>
    </row>
    <row r="44" customFormat="false" ht="15" hidden="false" customHeight="false" outlineLevel="0" collapsed="false">
      <c r="A44" s="26" t="s">
        <v>151</v>
      </c>
      <c r="B44" s="24"/>
      <c r="C44" s="40" t="n">
        <v>40</v>
      </c>
      <c r="D44" s="40" t="n">
        <v>42</v>
      </c>
      <c r="E44" s="40" t="n">
        <v>44</v>
      </c>
    </row>
    <row r="45" customFormat="false" ht="15" hidden="false" customHeight="false" outlineLevel="0" collapsed="false">
      <c r="A45" s="26" t="s">
        <v>152</v>
      </c>
      <c r="B45" s="24"/>
      <c r="C45" s="39" t="n">
        <v>59</v>
      </c>
    </row>
    <row r="46" customFormat="false" ht="15" hidden="false" customHeight="false" outlineLevel="0" collapsed="false">
      <c r="A46" s="26" t="s">
        <v>153</v>
      </c>
      <c r="B46" s="24"/>
      <c r="C46" s="39" t="n">
        <v>179</v>
      </c>
    </row>
    <row r="47" customFormat="false" ht="15" hidden="false" customHeight="false" outlineLevel="0" collapsed="false">
      <c r="A47" s="26" t="s">
        <v>154</v>
      </c>
      <c r="B47" s="24"/>
      <c r="C47" s="34" t="n">
        <v>0.25</v>
      </c>
    </row>
    <row r="48" customFormat="false" ht="15" hidden="false" customHeight="false" outlineLevel="0" collapsed="false">
      <c r="A48" s="26" t="s">
        <v>155</v>
      </c>
      <c r="B48" s="24" t="s">
        <v>156</v>
      </c>
      <c r="C48" s="34" t="n">
        <v>0.045</v>
      </c>
    </row>
    <row r="49" customFormat="false" ht="15" hidden="false" customHeight="false" outlineLevel="0" collapsed="false">
      <c r="A49" s="26" t="s">
        <v>157</v>
      </c>
      <c r="B49" s="24"/>
      <c r="C49" s="35" t="n">
        <v>25</v>
      </c>
    </row>
    <row r="50" customFormat="false" ht="15" hidden="false" customHeight="false" outlineLevel="0" collapsed="false">
      <c r="A50" s="26" t="s">
        <v>158</v>
      </c>
      <c r="B50" s="24"/>
      <c r="C50" s="35" t="n">
        <v>30</v>
      </c>
    </row>
    <row r="52" customFormat="false" ht="16.5" hidden="false" customHeight="true" outlineLevel="0" collapsed="false">
      <c r="A52" s="21" t="s">
        <v>159</v>
      </c>
      <c r="B52" s="21"/>
      <c r="C52" s="21"/>
      <c r="D52" s="21"/>
      <c r="E52" s="21"/>
      <c r="F52" s="21"/>
      <c r="G52" s="21"/>
      <c r="H52" s="21"/>
      <c r="I52" s="21"/>
      <c r="J52" s="21"/>
      <c r="K52" s="21"/>
      <c r="L52" s="21"/>
      <c r="M52" s="21"/>
      <c r="N52" s="21"/>
      <c r="O52" s="21"/>
      <c r="P52" s="21"/>
      <c r="Q52" s="21"/>
    </row>
    <row r="53" customFormat="false" ht="15" hidden="false" customHeight="false" outlineLevel="0" collapsed="false">
      <c r="A53" s="32" t="s">
        <v>160</v>
      </c>
      <c r="B53" s="32"/>
      <c r="C53" s="32"/>
      <c r="D53" s="32"/>
      <c r="E53" s="32"/>
      <c r="F53" s="32"/>
      <c r="G53" s="32"/>
      <c r="H53" s="32"/>
      <c r="I53" s="32"/>
      <c r="J53" s="32"/>
      <c r="K53" s="32"/>
      <c r="L53" s="32"/>
      <c r="M53" s="32"/>
      <c r="N53" s="32"/>
    </row>
    <row r="54" customFormat="false" ht="25.5" hidden="false" customHeight="true" outlineLevel="0" collapsed="false">
      <c r="A54" s="36" t="s">
        <v>161</v>
      </c>
      <c r="B54" s="22"/>
      <c r="C54" s="41" t="s">
        <v>162</v>
      </c>
      <c r="D54" s="41" t="s">
        <v>163</v>
      </c>
      <c r="E54" s="41" t="s">
        <v>164</v>
      </c>
      <c r="F54" s="41" t="s">
        <v>165</v>
      </c>
      <c r="G54" s="41" t="s">
        <v>166</v>
      </c>
      <c r="H54" s="41" t="s">
        <v>167</v>
      </c>
    </row>
    <row r="55" customFormat="false" ht="15" hidden="false" customHeight="false" outlineLevel="0" collapsed="false">
      <c r="A55" s="26" t="s">
        <v>168</v>
      </c>
      <c r="B55" s="24" t="s">
        <v>169</v>
      </c>
      <c r="C55" s="42" t="n">
        <v>2</v>
      </c>
      <c r="D55" s="42" t="n">
        <v>6</v>
      </c>
      <c r="E55" s="42" t="n">
        <v>11</v>
      </c>
      <c r="F55" s="39" t="n">
        <v>420</v>
      </c>
      <c r="G55" s="35" t="n">
        <v>45</v>
      </c>
      <c r="H55" s="42" t="n">
        <v>0.9</v>
      </c>
    </row>
    <row r="56" customFormat="false" ht="15" hidden="false" customHeight="false" outlineLevel="0" collapsed="false">
      <c r="A56" s="26" t="s">
        <v>170</v>
      </c>
      <c r="B56" s="24" t="s">
        <v>171</v>
      </c>
      <c r="C56" s="42" t="n">
        <v>3</v>
      </c>
      <c r="D56" s="42" t="n">
        <v>8</v>
      </c>
      <c r="E56" s="42" t="n">
        <v>14</v>
      </c>
      <c r="F56" s="39" t="n">
        <v>180</v>
      </c>
      <c r="G56" s="35" t="n">
        <v>38</v>
      </c>
      <c r="H56" s="42" t="n">
        <v>0.6</v>
      </c>
    </row>
    <row r="57" customFormat="false" ht="15" hidden="false" customHeight="false" outlineLevel="0" collapsed="false">
      <c r="A57" s="26" t="s">
        <v>172</v>
      </c>
      <c r="B57" s="24" t="s">
        <v>173</v>
      </c>
      <c r="C57" s="42" t="n">
        <v>0.5</v>
      </c>
      <c r="D57" s="42" t="n">
        <v>1.2</v>
      </c>
      <c r="E57" s="42" t="n">
        <v>2</v>
      </c>
      <c r="F57" s="39" t="n">
        <v>2600</v>
      </c>
      <c r="G57" s="35" t="n">
        <v>320</v>
      </c>
      <c r="H57" s="42" t="n">
        <v>2.4</v>
      </c>
    </row>
    <row r="58" customFormat="false" ht="15" hidden="false" customHeight="false" outlineLevel="0" collapsed="false">
      <c r="A58" s="26" t="s">
        <v>174</v>
      </c>
      <c r="B58" s="24" t="s">
        <v>175</v>
      </c>
      <c r="C58" s="42" t="n">
        <v>1</v>
      </c>
      <c r="D58" s="42" t="n">
        <v>2</v>
      </c>
      <c r="E58" s="42" t="n">
        <v>3.5</v>
      </c>
      <c r="F58" s="39" t="n">
        <v>1900</v>
      </c>
      <c r="G58" s="35" t="n">
        <v>150</v>
      </c>
      <c r="H58" s="42" t="n">
        <v>3.2</v>
      </c>
    </row>
    <row r="59" customFormat="false" ht="15" hidden="false" customHeight="false" outlineLevel="0" collapsed="false">
      <c r="A59" s="26" t="s">
        <v>176</v>
      </c>
      <c r="B59" s="24" t="s">
        <v>177</v>
      </c>
      <c r="C59" s="42" t="n">
        <v>1</v>
      </c>
      <c r="D59" s="42" t="n">
        <v>3</v>
      </c>
      <c r="E59" s="42" t="n">
        <v>5</v>
      </c>
      <c r="F59" s="39" t="n">
        <v>350</v>
      </c>
      <c r="G59" s="35" t="n">
        <v>60</v>
      </c>
      <c r="H59" s="42" t="n">
        <v>1.4</v>
      </c>
    </row>
    <row r="60" customFormat="false" ht="15" hidden="false" customHeight="false" outlineLevel="0" collapsed="false">
      <c r="A60" s="26" t="s">
        <v>178</v>
      </c>
      <c r="B60" s="24" t="s">
        <v>179</v>
      </c>
      <c r="C60" s="42" t="n">
        <v>4</v>
      </c>
      <c r="D60" s="42" t="n">
        <v>7</v>
      </c>
      <c r="E60" s="42" t="n">
        <v>9</v>
      </c>
      <c r="F60" s="39" t="n">
        <v>0</v>
      </c>
      <c r="G60" s="35" t="n">
        <v>0</v>
      </c>
      <c r="H60" s="42" t="n">
        <v>6</v>
      </c>
    </row>
    <row r="62" customFormat="false" ht="16.5" hidden="false" customHeight="true" outlineLevel="0" collapsed="false">
      <c r="A62" s="21" t="s">
        <v>180</v>
      </c>
      <c r="B62" s="21"/>
      <c r="C62" s="21"/>
      <c r="D62" s="21"/>
      <c r="E62" s="21"/>
      <c r="F62" s="21"/>
      <c r="G62" s="21"/>
      <c r="H62" s="21"/>
      <c r="I62" s="21"/>
      <c r="J62" s="21"/>
      <c r="K62" s="21"/>
      <c r="L62" s="21"/>
      <c r="M62" s="21"/>
      <c r="N62" s="21"/>
      <c r="O62" s="21"/>
      <c r="P62" s="21"/>
      <c r="Q62" s="21"/>
    </row>
    <row r="63" customFormat="false" ht="15" hidden="false" customHeight="false" outlineLevel="0" collapsed="false">
      <c r="A63" s="32" t="s">
        <v>181</v>
      </c>
      <c r="B63" s="32"/>
      <c r="C63" s="32"/>
      <c r="D63" s="32"/>
      <c r="E63" s="32"/>
      <c r="F63" s="32"/>
      <c r="G63" s="32"/>
      <c r="H63" s="32"/>
      <c r="I63" s="32"/>
      <c r="J63" s="32"/>
      <c r="K63" s="32"/>
      <c r="L63" s="32"/>
      <c r="M63" s="32"/>
      <c r="N63" s="32"/>
    </row>
    <row r="64" customFormat="false" ht="25.5" hidden="false" customHeight="true" outlineLevel="0" collapsed="false">
      <c r="A64" s="36" t="s">
        <v>182</v>
      </c>
      <c r="B64" s="22"/>
      <c r="C64" s="41" t="s">
        <v>183</v>
      </c>
      <c r="D64" s="41" t="s">
        <v>163</v>
      </c>
      <c r="E64" s="41" t="s">
        <v>164</v>
      </c>
      <c r="F64" s="41" t="s">
        <v>184</v>
      </c>
      <c r="G64" s="41" t="s">
        <v>185</v>
      </c>
      <c r="H64" s="41" t="s">
        <v>186</v>
      </c>
    </row>
    <row r="65" customFormat="false" ht="15" hidden="false" customHeight="false" outlineLevel="0" collapsed="false">
      <c r="A65" s="26" t="s">
        <v>187</v>
      </c>
      <c r="B65" s="24" t="s">
        <v>188</v>
      </c>
      <c r="C65" s="39" t="n">
        <v>900</v>
      </c>
      <c r="D65" s="39" t="n">
        <v>2200</v>
      </c>
      <c r="E65" s="39" t="n">
        <v>4200</v>
      </c>
      <c r="F65" s="40" t="n">
        <v>3.5</v>
      </c>
      <c r="G65" s="34" t="n">
        <v>0.012</v>
      </c>
      <c r="H65" s="34" t="n">
        <v>0.09</v>
      </c>
    </row>
    <row r="66" customFormat="false" ht="15" hidden="false" customHeight="false" outlineLevel="0" collapsed="false">
      <c r="A66" s="26" t="s">
        <v>189</v>
      </c>
      <c r="B66" s="24" t="s">
        <v>190</v>
      </c>
      <c r="C66" s="39" t="n">
        <v>850</v>
      </c>
      <c r="D66" s="39" t="n">
        <v>2000</v>
      </c>
      <c r="E66" s="39" t="n">
        <v>4000</v>
      </c>
      <c r="F66" s="40" t="n">
        <v>6.5</v>
      </c>
      <c r="G66" s="34" t="n">
        <v>0.009</v>
      </c>
      <c r="H66" s="34" t="n">
        <v>0.11</v>
      </c>
    </row>
    <row r="67" customFormat="false" ht="15" hidden="false" customHeight="false" outlineLevel="0" collapsed="false">
      <c r="A67" s="26" t="s">
        <v>191</v>
      </c>
      <c r="B67" s="24" t="s">
        <v>192</v>
      </c>
      <c r="C67" s="39" t="n">
        <v>700</v>
      </c>
      <c r="D67" s="39" t="n">
        <v>1700</v>
      </c>
      <c r="E67" s="39" t="n">
        <v>3200</v>
      </c>
      <c r="F67" s="40" t="n">
        <v>5.5</v>
      </c>
      <c r="G67" s="34" t="n">
        <v>0.011</v>
      </c>
      <c r="H67" s="34" t="n">
        <v>0.1</v>
      </c>
    </row>
    <row r="68" customFormat="false" ht="15" hidden="false" customHeight="false" outlineLevel="0" collapsed="false">
      <c r="A68" s="26" t="s">
        <v>193</v>
      </c>
      <c r="B68" s="24" t="s">
        <v>194</v>
      </c>
      <c r="C68" s="39" t="n">
        <v>2100</v>
      </c>
      <c r="D68" s="39" t="n">
        <v>4000</v>
      </c>
      <c r="E68" s="39" t="n">
        <v>8000</v>
      </c>
      <c r="F68" s="40" t="n">
        <v>14</v>
      </c>
      <c r="G68" s="34" t="n">
        <v>0.012</v>
      </c>
      <c r="H68" s="34" t="n">
        <v>0.1</v>
      </c>
    </row>
    <row r="69" customFormat="false" ht="15" hidden="false" customHeight="false" outlineLevel="0" collapsed="false">
      <c r="A69" s="26" t="s">
        <v>195</v>
      </c>
      <c r="B69" s="24" t="s">
        <v>196</v>
      </c>
      <c r="C69" s="39" t="n">
        <v>260</v>
      </c>
      <c r="D69" s="39" t="n">
        <v>600</v>
      </c>
      <c r="E69" s="39" t="n">
        <v>1150</v>
      </c>
      <c r="F69" s="40" t="n">
        <v>25</v>
      </c>
      <c r="G69" s="34" t="n">
        <v>0.05</v>
      </c>
      <c r="H69" s="34" t="n">
        <v>0.25</v>
      </c>
    </row>
    <row r="70" customFormat="false" ht="15" hidden="false" customHeight="false" outlineLevel="0" collapsed="false">
      <c r="A70" s="26" t="s">
        <v>197</v>
      </c>
      <c r="B70" s="24" t="s">
        <v>198</v>
      </c>
      <c r="C70" s="39" t="n">
        <v>500</v>
      </c>
      <c r="D70" s="39" t="n">
        <v>1150</v>
      </c>
      <c r="E70" s="39" t="n">
        <v>2100</v>
      </c>
      <c r="F70" s="40" t="n">
        <v>3</v>
      </c>
      <c r="G70" s="34" t="n">
        <v>0.018</v>
      </c>
      <c r="H70" s="34" t="n">
        <v>0.08</v>
      </c>
    </row>
    <row r="72" customFormat="false" ht="16.5" hidden="false" customHeight="true" outlineLevel="0" collapsed="false">
      <c r="A72" s="21" t="s">
        <v>199</v>
      </c>
      <c r="B72" s="21"/>
      <c r="C72" s="21"/>
      <c r="D72" s="21"/>
      <c r="E72" s="21"/>
      <c r="F72" s="21"/>
      <c r="G72" s="21"/>
      <c r="H72" s="21"/>
      <c r="I72" s="21"/>
      <c r="J72" s="21"/>
      <c r="K72" s="21"/>
      <c r="L72" s="21"/>
      <c r="M72" s="21"/>
      <c r="N72" s="21"/>
      <c r="O72" s="21"/>
      <c r="P72" s="21"/>
      <c r="Q72" s="21"/>
    </row>
    <row r="73" customFormat="false" ht="15" hidden="false" customHeight="false" outlineLevel="0" collapsed="false">
      <c r="A73" s="32" t="s">
        <v>200</v>
      </c>
      <c r="B73" s="32"/>
      <c r="C73" s="32"/>
      <c r="D73" s="32"/>
      <c r="E73" s="32"/>
      <c r="F73" s="32"/>
      <c r="G73" s="32"/>
      <c r="H73" s="32"/>
      <c r="I73" s="32"/>
      <c r="J73" s="32"/>
      <c r="K73" s="32"/>
      <c r="L73" s="32"/>
      <c r="M73" s="32"/>
      <c r="N73" s="32"/>
    </row>
    <row r="74" customFormat="false" ht="15" hidden="false" customHeight="false" outlineLevel="0" collapsed="false">
      <c r="A74" s="26" t="s">
        <v>201</v>
      </c>
      <c r="B74" s="24"/>
      <c r="C74" s="34" t="n">
        <v>0.4</v>
      </c>
      <c r="D74" s="34" t="n">
        <v>0.44</v>
      </c>
      <c r="E74" s="34" t="n">
        <v>0.48</v>
      </c>
    </row>
    <row r="75" customFormat="false" ht="15" hidden="false" customHeight="false" outlineLevel="0" collapsed="false">
      <c r="A75" s="26" t="s">
        <v>202</v>
      </c>
      <c r="B75" s="24"/>
      <c r="C75" s="34" t="n">
        <v>0.5</v>
      </c>
      <c r="D75" s="34" t="n">
        <v>0.54</v>
      </c>
      <c r="E75" s="34" t="n">
        <v>0.58</v>
      </c>
    </row>
    <row r="76" customFormat="false" ht="15" hidden="false" customHeight="false" outlineLevel="0" collapsed="false">
      <c r="A76" s="26" t="s">
        <v>203</v>
      </c>
      <c r="B76" s="24"/>
      <c r="C76" s="34" t="n">
        <v>0.38</v>
      </c>
      <c r="D76" s="34" t="n">
        <v>0.44</v>
      </c>
      <c r="E76" s="34" t="n">
        <v>0.5</v>
      </c>
    </row>
    <row r="77" customFormat="false" ht="15" hidden="false" customHeight="false" outlineLevel="0" collapsed="false">
      <c r="A77" s="26" t="s">
        <v>204</v>
      </c>
      <c r="B77" s="24" t="s">
        <v>205</v>
      </c>
      <c r="C77" s="35" t="n">
        <v>4</v>
      </c>
    </row>
    <row r="78" customFormat="false" ht="15" hidden="false" customHeight="false" outlineLevel="0" collapsed="false">
      <c r="A78" s="26" t="s">
        <v>206</v>
      </c>
      <c r="B78" s="24" t="s">
        <v>207</v>
      </c>
      <c r="C78" s="34" t="n">
        <v>0.42</v>
      </c>
      <c r="D78" s="34" t="n">
        <v>0.46</v>
      </c>
      <c r="E78" s="34" t="n">
        <v>0.5</v>
      </c>
    </row>
    <row r="79" customFormat="false" ht="15" hidden="false" customHeight="false" outlineLevel="0" collapsed="false">
      <c r="A79" s="26" t="s">
        <v>208</v>
      </c>
      <c r="B79" s="24"/>
      <c r="C79" s="34" t="n">
        <v>0.55</v>
      </c>
      <c r="D79" s="34" t="n">
        <v>0.58</v>
      </c>
      <c r="E79" s="34" t="n">
        <v>0.61</v>
      </c>
    </row>
    <row r="80" customFormat="false" ht="15" hidden="false" customHeight="false" outlineLevel="0" collapsed="false">
      <c r="A80" s="26" t="s">
        <v>209</v>
      </c>
      <c r="B80" s="24"/>
      <c r="C80" s="34" t="n">
        <v>0.075</v>
      </c>
      <c r="D80" s="34" t="n">
        <v>0.085</v>
      </c>
      <c r="E80" s="34" t="n">
        <v>0.095</v>
      </c>
    </row>
    <row r="81" customFormat="false" ht="15" hidden="false" customHeight="false" outlineLevel="0" collapsed="false">
      <c r="A81" s="26" t="s">
        <v>210</v>
      </c>
      <c r="B81" s="24"/>
      <c r="C81" s="34" t="n">
        <v>0.03</v>
      </c>
      <c r="D81" s="34" t="n">
        <v>0.034</v>
      </c>
      <c r="E81" s="34" t="n">
        <v>0.038</v>
      </c>
    </row>
    <row r="82" customFormat="false" ht="15" hidden="false" customHeight="false" outlineLevel="0" collapsed="false">
      <c r="A82" s="26" t="s">
        <v>211</v>
      </c>
      <c r="B82" s="24" t="s">
        <v>212</v>
      </c>
      <c r="C82" s="42" t="n">
        <v>14</v>
      </c>
    </row>
    <row r="83" customFormat="false" ht="15" hidden="false" customHeight="false" outlineLevel="0" collapsed="false">
      <c r="A83" s="26" t="s">
        <v>213</v>
      </c>
      <c r="B83" s="24" t="s">
        <v>214</v>
      </c>
      <c r="C83" s="34" t="n">
        <v>0.35</v>
      </c>
    </row>
    <row r="84" customFormat="false" ht="15" hidden="false" customHeight="false" outlineLevel="0" collapsed="false">
      <c r="A84" s="26" t="s">
        <v>215</v>
      </c>
      <c r="B84" s="24" t="s">
        <v>216</v>
      </c>
      <c r="C84" s="42" t="n">
        <v>1.8</v>
      </c>
      <c r="D84" s="42" t="n">
        <v>2.2</v>
      </c>
      <c r="E84" s="42" t="n">
        <v>2.6</v>
      </c>
    </row>
    <row r="85" customFormat="false" ht="15" hidden="false" customHeight="false" outlineLevel="0" collapsed="false">
      <c r="A85" s="26" t="s">
        <v>217</v>
      </c>
      <c r="B85" s="24"/>
      <c r="C85" s="35" t="n">
        <v>700</v>
      </c>
    </row>
    <row r="86" customFormat="false" ht="15" hidden="false" customHeight="false" outlineLevel="0" collapsed="false">
      <c r="A86" s="26" t="s">
        <v>218</v>
      </c>
      <c r="B86" s="24"/>
      <c r="C86" s="35" t="n">
        <v>140</v>
      </c>
    </row>
    <row r="87" customFormat="false" ht="15" hidden="false" customHeight="false" outlineLevel="0" collapsed="false">
      <c r="A87" s="26" t="s">
        <v>219</v>
      </c>
      <c r="B87" s="24"/>
      <c r="C87" s="35" t="n">
        <v>60</v>
      </c>
    </row>
    <row r="89" customFormat="false" ht="16.5" hidden="false" customHeight="true" outlineLevel="0" collapsed="false">
      <c r="A89" s="21" t="s">
        <v>220</v>
      </c>
      <c r="B89" s="21"/>
      <c r="C89" s="21"/>
      <c r="D89" s="21"/>
      <c r="E89" s="21"/>
      <c r="F89" s="21"/>
      <c r="G89" s="21"/>
      <c r="H89" s="21"/>
      <c r="I89" s="21"/>
      <c r="J89" s="21"/>
      <c r="K89" s="21"/>
      <c r="L89" s="21"/>
      <c r="M89" s="21"/>
      <c r="N89" s="21"/>
      <c r="O89" s="21"/>
      <c r="P89" s="21"/>
      <c r="Q89" s="21"/>
    </row>
    <row r="90" customFormat="false" ht="15" hidden="false" customHeight="false" outlineLevel="0" collapsed="false">
      <c r="A90" s="26" t="s">
        <v>221</v>
      </c>
      <c r="B90" s="24"/>
      <c r="C90" s="39" t="n">
        <v>120</v>
      </c>
    </row>
    <row r="91" customFormat="false" ht="15" hidden="false" customHeight="false" outlineLevel="0" collapsed="false">
      <c r="A91" s="26" t="s">
        <v>222</v>
      </c>
      <c r="B91" s="24"/>
      <c r="C91" s="35" t="n">
        <v>2</v>
      </c>
    </row>
    <row r="92" customFormat="false" ht="15" hidden="false" customHeight="false" outlineLevel="0" collapsed="false">
      <c r="A92" s="26" t="s">
        <v>223</v>
      </c>
      <c r="B92" s="24"/>
      <c r="C92" s="35" t="n">
        <v>6</v>
      </c>
    </row>
    <row r="93" customFormat="false" ht="15" hidden="false" customHeight="false" outlineLevel="0" collapsed="false">
      <c r="A93" s="26" t="s">
        <v>224</v>
      </c>
      <c r="B93" s="24"/>
      <c r="C93" s="35" t="n">
        <v>4</v>
      </c>
    </row>
    <row r="94" customFormat="false" ht="15" hidden="false" customHeight="false" outlineLevel="0" collapsed="false">
      <c r="A94" s="26" t="s">
        <v>225</v>
      </c>
      <c r="B94" s="24"/>
      <c r="C94" s="35" t="n">
        <v>5</v>
      </c>
    </row>
    <row r="95" customFormat="false" ht="15" hidden="false" customHeight="false" outlineLevel="0" collapsed="false">
      <c r="A95" s="26" t="s">
        <v>226</v>
      </c>
      <c r="B95" s="24"/>
      <c r="C95" s="39" t="n">
        <v>750</v>
      </c>
    </row>
    <row r="96" customFormat="false" ht="15" hidden="false" customHeight="false" outlineLevel="0" collapsed="false">
      <c r="A96" s="26" t="s">
        <v>227</v>
      </c>
      <c r="B96" s="24"/>
      <c r="C96" s="39" t="n">
        <v>550</v>
      </c>
    </row>
    <row r="97" customFormat="false" ht="15" hidden="false" customHeight="false" outlineLevel="0" collapsed="false">
      <c r="A97" s="26" t="s">
        <v>228</v>
      </c>
      <c r="B97" s="24"/>
      <c r="C97" s="39" t="n">
        <v>600</v>
      </c>
    </row>
    <row r="98" customFormat="false" ht="15" hidden="false" customHeight="false" outlineLevel="0" collapsed="false">
      <c r="A98" s="26" t="s">
        <v>229</v>
      </c>
      <c r="B98" s="24"/>
      <c r="C98" s="39" t="n">
        <v>3200</v>
      </c>
    </row>
    <row r="99" customFormat="false" ht="15" hidden="false" customHeight="false" outlineLevel="0" collapsed="false">
      <c r="A99" s="26" t="s">
        <v>230</v>
      </c>
      <c r="B99" s="24"/>
      <c r="C99" s="39" t="n">
        <v>9000</v>
      </c>
    </row>
    <row r="100" customFormat="false" ht="15" hidden="false" customHeight="false" outlineLevel="0" collapsed="false">
      <c r="A100" s="26" t="s">
        <v>231</v>
      </c>
      <c r="B100" s="24"/>
      <c r="C100" s="39" t="n">
        <v>11000</v>
      </c>
    </row>
    <row r="101" customFormat="false" ht="15" hidden="false" customHeight="false" outlineLevel="0" collapsed="false">
      <c r="A101" s="26" t="s">
        <v>232</v>
      </c>
      <c r="B101" s="24"/>
      <c r="C101" s="39" t="n">
        <v>13000</v>
      </c>
    </row>
    <row r="102" customFormat="false" ht="15" hidden="false" customHeight="false" outlineLevel="0" collapsed="false">
      <c r="A102" s="26" t="s">
        <v>233</v>
      </c>
      <c r="B102" s="24" t="s">
        <v>234</v>
      </c>
      <c r="C102" s="40" t="n">
        <v>5.2</v>
      </c>
    </row>
    <row r="103" customFormat="false" ht="15" hidden="false" customHeight="false" outlineLevel="0" collapsed="false">
      <c r="A103" s="26" t="s">
        <v>235</v>
      </c>
      <c r="B103" s="24"/>
      <c r="C103" s="40" t="n">
        <v>4.6</v>
      </c>
    </row>
    <row r="104" customFormat="false" ht="15" hidden="false" customHeight="false" outlineLevel="0" collapsed="false">
      <c r="A104" s="26" t="s">
        <v>236</v>
      </c>
      <c r="B104" s="24"/>
      <c r="C104" s="40" t="n">
        <v>0.72</v>
      </c>
    </row>
    <row r="106" customFormat="false" ht="16.5" hidden="false" customHeight="true" outlineLevel="0" collapsed="false">
      <c r="A106" s="21" t="s">
        <v>237</v>
      </c>
      <c r="B106" s="21"/>
      <c r="C106" s="21"/>
      <c r="D106" s="21"/>
      <c r="E106" s="21"/>
      <c r="F106" s="21"/>
      <c r="G106" s="21"/>
      <c r="H106" s="21"/>
      <c r="I106" s="21"/>
      <c r="J106" s="21"/>
      <c r="K106" s="21"/>
      <c r="L106" s="21"/>
      <c r="M106" s="21"/>
      <c r="N106" s="21"/>
      <c r="O106" s="21"/>
      <c r="P106" s="21"/>
      <c r="Q106" s="21"/>
    </row>
    <row r="107" customFormat="false" ht="15" hidden="false" customHeight="false" outlineLevel="0" collapsed="false">
      <c r="A107" s="32" t="s">
        <v>238</v>
      </c>
      <c r="B107" s="32"/>
      <c r="C107" s="32"/>
      <c r="D107" s="32"/>
      <c r="E107" s="32"/>
      <c r="F107" s="32"/>
      <c r="G107" s="32"/>
      <c r="H107" s="32"/>
      <c r="I107" s="32"/>
      <c r="J107" s="32"/>
      <c r="K107" s="32"/>
      <c r="L107" s="32"/>
      <c r="M107" s="32"/>
      <c r="N107" s="32"/>
    </row>
    <row r="108" customFormat="false" ht="15" hidden="false" customHeight="false" outlineLevel="0" collapsed="false">
      <c r="A108" s="26" t="s">
        <v>239</v>
      </c>
      <c r="B108" s="24" t="s">
        <v>240</v>
      </c>
      <c r="C108" s="34" t="n">
        <v>0.1</v>
      </c>
      <c r="D108" s="34" t="n">
        <v>0.35</v>
      </c>
      <c r="E108" s="34" t="n">
        <v>0.55</v>
      </c>
    </row>
    <row r="109" customFormat="false" ht="15" hidden="false" customHeight="false" outlineLevel="0" collapsed="false">
      <c r="A109" s="26" t="s">
        <v>241</v>
      </c>
      <c r="B109" s="24" t="s">
        <v>242</v>
      </c>
      <c r="C109" s="34" t="n">
        <v>0.4</v>
      </c>
    </row>
    <row r="110" customFormat="false" ht="15" hidden="false" customHeight="false" outlineLevel="0" collapsed="false">
      <c r="A110" s="26" t="s">
        <v>243</v>
      </c>
      <c r="B110" s="24" t="s">
        <v>244</v>
      </c>
      <c r="C110" s="34" t="n">
        <v>0.15</v>
      </c>
      <c r="D110" s="34" t="n">
        <v>0.15</v>
      </c>
      <c r="E110" s="34" t="n">
        <v>0.14</v>
      </c>
    </row>
    <row r="111" customFormat="false" ht="15" hidden="false" customHeight="false" outlineLevel="0" collapsed="false">
      <c r="A111" s="26" t="s">
        <v>245</v>
      </c>
      <c r="B111" s="24"/>
      <c r="C111" s="34" t="n">
        <v>0.1</v>
      </c>
      <c r="D111" s="34" t="n">
        <v>0.1</v>
      </c>
      <c r="E111" s="34" t="n">
        <v>0.1</v>
      </c>
    </row>
    <row r="112" customFormat="false" ht="15" hidden="false" customHeight="false" outlineLevel="0" collapsed="false">
      <c r="A112" s="26" t="s">
        <v>246</v>
      </c>
      <c r="B112" s="24" t="s">
        <v>247</v>
      </c>
      <c r="C112" s="34" t="n">
        <v>0.08</v>
      </c>
      <c r="D112" s="34" t="n">
        <v>0.08</v>
      </c>
      <c r="E112" s="34" t="n">
        <v>0.07</v>
      </c>
    </row>
    <row r="113" customFormat="false" ht="15" hidden="false" customHeight="false" outlineLevel="0" collapsed="false">
      <c r="A113" s="26" t="s">
        <v>248</v>
      </c>
      <c r="B113" s="24"/>
      <c r="C113" s="34" t="n">
        <v>0.035</v>
      </c>
    </row>
    <row r="115" customFormat="false" ht="16.5" hidden="false" customHeight="true" outlineLevel="0" collapsed="false">
      <c r="A115" s="21" t="s">
        <v>249</v>
      </c>
      <c r="B115" s="21"/>
      <c r="C115" s="21"/>
      <c r="D115" s="21"/>
      <c r="E115" s="21"/>
      <c r="F115" s="21"/>
      <c r="G115" s="21"/>
      <c r="H115" s="21"/>
      <c r="I115" s="21"/>
      <c r="J115" s="21"/>
      <c r="K115" s="21"/>
      <c r="L115" s="21"/>
      <c r="M115" s="21"/>
      <c r="N115" s="21"/>
      <c r="O115" s="21"/>
      <c r="P115" s="21"/>
      <c r="Q115" s="21"/>
    </row>
    <row r="116" customFormat="false" ht="15" hidden="false" customHeight="false" outlineLevel="0" collapsed="false">
      <c r="A116" s="32" t="s">
        <v>250</v>
      </c>
      <c r="B116" s="32"/>
      <c r="C116" s="32"/>
      <c r="D116" s="32"/>
      <c r="E116" s="32"/>
      <c r="F116" s="32"/>
      <c r="G116" s="32"/>
      <c r="H116" s="32"/>
      <c r="I116" s="32"/>
      <c r="J116" s="32"/>
      <c r="K116" s="32"/>
      <c r="L116" s="32"/>
      <c r="M116" s="32"/>
      <c r="N116" s="32"/>
    </row>
    <row r="117" customFormat="false" ht="15" hidden="false" customHeight="false" outlineLevel="0" collapsed="false">
      <c r="A117" s="26" t="s">
        <v>251</v>
      </c>
      <c r="B117" s="24"/>
      <c r="C117" s="39" t="n">
        <v>1400</v>
      </c>
      <c r="D117" s="39" t="n">
        <v>2400</v>
      </c>
      <c r="E117" s="39" t="n">
        <v>3600</v>
      </c>
    </row>
    <row r="118" customFormat="false" ht="15" hidden="false" customHeight="false" outlineLevel="0" collapsed="false">
      <c r="A118" s="26" t="s">
        <v>252</v>
      </c>
      <c r="B118" s="24" t="s">
        <v>253</v>
      </c>
      <c r="C118" s="39" t="n">
        <v>0</v>
      </c>
      <c r="D118" s="39" t="n">
        <v>1600</v>
      </c>
      <c r="E118" s="39" t="n">
        <v>2800</v>
      </c>
    </row>
    <row r="119" customFormat="false" ht="15" hidden="false" customHeight="false" outlineLevel="0" collapsed="false">
      <c r="A119" s="26" t="s">
        <v>254</v>
      </c>
      <c r="B119" s="24"/>
      <c r="C119" s="39" t="n">
        <v>420</v>
      </c>
      <c r="D119" s="39" t="n">
        <v>760</v>
      </c>
      <c r="E119" s="39" t="n">
        <v>1250</v>
      </c>
    </row>
    <row r="120" customFormat="false" ht="15" hidden="false" customHeight="false" outlineLevel="0" collapsed="false">
      <c r="A120" s="26" t="s">
        <v>255</v>
      </c>
      <c r="B120" s="24"/>
      <c r="C120" s="39" t="n">
        <v>900</v>
      </c>
      <c r="D120" s="39" t="n">
        <v>2100</v>
      </c>
      <c r="E120" s="39" t="n">
        <v>4600</v>
      </c>
    </row>
    <row r="121" customFormat="false" ht="15" hidden="false" customHeight="false" outlineLevel="0" collapsed="false">
      <c r="A121" s="26" t="s">
        <v>256</v>
      </c>
      <c r="B121" s="24"/>
      <c r="C121" s="40" t="n">
        <v>0.085</v>
      </c>
    </row>
    <row r="122" customFormat="false" ht="15" hidden="false" customHeight="false" outlineLevel="0" collapsed="false">
      <c r="A122" s="26" t="s">
        <v>257</v>
      </c>
      <c r="B122" s="24"/>
      <c r="C122" s="39" t="n">
        <v>180</v>
      </c>
      <c r="D122" s="39" t="n">
        <v>195</v>
      </c>
      <c r="E122" s="39" t="n">
        <v>210</v>
      </c>
    </row>
    <row r="123" customFormat="false" ht="15" hidden="false" customHeight="false" outlineLevel="0" collapsed="false">
      <c r="A123" s="26" t="s">
        <v>258</v>
      </c>
      <c r="B123" s="24" t="s">
        <v>259</v>
      </c>
      <c r="C123" s="39" t="n">
        <v>1250</v>
      </c>
      <c r="D123" s="39" t="n">
        <v>1450</v>
      </c>
      <c r="E123" s="39" t="n">
        <v>1650</v>
      </c>
    </row>
    <row r="124" customFormat="false" ht="15" hidden="false" customHeight="false" outlineLevel="0" collapsed="false">
      <c r="A124" s="26" t="s">
        <v>260</v>
      </c>
      <c r="B124" s="24"/>
      <c r="C124" s="39" t="n">
        <v>3800</v>
      </c>
      <c r="D124" s="39" t="n">
        <v>5300</v>
      </c>
      <c r="E124" s="39" t="n">
        <v>9600</v>
      </c>
    </row>
    <row r="125" customFormat="false" ht="15" hidden="false" customHeight="false" outlineLevel="0" collapsed="false">
      <c r="A125" s="26" t="s">
        <v>261</v>
      </c>
      <c r="B125" s="24"/>
      <c r="C125" s="39" t="n">
        <v>1150</v>
      </c>
      <c r="D125" s="39" t="n">
        <v>2500</v>
      </c>
      <c r="E125" s="39" t="n">
        <v>4800</v>
      </c>
    </row>
    <row r="126" customFormat="false" ht="15" hidden="false" customHeight="false" outlineLevel="0" collapsed="false">
      <c r="A126" s="26" t="s">
        <v>262</v>
      </c>
      <c r="B126" s="24"/>
      <c r="C126" s="39" t="n">
        <v>600</v>
      </c>
      <c r="D126" s="39" t="n">
        <v>3200</v>
      </c>
      <c r="E126" s="39" t="n">
        <v>11600</v>
      </c>
    </row>
    <row r="127" customFormat="false" ht="15" hidden="false" customHeight="false" outlineLevel="0" collapsed="false">
      <c r="A127" s="26" t="s">
        <v>263</v>
      </c>
      <c r="B127" s="24"/>
      <c r="C127" s="39" t="n">
        <v>380</v>
      </c>
      <c r="D127" s="39" t="n">
        <v>620</v>
      </c>
      <c r="E127" s="39" t="n">
        <v>1100</v>
      </c>
    </row>
    <row r="128" customFormat="false" ht="15" hidden="false" customHeight="false" outlineLevel="0" collapsed="false">
      <c r="A128" s="26" t="s">
        <v>264</v>
      </c>
      <c r="B128" s="24"/>
      <c r="C128" s="34" t="n">
        <v>0.08</v>
      </c>
    </row>
    <row r="129" customFormat="false" ht="15" hidden="false" customHeight="false" outlineLevel="0" collapsed="false">
      <c r="A129" s="26" t="s">
        <v>265</v>
      </c>
      <c r="B129" s="24"/>
      <c r="C129" s="34" t="n">
        <v>0.06</v>
      </c>
    </row>
    <row r="130" customFormat="false" ht="15" hidden="false" customHeight="false" outlineLevel="0" collapsed="false">
      <c r="A130" s="26" t="s">
        <v>266</v>
      </c>
      <c r="B130" s="24"/>
      <c r="C130" s="39" t="n">
        <v>25</v>
      </c>
    </row>
    <row r="131" customFormat="false" ht="15" hidden="false" customHeight="false" outlineLevel="0" collapsed="false">
      <c r="A131" s="26" t="s">
        <v>267</v>
      </c>
      <c r="B131" s="24"/>
      <c r="C131" s="35" t="n">
        <v>60</v>
      </c>
      <c r="D131" s="35" t="n">
        <v>160</v>
      </c>
      <c r="E131" s="35" t="n">
        <v>340</v>
      </c>
    </row>
    <row r="132" customFormat="false" ht="15" hidden="false" customHeight="false" outlineLevel="0" collapsed="false">
      <c r="A132" s="26" t="s">
        <v>268</v>
      </c>
      <c r="B132" s="24"/>
      <c r="C132" s="35" t="n">
        <v>7</v>
      </c>
    </row>
    <row r="134" customFormat="false" ht="16.5" hidden="false" customHeight="true" outlineLevel="0" collapsed="false">
      <c r="A134" s="21" t="s">
        <v>269</v>
      </c>
      <c r="B134" s="21"/>
      <c r="C134" s="21"/>
      <c r="D134" s="21"/>
      <c r="E134" s="21"/>
      <c r="F134" s="21"/>
      <c r="G134" s="21"/>
      <c r="H134" s="21"/>
      <c r="I134" s="21"/>
      <c r="J134" s="21"/>
      <c r="K134" s="21"/>
      <c r="L134" s="21"/>
      <c r="M134" s="21"/>
      <c r="N134" s="21"/>
      <c r="O134" s="21"/>
      <c r="P134" s="21"/>
      <c r="Q134" s="21"/>
    </row>
    <row r="135" customFormat="false" ht="15" hidden="false" customHeight="false" outlineLevel="0" collapsed="false">
      <c r="A135" s="26" t="s">
        <v>270</v>
      </c>
      <c r="B135" s="24" t="s">
        <v>271</v>
      </c>
      <c r="C135" s="43" t="n">
        <v>75</v>
      </c>
    </row>
    <row r="136" customFormat="false" ht="15" hidden="false" customHeight="false" outlineLevel="0" collapsed="false">
      <c r="A136" s="26" t="s">
        <v>272</v>
      </c>
      <c r="B136" s="24" t="s">
        <v>273</v>
      </c>
      <c r="C136" s="43" t="n">
        <v>2</v>
      </c>
    </row>
    <row r="137" customFormat="false" ht="15" hidden="false" customHeight="false" outlineLevel="0" collapsed="false">
      <c r="A137" s="26" t="s">
        <v>274</v>
      </c>
      <c r="B137" s="24"/>
      <c r="C137" s="43" t="n">
        <v>35</v>
      </c>
    </row>
    <row r="138" customFormat="false" ht="15" hidden="false" customHeight="false" outlineLevel="0" collapsed="false">
      <c r="A138" s="26" t="s">
        <v>275</v>
      </c>
      <c r="B138" s="24"/>
      <c r="C138" s="43" t="n">
        <v>10</v>
      </c>
    </row>
    <row r="139" customFormat="false" ht="15" hidden="false" customHeight="false" outlineLevel="0" collapsed="false">
      <c r="A139" s="26" t="s">
        <v>276</v>
      </c>
      <c r="B139" s="24" t="s">
        <v>277</v>
      </c>
      <c r="C139" s="34" t="n">
        <v>0.3</v>
      </c>
    </row>
    <row r="140" customFormat="false" ht="15" hidden="false" customHeight="false" outlineLevel="0" collapsed="false">
      <c r="A140" s="26" t="s">
        <v>278</v>
      </c>
      <c r="B140" s="24" t="s">
        <v>279</v>
      </c>
      <c r="C140" s="39" t="n">
        <v>50000</v>
      </c>
    </row>
    <row r="141" customFormat="false" ht="15" hidden="false" customHeight="false" outlineLevel="0" collapsed="false">
      <c r="A141" s="26" t="s">
        <v>280</v>
      </c>
      <c r="B141" s="24" t="s">
        <v>281</v>
      </c>
      <c r="C141" s="39" t="n">
        <v>600000</v>
      </c>
    </row>
    <row r="142" customFormat="false" ht="15" hidden="false" customHeight="false" outlineLevel="0" collapsed="false">
      <c r="A142" s="26" t="s">
        <v>282</v>
      </c>
      <c r="B142" s="24" t="s">
        <v>283</v>
      </c>
      <c r="C142" s="35" t="n">
        <v>1</v>
      </c>
    </row>
    <row r="143" customFormat="false" ht="15" hidden="false" customHeight="false" outlineLevel="0" collapsed="false">
      <c r="A143" s="26" t="s">
        <v>284</v>
      </c>
      <c r="B143" s="24"/>
      <c r="C143" s="39" t="n">
        <v>90000</v>
      </c>
    </row>
    <row r="145" customFormat="false" ht="16.5" hidden="false" customHeight="true" outlineLevel="0" collapsed="false">
      <c r="A145" s="21" t="s">
        <v>285</v>
      </c>
      <c r="B145" s="21"/>
      <c r="C145" s="21"/>
      <c r="D145" s="21"/>
      <c r="E145" s="21"/>
      <c r="F145" s="21"/>
      <c r="G145" s="21"/>
      <c r="H145" s="21"/>
      <c r="I145" s="21"/>
      <c r="J145" s="21"/>
      <c r="K145" s="21"/>
      <c r="L145" s="21"/>
      <c r="M145" s="21"/>
      <c r="N145" s="21"/>
      <c r="O145" s="21"/>
      <c r="P145" s="21"/>
      <c r="Q145" s="21"/>
    </row>
    <row r="146" customFormat="false" ht="15" hidden="false" customHeight="false" outlineLevel="0" collapsed="false">
      <c r="A146" s="32" t="s">
        <v>286</v>
      </c>
      <c r="B146" s="32"/>
      <c r="C146" s="32"/>
      <c r="D146" s="32"/>
      <c r="E146" s="32"/>
      <c r="F146" s="32"/>
      <c r="G146" s="32"/>
      <c r="H146" s="32"/>
      <c r="I146" s="32"/>
      <c r="J146" s="32"/>
      <c r="K146" s="32"/>
      <c r="L146" s="32"/>
      <c r="M146" s="32"/>
      <c r="N146" s="32"/>
    </row>
    <row r="147" customFormat="false" ht="25.5" hidden="false" customHeight="true" outlineLevel="0" collapsed="false">
      <c r="A147" s="36" t="s">
        <v>287</v>
      </c>
      <c r="B147" s="22"/>
      <c r="C147" s="41" t="s">
        <v>288</v>
      </c>
      <c r="D147" s="41" t="s">
        <v>289</v>
      </c>
      <c r="E147" s="41" t="s">
        <v>290</v>
      </c>
    </row>
    <row r="148" customFormat="false" ht="15" hidden="false" customHeight="false" outlineLevel="0" collapsed="false">
      <c r="A148" s="26" t="s">
        <v>291</v>
      </c>
      <c r="B148" s="24"/>
      <c r="C148" s="39" t="n">
        <v>1400</v>
      </c>
      <c r="D148" s="35" t="n">
        <v>1</v>
      </c>
      <c r="E148" s="35" t="n">
        <v>36</v>
      </c>
    </row>
    <row r="149" customFormat="false" ht="15" hidden="false" customHeight="false" outlineLevel="0" collapsed="false">
      <c r="A149" s="26" t="s">
        <v>292</v>
      </c>
      <c r="B149" s="24"/>
      <c r="C149" s="39" t="n">
        <v>620</v>
      </c>
      <c r="D149" s="35" t="n">
        <v>1</v>
      </c>
      <c r="E149" s="35" t="n">
        <v>60</v>
      </c>
    </row>
    <row r="150" customFormat="false" ht="15" hidden="false" customHeight="false" outlineLevel="0" collapsed="false">
      <c r="A150" s="26" t="s">
        <v>293</v>
      </c>
      <c r="B150" s="24"/>
      <c r="C150" s="39" t="n">
        <v>310</v>
      </c>
      <c r="D150" s="35" t="n">
        <v>1</v>
      </c>
      <c r="E150" s="35" t="n">
        <v>48</v>
      </c>
    </row>
    <row r="151" customFormat="false" ht="15" hidden="false" customHeight="false" outlineLevel="0" collapsed="false">
      <c r="A151" s="26" t="s">
        <v>294</v>
      </c>
      <c r="B151" s="24"/>
      <c r="C151" s="39" t="n">
        <v>390</v>
      </c>
      <c r="D151" s="35" t="n">
        <v>1</v>
      </c>
      <c r="E151" s="35" t="n">
        <v>24</v>
      </c>
    </row>
    <row r="152" customFormat="false" ht="15" hidden="false" customHeight="false" outlineLevel="0" collapsed="false">
      <c r="A152" s="10" t="s">
        <v>295</v>
      </c>
      <c r="B152" s="24"/>
      <c r="C152" s="25" t="n">
        <f aca="false">SUMPRODUCT(C148:C151,D148:D151)</f>
        <v>2720</v>
      </c>
    </row>
    <row r="154" customFormat="false" ht="15" hidden="false" customHeight="false" outlineLevel="0" collapsed="false">
      <c r="A154" s="26" t="s">
        <v>296</v>
      </c>
      <c r="B154" s="24" t="s">
        <v>297</v>
      </c>
    </row>
    <row r="155" customFormat="false" ht="15" hidden="false" customHeight="false" outlineLevel="0" collapsed="false">
      <c r="A155" s="26" t="s">
        <v>298</v>
      </c>
      <c r="B155" s="24"/>
      <c r="C155" s="35" t="n">
        <v>1</v>
      </c>
      <c r="D155" s="39" t="n">
        <v>14000</v>
      </c>
      <c r="E155" s="35" t="n">
        <v>60</v>
      </c>
    </row>
    <row r="156" customFormat="false" ht="15" hidden="false" customHeight="false" outlineLevel="0" collapsed="false">
      <c r="A156" s="26" t="s">
        <v>299</v>
      </c>
      <c r="B156" s="24"/>
      <c r="C156" s="35" t="n">
        <v>2</v>
      </c>
      <c r="D156" s="39" t="n">
        <v>9500</v>
      </c>
      <c r="E156" s="35" t="n">
        <v>48</v>
      </c>
    </row>
    <row r="157" customFormat="false" ht="15" hidden="false" customHeight="false" outlineLevel="0" collapsed="false">
      <c r="A157" s="26" t="s">
        <v>300</v>
      </c>
      <c r="B157" s="24"/>
      <c r="C157" s="35" t="n">
        <v>14</v>
      </c>
      <c r="D157" s="39" t="n">
        <v>8500</v>
      </c>
      <c r="E157" s="35" t="n">
        <v>60</v>
      </c>
    </row>
    <row r="158" customFormat="false" ht="15" hidden="false" customHeight="false" outlineLevel="0" collapsed="false">
      <c r="A158" s="26" t="s">
        <v>301</v>
      </c>
      <c r="B158" s="24"/>
      <c r="C158" s="35" t="n">
        <v>1</v>
      </c>
      <c r="D158" s="39" t="n">
        <v>4200</v>
      </c>
      <c r="E158" s="35" t="n">
        <v>48</v>
      </c>
    </row>
    <row r="159" customFormat="false" ht="15" hidden="false" customHeight="false" outlineLevel="0" collapsed="false">
      <c r="A159" s="26" t="s">
        <v>302</v>
      </c>
      <c r="B159" s="24"/>
      <c r="C159" s="35" t="n">
        <v>1</v>
      </c>
      <c r="D159" s="39" t="n">
        <v>86000</v>
      </c>
      <c r="E159" s="35" t="n">
        <v>36</v>
      </c>
    </row>
    <row r="160" customFormat="false" ht="15" hidden="false" customHeight="false" outlineLevel="0" collapsed="false">
      <c r="A160" s="26" t="s">
        <v>303</v>
      </c>
      <c r="B160" s="24"/>
      <c r="C160" s="35" t="n">
        <v>1</v>
      </c>
      <c r="D160" s="39" t="n">
        <v>42000</v>
      </c>
      <c r="E160" s="35" t="n">
        <v>36</v>
      </c>
    </row>
    <row r="161" customFormat="false" ht="15" hidden="false" customHeight="false" outlineLevel="0" collapsed="false">
      <c r="A161" s="26" t="s">
        <v>304</v>
      </c>
      <c r="B161" s="24"/>
      <c r="C161" s="35" t="n">
        <v>1</v>
      </c>
      <c r="D161" s="39" t="n">
        <v>11000</v>
      </c>
      <c r="E161" s="35" t="n">
        <v>60</v>
      </c>
    </row>
  </sheetData>
  <mergeCells count="10">
    <mergeCell ref="A1:AP1"/>
    <mergeCell ref="A2:AP2"/>
    <mergeCell ref="A6:N6"/>
    <mergeCell ref="A12:N12"/>
    <mergeCell ref="A53:N53"/>
    <mergeCell ref="A63:N63"/>
    <mergeCell ref="A73:N73"/>
    <mergeCell ref="A107:N107"/>
    <mergeCell ref="A116:N116"/>
    <mergeCell ref="A146:N1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2" topLeftCell="C33" activePane="bottomRight" state="frozen"/>
      <selection pane="topLeft" activeCell="A1" activeCellId="0" sqref="A1"/>
      <selection pane="topRight" activeCell="C1" activeCellId="0" sqref="C1"/>
      <selection pane="bottomLeft" activeCell="A33" activeCellId="0" sqref="A33"/>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305</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306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307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25.5" hidden="false" customHeight="true" outlineLevel="0" collapsed="false">
      <c r="A6" s="44" t="s">
        <v>308</v>
      </c>
      <c r="B6" s="44" t="s">
        <v>309</v>
      </c>
      <c r="C6" s="44" t="s">
        <v>310</v>
      </c>
      <c r="D6" s="44" t="s">
        <v>311</v>
      </c>
      <c r="E6" s="44" t="s">
        <v>312</v>
      </c>
      <c r="F6" s="44" t="s">
        <v>313</v>
      </c>
      <c r="G6" s="44" t="s">
        <v>314</v>
      </c>
    </row>
    <row r="7" customFormat="false" ht="15" hidden="false" customHeight="false" outlineLevel="0" collapsed="false">
      <c r="A7" s="45" t="s">
        <v>315</v>
      </c>
      <c r="B7" s="24" t="s">
        <v>316</v>
      </c>
      <c r="C7" s="35" t="n">
        <v>1</v>
      </c>
      <c r="D7" s="39" t="n">
        <v>3000</v>
      </c>
      <c r="E7" s="35" t="n">
        <v>1</v>
      </c>
      <c r="F7" s="35" t="n">
        <v>1</v>
      </c>
      <c r="G7" s="35" t="n">
        <v>1</v>
      </c>
    </row>
    <row r="8" customFormat="false" ht="15" hidden="false" customHeight="false" outlineLevel="0" collapsed="false">
      <c r="A8" s="45" t="s">
        <v>317</v>
      </c>
      <c r="B8" s="24" t="s">
        <v>316</v>
      </c>
      <c r="C8" s="35" t="n">
        <v>1</v>
      </c>
      <c r="D8" s="39" t="n">
        <v>3000</v>
      </c>
      <c r="E8" s="35" t="n">
        <v>1</v>
      </c>
      <c r="F8" s="35" t="n">
        <v>1</v>
      </c>
      <c r="G8" s="35" t="n">
        <v>1</v>
      </c>
    </row>
    <row r="9" customFormat="false" ht="15" hidden="false" customHeight="false" outlineLevel="0" collapsed="false">
      <c r="A9" s="45" t="s">
        <v>318</v>
      </c>
      <c r="B9" s="24" t="s">
        <v>316</v>
      </c>
      <c r="C9" s="35" t="n">
        <v>25</v>
      </c>
      <c r="D9" s="39" t="n">
        <v>3200</v>
      </c>
      <c r="E9" s="35" t="n">
        <v>0</v>
      </c>
      <c r="F9" s="35" t="n">
        <v>0</v>
      </c>
      <c r="G9" s="35" t="n">
        <v>0</v>
      </c>
    </row>
    <row r="10" customFormat="false" ht="15" hidden="false" customHeight="false" outlineLevel="0" collapsed="false">
      <c r="A10" s="45" t="s">
        <v>319</v>
      </c>
      <c r="B10" s="24" t="s">
        <v>320</v>
      </c>
      <c r="C10" s="35" t="n">
        <v>1</v>
      </c>
      <c r="D10" s="39" t="n">
        <v>2400</v>
      </c>
      <c r="E10" s="35" t="n">
        <v>1</v>
      </c>
      <c r="F10" s="35" t="n">
        <v>2</v>
      </c>
      <c r="G10" s="35" t="n">
        <v>2</v>
      </c>
    </row>
    <row r="11" customFormat="false" ht="15" hidden="false" customHeight="false" outlineLevel="0" collapsed="false">
      <c r="A11" s="45" t="s">
        <v>321</v>
      </c>
      <c r="B11" s="24" t="s">
        <v>320</v>
      </c>
      <c r="C11" s="35" t="n">
        <v>25</v>
      </c>
      <c r="D11" s="39" t="n">
        <v>2800</v>
      </c>
      <c r="E11" s="35" t="n">
        <v>0</v>
      </c>
      <c r="F11" s="35" t="n">
        <v>0</v>
      </c>
      <c r="G11" s="35" t="n">
        <v>0</v>
      </c>
    </row>
    <row r="12" customFormat="false" ht="15" hidden="false" customHeight="false" outlineLevel="0" collapsed="false">
      <c r="A12" s="45" t="s">
        <v>322</v>
      </c>
      <c r="B12" s="24" t="s">
        <v>320</v>
      </c>
      <c r="C12" s="35" t="n">
        <v>25</v>
      </c>
      <c r="D12" s="39" t="n">
        <v>1800</v>
      </c>
      <c r="E12" s="35" t="n">
        <v>0</v>
      </c>
      <c r="F12" s="35" t="n">
        <v>0</v>
      </c>
      <c r="G12" s="35" t="n">
        <v>0</v>
      </c>
    </row>
    <row r="13" customFormat="false" ht="15" hidden="false" customHeight="false" outlineLevel="0" collapsed="false">
      <c r="A13" s="45" t="s">
        <v>323</v>
      </c>
      <c r="B13" s="24" t="s">
        <v>324</v>
      </c>
      <c r="C13" s="35" t="n">
        <v>1</v>
      </c>
      <c r="D13" s="39" t="n">
        <v>2400</v>
      </c>
      <c r="E13" s="35" t="n">
        <v>1</v>
      </c>
      <c r="F13" s="35" t="n">
        <v>1</v>
      </c>
      <c r="G13" s="35" t="n">
        <v>1</v>
      </c>
    </row>
    <row r="14" customFormat="false" ht="15" hidden="false" customHeight="false" outlineLevel="0" collapsed="false">
      <c r="A14" s="45" t="s">
        <v>325</v>
      </c>
      <c r="B14" s="24" t="s">
        <v>324</v>
      </c>
      <c r="C14" s="35" t="n">
        <v>13</v>
      </c>
      <c r="D14" s="39" t="n">
        <v>2000</v>
      </c>
      <c r="E14" s="35" t="n">
        <v>0</v>
      </c>
      <c r="F14" s="35" t="n">
        <v>1</v>
      </c>
      <c r="G14" s="35" t="n">
        <v>1</v>
      </c>
    </row>
    <row r="15" customFormat="false" ht="15" hidden="false" customHeight="false" outlineLevel="0" collapsed="false">
      <c r="A15" s="45" t="s">
        <v>326</v>
      </c>
      <c r="B15" s="24" t="s">
        <v>324</v>
      </c>
      <c r="C15" s="35" t="n">
        <v>25</v>
      </c>
      <c r="D15" s="39" t="n">
        <v>1500</v>
      </c>
      <c r="E15" s="35" t="n">
        <v>0</v>
      </c>
      <c r="F15" s="35" t="n">
        <v>0</v>
      </c>
      <c r="G15" s="35" t="n">
        <v>1</v>
      </c>
    </row>
    <row r="16" customFormat="false" ht="15" hidden="false" customHeight="false" outlineLevel="0" collapsed="false">
      <c r="A16" s="45" t="s">
        <v>327</v>
      </c>
      <c r="B16" s="24" t="s">
        <v>324</v>
      </c>
      <c r="C16" s="35" t="n">
        <v>25</v>
      </c>
      <c r="D16" s="39" t="n">
        <v>1300</v>
      </c>
      <c r="E16" s="35" t="n">
        <v>0</v>
      </c>
      <c r="F16" s="35" t="n">
        <v>0</v>
      </c>
      <c r="G16" s="35" t="n">
        <v>0</v>
      </c>
    </row>
    <row r="17" customFormat="false" ht="15" hidden="false" customHeight="false" outlineLevel="0" collapsed="false">
      <c r="A17" s="45" t="s">
        <v>328</v>
      </c>
      <c r="B17" s="24" t="s">
        <v>329</v>
      </c>
      <c r="C17" s="35" t="n">
        <v>1</v>
      </c>
      <c r="D17" s="39" t="n">
        <v>2200</v>
      </c>
      <c r="E17" s="35" t="n">
        <v>1</v>
      </c>
      <c r="F17" s="35" t="n">
        <v>1</v>
      </c>
      <c r="G17" s="35" t="n">
        <v>1</v>
      </c>
    </row>
    <row r="18" customFormat="false" ht="15" hidden="false" customHeight="false" outlineLevel="0" collapsed="false">
      <c r="A18" s="45" t="s">
        <v>330</v>
      </c>
      <c r="B18" s="24" t="s">
        <v>329</v>
      </c>
      <c r="C18" s="35" t="n">
        <v>13</v>
      </c>
      <c r="D18" s="39" t="n">
        <v>5000</v>
      </c>
      <c r="E18" s="35" t="n">
        <v>0</v>
      </c>
      <c r="F18" s="35" t="n">
        <v>1</v>
      </c>
      <c r="G18" s="35" t="n">
        <v>1</v>
      </c>
    </row>
    <row r="19" customFormat="false" ht="15" hidden="false" customHeight="false" outlineLevel="0" collapsed="false">
      <c r="A19" s="45" t="s">
        <v>331</v>
      </c>
      <c r="B19" s="24" t="s">
        <v>329</v>
      </c>
      <c r="C19" s="35" t="n">
        <v>25</v>
      </c>
      <c r="D19" s="39" t="n">
        <v>2600</v>
      </c>
      <c r="E19" s="35" t="n">
        <v>0</v>
      </c>
      <c r="F19" s="35" t="n">
        <v>0</v>
      </c>
      <c r="G19" s="35" t="n">
        <v>1</v>
      </c>
    </row>
    <row r="20" customFormat="false" ht="15" hidden="false" customHeight="false" outlineLevel="0" collapsed="false">
      <c r="A20" s="45" t="s">
        <v>332</v>
      </c>
      <c r="B20" s="24" t="s">
        <v>329</v>
      </c>
      <c r="C20" s="35" t="n">
        <v>25</v>
      </c>
      <c r="D20" s="39" t="n">
        <v>1200</v>
      </c>
      <c r="E20" s="35" t="n">
        <v>0</v>
      </c>
      <c r="F20" s="35" t="n">
        <v>0</v>
      </c>
      <c r="G20" s="35" t="n">
        <v>1</v>
      </c>
    </row>
    <row r="21" customFormat="false" ht="15" hidden="false" customHeight="false" outlineLevel="0" collapsed="false">
      <c r="A21" s="45" t="s">
        <v>333</v>
      </c>
      <c r="B21" s="24" t="s">
        <v>329</v>
      </c>
      <c r="C21" s="35" t="n">
        <v>25</v>
      </c>
      <c r="D21" s="39" t="n">
        <v>2200</v>
      </c>
      <c r="E21" s="35" t="n">
        <v>0</v>
      </c>
      <c r="F21" s="35" t="n">
        <v>0</v>
      </c>
      <c r="G21" s="35" t="n">
        <v>0</v>
      </c>
    </row>
    <row r="22" customFormat="false" ht="15" hidden="false" customHeight="false" outlineLevel="0" collapsed="false">
      <c r="A22" s="45" t="s">
        <v>334</v>
      </c>
      <c r="B22" s="24" t="s">
        <v>329</v>
      </c>
      <c r="C22" s="35" t="n">
        <v>25</v>
      </c>
      <c r="D22" s="39" t="n">
        <v>1600</v>
      </c>
      <c r="E22" s="35" t="n">
        <v>0</v>
      </c>
      <c r="F22" s="35" t="n">
        <v>0</v>
      </c>
      <c r="G22" s="35" t="n">
        <v>0</v>
      </c>
    </row>
    <row r="23" customFormat="false" ht="15" hidden="false" customHeight="false" outlineLevel="0" collapsed="false">
      <c r="A23" s="45" t="s">
        <v>335</v>
      </c>
      <c r="B23" s="24" t="s">
        <v>336</v>
      </c>
      <c r="C23" s="35" t="n">
        <v>1</v>
      </c>
      <c r="D23" s="39" t="n">
        <v>2000</v>
      </c>
      <c r="E23" s="35" t="n">
        <v>1</v>
      </c>
      <c r="F23" s="35" t="n">
        <v>1</v>
      </c>
      <c r="G23" s="35" t="n">
        <v>1</v>
      </c>
    </row>
    <row r="24" customFormat="false" ht="15" hidden="false" customHeight="false" outlineLevel="0" collapsed="false">
      <c r="A24" s="45" t="s">
        <v>337</v>
      </c>
      <c r="B24" s="24" t="s">
        <v>336</v>
      </c>
      <c r="C24" s="35" t="n">
        <v>25</v>
      </c>
      <c r="D24" s="39" t="n">
        <v>900</v>
      </c>
      <c r="E24" s="35" t="n">
        <v>0</v>
      </c>
      <c r="F24" s="35" t="n">
        <v>0</v>
      </c>
      <c r="G24" s="35" t="n">
        <v>0</v>
      </c>
    </row>
    <row r="25" customFormat="false" ht="15" hidden="false" customHeight="false" outlineLevel="0" collapsed="false">
      <c r="A25" s="10" t="s">
        <v>338</v>
      </c>
      <c r="B25" s="24" t="s">
        <v>339</v>
      </c>
      <c r="E25" s="46" t="n">
        <f aca="false">SUM(E7:E24)</f>
        <v>6</v>
      </c>
      <c r="F25" s="46" t="n">
        <f aca="false">SUM(F7:F24)</f>
        <v>9</v>
      </c>
      <c r="G25" s="46" t="n">
        <f aca="false">SUM(G7:G24)</f>
        <v>12</v>
      </c>
    </row>
    <row r="27" customFormat="false" ht="15" hidden="false" customHeight="false" outlineLevel="0" collapsed="false">
      <c r="A27" s="26" t="s">
        <v>340</v>
      </c>
      <c r="B27" s="24" t="s">
        <v>341</v>
      </c>
      <c r="C27" s="34" t="n">
        <v>0.155</v>
      </c>
    </row>
    <row r="28" customFormat="false" ht="15" hidden="false" customHeight="false" outlineLevel="0" collapsed="false">
      <c r="A28" s="26" t="s">
        <v>342</v>
      </c>
      <c r="B28" s="24" t="s">
        <v>343</v>
      </c>
      <c r="C28" s="34" t="n">
        <v>0.08</v>
      </c>
    </row>
    <row r="30" customFormat="false" ht="16.5" hidden="false" customHeight="true" outlineLevel="0" collapsed="false">
      <c r="A30" s="21" t="s">
        <v>344</v>
      </c>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row>
    <row r="31" customFormat="false" ht="15.75" hidden="false" customHeight="true" outlineLevel="0" collapsed="false">
      <c r="A31" s="36" t="s">
        <v>345</v>
      </c>
      <c r="B31" s="36" t="s">
        <v>346</v>
      </c>
      <c r="C31" s="47" t="s">
        <v>347</v>
      </c>
      <c r="D31" s="47" t="s">
        <v>348</v>
      </c>
      <c r="E31" s="47" t="s">
        <v>349</v>
      </c>
      <c r="F31" s="47" t="s">
        <v>350</v>
      </c>
      <c r="G31" s="47" t="s">
        <v>351</v>
      </c>
      <c r="H31" s="47" t="s">
        <v>352</v>
      </c>
      <c r="I31" s="47" t="s">
        <v>353</v>
      </c>
      <c r="J31" s="47" t="s">
        <v>354</v>
      </c>
      <c r="K31" s="47" t="s">
        <v>355</v>
      </c>
      <c r="L31" s="47" t="s">
        <v>356</v>
      </c>
      <c r="M31" s="47" t="s">
        <v>357</v>
      </c>
      <c r="N31" s="47" t="s">
        <v>358</v>
      </c>
      <c r="O31" s="48" t="s">
        <v>359</v>
      </c>
      <c r="P31" s="48" t="s">
        <v>360</v>
      </c>
      <c r="Q31" s="48" t="s">
        <v>361</v>
      </c>
      <c r="R31" s="48" t="s">
        <v>362</v>
      </c>
      <c r="S31" s="48" t="s">
        <v>363</v>
      </c>
      <c r="T31" s="48" t="s">
        <v>364</v>
      </c>
      <c r="U31" s="48" t="s">
        <v>365</v>
      </c>
      <c r="V31" s="48" t="s">
        <v>366</v>
      </c>
      <c r="W31" s="48" t="s">
        <v>367</v>
      </c>
      <c r="X31" s="48" t="s">
        <v>368</v>
      </c>
      <c r="Y31" s="48" t="s">
        <v>369</v>
      </c>
      <c r="Z31" s="48" t="s">
        <v>370</v>
      </c>
      <c r="AA31" s="47" t="s">
        <v>371</v>
      </c>
      <c r="AB31" s="47" t="s">
        <v>372</v>
      </c>
      <c r="AC31" s="47" t="s">
        <v>373</v>
      </c>
      <c r="AD31" s="47" t="s">
        <v>374</v>
      </c>
      <c r="AE31" s="47" t="s">
        <v>375</v>
      </c>
      <c r="AF31" s="47" t="s">
        <v>376</v>
      </c>
      <c r="AG31" s="47" t="s">
        <v>377</v>
      </c>
      <c r="AH31" s="47" t="s">
        <v>378</v>
      </c>
      <c r="AI31" s="47" t="s">
        <v>379</v>
      </c>
      <c r="AJ31" s="47" t="s">
        <v>380</v>
      </c>
      <c r="AK31" s="47" t="s">
        <v>381</v>
      </c>
      <c r="AL31" s="47" t="s">
        <v>382</v>
      </c>
      <c r="AM31" s="49"/>
      <c r="AN31" s="50" t="s">
        <v>383</v>
      </c>
      <c r="AO31" s="50" t="s">
        <v>384</v>
      </c>
      <c r="AP31" s="50" t="s">
        <v>385</v>
      </c>
    </row>
    <row r="32" customFormat="false" ht="15" hidden="false" customHeight="false" outlineLevel="0" collapsed="false">
      <c r="A32" s="26" t="s">
        <v>315</v>
      </c>
      <c r="B32" s="24" t="s">
        <v>316</v>
      </c>
      <c r="C32" s="51" t="n">
        <f aca="false">IF(1&lt;$C$7,0,$E$7*$D$7*(1+$C$27)*(1+$C$28)^0)</f>
        <v>3465</v>
      </c>
      <c r="D32" s="51" t="n">
        <f aca="false">IF(2&lt;$C$7,0,$E$7*$D$7*(1+$C$27)*(1+$C$28)^0)</f>
        <v>3465</v>
      </c>
      <c r="E32" s="51" t="n">
        <f aca="false">IF(3&lt;$C$7,0,$E$7*$D$7*(1+$C$27)*(1+$C$28)^0)</f>
        <v>3465</v>
      </c>
      <c r="F32" s="51" t="n">
        <f aca="false">IF(4&lt;$C$7,0,$E$7*$D$7*(1+$C$27)*(1+$C$28)^0)</f>
        <v>3465</v>
      </c>
      <c r="G32" s="51" t="n">
        <f aca="false">IF(5&lt;$C$7,0,$E$7*$D$7*(1+$C$27)*(1+$C$28)^0)</f>
        <v>3465</v>
      </c>
      <c r="H32" s="51" t="n">
        <f aca="false">IF(6&lt;$C$7,0,$E$7*$D$7*(1+$C$27)*(1+$C$28)^0)</f>
        <v>3465</v>
      </c>
      <c r="I32" s="51" t="n">
        <f aca="false">IF(7&lt;$C$7,0,$E$7*$D$7*(1+$C$27)*(1+$C$28)^0)</f>
        <v>3465</v>
      </c>
      <c r="J32" s="51" t="n">
        <f aca="false">IF(8&lt;$C$7,0,$E$7*$D$7*(1+$C$27)*(1+$C$28)^0)</f>
        <v>3465</v>
      </c>
      <c r="K32" s="51" t="n">
        <f aca="false">IF(9&lt;$C$7,0,$E$7*$D$7*(1+$C$27)*(1+$C$28)^0)</f>
        <v>3465</v>
      </c>
      <c r="L32" s="51" t="n">
        <f aca="false">IF(10&lt;$C$7,0,$E$7*$D$7*(1+$C$27)*(1+$C$28)^0)</f>
        <v>3465</v>
      </c>
      <c r="M32" s="51" t="n">
        <f aca="false">IF(11&lt;$C$7,0,$E$7*$D$7*(1+$C$27)*(1+$C$28)^0)</f>
        <v>3465</v>
      </c>
      <c r="N32" s="51" t="n">
        <f aca="false">IF(12&lt;$C$7,0,$E$7*$D$7*(1+$C$27)*(1+$C$28)^0)</f>
        <v>3465</v>
      </c>
      <c r="O32" s="51" t="n">
        <f aca="false">IF(13&lt;$C$7,0,$F$7*$D$7*(1+$C$27)*(1+$C$28)^1)</f>
        <v>3742.2</v>
      </c>
      <c r="P32" s="51" t="n">
        <f aca="false">IF(14&lt;$C$7,0,$F$7*$D$7*(1+$C$27)*(1+$C$28)^1)</f>
        <v>3742.2</v>
      </c>
      <c r="Q32" s="51" t="n">
        <f aca="false">IF(15&lt;$C$7,0,$F$7*$D$7*(1+$C$27)*(1+$C$28)^1)</f>
        <v>3742.2</v>
      </c>
      <c r="R32" s="51" t="n">
        <f aca="false">IF(16&lt;$C$7,0,$F$7*$D$7*(1+$C$27)*(1+$C$28)^1)</f>
        <v>3742.2</v>
      </c>
      <c r="S32" s="51" t="n">
        <f aca="false">IF(17&lt;$C$7,0,$F$7*$D$7*(1+$C$27)*(1+$C$28)^1)</f>
        <v>3742.2</v>
      </c>
      <c r="T32" s="51" t="n">
        <f aca="false">IF(18&lt;$C$7,0,$F$7*$D$7*(1+$C$27)*(1+$C$28)^1)</f>
        <v>3742.2</v>
      </c>
      <c r="U32" s="51" t="n">
        <f aca="false">IF(19&lt;$C$7,0,$F$7*$D$7*(1+$C$27)*(1+$C$28)^1)</f>
        <v>3742.2</v>
      </c>
      <c r="V32" s="51" t="n">
        <f aca="false">IF(20&lt;$C$7,0,$F$7*$D$7*(1+$C$27)*(1+$C$28)^1)</f>
        <v>3742.2</v>
      </c>
      <c r="W32" s="51" t="n">
        <f aca="false">IF(21&lt;$C$7,0,$F$7*$D$7*(1+$C$27)*(1+$C$28)^1)</f>
        <v>3742.2</v>
      </c>
      <c r="X32" s="51" t="n">
        <f aca="false">IF(22&lt;$C$7,0,$F$7*$D$7*(1+$C$27)*(1+$C$28)^1)</f>
        <v>3742.2</v>
      </c>
      <c r="Y32" s="51" t="n">
        <f aca="false">IF(23&lt;$C$7,0,$F$7*$D$7*(1+$C$27)*(1+$C$28)^1)</f>
        <v>3742.2</v>
      </c>
      <c r="Z32" s="51" t="n">
        <f aca="false">IF(24&lt;$C$7,0,$F$7*$D$7*(1+$C$27)*(1+$C$28)^1)</f>
        <v>3742.2</v>
      </c>
      <c r="AA32" s="51" t="n">
        <f aca="false">IF(25&lt;$C$7,0,$G$7*$D$7*(1+$C$27)*(1+$C$28)^2)</f>
        <v>4041.576</v>
      </c>
      <c r="AB32" s="51" t="n">
        <f aca="false">IF(26&lt;$C$7,0,$G$7*$D$7*(1+$C$27)*(1+$C$28)^2)</f>
        <v>4041.576</v>
      </c>
      <c r="AC32" s="51" t="n">
        <f aca="false">IF(27&lt;$C$7,0,$G$7*$D$7*(1+$C$27)*(1+$C$28)^2)</f>
        <v>4041.576</v>
      </c>
      <c r="AD32" s="51" t="n">
        <f aca="false">IF(28&lt;$C$7,0,$G$7*$D$7*(1+$C$27)*(1+$C$28)^2)</f>
        <v>4041.576</v>
      </c>
      <c r="AE32" s="51" t="n">
        <f aca="false">IF(29&lt;$C$7,0,$G$7*$D$7*(1+$C$27)*(1+$C$28)^2)</f>
        <v>4041.576</v>
      </c>
      <c r="AF32" s="51" t="n">
        <f aca="false">IF(30&lt;$C$7,0,$G$7*$D$7*(1+$C$27)*(1+$C$28)^2)</f>
        <v>4041.576</v>
      </c>
      <c r="AG32" s="51" t="n">
        <f aca="false">IF(31&lt;$C$7,0,$G$7*$D$7*(1+$C$27)*(1+$C$28)^2)</f>
        <v>4041.576</v>
      </c>
      <c r="AH32" s="51" t="n">
        <f aca="false">IF(32&lt;$C$7,0,$G$7*$D$7*(1+$C$27)*(1+$C$28)^2)</f>
        <v>4041.576</v>
      </c>
      <c r="AI32" s="51" t="n">
        <f aca="false">IF(33&lt;$C$7,0,$G$7*$D$7*(1+$C$27)*(1+$C$28)^2)</f>
        <v>4041.576</v>
      </c>
      <c r="AJ32" s="51" t="n">
        <f aca="false">IF(34&lt;$C$7,0,$G$7*$D$7*(1+$C$27)*(1+$C$28)^2)</f>
        <v>4041.576</v>
      </c>
      <c r="AK32" s="51" t="n">
        <f aca="false">IF(35&lt;$C$7,0,$G$7*$D$7*(1+$C$27)*(1+$C$28)^2)</f>
        <v>4041.576</v>
      </c>
      <c r="AL32" s="51" t="n">
        <f aca="false">IF(36&lt;$C$7,0,$G$7*$D$7*(1+$C$27)*(1+$C$28)^2)</f>
        <v>4041.576</v>
      </c>
      <c r="AN32" s="52" t="n">
        <f aca="false">SUM(C32:N32)</f>
        <v>41580</v>
      </c>
      <c r="AO32" s="52" t="n">
        <f aca="false">SUM(O32:Z32)</f>
        <v>44906.4</v>
      </c>
      <c r="AP32" s="52" t="n">
        <f aca="false">SUM(AA32:AL32)</f>
        <v>48498.912</v>
      </c>
    </row>
    <row r="33" customFormat="false" ht="15" hidden="false" customHeight="false" outlineLevel="0" collapsed="false">
      <c r="A33" s="26" t="s">
        <v>317</v>
      </c>
      <c r="B33" s="24" t="s">
        <v>316</v>
      </c>
      <c r="C33" s="51" t="n">
        <f aca="false">IF(1&lt;$C$8,0,$E$8*$D$8*(1+$C$27)*(1+$C$28)^0)</f>
        <v>3465</v>
      </c>
      <c r="D33" s="51" t="n">
        <f aca="false">IF(2&lt;$C$8,0,$E$8*$D$8*(1+$C$27)*(1+$C$28)^0)</f>
        <v>3465</v>
      </c>
      <c r="E33" s="51" t="n">
        <f aca="false">IF(3&lt;$C$8,0,$E$8*$D$8*(1+$C$27)*(1+$C$28)^0)</f>
        <v>3465</v>
      </c>
      <c r="F33" s="51" t="n">
        <f aca="false">IF(4&lt;$C$8,0,$E$8*$D$8*(1+$C$27)*(1+$C$28)^0)</f>
        <v>3465</v>
      </c>
      <c r="G33" s="51" t="n">
        <f aca="false">IF(5&lt;$C$8,0,$E$8*$D$8*(1+$C$27)*(1+$C$28)^0)</f>
        <v>3465</v>
      </c>
      <c r="H33" s="51" t="n">
        <f aca="false">IF(6&lt;$C$8,0,$E$8*$D$8*(1+$C$27)*(1+$C$28)^0)</f>
        <v>3465</v>
      </c>
      <c r="I33" s="51" t="n">
        <f aca="false">IF(7&lt;$C$8,0,$E$8*$D$8*(1+$C$27)*(1+$C$28)^0)</f>
        <v>3465</v>
      </c>
      <c r="J33" s="51" t="n">
        <f aca="false">IF(8&lt;$C$8,0,$E$8*$D$8*(1+$C$27)*(1+$C$28)^0)</f>
        <v>3465</v>
      </c>
      <c r="K33" s="51" t="n">
        <f aca="false">IF(9&lt;$C$8,0,$E$8*$D$8*(1+$C$27)*(1+$C$28)^0)</f>
        <v>3465</v>
      </c>
      <c r="L33" s="51" t="n">
        <f aca="false">IF(10&lt;$C$8,0,$E$8*$D$8*(1+$C$27)*(1+$C$28)^0)</f>
        <v>3465</v>
      </c>
      <c r="M33" s="51" t="n">
        <f aca="false">IF(11&lt;$C$8,0,$E$8*$D$8*(1+$C$27)*(1+$C$28)^0)</f>
        <v>3465</v>
      </c>
      <c r="N33" s="51" t="n">
        <f aca="false">IF(12&lt;$C$8,0,$E$8*$D$8*(1+$C$27)*(1+$C$28)^0)</f>
        <v>3465</v>
      </c>
      <c r="O33" s="51" t="n">
        <f aca="false">IF(13&lt;$C$8,0,$F$8*$D$8*(1+$C$27)*(1+$C$28)^1)</f>
        <v>3742.2</v>
      </c>
      <c r="P33" s="51" t="n">
        <f aca="false">IF(14&lt;$C$8,0,$F$8*$D$8*(1+$C$27)*(1+$C$28)^1)</f>
        <v>3742.2</v>
      </c>
      <c r="Q33" s="51" t="n">
        <f aca="false">IF(15&lt;$C$8,0,$F$8*$D$8*(1+$C$27)*(1+$C$28)^1)</f>
        <v>3742.2</v>
      </c>
      <c r="R33" s="51" t="n">
        <f aca="false">IF(16&lt;$C$8,0,$F$8*$D$8*(1+$C$27)*(1+$C$28)^1)</f>
        <v>3742.2</v>
      </c>
      <c r="S33" s="51" t="n">
        <f aca="false">IF(17&lt;$C$8,0,$F$8*$D$8*(1+$C$27)*(1+$C$28)^1)</f>
        <v>3742.2</v>
      </c>
      <c r="T33" s="51" t="n">
        <f aca="false">IF(18&lt;$C$8,0,$F$8*$D$8*(1+$C$27)*(1+$C$28)^1)</f>
        <v>3742.2</v>
      </c>
      <c r="U33" s="51" t="n">
        <f aca="false">IF(19&lt;$C$8,0,$F$8*$D$8*(1+$C$27)*(1+$C$28)^1)</f>
        <v>3742.2</v>
      </c>
      <c r="V33" s="51" t="n">
        <f aca="false">IF(20&lt;$C$8,0,$F$8*$D$8*(1+$C$27)*(1+$C$28)^1)</f>
        <v>3742.2</v>
      </c>
      <c r="W33" s="51" t="n">
        <f aca="false">IF(21&lt;$C$8,0,$F$8*$D$8*(1+$C$27)*(1+$C$28)^1)</f>
        <v>3742.2</v>
      </c>
      <c r="X33" s="51" t="n">
        <f aca="false">IF(22&lt;$C$8,0,$F$8*$D$8*(1+$C$27)*(1+$C$28)^1)</f>
        <v>3742.2</v>
      </c>
      <c r="Y33" s="51" t="n">
        <f aca="false">IF(23&lt;$C$8,0,$F$8*$D$8*(1+$C$27)*(1+$C$28)^1)</f>
        <v>3742.2</v>
      </c>
      <c r="Z33" s="51" t="n">
        <f aca="false">IF(24&lt;$C$8,0,$F$8*$D$8*(1+$C$27)*(1+$C$28)^1)</f>
        <v>3742.2</v>
      </c>
      <c r="AA33" s="51" t="n">
        <f aca="false">IF(25&lt;$C$8,0,$G$8*$D$8*(1+$C$27)*(1+$C$28)^2)</f>
        <v>4041.576</v>
      </c>
      <c r="AB33" s="51" t="n">
        <f aca="false">IF(26&lt;$C$8,0,$G$8*$D$8*(1+$C$27)*(1+$C$28)^2)</f>
        <v>4041.576</v>
      </c>
      <c r="AC33" s="51" t="n">
        <f aca="false">IF(27&lt;$C$8,0,$G$8*$D$8*(1+$C$27)*(1+$C$28)^2)</f>
        <v>4041.576</v>
      </c>
      <c r="AD33" s="51" t="n">
        <f aca="false">IF(28&lt;$C$8,0,$G$8*$D$8*(1+$C$27)*(1+$C$28)^2)</f>
        <v>4041.576</v>
      </c>
      <c r="AE33" s="51" t="n">
        <f aca="false">IF(29&lt;$C$8,0,$G$8*$D$8*(1+$C$27)*(1+$C$28)^2)</f>
        <v>4041.576</v>
      </c>
      <c r="AF33" s="51" t="n">
        <f aca="false">IF(30&lt;$C$8,0,$G$8*$D$8*(1+$C$27)*(1+$C$28)^2)</f>
        <v>4041.576</v>
      </c>
      <c r="AG33" s="51" t="n">
        <f aca="false">IF(31&lt;$C$8,0,$G$8*$D$8*(1+$C$27)*(1+$C$28)^2)</f>
        <v>4041.576</v>
      </c>
      <c r="AH33" s="51" t="n">
        <f aca="false">IF(32&lt;$C$8,0,$G$8*$D$8*(1+$C$27)*(1+$C$28)^2)</f>
        <v>4041.576</v>
      </c>
      <c r="AI33" s="51" t="n">
        <f aca="false">IF(33&lt;$C$8,0,$G$8*$D$8*(1+$C$27)*(1+$C$28)^2)</f>
        <v>4041.576</v>
      </c>
      <c r="AJ33" s="51" t="n">
        <f aca="false">IF(34&lt;$C$8,0,$G$8*$D$8*(1+$C$27)*(1+$C$28)^2)</f>
        <v>4041.576</v>
      </c>
      <c r="AK33" s="51" t="n">
        <f aca="false">IF(35&lt;$C$8,0,$G$8*$D$8*(1+$C$27)*(1+$C$28)^2)</f>
        <v>4041.576</v>
      </c>
      <c r="AL33" s="51" t="n">
        <f aca="false">IF(36&lt;$C$8,0,$G$8*$D$8*(1+$C$27)*(1+$C$28)^2)</f>
        <v>4041.576</v>
      </c>
      <c r="AN33" s="52" t="n">
        <f aca="false">SUM(C33:N33)</f>
        <v>41580</v>
      </c>
      <c r="AO33" s="52" t="n">
        <f aca="false">SUM(O33:Z33)</f>
        <v>44906.4</v>
      </c>
      <c r="AP33" s="52" t="n">
        <f aca="false">SUM(AA33:AL33)</f>
        <v>48498.912</v>
      </c>
    </row>
    <row r="34" customFormat="false" ht="15" hidden="false" customHeight="false" outlineLevel="0" collapsed="false">
      <c r="A34" s="26" t="s">
        <v>318</v>
      </c>
      <c r="B34" s="24" t="s">
        <v>316</v>
      </c>
      <c r="C34" s="51" t="n">
        <f aca="false">IF(1&lt;$C$9,0,$E$9*$D$9*(1+$C$27)*(1+$C$28)^0)</f>
        <v>0</v>
      </c>
      <c r="D34" s="51" t="n">
        <f aca="false">IF(2&lt;$C$9,0,$E$9*$D$9*(1+$C$27)*(1+$C$28)^0)</f>
        <v>0</v>
      </c>
      <c r="E34" s="51" t="n">
        <f aca="false">IF(3&lt;$C$9,0,$E$9*$D$9*(1+$C$27)*(1+$C$28)^0)</f>
        <v>0</v>
      </c>
      <c r="F34" s="51" t="n">
        <f aca="false">IF(4&lt;$C$9,0,$E$9*$D$9*(1+$C$27)*(1+$C$28)^0)</f>
        <v>0</v>
      </c>
      <c r="G34" s="51" t="n">
        <f aca="false">IF(5&lt;$C$9,0,$E$9*$D$9*(1+$C$27)*(1+$C$28)^0)</f>
        <v>0</v>
      </c>
      <c r="H34" s="51" t="n">
        <f aca="false">IF(6&lt;$C$9,0,$E$9*$D$9*(1+$C$27)*(1+$C$28)^0)</f>
        <v>0</v>
      </c>
      <c r="I34" s="51" t="n">
        <f aca="false">IF(7&lt;$C$9,0,$E$9*$D$9*(1+$C$27)*(1+$C$28)^0)</f>
        <v>0</v>
      </c>
      <c r="J34" s="51" t="n">
        <f aca="false">IF(8&lt;$C$9,0,$E$9*$D$9*(1+$C$27)*(1+$C$28)^0)</f>
        <v>0</v>
      </c>
      <c r="K34" s="51" t="n">
        <f aca="false">IF(9&lt;$C$9,0,$E$9*$D$9*(1+$C$27)*(1+$C$28)^0)</f>
        <v>0</v>
      </c>
      <c r="L34" s="51" t="n">
        <f aca="false">IF(10&lt;$C$9,0,$E$9*$D$9*(1+$C$27)*(1+$C$28)^0)</f>
        <v>0</v>
      </c>
      <c r="M34" s="51" t="n">
        <f aca="false">IF(11&lt;$C$9,0,$E$9*$D$9*(1+$C$27)*(1+$C$28)^0)</f>
        <v>0</v>
      </c>
      <c r="N34" s="51" t="n">
        <f aca="false">IF(12&lt;$C$9,0,$E$9*$D$9*(1+$C$27)*(1+$C$28)^0)</f>
        <v>0</v>
      </c>
      <c r="O34" s="51" t="n">
        <f aca="false">IF(13&lt;$C$9,0,$F$9*$D$9*(1+$C$27)*(1+$C$28)^1)</f>
        <v>0</v>
      </c>
      <c r="P34" s="51" t="n">
        <f aca="false">IF(14&lt;$C$9,0,$F$9*$D$9*(1+$C$27)*(1+$C$28)^1)</f>
        <v>0</v>
      </c>
      <c r="Q34" s="51" t="n">
        <f aca="false">IF(15&lt;$C$9,0,$F$9*$D$9*(1+$C$27)*(1+$C$28)^1)</f>
        <v>0</v>
      </c>
      <c r="R34" s="51" t="n">
        <f aca="false">IF(16&lt;$C$9,0,$F$9*$D$9*(1+$C$27)*(1+$C$28)^1)</f>
        <v>0</v>
      </c>
      <c r="S34" s="51" t="n">
        <f aca="false">IF(17&lt;$C$9,0,$F$9*$D$9*(1+$C$27)*(1+$C$28)^1)</f>
        <v>0</v>
      </c>
      <c r="T34" s="51" t="n">
        <f aca="false">IF(18&lt;$C$9,0,$F$9*$D$9*(1+$C$27)*(1+$C$28)^1)</f>
        <v>0</v>
      </c>
      <c r="U34" s="51" t="n">
        <f aca="false">IF(19&lt;$C$9,0,$F$9*$D$9*(1+$C$27)*(1+$C$28)^1)</f>
        <v>0</v>
      </c>
      <c r="V34" s="51" t="n">
        <f aca="false">IF(20&lt;$C$9,0,$F$9*$D$9*(1+$C$27)*(1+$C$28)^1)</f>
        <v>0</v>
      </c>
      <c r="W34" s="51" t="n">
        <f aca="false">IF(21&lt;$C$9,0,$F$9*$D$9*(1+$C$27)*(1+$C$28)^1)</f>
        <v>0</v>
      </c>
      <c r="X34" s="51" t="n">
        <f aca="false">IF(22&lt;$C$9,0,$F$9*$D$9*(1+$C$27)*(1+$C$28)^1)</f>
        <v>0</v>
      </c>
      <c r="Y34" s="51" t="n">
        <f aca="false">IF(23&lt;$C$9,0,$F$9*$D$9*(1+$C$27)*(1+$C$28)^1)</f>
        <v>0</v>
      </c>
      <c r="Z34" s="51" t="n">
        <f aca="false">IF(24&lt;$C$9,0,$F$9*$D$9*(1+$C$27)*(1+$C$28)^1)</f>
        <v>0</v>
      </c>
      <c r="AA34" s="51" t="n">
        <f aca="false">IF(25&lt;$C$9,0,$G$9*$D$9*(1+$C$27)*(1+$C$28)^2)</f>
        <v>0</v>
      </c>
      <c r="AB34" s="51" t="n">
        <f aca="false">IF(26&lt;$C$9,0,$G$9*$D$9*(1+$C$27)*(1+$C$28)^2)</f>
        <v>0</v>
      </c>
      <c r="AC34" s="51" t="n">
        <f aca="false">IF(27&lt;$C$9,0,$G$9*$D$9*(1+$C$27)*(1+$C$28)^2)</f>
        <v>0</v>
      </c>
      <c r="AD34" s="51" t="n">
        <f aca="false">IF(28&lt;$C$9,0,$G$9*$D$9*(1+$C$27)*(1+$C$28)^2)</f>
        <v>0</v>
      </c>
      <c r="AE34" s="51" t="n">
        <f aca="false">IF(29&lt;$C$9,0,$G$9*$D$9*(1+$C$27)*(1+$C$28)^2)</f>
        <v>0</v>
      </c>
      <c r="AF34" s="51" t="n">
        <f aca="false">IF(30&lt;$C$9,0,$G$9*$D$9*(1+$C$27)*(1+$C$28)^2)</f>
        <v>0</v>
      </c>
      <c r="AG34" s="51" t="n">
        <f aca="false">IF(31&lt;$C$9,0,$G$9*$D$9*(1+$C$27)*(1+$C$28)^2)</f>
        <v>0</v>
      </c>
      <c r="AH34" s="51" t="n">
        <f aca="false">IF(32&lt;$C$9,0,$G$9*$D$9*(1+$C$27)*(1+$C$28)^2)</f>
        <v>0</v>
      </c>
      <c r="AI34" s="51" t="n">
        <f aca="false">IF(33&lt;$C$9,0,$G$9*$D$9*(1+$C$27)*(1+$C$28)^2)</f>
        <v>0</v>
      </c>
      <c r="AJ34" s="51" t="n">
        <f aca="false">IF(34&lt;$C$9,0,$G$9*$D$9*(1+$C$27)*(1+$C$28)^2)</f>
        <v>0</v>
      </c>
      <c r="AK34" s="51" t="n">
        <f aca="false">IF(35&lt;$C$9,0,$G$9*$D$9*(1+$C$27)*(1+$C$28)^2)</f>
        <v>0</v>
      </c>
      <c r="AL34" s="51" t="n">
        <f aca="false">IF(36&lt;$C$9,0,$G$9*$D$9*(1+$C$27)*(1+$C$28)^2)</f>
        <v>0</v>
      </c>
      <c r="AN34" s="52" t="n">
        <f aca="false">SUM(C34:N34)</f>
        <v>0</v>
      </c>
      <c r="AO34" s="52" t="n">
        <f aca="false">SUM(O34:Z34)</f>
        <v>0</v>
      </c>
      <c r="AP34" s="52" t="n">
        <f aca="false">SUM(AA34:AL34)</f>
        <v>0</v>
      </c>
    </row>
    <row r="35" customFormat="false" ht="15" hidden="false" customHeight="false" outlineLevel="0" collapsed="false">
      <c r="A35" s="26" t="s">
        <v>319</v>
      </c>
      <c r="B35" s="24" t="s">
        <v>320</v>
      </c>
      <c r="C35" s="51" t="n">
        <f aca="false">IF(1&lt;$C$10,0,$E$10*$D$10*(1+$C$27)*(1+$C$28)^0)</f>
        <v>2772</v>
      </c>
      <c r="D35" s="51" t="n">
        <f aca="false">IF(2&lt;$C$10,0,$E$10*$D$10*(1+$C$27)*(1+$C$28)^0)</f>
        <v>2772</v>
      </c>
      <c r="E35" s="51" t="n">
        <f aca="false">IF(3&lt;$C$10,0,$E$10*$D$10*(1+$C$27)*(1+$C$28)^0)</f>
        <v>2772</v>
      </c>
      <c r="F35" s="51" t="n">
        <f aca="false">IF(4&lt;$C$10,0,$E$10*$D$10*(1+$C$27)*(1+$C$28)^0)</f>
        <v>2772</v>
      </c>
      <c r="G35" s="51" t="n">
        <f aca="false">IF(5&lt;$C$10,0,$E$10*$D$10*(1+$C$27)*(1+$C$28)^0)</f>
        <v>2772</v>
      </c>
      <c r="H35" s="51" t="n">
        <f aca="false">IF(6&lt;$C$10,0,$E$10*$D$10*(1+$C$27)*(1+$C$28)^0)</f>
        <v>2772</v>
      </c>
      <c r="I35" s="51" t="n">
        <f aca="false">IF(7&lt;$C$10,0,$E$10*$D$10*(1+$C$27)*(1+$C$28)^0)</f>
        <v>2772</v>
      </c>
      <c r="J35" s="51" t="n">
        <f aca="false">IF(8&lt;$C$10,0,$E$10*$D$10*(1+$C$27)*(1+$C$28)^0)</f>
        <v>2772</v>
      </c>
      <c r="K35" s="51" t="n">
        <f aca="false">IF(9&lt;$C$10,0,$E$10*$D$10*(1+$C$27)*(1+$C$28)^0)</f>
        <v>2772</v>
      </c>
      <c r="L35" s="51" t="n">
        <f aca="false">IF(10&lt;$C$10,0,$E$10*$D$10*(1+$C$27)*(1+$C$28)^0)</f>
        <v>2772</v>
      </c>
      <c r="M35" s="51" t="n">
        <f aca="false">IF(11&lt;$C$10,0,$E$10*$D$10*(1+$C$27)*(1+$C$28)^0)</f>
        <v>2772</v>
      </c>
      <c r="N35" s="51" t="n">
        <f aca="false">IF(12&lt;$C$10,0,$E$10*$D$10*(1+$C$27)*(1+$C$28)^0)</f>
        <v>2772</v>
      </c>
      <c r="O35" s="51" t="n">
        <f aca="false">IF(13&lt;$C$10,0,$F$10*$D$10*(1+$C$27)*(1+$C$28)^1)</f>
        <v>5987.52</v>
      </c>
      <c r="P35" s="51" t="n">
        <f aca="false">IF(14&lt;$C$10,0,$F$10*$D$10*(1+$C$27)*(1+$C$28)^1)</f>
        <v>5987.52</v>
      </c>
      <c r="Q35" s="51" t="n">
        <f aca="false">IF(15&lt;$C$10,0,$F$10*$D$10*(1+$C$27)*(1+$C$28)^1)</f>
        <v>5987.52</v>
      </c>
      <c r="R35" s="51" t="n">
        <f aca="false">IF(16&lt;$C$10,0,$F$10*$D$10*(1+$C$27)*(1+$C$28)^1)</f>
        <v>5987.52</v>
      </c>
      <c r="S35" s="51" t="n">
        <f aca="false">IF(17&lt;$C$10,0,$F$10*$D$10*(1+$C$27)*(1+$C$28)^1)</f>
        <v>5987.52</v>
      </c>
      <c r="T35" s="51" t="n">
        <f aca="false">IF(18&lt;$C$10,0,$F$10*$D$10*(1+$C$27)*(1+$C$28)^1)</f>
        <v>5987.52</v>
      </c>
      <c r="U35" s="51" t="n">
        <f aca="false">IF(19&lt;$C$10,0,$F$10*$D$10*(1+$C$27)*(1+$C$28)^1)</f>
        <v>5987.52</v>
      </c>
      <c r="V35" s="51" t="n">
        <f aca="false">IF(20&lt;$C$10,0,$F$10*$D$10*(1+$C$27)*(1+$C$28)^1)</f>
        <v>5987.52</v>
      </c>
      <c r="W35" s="51" t="n">
        <f aca="false">IF(21&lt;$C$10,0,$F$10*$D$10*(1+$C$27)*(1+$C$28)^1)</f>
        <v>5987.52</v>
      </c>
      <c r="X35" s="51" t="n">
        <f aca="false">IF(22&lt;$C$10,0,$F$10*$D$10*(1+$C$27)*(1+$C$28)^1)</f>
        <v>5987.52</v>
      </c>
      <c r="Y35" s="51" t="n">
        <f aca="false">IF(23&lt;$C$10,0,$F$10*$D$10*(1+$C$27)*(1+$C$28)^1)</f>
        <v>5987.52</v>
      </c>
      <c r="Z35" s="51" t="n">
        <f aca="false">IF(24&lt;$C$10,0,$F$10*$D$10*(1+$C$27)*(1+$C$28)^1)</f>
        <v>5987.52</v>
      </c>
      <c r="AA35" s="51" t="n">
        <f aca="false">IF(25&lt;$C$10,0,$G$10*$D$10*(1+$C$27)*(1+$C$28)^2)</f>
        <v>6466.5216</v>
      </c>
      <c r="AB35" s="51" t="n">
        <f aca="false">IF(26&lt;$C$10,0,$G$10*$D$10*(1+$C$27)*(1+$C$28)^2)</f>
        <v>6466.5216</v>
      </c>
      <c r="AC35" s="51" t="n">
        <f aca="false">IF(27&lt;$C$10,0,$G$10*$D$10*(1+$C$27)*(1+$C$28)^2)</f>
        <v>6466.5216</v>
      </c>
      <c r="AD35" s="51" t="n">
        <f aca="false">IF(28&lt;$C$10,0,$G$10*$D$10*(1+$C$27)*(1+$C$28)^2)</f>
        <v>6466.5216</v>
      </c>
      <c r="AE35" s="51" t="n">
        <f aca="false">IF(29&lt;$C$10,0,$G$10*$D$10*(1+$C$27)*(1+$C$28)^2)</f>
        <v>6466.5216</v>
      </c>
      <c r="AF35" s="51" t="n">
        <f aca="false">IF(30&lt;$C$10,0,$G$10*$D$10*(1+$C$27)*(1+$C$28)^2)</f>
        <v>6466.5216</v>
      </c>
      <c r="AG35" s="51" t="n">
        <f aca="false">IF(31&lt;$C$10,0,$G$10*$D$10*(1+$C$27)*(1+$C$28)^2)</f>
        <v>6466.5216</v>
      </c>
      <c r="AH35" s="51" t="n">
        <f aca="false">IF(32&lt;$C$10,0,$G$10*$D$10*(1+$C$27)*(1+$C$28)^2)</f>
        <v>6466.5216</v>
      </c>
      <c r="AI35" s="51" t="n">
        <f aca="false">IF(33&lt;$C$10,0,$G$10*$D$10*(1+$C$27)*(1+$C$28)^2)</f>
        <v>6466.5216</v>
      </c>
      <c r="AJ35" s="51" t="n">
        <f aca="false">IF(34&lt;$C$10,0,$G$10*$D$10*(1+$C$27)*(1+$C$28)^2)</f>
        <v>6466.5216</v>
      </c>
      <c r="AK35" s="51" t="n">
        <f aca="false">IF(35&lt;$C$10,0,$G$10*$D$10*(1+$C$27)*(1+$C$28)^2)</f>
        <v>6466.5216</v>
      </c>
      <c r="AL35" s="51" t="n">
        <f aca="false">IF(36&lt;$C$10,0,$G$10*$D$10*(1+$C$27)*(1+$C$28)^2)</f>
        <v>6466.5216</v>
      </c>
      <c r="AN35" s="52" t="n">
        <f aca="false">SUM(C35:N35)</f>
        <v>33264</v>
      </c>
      <c r="AO35" s="52" t="n">
        <f aca="false">SUM(O35:Z35)</f>
        <v>71850.24</v>
      </c>
      <c r="AP35" s="52" t="n">
        <f aca="false">SUM(AA35:AL35)</f>
        <v>77598.2592</v>
      </c>
    </row>
    <row r="36" customFormat="false" ht="15" hidden="false" customHeight="false" outlineLevel="0" collapsed="false">
      <c r="A36" s="26" t="s">
        <v>321</v>
      </c>
      <c r="B36" s="24" t="s">
        <v>320</v>
      </c>
      <c r="C36" s="51" t="n">
        <f aca="false">IF(1&lt;$C$11,0,$E$11*$D$11*(1+$C$27)*(1+$C$28)^0)</f>
        <v>0</v>
      </c>
      <c r="D36" s="51" t="n">
        <f aca="false">IF(2&lt;$C$11,0,$E$11*$D$11*(1+$C$27)*(1+$C$28)^0)</f>
        <v>0</v>
      </c>
      <c r="E36" s="51" t="n">
        <f aca="false">IF(3&lt;$C$11,0,$E$11*$D$11*(1+$C$27)*(1+$C$28)^0)</f>
        <v>0</v>
      </c>
      <c r="F36" s="51" t="n">
        <f aca="false">IF(4&lt;$C$11,0,$E$11*$D$11*(1+$C$27)*(1+$C$28)^0)</f>
        <v>0</v>
      </c>
      <c r="G36" s="51" t="n">
        <f aca="false">IF(5&lt;$C$11,0,$E$11*$D$11*(1+$C$27)*(1+$C$28)^0)</f>
        <v>0</v>
      </c>
      <c r="H36" s="51" t="n">
        <f aca="false">IF(6&lt;$C$11,0,$E$11*$D$11*(1+$C$27)*(1+$C$28)^0)</f>
        <v>0</v>
      </c>
      <c r="I36" s="51" t="n">
        <f aca="false">IF(7&lt;$C$11,0,$E$11*$D$11*(1+$C$27)*(1+$C$28)^0)</f>
        <v>0</v>
      </c>
      <c r="J36" s="51" t="n">
        <f aca="false">IF(8&lt;$C$11,0,$E$11*$D$11*(1+$C$27)*(1+$C$28)^0)</f>
        <v>0</v>
      </c>
      <c r="K36" s="51" t="n">
        <f aca="false">IF(9&lt;$C$11,0,$E$11*$D$11*(1+$C$27)*(1+$C$28)^0)</f>
        <v>0</v>
      </c>
      <c r="L36" s="51" t="n">
        <f aca="false">IF(10&lt;$C$11,0,$E$11*$D$11*(1+$C$27)*(1+$C$28)^0)</f>
        <v>0</v>
      </c>
      <c r="M36" s="51" t="n">
        <f aca="false">IF(11&lt;$C$11,0,$E$11*$D$11*(1+$C$27)*(1+$C$28)^0)</f>
        <v>0</v>
      </c>
      <c r="N36" s="51" t="n">
        <f aca="false">IF(12&lt;$C$11,0,$E$11*$D$11*(1+$C$27)*(1+$C$28)^0)</f>
        <v>0</v>
      </c>
      <c r="O36" s="51" t="n">
        <f aca="false">IF(13&lt;$C$11,0,$F$11*$D$11*(1+$C$27)*(1+$C$28)^1)</f>
        <v>0</v>
      </c>
      <c r="P36" s="51" t="n">
        <f aca="false">IF(14&lt;$C$11,0,$F$11*$D$11*(1+$C$27)*(1+$C$28)^1)</f>
        <v>0</v>
      </c>
      <c r="Q36" s="51" t="n">
        <f aca="false">IF(15&lt;$C$11,0,$F$11*$D$11*(1+$C$27)*(1+$C$28)^1)</f>
        <v>0</v>
      </c>
      <c r="R36" s="51" t="n">
        <f aca="false">IF(16&lt;$C$11,0,$F$11*$D$11*(1+$C$27)*(1+$C$28)^1)</f>
        <v>0</v>
      </c>
      <c r="S36" s="51" t="n">
        <f aca="false">IF(17&lt;$C$11,0,$F$11*$D$11*(1+$C$27)*(1+$C$28)^1)</f>
        <v>0</v>
      </c>
      <c r="T36" s="51" t="n">
        <f aca="false">IF(18&lt;$C$11,0,$F$11*$D$11*(1+$C$27)*(1+$C$28)^1)</f>
        <v>0</v>
      </c>
      <c r="U36" s="51" t="n">
        <f aca="false">IF(19&lt;$C$11,0,$F$11*$D$11*(1+$C$27)*(1+$C$28)^1)</f>
        <v>0</v>
      </c>
      <c r="V36" s="51" t="n">
        <f aca="false">IF(20&lt;$C$11,0,$F$11*$D$11*(1+$C$27)*(1+$C$28)^1)</f>
        <v>0</v>
      </c>
      <c r="W36" s="51" t="n">
        <f aca="false">IF(21&lt;$C$11,0,$F$11*$D$11*(1+$C$27)*(1+$C$28)^1)</f>
        <v>0</v>
      </c>
      <c r="X36" s="51" t="n">
        <f aca="false">IF(22&lt;$C$11,0,$F$11*$D$11*(1+$C$27)*(1+$C$28)^1)</f>
        <v>0</v>
      </c>
      <c r="Y36" s="51" t="n">
        <f aca="false">IF(23&lt;$C$11,0,$F$11*$D$11*(1+$C$27)*(1+$C$28)^1)</f>
        <v>0</v>
      </c>
      <c r="Z36" s="51" t="n">
        <f aca="false">IF(24&lt;$C$11,0,$F$11*$D$11*(1+$C$27)*(1+$C$28)^1)</f>
        <v>0</v>
      </c>
      <c r="AA36" s="51" t="n">
        <f aca="false">IF(25&lt;$C$11,0,$G$11*$D$11*(1+$C$27)*(1+$C$28)^2)</f>
        <v>0</v>
      </c>
      <c r="AB36" s="51" t="n">
        <f aca="false">IF(26&lt;$C$11,0,$G$11*$D$11*(1+$C$27)*(1+$C$28)^2)</f>
        <v>0</v>
      </c>
      <c r="AC36" s="51" t="n">
        <f aca="false">IF(27&lt;$C$11,0,$G$11*$D$11*(1+$C$27)*(1+$C$28)^2)</f>
        <v>0</v>
      </c>
      <c r="AD36" s="51" t="n">
        <f aca="false">IF(28&lt;$C$11,0,$G$11*$D$11*(1+$C$27)*(1+$C$28)^2)</f>
        <v>0</v>
      </c>
      <c r="AE36" s="51" t="n">
        <f aca="false">IF(29&lt;$C$11,0,$G$11*$D$11*(1+$C$27)*(1+$C$28)^2)</f>
        <v>0</v>
      </c>
      <c r="AF36" s="51" t="n">
        <f aca="false">IF(30&lt;$C$11,0,$G$11*$D$11*(1+$C$27)*(1+$C$28)^2)</f>
        <v>0</v>
      </c>
      <c r="AG36" s="51" t="n">
        <f aca="false">IF(31&lt;$C$11,0,$G$11*$D$11*(1+$C$27)*(1+$C$28)^2)</f>
        <v>0</v>
      </c>
      <c r="AH36" s="51" t="n">
        <f aca="false">IF(32&lt;$C$11,0,$G$11*$D$11*(1+$C$27)*(1+$C$28)^2)</f>
        <v>0</v>
      </c>
      <c r="AI36" s="51" t="n">
        <f aca="false">IF(33&lt;$C$11,0,$G$11*$D$11*(1+$C$27)*(1+$C$28)^2)</f>
        <v>0</v>
      </c>
      <c r="AJ36" s="51" t="n">
        <f aca="false">IF(34&lt;$C$11,0,$G$11*$D$11*(1+$C$27)*(1+$C$28)^2)</f>
        <v>0</v>
      </c>
      <c r="AK36" s="51" t="n">
        <f aca="false">IF(35&lt;$C$11,0,$G$11*$D$11*(1+$C$27)*(1+$C$28)^2)</f>
        <v>0</v>
      </c>
      <c r="AL36" s="51" t="n">
        <f aca="false">IF(36&lt;$C$11,0,$G$11*$D$11*(1+$C$27)*(1+$C$28)^2)</f>
        <v>0</v>
      </c>
      <c r="AN36" s="52" t="n">
        <f aca="false">SUM(C36:N36)</f>
        <v>0</v>
      </c>
      <c r="AO36" s="52" t="n">
        <f aca="false">SUM(O36:Z36)</f>
        <v>0</v>
      </c>
      <c r="AP36" s="52" t="n">
        <f aca="false">SUM(AA36:AL36)</f>
        <v>0</v>
      </c>
    </row>
    <row r="37" customFormat="false" ht="15" hidden="false" customHeight="false" outlineLevel="0" collapsed="false">
      <c r="A37" s="26" t="s">
        <v>322</v>
      </c>
      <c r="B37" s="24" t="s">
        <v>320</v>
      </c>
      <c r="C37" s="51" t="n">
        <f aca="false">IF(1&lt;$C$12,0,$E$12*$D$12*(1+$C$27)*(1+$C$28)^0)</f>
        <v>0</v>
      </c>
      <c r="D37" s="51" t="n">
        <f aca="false">IF(2&lt;$C$12,0,$E$12*$D$12*(1+$C$27)*(1+$C$28)^0)</f>
        <v>0</v>
      </c>
      <c r="E37" s="51" t="n">
        <f aca="false">IF(3&lt;$C$12,0,$E$12*$D$12*(1+$C$27)*(1+$C$28)^0)</f>
        <v>0</v>
      </c>
      <c r="F37" s="51" t="n">
        <f aca="false">IF(4&lt;$C$12,0,$E$12*$D$12*(1+$C$27)*(1+$C$28)^0)</f>
        <v>0</v>
      </c>
      <c r="G37" s="51" t="n">
        <f aca="false">IF(5&lt;$C$12,0,$E$12*$D$12*(1+$C$27)*(1+$C$28)^0)</f>
        <v>0</v>
      </c>
      <c r="H37" s="51" t="n">
        <f aca="false">IF(6&lt;$C$12,0,$E$12*$D$12*(1+$C$27)*(1+$C$28)^0)</f>
        <v>0</v>
      </c>
      <c r="I37" s="51" t="n">
        <f aca="false">IF(7&lt;$C$12,0,$E$12*$D$12*(1+$C$27)*(1+$C$28)^0)</f>
        <v>0</v>
      </c>
      <c r="J37" s="51" t="n">
        <f aca="false">IF(8&lt;$C$12,0,$E$12*$D$12*(1+$C$27)*(1+$C$28)^0)</f>
        <v>0</v>
      </c>
      <c r="K37" s="51" t="n">
        <f aca="false">IF(9&lt;$C$12,0,$E$12*$D$12*(1+$C$27)*(1+$C$28)^0)</f>
        <v>0</v>
      </c>
      <c r="L37" s="51" t="n">
        <f aca="false">IF(10&lt;$C$12,0,$E$12*$D$12*(1+$C$27)*(1+$C$28)^0)</f>
        <v>0</v>
      </c>
      <c r="M37" s="51" t="n">
        <f aca="false">IF(11&lt;$C$12,0,$E$12*$D$12*(1+$C$27)*(1+$C$28)^0)</f>
        <v>0</v>
      </c>
      <c r="N37" s="51" t="n">
        <f aca="false">IF(12&lt;$C$12,0,$E$12*$D$12*(1+$C$27)*(1+$C$28)^0)</f>
        <v>0</v>
      </c>
      <c r="O37" s="51" t="n">
        <f aca="false">IF(13&lt;$C$12,0,$F$12*$D$12*(1+$C$27)*(1+$C$28)^1)</f>
        <v>0</v>
      </c>
      <c r="P37" s="51" t="n">
        <f aca="false">IF(14&lt;$C$12,0,$F$12*$D$12*(1+$C$27)*(1+$C$28)^1)</f>
        <v>0</v>
      </c>
      <c r="Q37" s="51" t="n">
        <f aca="false">IF(15&lt;$C$12,0,$F$12*$D$12*(1+$C$27)*(1+$C$28)^1)</f>
        <v>0</v>
      </c>
      <c r="R37" s="51" t="n">
        <f aca="false">IF(16&lt;$C$12,0,$F$12*$D$12*(1+$C$27)*(1+$C$28)^1)</f>
        <v>0</v>
      </c>
      <c r="S37" s="51" t="n">
        <f aca="false">IF(17&lt;$C$12,0,$F$12*$D$12*(1+$C$27)*(1+$C$28)^1)</f>
        <v>0</v>
      </c>
      <c r="T37" s="51" t="n">
        <f aca="false">IF(18&lt;$C$12,0,$F$12*$D$12*(1+$C$27)*(1+$C$28)^1)</f>
        <v>0</v>
      </c>
      <c r="U37" s="51" t="n">
        <f aca="false">IF(19&lt;$C$12,0,$F$12*$D$12*(1+$C$27)*(1+$C$28)^1)</f>
        <v>0</v>
      </c>
      <c r="V37" s="51" t="n">
        <f aca="false">IF(20&lt;$C$12,0,$F$12*$D$12*(1+$C$27)*(1+$C$28)^1)</f>
        <v>0</v>
      </c>
      <c r="W37" s="51" t="n">
        <f aca="false">IF(21&lt;$C$12,0,$F$12*$D$12*(1+$C$27)*(1+$C$28)^1)</f>
        <v>0</v>
      </c>
      <c r="X37" s="51" t="n">
        <f aca="false">IF(22&lt;$C$12,0,$F$12*$D$12*(1+$C$27)*(1+$C$28)^1)</f>
        <v>0</v>
      </c>
      <c r="Y37" s="51" t="n">
        <f aca="false">IF(23&lt;$C$12,0,$F$12*$D$12*(1+$C$27)*(1+$C$28)^1)</f>
        <v>0</v>
      </c>
      <c r="Z37" s="51" t="n">
        <f aca="false">IF(24&lt;$C$12,0,$F$12*$D$12*(1+$C$27)*(1+$C$28)^1)</f>
        <v>0</v>
      </c>
      <c r="AA37" s="51" t="n">
        <f aca="false">IF(25&lt;$C$12,0,$G$12*$D$12*(1+$C$27)*(1+$C$28)^2)</f>
        <v>0</v>
      </c>
      <c r="AB37" s="51" t="n">
        <f aca="false">IF(26&lt;$C$12,0,$G$12*$D$12*(1+$C$27)*(1+$C$28)^2)</f>
        <v>0</v>
      </c>
      <c r="AC37" s="51" t="n">
        <f aca="false">IF(27&lt;$C$12,0,$G$12*$D$12*(1+$C$27)*(1+$C$28)^2)</f>
        <v>0</v>
      </c>
      <c r="AD37" s="51" t="n">
        <f aca="false">IF(28&lt;$C$12,0,$G$12*$D$12*(1+$C$27)*(1+$C$28)^2)</f>
        <v>0</v>
      </c>
      <c r="AE37" s="51" t="n">
        <f aca="false">IF(29&lt;$C$12,0,$G$12*$D$12*(1+$C$27)*(1+$C$28)^2)</f>
        <v>0</v>
      </c>
      <c r="AF37" s="51" t="n">
        <f aca="false">IF(30&lt;$C$12,0,$G$12*$D$12*(1+$C$27)*(1+$C$28)^2)</f>
        <v>0</v>
      </c>
      <c r="AG37" s="51" t="n">
        <f aca="false">IF(31&lt;$C$12,0,$G$12*$D$12*(1+$C$27)*(1+$C$28)^2)</f>
        <v>0</v>
      </c>
      <c r="AH37" s="51" t="n">
        <f aca="false">IF(32&lt;$C$12,0,$G$12*$D$12*(1+$C$27)*(1+$C$28)^2)</f>
        <v>0</v>
      </c>
      <c r="AI37" s="51" t="n">
        <f aca="false">IF(33&lt;$C$12,0,$G$12*$D$12*(1+$C$27)*(1+$C$28)^2)</f>
        <v>0</v>
      </c>
      <c r="AJ37" s="51" t="n">
        <f aca="false">IF(34&lt;$C$12,0,$G$12*$D$12*(1+$C$27)*(1+$C$28)^2)</f>
        <v>0</v>
      </c>
      <c r="AK37" s="51" t="n">
        <f aca="false">IF(35&lt;$C$12,0,$G$12*$D$12*(1+$C$27)*(1+$C$28)^2)</f>
        <v>0</v>
      </c>
      <c r="AL37" s="51" t="n">
        <f aca="false">IF(36&lt;$C$12,0,$G$12*$D$12*(1+$C$27)*(1+$C$28)^2)</f>
        <v>0</v>
      </c>
      <c r="AN37" s="52" t="n">
        <f aca="false">SUM(C37:N37)</f>
        <v>0</v>
      </c>
      <c r="AO37" s="52" t="n">
        <f aca="false">SUM(O37:Z37)</f>
        <v>0</v>
      </c>
      <c r="AP37" s="52" t="n">
        <f aca="false">SUM(AA37:AL37)</f>
        <v>0</v>
      </c>
    </row>
    <row r="38" customFormat="false" ht="15" hidden="false" customHeight="false" outlineLevel="0" collapsed="false">
      <c r="A38" s="26" t="s">
        <v>323</v>
      </c>
      <c r="B38" s="24" t="s">
        <v>324</v>
      </c>
      <c r="C38" s="51" t="n">
        <f aca="false">IF(1&lt;$C$13,0,$E$13*$D$13*(1+$C$27)*(1+$C$28)^0)</f>
        <v>2772</v>
      </c>
      <c r="D38" s="51" t="n">
        <f aca="false">IF(2&lt;$C$13,0,$E$13*$D$13*(1+$C$27)*(1+$C$28)^0)</f>
        <v>2772</v>
      </c>
      <c r="E38" s="51" t="n">
        <f aca="false">IF(3&lt;$C$13,0,$E$13*$D$13*(1+$C$27)*(1+$C$28)^0)</f>
        <v>2772</v>
      </c>
      <c r="F38" s="51" t="n">
        <f aca="false">IF(4&lt;$C$13,0,$E$13*$D$13*(1+$C$27)*(1+$C$28)^0)</f>
        <v>2772</v>
      </c>
      <c r="G38" s="51" t="n">
        <f aca="false">IF(5&lt;$C$13,0,$E$13*$D$13*(1+$C$27)*(1+$C$28)^0)</f>
        <v>2772</v>
      </c>
      <c r="H38" s="51" t="n">
        <f aca="false">IF(6&lt;$C$13,0,$E$13*$D$13*(1+$C$27)*(1+$C$28)^0)</f>
        <v>2772</v>
      </c>
      <c r="I38" s="51" t="n">
        <f aca="false">IF(7&lt;$C$13,0,$E$13*$D$13*(1+$C$27)*(1+$C$28)^0)</f>
        <v>2772</v>
      </c>
      <c r="J38" s="51" t="n">
        <f aca="false">IF(8&lt;$C$13,0,$E$13*$D$13*(1+$C$27)*(1+$C$28)^0)</f>
        <v>2772</v>
      </c>
      <c r="K38" s="51" t="n">
        <f aca="false">IF(9&lt;$C$13,0,$E$13*$D$13*(1+$C$27)*(1+$C$28)^0)</f>
        <v>2772</v>
      </c>
      <c r="L38" s="51" t="n">
        <f aca="false">IF(10&lt;$C$13,0,$E$13*$D$13*(1+$C$27)*(1+$C$28)^0)</f>
        <v>2772</v>
      </c>
      <c r="M38" s="51" t="n">
        <f aca="false">IF(11&lt;$C$13,0,$E$13*$D$13*(1+$C$27)*(1+$C$28)^0)</f>
        <v>2772</v>
      </c>
      <c r="N38" s="51" t="n">
        <f aca="false">IF(12&lt;$C$13,0,$E$13*$D$13*(1+$C$27)*(1+$C$28)^0)</f>
        <v>2772</v>
      </c>
      <c r="O38" s="51" t="n">
        <f aca="false">IF(13&lt;$C$13,0,$F$13*$D$13*(1+$C$27)*(1+$C$28)^1)</f>
        <v>2993.76</v>
      </c>
      <c r="P38" s="51" t="n">
        <f aca="false">IF(14&lt;$C$13,0,$F$13*$D$13*(1+$C$27)*(1+$C$28)^1)</f>
        <v>2993.76</v>
      </c>
      <c r="Q38" s="51" t="n">
        <f aca="false">IF(15&lt;$C$13,0,$F$13*$D$13*(1+$C$27)*(1+$C$28)^1)</f>
        <v>2993.76</v>
      </c>
      <c r="R38" s="51" t="n">
        <f aca="false">IF(16&lt;$C$13,0,$F$13*$D$13*(1+$C$27)*(1+$C$28)^1)</f>
        <v>2993.76</v>
      </c>
      <c r="S38" s="51" t="n">
        <f aca="false">IF(17&lt;$C$13,0,$F$13*$D$13*(1+$C$27)*(1+$C$28)^1)</f>
        <v>2993.76</v>
      </c>
      <c r="T38" s="51" t="n">
        <f aca="false">IF(18&lt;$C$13,0,$F$13*$D$13*(1+$C$27)*(1+$C$28)^1)</f>
        <v>2993.76</v>
      </c>
      <c r="U38" s="51" t="n">
        <f aca="false">IF(19&lt;$C$13,0,$F$13*$D$13*(1+$C$27)*(1+$C$28)^1)</f>
        <v>2993.76</v>
      </c>
      <c r="V38" s="51" t="n">
        <f aca="false">IF(20&lt;$C$13,0,$F$13*$D$13*(1+$C$27)*(1+$C$28)^1)</f>
        <v>2993.76</v>
      </c>
      <c r="W38" s="51" t="n">
        <f aca="false">IF(21&lt;$C$13,0,$F$13*$D$13*(1+$C$27)*(1+$C$28)^1)</f>
        <v>2993.76</v>
      </c>
      <c r="X38" s="51" t="n">
        <f aca="false">IF(22&lt;$C$13,0,$F$13*$D$13*(1+$C$27)*(1+$C$28)^1)</f>
        <v>2993.76</v>
      </c>
      <c r="Y38" s="51" t="n">
        <f aca="false">IF(23&lt;$C$13,0,$F$13*$D$13*(1+$C$27)*(1+$C$28)^1)</f>
        <v>2993.76</v>
      </c>
      <c r="Z38" s="51" t="n">
        <f aca="false">IF(24&lt;$C$13,0,$F$13*$D$13*(1+$C$27)*(1+$C$28)^1)</f>
        <v>2993.76</v>
      </c>
      <c r="AA38" s="51" t="n">
        <f aca="false">IF(25&lt;$C$13,0,$G$13*$D$13*(1+$C$27)*(1+$C$28)^2)</f>
        <v>3233.2608</v>
      </c>
      <c r="AB38" s="51" t="n">
        <f aca="false">IF(26&lt;$C$13,0,$G$13*$D$13*(1+$C$27)*(1+$C$28)^2)</f>
        <v>3233.2608</v>
      </c>
      <c r="AC38" s="51" t="n">
        <f aca="false">IF(27&lt;$C$13,0,$G$13*$D$13*(1+$C$27)*(1+$C$28)^2)</f>
        <v>3233.2608</v>
      </c>
      <c r="AD38" s="51" t="n">
        <f aca="false">IF(28&lt;$C$13,0,$G$13*$D$13*(1+$C$27)*(1+$C$28)^2)</f>
        <v>3233.2608</v>
      </c>
      <c r="AE38" s="51" t="n">
        <f aca="false">IF(29&lt;$C$13,0,$G$13*$D$13*(1+$C$27)*(1+$C$28)^2)</f>
        <v>3233.2608</v>
      </c>
      <c r="AF38" s="51" t="n">
        <f aca="false">IF(30&lt;$C$13,0,$G$13*$D$13*(1+$C$27)*(1+$C$28)^2)</f>
        <v>3233.2608</v>
      </c>
      <c r="AG38" s="51" t="n">
        <f aca="false">IF(31&lt;$C$13,0,$G$13*$D$13*(1+$C$27)*(1+$C$28)^2)</f>
        <v>3233.2608</v>
      </c>
      <c r="AH38" s="51" t="n">
        <f aca="false">IF(32&lt;$C$13,0,$G$13*$D$13*(1+$C$27)*(1+$C$28)^2)</f>
        <v>3233.2608</v>
      </c>
      <c r="AI38" s="51" t="n">
        <f aca="false">IF(33&lt;$C$13,0,$G$13*$D$13*(1+$C$27)*(1+$C$28)^2)</f>
        <v>3233.2608</v>
      </c>
      <c r="AJ38" s="51" t="n">
        <f aca="false">IF(34&lt;$C$13,0,$G$13*$D$13*(1+$C$27)*(1+$C$28)^2)</f>
        <v>3233.2608</v>
      </c>
      <c r="AK38" s="51" t="n">
        <f aca="false">IF(35&lt;$C$13,0,$G$13*$D$13*(1+$C$27)*(1+$C$28)^2)</f>
        <v>3233.2608</v>
      </c>
      <c r="AL38" s="51" t="n">
        <f aca="false">IF(36&lt;$C$13,0,$G$13*$D$13*(1+$C$27)*(1+$C$28)^2)</f>
        <v>3233.2608</v>
      </c>
      <c r="AN38" s="52" t="n">
        <f aca="false">SUM(C38:N38)</f>
        <v>33264</v>
      </c>
      <c r="AO38" s="52" t="n">
        <f aca="false">SUM(O38:Z38)</f>
        <v>35925.12</v>
      </c>
      <c r="AP38" s="52" t="n">
        <f aca="false">SUM(AA38:AL38)</f>
        <v>38799.1296</v>
      </c>
    </row>
    <row r="39" customFormat="false" ht="15" hidden="false" customHeight="false" outlineLevel="0" collapsed="false">
      <c r="A39" s="26" t="s">
        <v>325</v>
      </c>
      <c r="B39" s="24" t="s">
        <v>324</v>
      </c>
      <c r="C39" s="51" t="n">
        <f aca="false">IF(1&lt;$C$14,0,$E$14*$D$14*(1+$C$27)*(1+$C$28)^0)</f>
        <v>0</v>
      </c>
      <c r="D39" s="51" t="n">
        <f aca="false">IF(2&lt;$C$14,0,$E$14*$D$14*(1+$C$27)*(1+$C$28)^0)</f>
        <v>0</v>
      </c>
      <c r="E39" s="51" t="n">
        <f aca="false">IF(3&lt;$C$14,0,$E$14*$D$14*(1+$C$27)*(1+$C$28)^0)</f>
        <v>0</v>
      </c>
      <c r="F39" s="51" t="n">
        <f aca="false">IF(4&lt;$C$14,0,$E$14*$D$14*(1+$C$27)*(1+$C$28)^0)</f>
        <v>0</v>
      </c>
      <c r="G39" s="51" t="n">
        <f aca="false">IF(5&lt;$C$14,0,$E$14*$D$14*(1+$C$27)*(1+$C$28)^0)</f>
        <v>0</v>
      </c>
      <c r="H39" s="51" t="n">
        <f aca="false">IF(6&lt;$C$14,0,$E$14*$D$14*(1+$C$27)*(1+$C$28)^0)</f>
        <v>0</v>
      </c>
      <c r="I39" s="51" t="n">
        <f aca="false">IF(7&lt;$C$14,0,$E$14*$D$14*(1+$C$27)*(1+$C$28)^0)</f>
        <v>0</v>
      </c>
      <c r="J39" s="51" t="n">
        <f aca="false">IF(8&lt;$C$14,0,$E$14*$D$14*(1+$C$27)*(1+$C$28)^0)</f>
        <v>0</v>
      </c>
      <c r="K39" s="51" t="n">
        <f aca="false">IF(9&lt;$C$14,0,$E$14*$D$14*(1+$C$27)*(1+$C$28)^0)</f>
        <v>0</v>
      </c>
      <c r="L39" s="51" t="n">
        <f aca="false">IF(10&lt;$C$14,0,$E$14*$D$14*(1+$C$27)*(1+$C$28)^0)</f>
        <v>0</v>
      </c>
      <c r="M39" s="51" t="n">
        <f aca="false">IF(11&lt;$C$14,0,$E$14*$D$14*(1+$C$27)*(1+$C$28)^0)</f>
        <v>0</v>
      </c>
      <c r="N39" s="51" t="n">
        <f aca="false">IF(12&lt;$C$14,0,$E$14*$D$14*(1+$C$27)*(1+$C$28)^0)</f>
        <v>0</v>
      </c>
      <c r="O39" s="51" t="n">
        <f aca="false">IF(13&lt;$C$14,0,$F$14*$D$14*(1+$C$27)*(1+$C$28)^1)</f>
        <v>2494.8</v>
      </c>
      <c r="P39" s="51" t="n">
        <f aca="false">IF(14&lt;$C$14,0,$F$14*$D$14*(1+$C$27)*(1+$C$28)^1)</f>
        <v>2494.8</v>
      </c>
      <c r="Q39" s="51" t="n">
        <f aca="false">IF(15&lt;$C$14,0,$F$14*$D$14*(1+$C$27)*(1+$C$28)^1)</f>
        <v>2494.8</v>
      </c>
      <c r="R39" s="51" t="n">
        <f aca="false">IF(16&lt;$C$14,0,$F$14*$D$14*(1+$C$27)*(1+$C$28)^1)</f>
        <v>2494.8</v>
      </c>
      <c r="S39" s="51" t="n">
        <f aca="false">IF(17&lt;$C$14,0,$F$14*$D$14*(1+$C$27)*(1+$C$28)^1)</f>
        <v>2494.8</v>
      </c>
      <c r="T39" s="51" t="n">
        <f aca="false">IF(18&lt;$C$14,0,$F$14*$D$14*(1+$C$27)*(1+$C$28)^1)</f>
        <v>2494.8</v>
      </c>
      <c r="U39" s="51" t="n">
        <f aca="false">IF(19&lt;$C$14,0,$F$14*$D$14*(1+$C$27)*(1+$C$28)^1)</f>
        <v>2494.8</v>
      </c>
      <c r="V39" s="51" t="n">
        <f aca="false">IF(20&lt;$C$14,0,$F$14*$D$14*(1+$C$27)*(1+$C$28)^1)</f>
        <v>2494.8</v>
      </c>
      <c r="W39" s="51" t="n">
        <f aca="false">IF(21&lt;$C$14,0,$F$14*$D$14*(1+$C$27)*(1+$C$28)^1)</f>
        <v>2494.8</v>
      </c>
      <c r="X39" s="51" t="n">
        <f aca="false">IF(22&lt;$C$14,0,$F$14*$D$14*(1+$C$27)*(1+$C$28)^1)</f>
        <v>2494.8</v>
      </c>
      <c r="Y39" s="51" t="n">
        <f aca="false">IF(23&lt;$C$14,0,$F$14*$D$14*(1+$C$27)*(1+$C$28)^1)</f>
        <v>2494.8</v>
      </c>
      <c r="Z39" s="51" t="n">
        <f aca="false">IF(24&lt;$C$14,0,$F$14*$D$14*(1+$C$27)*(1+$C$28)^1)</f>
        <v>2494.8</v>
      </c>
      <c r="AA39" s="51" t="n">
        <f aca="false">IF(25&lt;$C$14,0,$G$14*$D$14*(1+$C$27)*(1+$C$28)^2)</f>
        <v>2694.384</v>
      </c>
      <c r="AB39" s="51" t="n">
        <f aca="false">IF(26&lt;$C$14,0,$G$14*$D$14*(1+$C$27)*(1+$C$28)^2)</f>
        <v>2694.384</v>
      </c>
      <c r="AC39" s="51" t="n">
        <f aca="false">IF(27&lt;$C$14,0,$G$14*$D$14*(1+$C$27)*(1+$C$28)^2)</f>
        <v>2694.384</v>
      </c>
      <c r="AD39" s="51" t="n">
        <f aca="false">IF(28&lt;$C$14,0,$G$14*$D$14*(1+$C$27)*(1+$C$28)^2)</f>
        <v>2694.384</v>
      </c>
      <c r="AE39" s="51" t="n">
        <f aca="false">IF(29&lt;$C$14,0,$G$14*$D$14*(1+$C$27)*(1+$C$28)^2)</f>
        <v>2694.384</v>
      </c>
      <c r="AF39" s="51" t="n">
        <f aca="false">IF(30&lt;$C$14,0,$G$14*$D$14*(1+$C$27)*(1+$C$28)^2)</f>
        <v>2694.384</v>
      </c>
      <c r="AG39" s="51" t="n">
        <f aca="false">IF(31&lt;$C$14,0,$G$14*$D$14*(1+$C$27)*(1+$C$28)^2)</f>
        <v>2694.384</v>
      </c>
      <c r="AH39" s="51" t="n">
        <f aca="false">IF(32&lt;$C$14,0,$G$14*$D$14*(1+$C$27)*(1+$C$28)^2)</f>
        <v>2694.384</v>
      </c>
      <c r="AI39" s="51" t="n">
        <f aca="false">IF(33&lt;$C$14,0,$G$14*$D$14*(1+$C$27)*(1+$C$28)^2)</f>
        <v>2694.384</v>
      </c>
      <c r="AJ39" s="51" t="n">
        <f aca="false">IF(34&lt;$C$14,0,$G$14*$D$14*(1+$C$27)*(1+$C$28)^2)</f>
        <v>2694.384</v>
      </c>
      <c r="AK39" s="51" t="n">
        <f aca="false">IF(35&lt;$C$14,0,$G$14*$D$14*(1+$C$27)*(1+$C$28)^2)</f>
        <v>2694.384</v>
      </c>
      <c r="AL39" s="51" t="n">
        <f aca="false">IF(36&lt;$C$14,0,$G$14*$D$14*(1+$C$27)*(1+$C$28)^2)</f>
        <v>2694.384</v>
      </c>
      <c r="AN39" s="52" t="n">
        <f aca="false">SUM(C39:N39)</f>
        <v>0</v>
      </c>
      <c r="AO39" s="52" t="n">
        <f aca="false">SUM(O39:Z39)</f>
        <v>29937.6</v>
      </c>
      <c r="AP39" s="52" t="n">
        <f aca="false">SUM(AA39:AL39)</f>
        <v>32332.608</v>
      </c>
    </row>
    <row r="40" customFormat="false" ht="15" hidden="false" customHeight="false" outlineLevel="0" collapsed="false">
      <c r="A40" s="26" t="s">
        <v>326</v>
      </c>
      <c r="B40" s="24" t="s">
        <v>324</v>
      </c>
      <c r="C40" s="51" t="n">
        <f aca="false">IF(1&lt;$C$15,0,$E$15*$D$15*(1+$C$27)*(1+$C$28)^0)</f>
        <v>0</v>
      </c>
      <c r="D40" s="51" t="n">
        <f aca="false">IF(2&lt;$C$15,0,$E$15*$D$15*(1+$C$27)*(1+$C$28)^0)</f>
        <v>0</v>
      </c>
      <c r="E40" s="51" t="n">
        <f aca="false">IF(3&lt;$C$15,0,$E$15*$D$15*(1+$C$27)*(1+$C$28)^0)</f>
        <v>0</v>
      </c>
      <c r="F40" s="51" t="n">
        <f aca="false">IF(4&lt;$C$15,0,$E$15*$D$15*(1+$C$27)*(1+$C$28)^0)</f>
        <v>0</v>
      </c>
      <c r="G40" s="51" t="n">
        <f aca="false">IF(5&lt;$C$15,0,$E$15*$D$15*(1+$C$27)*(1+$C$28)^0)</f>
        <v>0</v>
      </c>
      <c r="H40" s="51" t="n">
        <f aca="false">IF(6&lt;$C$15,0,$E$15*$D$15*(1+$C$27)*(1+$C$28)^0)</f>
        <v>0</v>
      </c>
      <c r="I40" s="51" t="n">
        <f aca="false">IF(7&lt;$C$15,0,$E$15*$D$15*(1+$C$27)*(1+$C$28)^0)</f>
        <v>0</v>
      </c>
      <c r="J40" s="51" t="n">
        <f aca="false">IF(8&lt;$C$15,0,$E$15*$D$15*(1+$C$27)*(1+$C$28)^0)</f>
        <v>0</v>
      </c>
      <c r="K40" s="51" t="n">
        <f aca="false">IF(9&lt;$C$15,0,$E$15*$D$15*(1+$C$27)*(1+$C$28)^0)</f>
        <v>0</v>
      </c>
      <c r="L40" s="51" t="n">
        <f aca="false">IF(10&lt;$C$15,0,$E$15*$D$15*(1+$C$27)*(1+$C$28)^0)</f>
        <v>0</v>
      </c>
      <c r="M40" s="51" t="n">
        <f aca="false">IF(11&lt;$C$15,0,$E$15*$D$15*(1+$C$27)*(1+$C$28)^0)</f>
        <v>0</v>
      </c>
      <c r="N40" s="51" t="n">
        <f aca="false">IF(12&lt;$C$15,0,$E$15*$D$15*(1+$C$27)*(1+$C$28)^0)</f>
        <v>0</v>
      </c>
      <c r="O40" s="51" t="n">
        <f aca="false">IF(13&lt;$C$15,0,$F$15*$D$15*(1+$C$27)*(1+$C$28)^1)</f>
        <v>0</v>
      </c>
      <c r="P40" s="51" t="n">
        <f aca="false">IF(14&lt;$C$15,0,$F$15*$D$15*(1+$C$27)*(1+$C$28)^1)</f>
        <v>0</v>
      </c>
      <c r="Q40" s="51" t="n">
        <f aca="false">IF(15&lt;$C$15,0,$F$15*$D$15*(1+$C$27)*(1+$C$28)^1)</f>
        <v>0</v>
      </c>
      <c r="R40" s="51" t="n">
        <f aca="false">IF(16&lt;$C$15,0,$F$15*$D$15*(1+$C$27)*(1+$C$28)^1)</f>
        <v>0</v>
      </c>
      <c r="S40" s="51" t="n">
        <f aca="false">IF(17&lt;$C$15,0,$F$15*$D$15*(1+$C$27)*(1+$C$28)^1)</f>
        <v>0</v>
      </c>
      <c r="T40" s="51" t="n">
        <f aca="false">IF(18&lt;$C$15,0,$F$15*$D$15*(1+$C$27)*(1+$C$28)^1)</f>
        <v>0</v>
      </c>
      <c r="U40" s="51" t="n">
        <f aca="false">IF(19&lt;$C$15,0,$F$15*$D$15*(1+$C$27)*(1+$C$28)^1)</f>
        <v>0</v>
      </c>
      <c r="V40" s="51" t="n">
        <f aca="false">IF(20&lt;$C$15,0,$F$15*$D$15*(1+$C$27)*(1+$C$28)^1)</f>
        <v>0</v>
      </c>
      <c r="W40" s="51" t="n">
        <f aca="false">IF(21&lt;$C$15,0,$F$15*$D$15*(1+$C$27)*(1+$C$28)^1)</f>
        <v>0</v>
      </c>
      <c r="X40" s="51" t="n">
        <f aca="false">IF(22&lt;$C$15,0,$F$15*$D$15*(1+$C$27)*(1+$C$28)^1)</f>
        <v>0</v>
      </c>
      <c r="Y40" s="51" t="n">
        <f aca="false">IF(23&lt;$C$15,0,$F$15*$D$15*(1+$C$27)*(1+$C$28)^1)</f>
        <v>0</v>
      </c>
      <c r="Z40" s="51" t="n">
        <f aca="false">IF(24&lt;$C$15,0,$F$15*$D$15*(1+$C$27)*(1+$C$28)^1)</f>
        <v>0</v>
      </c>
      <c r="AA40" s="51" t="n">
        <f aca="false">IF(25&lt;$C$15,0,$G$15*$D$15*(1+$C$27)*(1+$C$28)^2)</f>
        <v>2020.788</v>
      </c>
      <c r="AB40" s="51" t="n">
        <f aca="false">IF(26&lt;$C$15,0,$G$15*$D$15*(1+$C$27)*(1+$C$28)^2)</f>
        <v>2020.788</v>
      </c>
      <c r="AC40" s="51" t="n">
        <f aca="false">IF(27&lt;$C$15,0,$G$15*$D$15*(1+$C$27)*(1+$C$28)^2)</f>
        <v>2020.788</v>
      </c>
      <c r="AD40" s="51" t="n">
        <f aca="false">IF(28&lt;$C$15,0,$G$15*$D$15*(1+$C$27)*(1+$C$28)^2)</f>
        <v>2020.788</v>
      </c>
      <c r="AE40" s="51" t="n">
        <f aca="false">IF(29&lt;$C$15,0,$G$15*$D$15*(1+$C$27)*(1+$C$28)^2)</f>
        <v>2020.788</v>
      </c>
      <c r="AF40" s="51" t="n">
        <f aca="false">IF(30&lt;$C$15,0,$G$15*$D$15*(1+$C$27)*(1+$C$28)^2)</f>
        <v>2020.788</v>
      </c>
      <c r="AG40" s="51" t="n">
        <f aca="false">IF(31&lt;$C$15,0,$G$15*$D$15*(1+$C$27)*(1+$C$28)^2)</f>
        <v>2020.788</v>
      </c>
      <c r="AH40" s="51" t="n">
        <f aca="false">IF(32&lt;$C$15,0,$G$15*$D$15*(1+$C$27)*(1+$C$28)^2)</f>
        <v>2020.788</v>
      </c>
      <c r="AI40" s="51" t="n">
        <f aca="false">IF(33&lt;$C$15,0,$G$15*$D$15*(1+$C$27)*(1+$C$28)^2)</f>
        <v>2020.788</v>
      </c>
      <c r="AJ40" s="51" t="n">
        <f aca="false">IF(34&lt;$C$15,0,$G$15*$D$15*(1+$C$27)*(1+$C$28)^2)</f>
        <v>2020.788</v>
      </c>
      <c r="AK40" s="51" t="n">
        <f aca="false">IF(35&lt;$C$15,0,$G$15*$D$15*(1+$C$27)*(1+$C$28)^2)</f>
        <v>2020.788</v>
      </c>
      <c r="AL40" s="51" t="n">
        <f aca="false">IF(36&lt;$C$15,0,$G$15*$D$15*(1+$C$27)*(1+$C$28)^2)</f>
        <v>2020.788</v>
      </c>
      <c r="AN40" s="52" t="n">
        <f aca="false">SUM(C40:N40)</f>
        <v>0</v>
      </c>
      <c r="AO40" s="52" t="n">
        <f aca="false">SUM(O40:Z40)</f>
        <v>0</v>
      </c>
      <c r="AP40" s="52" t="n">
        <f aca="false">SUM(AA40:AL40)</f>
        <v>24249.456</v>
      </c>
    </row>
    <row r="41" customFormat="false" ht="15" hidden="false" customHeight="false" outlineLevel="0" collapsed="false">
      <c r="A41" s="26" t="s">
        <v>327</v>
      </c>
      <c r="B41" s="24" t="s">
        <v>324</v>
      </c>
      <c r="C41" s="51" t="n">
        <f aca="false">IF(1&lt;$C$16,0,$E$16*$D$16*(1+$C$27)*(1+$C$28)^0)</f>
        <v>0</v>
      </c>
      <c r="D41" s="51" t="n">
        <f aca="false">IF(2&lt;$C$16,0,$E$16*$D$16*(1+$C$27)*(1+$C$28)^0)</f>
        <v>0</v>
      </c>
      <c r="E41" s="51" t="n">
        <f aca="false">IF(3&lt;$C$16,0,$E$16*$D$16*(1+$C$27)*(1+$C$28)^0)</f>
        <v>0</v>
      </c>
      <c r="F41" s="51" t="n">
        <f aca="false">IF(4&lt;$C$16,0,$E$16*$D$16*(1+$C$27)*(1+$C$28)^0)</f>
        <v>0</v>
      </c>
      <c r="G41" s="51" t="n">
        <f aca="false">IF(5&lt;$C$16,0,$E$16*$D$16*(1+$C$27)*(1+$C$28)^0)</f>
        <v>0</v>
      </c>
      <c r="H41" s="51" t="n">
        <f aca="false">IF(6&lt;$C$16,0,$E$16*$D$16*(1+$C$27)*(1+$C$28)^0)</f>
        <v>0</v>
      </c>
      <c r="I41" s="51" t="n">
        <f aca="false">IF(7&lt;$C$16,0,$E$16*$D$16*(1+$C$27)*(1+$C$28)^0)</f>
        <v>0</v>
      </c>
      <c r="J41" s="51" t="n">
        <f aca="false">IF(8&lt;$C$16,0,$E$16*$D$16*(1+$C$27)*(1+$C$28)^0)</f>
        <v>0</v>
      </c>
      <c r="K41" s="51" t="n">
        <f aca="false">IF(9&lt;$C$16,0,$E$16*$D$16*(1+$C$27)*(1+$C$28)^0)</f>
        <v>0</v>
      </c>
      <c r="L41" s="51" t="n">
        <f aca="false">IF(10&lt;$C$16,0,$E$16*$D$16*(1+$C$27)*(1+$C$28)^0)</f>
        <v>0</v>
      </c>
      <c r="M41" s="51" t="n">
        <f aca="false">IF(11&lt;$C$16,0,$E$16*$D$16*(1+$C$27)*(1+$C$28)^0)</f>
        <v>0</v>
      </c>
      <c r="N41" s="51" t="n">
        <f aca="false">IF(12&lt;$C$16,0,$E$16*$D$16*(1+$C$27)*(1+$C$28)^0)</f>
        <v>0</v>
      </c>
      <c r="O41" s="51" t="n">
        <f aca="false">IF(13&lt;$C$16,0,$F$16*$D$16*(1+$C$27)*(1+$C$28)^1)</f>
        <v>0</v>
      </c>
      <c r="P41" s="51" t="n">
        <f aca="false">IF(14&lt;$C$16,0,$F$16*$D$16*(1+$C$27)*(1+$C$28)^1)</f>
        <v>0</v>
      </c>
      <c r="Q41" s="51" t="n">
        <f aca="false">IF(15&lt;$C$16,0,$F$16*$D$16*(1+$C$27)*(1+$C$28)^1)</f>
        <v>0</v>
      </c>
      <c r="R41" s="51" t="n">
        <f aca="false">IF(16&lt;$C$16,0,$F$16*$D$16*(1+$C$27)*(1+$C$28)^1)</f>
        <v>0</v>
      </c>
      <c r="S41" s="51" t="n">
        <f aca="false">IF(17&lt;$C$16,0,$F$16*$D$16*(1+$C$27)*(1+$C$28)^1)</f>
        <v>0</v>
      </c>
      <c r="T41" s="51" t="n">
        <f aca="false">IF(18&lt;$C$16,0,$F$16*$D$16*(1+$C$27)*(1+$C$28)^1)</f>
        <v>0</v>
      </c>
      <c r="U41" s="51" t="n">
        <f aca="false">IF(19&lt;$C$16,0,$F$16*$D$16*(1+$C$27)*(1+$C$28)^1)</f>
        <v>0</v>
      </c>
      <c r="V41" s="51" t="n">
        <f aca="false">IF(20&lt;$C$16,0,$F$16*$D$16*(1+$C$27)*(1+$C$28)^1)</f>
        <v>0</v>
      </c>
      <c r="W41" s="51" t="n">
        <f aca="false">IF(21&lt;$C$16,0,$F$16*$D$16*(1+$C$27)*(1+$C$28)^1)</f>
        <v>0</v>
      </c>
      <c r="X41" s="51" t="n">
        <f aca="false">IF(22&lt;$C$16,0,$F$16*$D$16*(1+$C$27)*(1+$C$28)^1)</f>
        <v>0</v>
      </c>
      <c r="Y41" s="51" t="n">
        <f aca="false">IF(23&lt;$C$16,0,$F$16*$D$16*(1+$C$27)*(1+$C$28)^1)</f>
        <v>0</v>
      </c>
      <c r="Z41" s="51" t="n">
        <f aca="false">IF(24&lt;$C$16,0,$F$16*$D$16*(1+$C$27)*(1+$C$28)^1)</f>
        <v>0</v>
      </c>
      <c r="AA41" s="51" t="n">
        <f aca="false">IF(25&lt;$C$16,0,$G$16*$D$16*(1+$C$27)*(1+$C$28)^2)</f>
        <v>0</v>
      </c>
      <c r="AB41" s="51" t="n">
        <f aca="false">IF(26&lt;$C$16,0,$G$16*$D$16*(1+$C$27)*(1+$C$28)^2)</f>
        <v>0</v>
      </c>
      <c r="AC41" s="51" t="n">
        <f aca="false">IF(27&lt;$C$16,0,$G$16*$D$16*(1+$C$27)*(1+$C$28)^2)</f>
        <v>0</v>
      </c>
      <c r="AD41" s="51" t="n">
        <f aca="false">IF(28&lt;$C$16,0,$G$16*$D$16*(1+$C$27)*(1+$C$28)^2)</f>
        <v>0</v>
      </c>
      <c r="AE41" s="51" t="n">
        <f aca="false">IF(29&lt;$C$16,0,$G$16*$D$16*(1+$C$27)*(1+$C$28)^2)</f>
        <v>0</v>
      </c>
      <c r="AF41" s="51" t="n">
        <f aca="false">IF(30&lt;$C$16,0,$G$16*$D$16*(1+$C$27)*(1+$C$28)^2)</f>
        <v>0</v>
      </c>
      <c r="AG41" s="51" t="n">
        <f aca="false">IF(31&lt;$C$16,0,$G$16*$D$16*(1+$C$27)*(1+$C$28)^2)</f>
        <v>0</v>
      </c>
      <c r="AH41" s="51" t="n">
        <f aca="false">IF(32&lt;$C$16,0,$G$16*$D$16*(1+$C$27)*(1+$C$28)^2)</f>
        <v>0</v>
      </c>
      <c r="AI41" s="51" t="n">
        <f aca="false">IF(33&lt;$C$16,0,$G$16*$D$16*(1+$C$27)*(1+$C$28)^2)</f>
        <v>0</v>
      </c>
      <c r="AJ41" s="51" t="n">
        <f aca="false">IF(34&lt;$C$16,0,$G$16*$D$16*(1+$C$27)*(1+$C$28)^2)</f>
        <v>0</v>
      </c>
      <c r="AK41" s="51" t="n">
        <f aca="false">IF(35&lt;$C$16,0,$G$16*$D$16*(1+$C$27)*(1+$C$28)^2)</f>
        <v>0</v>
      </c>
      <c r="AL41" s="51" t="n">
        <f aca="false">IF(36&lt;$C$16,0,$G$16*$D$16*(1+$C$27)*(1+$C$28)^2)</f>
        <v>0</v>
      </c>
      <c r="AN41" s="52" t="n">
        <f aca="false">SUM(C41:N41)</f>
        <v>0</v>
      </c>
      <c r="AO41" s="52" t="n">
        <f aca="false">SUM(O41:Z41)</f>
        <v>0</v>
      </c>
      <c r="AP41" s="52" t="n">
        <f aca="false">SUM(AA41:AL41)</f>
        <v>0</v>
      </c>
    </row>
    <row r="42" customFormat="false" ht="15" hidden="false" customHeight="false" outlineLevel="0" collapsed="false">
      <c r="A42" s="26" t="s">
        <v>328</v>
      </c>
      <c r="B42" s="24" t="s">
        <v>329</v>
      </c>
      <c r="C42" s="51" t="n">
        <f aca="false">IF(1&lt;$C$17,0,$E$17*$D$17*(1+$C$27)*(1+$C$28)^0)</f>
        <v>2541</v>
      </c>
      <c r="D42" s="51" t="n">
        <f aca="false">IF(2&lt;$C$17,0,$E$17*$D$17*(1+$C$27)*(1+$C$28)^0)</f>
        <v>2541</v>
      </c>
      <c r="E42" s="51" t="n">
        <f aca="false">IF(3&lt;$C$17,0,$E$17*$D$17*(1+$C$27)*(1+$C$28)^0)</f>
        <v>2541</v>
      </c>
      <c r="F42" s="51" t="n">
        <f aca="false">IF(4&lt;$C$17,0,$E$17*$D$17*(1+$C$27)*(1+$C$28)^0)</f>
        <v>2541</v>
      </c>
      <c r="G42" s="51" t="n">
        <f aca="false">IF(5&lt;$C$17,0,$E$17*$D$17*(1+$C$27)*(1+$C$28)^0)</f>
        <v>2541</v>
      </c>
      <c r="H42" s="51" t="n">
        <f aca="false">IF(6&lt;$C$17,0,$E$17*$D$17*(1+$C$27)*(1+$C$28)^0)</f>
        <v>2541</v>
      </c>
      <c r="I42" s="51" t="n">
        <f aca="false">IF(7&lt;$C$17,0,$E$17*$D$17*(1+$C$27)*(1+$C$28)^0)</f>
        <v>2541</v>
      </c>
      <c r="J42" s="51" t="n">
        <f aca="false">IF(8&lt;$C$17,0,$E$17*$D$17*(1+$C$27)*(1+$C$28)^0)</f>
        <v>2541</v>
      </c>
      <c r="K42" s="51" t="n">
        <f aca="false">IF(9&lt;$C$17,0,$E$17*$D$17*(1+$C$27)*(1+$C$28)^0)</f>
        <v>2541</v>
      </c>
      <c r="L42" s="51" t="n">
        <f aca="false">IF(10&lt;$C$17,0,$E$17*$D$17*(1+$C$27)*(1+$C$28)^0)</f>
        <v>2541</v>
      </c>
      <c r="M42" s="51" t="n">
        <f aca="false">IF(11&lt;$C$17,0,$E$17*$D$17*(1+$C$27)*(1+$C$28)^0)</f>
        <v>2541</v>
      </c>
      <c r="N42" s="51" t="n">
        <f aca="false">IF(12&lt;$C$17,0,$E$17*$D$17*(1+$C$27)*(1+$C$28)^0)</f>
        <v>2541</v>
      </c>
      <c r="O42" s="51" t="n">
        <f aca="false">IF(13&lt;$C$17,0,$F$17*$D$17*(1+$C$27)*(1+$C$28)^1)</f>
        <v>2744.28</v>
      </c>
      <c r="P42" s="51" t="n">
        <f aca="false">IF(14&lt;$C$17,0,$F$17*$D$17*(1+$C$27)*(1+$C$28)^1)</f>
        <v>2744.28</v>
      </c>
      <c r="Q42" s="51" t="n">
        <f aca="false">IF(15&lt;$C$17,0,$F$17*$D$17*(1+$C$27)*(1+$C$28)^1)</f>
        <v>2744.28</v>
      </c>
      <c r="R42" s="51" t="n">
        <f aca="false">IF(16&lt;$C$17,0,$F$17*$D$17*(1+$C$27)*(1+$C$28)^1)</f>
        <v>2744.28</v>
      </c>
      <c r="S42" s="51" t="n">
        <f aca="false">IF(17&lt;$C$17,0,$F$17*$D$17*(1+$C$27)*(1+$C$28)^1)</f>
        <v>2744.28</v>
      </c>
      <c r="T42" s="51" t="n">
        <f aca="false">IF(18&lt;$C$17,0,$F$17*$D$17*(1+$C$27)*(1+$C$28)^1)</f>
        <v>2744.28</v>
      </c>
      <c r="U42" s="51" t="n">
        <f aca="false">IF(19&lt;$C$17,0,$F$17*$D$17*(1+$C$27)*(1+$C$28)^1)</f>
        <v>2744.28</v>
      </c>
      <c r="V42" s="51" t="n">
        <f aca="false">IF(20&lt;$C$17,0,$F$17*$D$17*(1+$C$27)*(1+$C$28)^1)</f>
        <v>2744.28</v>
      </c>
      <c r="W42" s="51" t="n">
        <f aca="false">IF(21&lt;$C$17,0,$F$17*$D$17*(1+$C$27)*(1+$C$28)^1)</f>
        <v>2744.28</v>
      </c>
      <c r="X42" s="51" t="n">
        <f aca="false">IF(22&lt;$C$17,0,$F$17*$D$17*(1+$C$27)*(1+$C$28)^1)</f>
        <v>2744.28</v>
      </c>
      <c r="Y42" s="51" t="n">
        <f aca="false">IF(23&lt;$C$17,0,$F$17*$D$17*(1+$C$27)*(1+$C$28)^1)</f>
        <v>2744.28</v>
      </c>
      <c r="Z42" s="51" t="n">
        <f aca="false">IF(24&lt;$C$17,0,$F$17*$D$17*(1+$C$27)*(1+$C$28)^1)</f>
        <v>2744.28</v>
      </c>
      <c r="AA42" s="51" t="n">
        <f aca="false">IF(25&lt;$C$17,0,$G$17*$D$17*(1+$C$27)*(1+$C$28)^2)</f>
        <v>2963.8224</v>
      </c>
      <c r="AB42" s="51" t="n">
        <f aca="false">IF(26&lt;$C$17,0,$G$17*$D$17*(1+$C$27)*(1+$C$28)^2)</f>
        <v>2963.8224</v>
      </c>
      <c r="AC42" s="51" t="n">
        <f aca="false">IF(27&lt;$C$17,0,$G$17*$D$17*(1+$C$27)*(1+$C$28)^2)</f>
        <v>2963.8224</v>
      </c>
      <c r="AD42" s="51" t="n">
        <f aca="false">IF(28&lt;$C$17,0,$G$17*$D$17*(1+$C$27)*(1+$C$28)^2)</f>
        <v>2963.8224</v>
      </c>
      <c r="AE42" s="51" t="n">
        <f aca="false">IF(29&lt;$C$17,0,$G$17*$D$17*(1+$C$27)*(1+$C$28)^2)</f>
        <v>2963.8224</v>
      </c>
      <c r="AF42" s="51" t="n">
        <f aca="false">IF(30&lt;$C$17,0,$G$17*$D$17*(1+$C$27)*(1+$C$28)^2)</f>
        <v>2963.8224</v>
      </c>
      <c r="AG42" s="51" t="n">
        <f aca="false">IF(31&lt;$C$17,0,$G$17*$D$17*(1+$C$27)*(1+$C$28)^2)</f>
        <v>2963.8224</v>
      </c>
      <c r="AH42" s="51" t="n">
        <f aca="false">IF(32&lt;$C$17,0,$G$17*$D$17*(1+$C$27)*(1+$C$28)^2)</f>
        <v>2963.8224</v>
      </c>
      <c r="AI42" s="51" t="n">
        <f aca="false">IF(33&lt;$C$17,0,$G$17*$D$17*(1+$C$27)*(1+$C$28)^2)</f>
        <v>2963.8224</v>
      </c>
      <c r="AJ42" s="51" t="n">
        <f aca="false">IF(34&lt;$C$17,0,$G$17*$D$17*(1+$C$27)*(1+$C$28)^2)</f>
        <v>2963.8224</v>
      </c>
      <c r="AK42" s="51" t="n">
        <f aca="false">IF(35&lt;$C$17,0,$G$17*$D$17*(1+$C$27)*(1+$C$28)^2)</f>
        <v>2963.8224</v>
      </c>
      <c r="AL42" s="51" t="n">
        <f aca="false">IF(36&lt;$C$17,0,$G$17*$D$17*(1+$C$27)*(1+$C$28)^2)</f>
        <v>2963.8224</v>
      </c>
      <c r="AN42" s="52" t="n">
        <f aca="false">SUM(C42:N42)</f>
        <v>30492</v>
      </c>
      <c r="AO42" s="52" t="n">
        <f aca="false">SUM(O42:Z42)</f>
        <v>32931.36</v>
      </c>
      <c r="AP42" s="52" t="n">
        <f aca="false">SUM(AA42:AL42)</f>
        <v>35565.8688</v>
      </c>
    </row>
    <row r="43" customFormat="false" ht="15" hidden="false" customHeight="false" outlineLevel="0" collapsed="false">
      <c r="A43" s="26" t="s">
        <v>330</v>
      </c>
      <c r="B43" s="24" t="s">
        <v>329</v>
      </c>
      <c r="C43" s="51" t="n">
        <f aca="false">IF(1&lt;$C$18,0,$E$18*$D$18*(1+$C$27)*(1+$C$28)^0)</f>
        <v>0</v>
      </c>
      <c r="D43" s="51" t="n">
        <f aca="false">IF(2&lt;$C$18,0,$E$18*$D$18*(1+$C$27)*(1+$C$28)^0)</f>
        <v>0</v>
      </c>
      <c r="E43" s="51" t="n">
        <f aca="false">IF(3&lt;$C$18,0,$E$18*$D$18*(1+$C$27)*(1+$C$28)^0)</f>
        <v>0</v>
      </c>
      <c r="F43" s="51" t="n">
        <f aca="false">IF(4&lt;$C$18,0,$E$18*$D$18*(1+$C$27)*(1+$C$28)^0)</f>
        <v>0</v>
      </c>
      <c r="G43" s="51" t="n">
        <f aca="false">IF(5&lt;$C$18,0,$E$18*$D$18*(1+$C$27)*(1+$C$28)^0)</f>
        <v>0</v>
      </c>
      <c r="H43" s="51" t="n">
        <f aca="false">IF(6&lt;$C$18,0,$E$18*$D$18*(1+$C$27)*(1+$C$28)^0)</f>
        <v>0</v>
      </c>
      <c r="I43" s="51" t="n">
        <f aca="false">IF(7&lt;$C$18,0,$E$18*$D$18*(1+$C$27)*(1+$C$28)^0)</f>
        <v>0</v>
      </c>
      <c r="J43" s="51" t="n">
        <f aca="false">IF(8&lt;$C$18,0,$E$18*$D$18*(1+$C$27)*(1+$C$28)^0)</f>
        <v>0</v>
      </c>
      <c r="K43" s="51" t="n">
        <f aca="false">IF(9&lt;$C$18,0,$E$18*$D$18*(1+$C$27)*(1+$C$28)^0)</f>
        <v>0</v>
      </c>
      <c r="L43" s="51" t="n">
        <f aca="false">IF(10&lt;$C$18,0,$E$18*$D$18*(1+$C$27)*(1+$C$28)^0)</f>
        <v>0</v>
      </c>
      <c r="M43" s="51" t="n">
        <f aca="false">IF(11&lt;$C$18,0,$E$18*$D$18*(1+$C$27)*(1+$C$28)^0)</f>
        <v>0</v>
      </c>
      <c r="N43" s="51" t="n">
        <f aca="false">IF(12&lt;$C$18,0,$E$18*$D$18*(1+$C$27)*(1+$C$28)^0)</f>
        <v>0</v>
      </c>
      <c r="O43" s="51" t="n">
        <f aca="false">IF(13&lt;$C$18,0,$F$18*$D$18*(1+$C$27)*(1+$C$28)^1)</f>
        <v>6237</v>
      </c>
      <c r="P43" s="51" t="n">
        <f aca="false">IF(14&lt;$C$18,0,$F$18*$D$18*(1+$C$27)*(1+$C$28)^1)</f>
        <v>6237</v>
      </c>
      <c r="Q43" s="51" t="n">
        <f aca="false">IF(15&lt;$C$18,0,$F$18*$D$18*(1+$C$27)*(1+$C$28)^1)</f>
        <v>6237</v>
      </c>
      <c r="R43" s="51" t="n">
        <f aca="false">IF(16&lt;$C$18,0,$F$18*$D$18*(1+$C$27)*(1+$C$28)^1)</f>
        <v>6237</v>
      </c>
      <c r="S43" s="51" t="n">
        <f aca="false">IF(17&lt;$C$18,0,$F$18*$D$18*(1+$C$27)*(1+$C$28)^1)</f>
        <v>6237</v>
      </c>
      <c r="T43" s="51" t="n">
        <f aca="false">IF(18&lt;$C$18,0,$F$18*$D$18*(1+$C$27)*(1+$C$28)^1)</f>
        <v>6237</v>
      </c>
      <c r="U43" s="51" t="n">
        <f aca="false">IF(19&lt;$C$18,0,$F$18*$D$18*(1+$C$27)*(1+$C$28)^1)</f>
        <v>6237</v>
      </c>
      <c r="V43" s="51" t="n">
        <f aca="false">IF(20&lt;$C$18,0,$F$18*$D$18*(1+$C$27)*(1+$C$28)^1)</f>
        <v>6237</v>
      </c>
      <c r="W43" s="51" t="n">
        <f aca="false">IF(21&lt;$C$18,0,$F$18*$D$18*(1+$C$27)*(1+$C$28)^1)</f>
        <v>6237</v>
      </c>
      <c r="X43" s="51" t="n">
        <f aca="false">IF(22&lt;$C$18,0,$F$18*$D$18*(1+$C$27)*(1+$C$28)^1)</f>
        <v>6237</v>
      </c>
      <c r="Y43" s="51" t="n">
        <f aca="false">IF(23&lt;$C$18,0,$F$18*$D$18*(1+$C$27)*(1+$C$28)^1)</f>
        <v>6237</v>
      </c>
      <c r="Z43" s="51" t="n">
        <f aca="false">IF(24&lt;$C$18,0,$F$18*$D$18*(1+$C$27)*(1+$C$28)^1)</f>
        <v>6237</v>
      </c>
      <c r="AA43" s="51" t="n">
        <f aca="false">IF(25&lt;$C$18,0,$G$18*$D$18*(1+$C$27)*(1+$C$28)^2)</f>
        <v>6735.96</v>
      </c>
      <c r="AB43" s="51" t="n">
        <f aca="false">IF(26&lt;$C$18,0,$G$18*$D$18*(1+$C$27)*(1+$C$28)^2)</f>
        <v>6735.96</v>
      </c>
      <c r="AC43" s="51" t="n">
        <f aca="false">IF(27&lt;$C$18,0,$G$18*$D$18*(1+$C$27)*(1+$C$28)^2)</f>
        <v>6735.96</v>
      </c>
      <c r="AD43" s="51" t="n">
        <f aca="false">IF(28&lt;$C$18,0,$G$18*$D$18*(1+$C$27)*(1+$C$28)^2)</f>
        <v>6735.96</v>
      </c>
      <c r="AE43" s="51" t="n">
        <f aca="false">IF(29&lt;$C$18,0,$G$18*$D$18*(1+$C$27)*(1+$C$28)^2)</f>
        <v>6735.96</v>
      </c>
      <c r="AF43" s="51" t="n">
        <f aca="false">IF(30&lt;$C$18,0,$G$18*$D$18*(1+$C$27)*(1+$C$28)^2)</f>
        <v>6735.96</v>
      </c>
      <c r="AG43" s="51" t="n">
        <f aca="false">IF(31&lt;$C$18,0,$G$18*$D$18*(1+$C$27)*(1+$C$28)^2)</f>
        <v>6735.96</v>
      </c>
      <c r="AH43" s="51" t="n">
        <f aca="false">IF(32&lt;$C$18,0,$G$18*$D$18*(1+$C$27)*(1+$C$28)^2)</f>
        <v>6735.96</v>
      </c>
      <c r="AI43" s="51" t="n">
        <f aca="false">IF(33&lt;$C$18,0,$G$18*$D$18*(1+$C$27)*(1+$C$28)^2)</f>
        <v>6735.96</v>
      </c>
      <c r="AJ43" s="51" t="n">
        <f aca="false">IF(34&lt;$C$18,0,$G$18*$D$18*(1+$C$27)*(1+$C$28)^2)</f>
        <v>6735.96</v>
      </c>
      <c r="AK43" s="51" t="n">
        <f aca="false">IF(35&lt;$C$18,0,$G$18*$D$18*(1+$C$27)*(1+$C$28)^2)</f>
        <v>6735.96</v>
      </c>
      <c r="AL43" s="51" t="n">
        <f aca="false">IF(36&lt;$C$18,0,$G$18*$D$18*(1+$C$27)*(1+$C$28)^2)</f>
        <v>6735.96</v>
      </c>
      <c r="AN43" s="52" t="n">
        <f aca="false">SUM(C43:N43)</f>
        <v>0</v>
      </c>
      <c r="AO43" s="52" t="n">
        <f aca="false">SUM(O43:Z43)</f>
        <v>74844</v>
      </c>
      <c r="AP43" s="52" t="n">
        <f aca="false">SUM(AA43:AL43)</f>
        <v>80831.52</v>
      </c>
    </row>
    <row r="44" customFormat="false" ht="15" hidden="false" customHeight="false" outlineLevel="0" collapsed="false">
      <c r="A44" s="26" t="s">
        <v>331</v>
      </c>
      <c r="B44" s="24" t="s">
        <v>329</v>
      </c>
      <c r="C44" s="51" t="n">
        <f aca="false">IF(1&lt;$C$19,0,$E$19*$D$19*(1+$C$27)*(1+$C$28)^0)</f>
        <v>0</v>
      </c>
      <c r="D44" s="51" t="n">
        <f aca="false">IF(2&lt;$C$19,0,$E$19*$D$19*(1+$C$27)*(1+$C$28)^0)</f>
        <v>0</v>
      </c>
      <c r="E44" s="51" t="n">
        <f aca="false">IF(3&lt;$C$19,0,$E$19*$D$19*(1+$C$27)*(1+$C$28)^0)</f>
        <v>0</v>
      </c>
      <c r="F44" s="51" t="n">
        <f aca="false">IF(4&lt;$C$19,0,$E$19*$D$19*(1+$C$27)*(1+$C$28)^0)</f>
        <v>0</v>
      </c>
      <c r="G44" s="51" t="n">
        <f aca="false">IF(5&lt;$C$19,0,$E$19*$D$19*(1+$C$27)*(1+$C$28)^0)</f>
        <v>0</v>
      </c>
      <c r="H44" s="51" t="n">
        <f aca="false">IF(6&lt;$C$19,0,$E$19*$D$19*(1+$C$27)*(1+$C$28)^0)</f>
        <v>0</v>
      </c>
      <c r="I44" s="51" t="n">
        <f aca="false">IF(7&lt;$C$19,0,$E$19*$D$19*(1+$C$27)*(1+$C$28)^0)</f>
        <v>0</v>
      </c>
      <c r="J44" s="51" t="n">
        <f aca="false">IF(8&lt;$C$19,0,$E$19*$D$19*(1+$C$27)*(1+$C$28)^0)</f>
        <v>0</v>
      </c>
      <c r="K44" s="51" t="n">
        <f aca="false">IF(9&lt;$C$19,0,$E$19*$D$19*(1+$C$27)*(1+$C$28)^0)</f>
        <v>0</v>
      </c>
      <c r="L44" s="51" t="n">
        <f aca="false">IF(10&lt;$C$19,0,$E$19*$D$19*(1+$C$27)*(1+$C$28)^0)</f>
        <v>0</v>
      </c>
      <c r="M44" s="51" t="n">
        <f aca="false">IF(11&lt;$C$19,0,$E$19*$D$19*(1+$C$27)*(1+$C$28)^0)</f>
        <v>0</v>
      </c>
      <c r="N44" s="51" t="n">
        <f aca="false">IF(12&lt;$C$19,0,$E$19*$D$19*(1+$C$27)*(1+$C$28)^0)</f>
        <v>0</v>
      </c>
      <c r="O44" s="51" t="n">
        <f aca="false">IF(13&lt;$C$19,0,$F$19*$D$19*(1+$C$27)*(1+$C$28)^1)</f>
        <v>0</v>
      </c>
      <c r="P44" s="51" t="n">
        <f aca="false">IF(14&lt;$C$19,0,$F$19*$D$19*(1+$C$27)*(1+$C$28)^1)</f>
        <v>0</v>
      </c>
      <c r="Q44" s="51" t="n">
        <f aca="false">IF(15&lt;$C$19,0,$F$19*$D$19*(1+$C$27)*(1+$C$28)^1)</f>
        <v>0</v>
      </c>
      <c r="R44" s="51" t="n">
        <f aca="false">IF(16&lt;$C$19,0,$F$19*$D$19*(1+$C$27)*(1+$C$28)^1)</f>
        <v>0</v>
      </c>
      <c r="S44" s="51" t="n">
        <f aca="false">IF(17&lt;$C$19,0,$F$19*$D$19*(1+$C$27)*(1+$C$28)^1)</f>
        <v>0</v>
      </c>
      <c r="T44" s="51" t="n">
        <f aca="false">IF(18&lt;$C$19,0,$F$19*$D$19*(1+$C$27)*(1+$C$28)^1)</f>
        <v>0</v>
      </c>
      <c r="U44" s="51" t="n">
        <f aca="false">IF(19&lt;$C$19,0,$F$19*$D$19*(1+$C$27)*(1+$C$28)^1)</f>
        <v>0</v>
      </c>
      <c r="V44" s="51" t="n">
        <f aca="false">IF(20&lt;$C$19,0,$F$19*$D$19*(1+$C$27)*(1+$C$28)^1)</f>
        <v>0</v>
      </c>
      <c r="W44" s="51" t="n">
        <f aca="false">IF(21&lt;$C$19,0,$F$19*$D$19*(1+$C$27)*(1+$C$28)^1)</f>
        <v>0</v>
      </c>
      <c r="X44" s="51" t="n">
        <f aca="false">IF(22&lt;$C$19,0,$F$19*$D$19*(1+$C$27)*(1+$C$28)^1)</f>
        <v>0</v>
      </c>
      <c r="Y44" s="51" t="n">
        <f aca="false">IF(23&lt;$C$19,0,$F$19*$D$19*(1+$C$27)*(1+$C$28)^1)</f>
        <v>0</v>
      </c>
      <c r="Z44" s="51" t="n">
        <f aca="false">IF(24&lt;$C$19,0,$F$19*$D$19*(1+$C$27)*(1+$C$28)^1)</f>
        <v>0</v>
      </c>
      <c r="AA44" s="51" t="n">
        <f aca="false">IF(25&lt;$C$19,0,$G$19*$D$19*(1+$C$27)*(1+$C$28)^2)</f>
        <v>3502.6992</v>
      </c>
      <c r="AB44" s="51" t="n">
        <f aca="false">IF(26&lt;$C$19,0,$G$19*$D$19*(1+$C$27)*(1+$C$28)^2)</f>
        <v>3502.6992</v>
      </c>
      <c r="AC44" s="51" t="n">
        <f aca="false">IF(27&lt;$C$19,0,$G$19*$D$19*(1+$C$27)*(1+$C$28)^2)</f>
        <v>3502.6992</v>
      </c>
      <c r="AD44" s="51" t="n">
        <f aca="false">IF(28&lt;$C$19,0,$G$19*$D$19*(1+$C$27)*(1+$C$28)^2)</f>
        <v>3502.6992</v>
      </c>
      <c r="AE44" s="51" t="n">
        <f aca="false">IF(29&lt;$C$19,0,$G$19*$D$19*(1+$C$27)*(1+$C$28)^2)</f>
        <v>3502.6992</v>
      </c>
      <c r="AF44" s="51" t="n">
        <f aca="false">IF(30&lt;$C$19,0,$G$19*$D$19*(1+$C$27)*(1+$C$28)^2)</f>
        <v>3502.6992</v>
      </c>
      <c r="AG44" s="51" t="n">
        <f aca="false">IF(31&lt;$C$19,0,$G$19*$D$19*(1+$C$27)*(1+$C$28)^2)</f>
        <v>3502.6992</v>
      </c>
      <c r="AH44" s="51" t="n">
        <f aca="false">IF(32&lt;$C$19,0,$G$19*$D$19*(1+$C$27)*(1+$C$28)^2)</f>
        <v>3502.6992</v>
      </c>
      <c r="AI44" s="51" t="n">
        <f aca="false">IF(33&lt;$C$19,0,$G$19*$D$19*(1+$C$27)*(1+$C$28)^2)</f>
        <v>3502.6992</v>
      </c>
      <c r="AJ44" s="51" t="n">
        <f aca="false">IF(34&lt;$C$19,0,$G$19*$D$19*(1+$C$27)*(1+$C$28)^2)</f>
        <v>3502.6992</v>
      </c>
      <c r="AK44" s="51" t="n">
        <f aca="false">IF(35&lt;$C$19,0,$G$19*$D$19*(1+$C$27)*(1+$C$28)^2)</f>
        <v>3502.6992</v>
      </c>
      <c r="AL44" s="51" t="n">
        <f aca="false">IF(36&lt;$C$19,0,$G$19*$D$19*(1+$C$27)*(1+$C$28)^2)</f>
        <v>3502.6992</v>
      </c>
      <c r="AN44" s="52" t="n">
        <f aca="false">SUM(C44:N44)</f>
        <v>0</v>
      </c>
      <c r="AO44" s="52" t="n">
        <f aca="false">SUM(O44:Z44)</f>
        <v>0</v>
      </c>
      <c r="AP44" s="52" t="n">
        <f aca="false">SUM(AA44:AL44)</f>
        <v>42032.3904</v>
      </c>
    </row>
    <row r="45" customFormat="false" ht="15" hidden="false" customHeight="false" outlineLevel="0" collapsed="false">
      <c r="A45" s="26" t="s">
        <v>332</v>
      </c>
      <c r="B45" s="24" t="s">
        <v>329</v>
      </c>
      <c r="C45" s="51" t="n">
        <f aca="false">IF(1&lt;$C$20,0,$E$20*$D$20*(1+$C$27)*(1+$C$28)^0)</f>
        <v>0</v>
      </c>
      <c r="D45" s="51" t="n">
        <f aca="false">IF(2&lt;$C$20,0,$E$20*$D$20*(1+$C$27)*(1+$C$28)^0)</f>
        <v>0</v>
      </c>
      <c r="E45" s="51" t="n">
        <f aca="false">IF(3&lt;$C$20,0,$E$20*$D$20*(1+$C$27)*(1+$C$28)^0)</f>
        <v>0</v>
      </c>
      <c r="F45" s="51" t="n">
        <f aca="false">IF(4&lt;$C$20,0,$E$20*$D$20*(1+$C$27)*(1+$C$28)^0)</f>
        <v>0</v>
      </c>
      <c r="G45" s="51" t="n">
        <f aca="false">IF(5&lt;$C$20,0,$E$20*$D$20*(1+$C$27)*(1+$C$28)^0)</f>
        <v>0</v>
      </c>
      <c r="H45" s="51" t="n">
        <f aca="false">IF(6&lt;$C$20,0,$E$20*$D$20*(1+$C$27)*(1+$C$28)^0)</f>
        <v>0</v>
      </c>
      <c r="I45" s="51" t="n">
        <f aca="false">IF(7&lt;$C$20,0,$E$20*$D$20*(1+$C$27)*(1+$C$28)^0)</f>
        <v>0</v>
      </c>
      <c r="J45" s="51" t="n">
        <f aca="false">IF(8&lt;$C$20,0,$E$20*$D$20*(1+$C$27)*(1+$C$28)^0)</f>
        <v>0</v>
      </c>
      <c r="K45" s="51" t="n">
        <f aca="false">IF(9&lt;$C$20,0,$E$20*$D$20*(1+$C$27)*(1+$C$28)^0)</f>
        <v>0</v>
      </c>
      <c r="L45" s="51" t="n">
        <f aca="false">IF(10&lt;$C$20,0,$E$20*$D$20*(1+$C$27)*(1+$C$28)^0)</f>
        <v>0</v>
      </c>
      <c r="M45" s="51" t="n">
        <f aca="false">IF(11&lt;$C$20,0,$E$20*$D$20*(1+$C$27)*(1+$C$28)^0)</f>
        <v>0</v>
      </c>
      <c r="N45" s="51" t="n">
        <f aca="false">IF(12&lt;$C$20,0,$E$20*$D$20*(1+$C$27)*(1+$C$28)^0)</f>
        <v>0</v>
      </c>
      <c r="O45" s="51" t="n">
        <f aca="false">IF(13&lt;$C$20,0,$F$20*$D$20*(1+$C$27)*(1+$C$28)^1)</f>
        <v>0</v>
      </c>
      <c r="P45" s="51" t="n">
        <f aca="false">IF(14&lt;$C$20,0,$F$20*$D$20*(1+$C$27)*(1+$C$28)^1)</f>
        <v>0</v>
      </c>
      <c r="Q45" s="51" t="n">
        <f aca="false">IF(15&lt;$C$20,0,$F$20*$D$20*(1+$C$27)*(1+$C$28)^1)</f>
        <v>0</v>
      </c>
      <c r="R45" s="51" t="n">
        <f aca="false">IF(16&lt;$C$20,0,$F$20*$D$20*(1+$C$27)*(1+$C$28)^1)</f>
        <v>0</v>
      </c>
      <c r="S45" s="51" t="n">
        <f aca="false">IF(17&lt;$C$20,0,$F$20*$D$20*(1+$C$27)*(1+$C$28)^1)</f>
        <v>0</v>
      </c>
      <c r="T45" s="51" t="n">
        <f aca="false">IF(18&lt;$C$20,0,$F$20*$D$20*(1+$C$27)*(1+$C$28)^1)</f>
        <v>0</v>
      </c>
      <c r="U45" s="51" t="n">
        <f aca="false">IF(19&lt;$C$20,0,$F$20*$D$20*(1+$C$27)*(1+$C$28)^1)</f>
        <v>0</v>
      </c>
      <c r="V45" s="51" t="n">
        <f aca="false">IF(20&lt;$C$20,0,$F$20*$D$20*(1+$C$27)*(1+$C$28)^1)</f>
        <v>0</v>
      </c>
      <c r="W45" s="51" t="n">
        <f aca="false">IF(21&lt;$C$20,0,$F$20*$D$20*(1+$C$27)*(1+$C$28)^1)</f>
        <v>0</v>
      </c>
      <c r="X45" s="51" t="n">
        <f aca="false">IF(22&lt;$C$20,0,$F$20*$D$20*(1+$C$27)*(1+$C$28)^1)</f>
        <v>0</v>
      </c>
      <c r="Y45" s="51" t="n">
        <f aca="false">IF(23&lt;$C$20,0,$F$20*$D$20*(1+$C$27)*(1+$C$28)^1)</f>
        <v>0</v>
      </c>
      <c r="Z45" s="51" t="n">
        <f aca="false">IF(24&lt;$C$20,0,$F$20*$D$20*(1+$C$27)*(1+$C$28)^1)</f>
        <v>0</v>
      </c>
      <c r="AA45" s="51" t="n">
        <f aca="false">IF(25&lt;$C$20,0,$G$20*$D$20*(1+$C$27)*(1+$C$28)^2)</f>
        <v>1616.6304</v>
      </c>
      <c r="AB45" s="51" t="n">
        <f aca="false">IF(26&lt;$C$20,0,$G$20*$D$20*(1+$C$27)*(1+$C$28)^2)</f>
        <v>1616.6304</v>
      </c>
      <c r="AC45" s="51" t="n">
        <f aca="false">IF(27&lt;$C$20,0,$G$20*$D$20*(1+$C$27)*(1+$C$28)^2)</f>
        <v>1616.6304</v>
      </c>
      <c r="AD45" s="51" t="n">
        <f aca="false">IF(28&lt;$C$20,0,$G$20*$D$20*(1+$C$27)*(1+$C$28)^2)</f>
        <v>1616.6304</v>
      </c>
      <c r="AE45" s="51" t="n">
        <f aca="false">IF(29&lt;$C$20,0,$G$20*$D$20*(1+$C$27)*(1+$C$28)^2)</f>
        <v>1616.6304</v>
      </c>
      <c r="AF45" s="51" t="n">
        <f aca="false">IF(30&lt;$C$20,0,$G$20*$D$20*(1+$C$27)*(1+$C$28)^2)</f>
        <v>1616.6304</v>
      </c>
      <c r="AG45" s="51" t="n">
        <f aca="false">IF(31&lt;$C$20,0,$G$20*$D$20*(1+$C$27)*(1+$C$28)^2)</f>
        <v>1616.6304</v>
      </c>
      <c r="AH45" s="51" t="n">
        <f aca="false">IF(32&lt;$C$20,0,$G$20*$D$20*(1+$C$27)*(1+$C$28)^2)</f>
        <v>1616.6304</v>
      </c>
      <c r="AI45" s="51" t="n">
        <f aca="false">IF(33&lt;$C$20,0,$G$20*$D$20*(1+$C$27)*(1+$C$28)^2)</f>
        <v>1616.6304</v>
      </c>
      <c r="AJ45" s="51" t="n">
        <f aca="false">IF(34&lt;$C$20,0,$G$20*$D$20*(1+$C$27)*(1+$C$28)^2)</f>
        <v>1616.6304</v>
      </c>
      <c r="AK45" s="51" t="n">
        <f aca="false">IF(35&lt;$C$20,0,$G$20*$D$20*(1+$C$27)*(1+$C$28)^2)</f>
        <v>1616.6304</v>
      </c>
      <c r="AL45" s="51" t="n">
        <f aca="false">IF(36&lt;$C$20,0,$G$20*$D$20*(1+$C$27)*(1+$C$28)^2)</f>
        <v>1616.6304</v>
      </c>
      <c r="AN45" s="52" t="n">
        <f aca="false">SUM(C45:N45)</f>
        <v>0</v>
      </c>
      <c r="AO45" s="52" t="n">
        <f aca="false">SUM(O45:Z45)</f>
        <v>0</v>
      </c>
      <c r="AP45" s="52" t="n">
        <f aca="false">SUM(AA45:AL45)</f>
        <v>19399.5648</v>
      </c>
    </row>
    <row r="46" customFormat="false" ht="15" hidden="false" customHeight="false" outlineLevel="0" collapsed="false">
      <c r="A46" s="26" t="s">
        <v>333</v>
      </c>
      <c r="B46" s="24" t="s">
        <v>329</v>
      </c>
      <c r="C46" s="51" t="n">
        <f aca="false">IF(1&lt;$C$21,0,$E$21*$D$21*(1+$C$27)*(1+$C$28)^0)</f>
        <v>0</v>
      </c>
      <c r="D46" s="51" t="n">
        <f aca="false">IF(2&lt;$C$21,0,$E$21*$D$21*(1+$C$27)*(1+$C$28)^0)</f>
        <v>0</v>
      </c>
      <c r="E46" s="51" t="n">
        <f aca="false">IF(3&lt;$C$21,0,$E$21*$D$21*(1+$C$27)*(1+$C$28)^0)</f>
        <v>0</v>
      </c>
      <c r="F46" s="51" t="n">
        <f aca="false">IF(4&lt;$C$21,0,$E$21*$D$21*(1+$C$27)*(1+$C$28)^0)</f>
        <v>0</v>
      </c>
      <c r="G46" s="51" t="n">
        <f aca="false">IF(5&lt;$C$21,0,$E$21*$D$21*(1+$C$27)*(1+$C$28)^0)</f>
        <v>0</v>
      </c>
      <c r="H46" s="51" t="n">
        <f aca="false">IF(6&lt;$C$21,0,$E$21*$D$21*(1+$C$27)*(1+$C$28)^0)</f>
        <v>0</v>
      </c>
      <c r="I46" s="51" t="n">
        <f aca="false">IF(7&lt;$C$21,0,$E$21*$D$21*(1+$C$27)*(1+$C$28)^0)</f>
        <v>0</v>
      </c>
      <c r="J46" s="51" t="n">
        <f aca="false">IF(8&lt;$C$21,0,$E$21*$D$21*(1+$C$27)*(1+$C$28)^0)</f>
        <v>0</v>
      </c>
      <c r="K46" s="51" t="n">
        <f aca="false">IF(9&lt;$C$21,0,$E$21*$D$21*(1+$C$27)*(1+$C$28)^0)</f>
        <v>0</v>
      </c>
      <c r="L46" s="51" t="n">
        <f aca="false">IF(10&lt;$C$21,0,$E$21*$D$21*(1+$C$27)*(1+$C$28)^0)</f>
        <v>0</v>
      </c>
      <c r="M46" s="51" t="n">
        <f aca="false">IF(11&lt;$C$21,0,$E$21*$D$21*(1+$C$27)*(1+$C$28)^0)</f>
        <v>0</v>
      </c>
      <c r="N46" s="51" t="n">
        <f aca="false">IF(12&lt;$C$21,0,$E$21*$D$21*(1+$C$27)*(1+$C$28)^0)</f>
        <v>0</v>
      </c>
      <c r="O46" s="51" t="n">
        <f aca="false">IF(13&lt;$C$21,0,$F$21*$D$21*(1+$C$27)*(1+$C$28)^1)</f>
        <v>0</v>
      </c>
      <c r="P46" s="51" t="n">
        <f aca="false">IF(14&lt;$C$21,0,$F$21*$D$21*(1+$C$27)*(1+$C$28)^1)</f>
        <v>0</v>
      </c>
      <c r="Q46" s="51" t="n">
        <f aca="false">IF(15&lt;$C$21,0,$F$21*$D$21*(1+$C$27)*(1+$C$28)^1)</f>
        <v>0</v>
      </c>
      <c r="R46" s="51" t="n">
        <f aca="false">IF(16&lt;$C$21,0,$F$21*$D$21*(1+$C$27)*(1+$C$28)^1)</f>
        <v>0</v>
      </c>
      <c r="S46" s="51" t="n">
        <f aca="false">IF(17&lt;$C$21,0,$F$21*$D$21*(1+$C$27)*(1+$C$28)^1)</f>
        <v>0</v>
      </c>
      <c r="T46" s="51" t="n">
        <f aca="false">IF(18&lt;$C$21,0,$F$21*$D$21*(1+$C$27)*(1+$C$28)^1)</f>
        <v>0</v>
      </c>
      <c r="U46" s="51" t="n">
        <f aca="false">IF(19&lt;$C$21,0,$F$21*$D$21*(1+$C$27)*(1+$C$28)^1)</f>
        <v>0</v>
      </c>
      <c r="V46" s="51" t="n">
        <f aca="false">IF(20&lt;$C$21,0,$F$21*$D$21*(1+$C$27)*(1+$C$28)^1)</f>
        <v>0</v>
      </c>
      <c r="W46" s="51" t="n">
        <f aca="false">IF(21&lt;$C$21,0,$F$21*$D$21*(1+$C$27)*(1+$C$28)^1)</f>
        <v>0</v>
      </c>
      <c r="X46" s="51" t="n">
        <f aca="false">IF(22&lt;$C$21,0,$F$21*$D$21*(1+$C$27)*(1+$C$28)^1)</f>
        <v>0</v>
      </c>
      <c r="Y46" s="51" t="n">
        <f aca="false">IF(23&lt;$C$21,0,$F$21*$D$21*(1+$C$27)*(1+$C$28)^1)</f>
        <v>0</v>
      </c>
      <c r="Z46" s="51" t="n">
        <f aca="false">IF(24&lt;$C$21,0,$F$21*$D$21*(1+$C$27)*(1+$C$28)^1)</f>
        <v>0</v>
      </c>
      <c r="AA46" s="51" t="n">
        <f aca="false">IF(25&lt;$C$21,0,$G$21*$D$21*(1+$C$27)*(1+$C$28)^2)</f>
        <v>0</v>
      </c>
      <c r="AB46" s="51" t="n">
        <f aca="false">IF(26&lt;$C$21,0,$G$21*$D$21*(1+$C$27)*(1+$C$28)^2)</f>
        <v>0</v>
      </c>
      <c r="AC46" s="51" t="n">
        <f aca="false">IF(27&lt;$C$21,0,$G$21*$D$21*(1+$C$27)*(1+$C$28)^2)</f>
        <v>0</v>
      </c>
      <c r="AD46" s="51" t="n">
        <f aca="false">IF(28&lt;$C$21,0,$G$21*$D$21*(1+$C$27)*(1+$C$28)^2)</f>
        <v>0</v>
      </c>
      <c r="AE46" s="51" t="n">
        <f aca="false">IF(29&lt;$C$21,0,$G$21*$D$21*(1+$C$27)*(1+$C$28)^2)</f>
        <v>0</v>
      </c>
      <c r="AF46" s="51" t="n">
        <f aca="false">IF(30&lt;$C$21,0,$G$21*$D$21*(1+$C$27)*(1+$C$28)^2)</f>
        <v>0</v>
      </c>
      <c r="AG46" s="51" t="n">
        <f aca="false">IF(31&lt;$C$21,0,$G$21*$D$21*(1+$C$27)*(1+$C$28)^2)</f>
        <v>0</v>
      </c>
      <c r="AH46" s="51" t="n">
        <f aca="false">IF(32&lt;$C$21,0,$G$21*$D$21*(1+$C$27)*(1+$C$28)^2)</f>
        <v>0</v>
      </c>
      <c r="AI46" s="51" t="n">
        <f aca="false">IF(33&lt;$C$21,0,$G$21*$D$21*(1+$C$27)*(1+$C$28)^2)</f>
        <v>0</v>
      </c>
      <c r="AJ46" s="51" t="n">
        <f aca="false">IF(34&lt;$C$21,0,$G$21*$D$21*(1+$C$27)*(1+$C$28)^2)</f>
        <v>0</v>
      </c>
      <c r="AK46" s="51" t="n">
        <f aca="false">IF(35&lt;$C$21,0,$G$21*$D$21*(1+$C$27)*(1+$C$28)^2)</f>
        <v>0</v>
      </c>
      <c r="AL46" s="51" t="n">
        <f aca="false">IF(36&lt;$C$21,0,$G$21*$D$21*(1+$C$27)*(1+$C$28)^2)</f>
        <v>0</v>
      </c>
      <c r="AN46" s="52" t="n">
        <f aca="false">SUM(C46:N46)</f>
        <v>0</v>
      </c>
      <c r="AO46" s="52" t="n">
        <f aca="false">SUM(O46:Z46)</f>
        <v>0</v>
      </c>
      <c r="AP46" s="52" t="n">
        <f aca="false">SUM(AA46:AL46)</f>
        <v>0</v>
      </c>
    </row>
    <row r="47" customFormat="false" ht="15" hidden="false" customHeight="false" outlineLevel="0" collapsed="false">
      <c r="A47" s="26" t="s">
        <v>334</v>
      </c>
      <c r="B47" s="24" t="s">
        <v>329</v>
      </c>
      <c r="C47" s="51" t="n">
        <f aca="false">IF(1&lt;$C$22,0,$E$22*$D$22*(1+$C$27)*(1+$C$28)^0)</f>
        <v>0</v>
      </c>
      <c r="D47" s="51" t="n">
        <f aca="false">IF(2&lt;$C$22,0,$E$22*$D$22*(1+$C$27)*(1+$C$28)^0)</f>
        <v>0</v>
      </c>
      <c r="E47" s="51" t="n">
        <f aca="false">IF(3&lt;$C$22,0,$E$22*$D$22*(1+$C$27)*(1+$C$28)^0)</f>
        <v>0</v>
      </c>
      <c r="F47" s="51" t="n">
        <f aca="false">IF(4&lt;$C$22,0,$E$22*$D$22*(1+$C$27)*(1+$C$28)^0)</f>
        <v>0</v>
      </c>
      <c r="G47" s="51" t="n">
        <f aca="false">IF(5&lt;$C$22,0,$E$22*$D$22*(1+$C$27)*(1+$C$28)^0)</f>
        <v>0</v>
      </c>
      <c r="H47" s="51" t="n">
        <f aca="false">IF(6&lt;$C$22,0,$E$22*$D$22*(1+$C$27)*(1+$C$28)^0)</f>
        <v>0</v>
      </c>
      <c r="I47" s="51" t="n">
        <f aca="false">IF(7&lt;$C$22,0,$E$22*$D$22*(1+$C$27)*(1+$C$28)^0)</f>
        <v>0</v>
      </c>
      <c r="J47" s="51" t="n">
        <f aca="false">IF(8&lt;$C$22,0,$E$22*$D$22*(1+$C$27)*(1+$C$28)^0)</f>
        <v>0</v>
      </c>
      <c r="K47" s="51" t="n">
        <f aca="false">IF(9&lt;$C$22,0,$E$22*$D$22*(1+$C$27)*(1+$C$28)^0)</f>
        <v>0</v>
      </c>
      <c r="L47" s="51" t="n">
        <f aca="false">IF(10&lt;$C$22,0,$E$22*$D$22*(1+$C$27)*(1+$C$28)^0)</f>
        <v>0</v>
      </c>
      <c r="M47" s="51" t="n">
        <f aca="false">IF(11&lt;$C$22,0,$E$22*$D$22*(1+$C$27)*(1+$C$28)^0)</f>
        <v>0</v>
      </c>
      <c r="N47" s="51" t="n">
        <f aca="false">IF(12&lt;$C$22,0,$E$22*$D$22*(1+$C$27)*(1+$C$28)^0)</f>
        <v>0</v>
      </c>
      <c r="O47" s="51" t="n">
        <f aca="false">IF(13&lt;$C$22,0,$F$22*$D$22*(1+$C$27)*(1+$C$28)^1)</f>
        <v>0</v>
      </c>
      <c r="P47" s="51" t="n">
        <f aca="false">IF(14&lt;$C$22,0,$F$22*$D$22*(1+$C$27)*(1+$C$28)^1)</f>
        <v>0</v>
      </c>
      <c r="Q47" s="51" t="n">
        <f aca="false">IF(15&lt;$C$22,0,$F$22*$D$22*(1+$C$27)*(1+$C$28)^1)</f>
        <v>0</v>
      </c>
      <c r="R47" s="51" t="n">
        <f aca="false">IF(16&lt;$C$22,0,$F$22*$D$22*(1+$C$27)*(1+$C$28)^1)</f>
        <v>0</v>
      </c>
      <c r="S47" s="51" t="n">
        <f aca="false">IF(17&lt;$C$22,0,$F$22*$D$22*(1+$C$27)*(1+$C$28)^1)</f>
        <v>0</v>
      </c>
      <c r="T47" s="51" t="n">
        <f aca="false">IF(18&lt;$C$22,0,$F$22*$D$22*(1+$C$27)*(1+$C$28)^1)</f>
        <v>0</v>
      </c>
      <c r="U47" s="51" t="n">
        <f aca="false">IF(19&lt;$C$22,0,$F$22*$D$22*(1+$C$27)*(1+$C$28)^1)</f>
        <v>0</v>
      </c>
      <c r="V47" s="51" t="n">
        <f aca="false">IF(20&lt;$C$22,0,$F$22*$D$22*(1+$C$27)*(1+$C$28)^1)</f>
        <v>0</v>
      </c>
      <c r="W47" s="51" t="n">
        <f aca="false">IF(21&lt;$C$22,0,$F$22*$D$22*(1+$C$27)*(1+$C$28)^1)</f>
        <v>0</v>
      </c>
      <c r="X47" s="51" t="n">
        <f aca="false">IF(22&lt;$C$22,0,$F$22*$D$22*(1+$C$27)*(1+$C$28)^1)</f>
        <v>0</v>
      </c>
      <c r="Y47" s="51" t="n">
        <f aca="false">IF(23&lt;$C$22,0,$F$22*$D$22*(1+$C$27)*(1+$C$28)^1)</f>
        <v>0</v>
      </c>
      <c r="Z47" s="51" t="n">
        <f aca="false">IF(24&lt;$C$22,0,$F$22*$D$22*(1+$C$27)*(1+$C$28)^1)</f>
        <v>0</v>
      </c>
      <c r="AA47" s="51" t="n">
        <f aca="false">IF(25&lt;$C$22,0,$G$22*$D$22*(1+$C$27)*(1+$C$28)^2)</f>
        <v>0</v>
      </c>
      <c r="AB47" s="51" t="n">
        <f aca="false">IF(26&lt;$C$22,0,$G$22*$D$22*(1+$C$27)*(1+$C$28)^2)</f>
        <v>0</v>
      </c>
      <c r="AC47" s="51" t="n">
        <f aca="false">IF(27&lt;$C$22,0,$G$22*$D$22*(1+$C$27)*(1+$C$28)^2)</f>
        <v>0</v>
      </c>
      <c r="AD47" s="51" t="n">
        <f aca="false">IF(28&lt;$C$22,0,$G$22*$D$22*(1+$C$27)*(1+$C$28)^2)</f>
        <v>0</v>
      </c>
      <c r="AE47" s="51" t="n">
        <f aca="false">IF(29&lt;$C$22,0,$G$22*$D$22*(1+$C$27)*(1+$C$28)^2)</f>
        <v>0</v>
      </c>
      <c r="AF47" s="51" t="n">
        <f aca="false">IF(30&lt;$C$22,0,$G$22*$D$22*(1+$C$27)*(1+$C$28)^2)</f>
        <v>0</v>
      </c>
      <c r="AG47" s="51" t="n">
        <f aca="false">IF(31&lt;$C$22,0,$G$22*$D$22*(1+$C$27)*(1+$C$28)^2)</f>
        <v>0</v>
      </c>
      <c r="AH47" s="51" t="n">
        <f aca="false">IF(32&lt;$C$22,0,$G$22*$D$22*(1+$C$27)*(1+$C$28)^2)</f>
        <v>0</v>
      </c>
      <c r="AI47" s="51" t="n">
        <f aca="false">IF(33&lt;$C$22,0,$G$22*$D$22*(1+$C$27)*(1+$C$28)^2)</f>
        <v>0</v>
      </c>
      <c r="AJ47" s="51" t="n">
        <f aca="false">IF(34&lt;$C$22,0,$G$22*$D$22*(1+$C$27)*(1+$C$28)^2)</f>
        <v>0</v>
      </c>
      <c r="AK47" s="51" t="n">
        <f aca="false">IF(35&lt;$C$22,0,$G$22*$D$22*(1+$C$27)*(1+$C$28)^2)</f>
        <v>0</v>
      </c>
      <c r="AL47" s="51" t="n">
        <f aca="false">IF(36&lt;$C$22,0,$G$22*$D$22*(1+$C$27)*(1+$C$28)^2)</f>
        <v>0</v>
      </c>
      <c r="AN47" s="52" t="n">
        <f aca="false">SUM(C47:N47)</f>
        <v>0</v>
      </c>
      <c r="AO47" s="52" t="n">
        <f aca="false">SUM(O47:Z47)</f>
        <v>0</v>
      </c>
      <c r="AP47" s="52" t="n">
        <f aca="false">SUM(AA47:AL47)</f>
        <v>0</v>
      </c>
    </row>
    <row r="48" customFormat="false" ht="15" hidden="false" customHeight="false" outlineLevel="0" collapsed="false">
      <c r="A48" s="26" t="s">
        <v>335</v>
      </c>
      <c r="B48" s="24" t="s">
        <v>336</v>
      </c>
      <c r="C48" s="51" t="n">
        <f aca="false">IF(1&lt;$C$23,0,$E$23*$D$23*(1+$C$27)*(1+$C$28)^0)</f>
        <v>2310</v>
      </c>
      <c r="D48" s="51" t="n">
        <f aca="false">IF(2&lt;$C$23,0,$E$23*$D$23*(1+$C$27)*(1+$C$28)^0)</f>
        <v>2310</v>
      </c>
      <c r="E48" s="51" t="n">
        <f aca="false">IF(3&lt;$C$23,0,$E$23*$D$23*(1+$C$27)*(1+$C$28)^0)</f>
        <v>2310</v>
      </c>
      <c r="F48" s="51" t="n">
        <f aca="false">IF(4&lt;$C$23,0,$E$23*$D$23*(1+$C$27)*(1+$C$28)^0)</f>
        <v>2310</v>
      </c>
      <c r="G48" s="51" t="n">
        <f aca="false">IF(5&lt;$C$23,0,$E$23*$D$23*(1+$C$27)*(1+$C$28)^0)</f>
        <v>2310</v>
      </c>
      <c r="H48" s="51" t="n">
        <f aca="false">IF(6&lt;$C$23,0,$E$23*$D$23*(1+$C$27)*(1+$C$28)^0)</f>
        <v>2310</v>
      </c>
      <c r="I48" s="51" t="n">
        <f aca="false">IF(7&lt;$C$23,0,$E$23*$D$23*(1+$C$27)*(1+$C$28)^0)</f>
        <v>2310</v>
      </c>
      <c r="J48" s="51" t="n">
        <f aca="false">IF(8&lt;$C$23,0,$E$23*$D$23*(1+$C$27)*(1+$C$28)^0)</f>
        <v>2310</v>
      </c>
      <c r="K48" s="51" t="n">
        <f aca="false">IF(9&lt;$C$23,0,$E$23*$D$23*(1+$C$27)*(1+$C$28)^0)</f>
        <v>2310</v>
      </c>
      <c r="L48" s="51" t="n">
        <f aca="false">IF(10&lt;$C$23,0,$E$23*$D$23*(1+$C$27)*(1+$C$28)^0)</f>
        <v>2310</v>
      </c>
      <c r="M48" s="51" t="n">
        <f aca="false">IF(11&lt;$C$23,0,$E$23*$D$23*(1+$C$27)*(1+$C$28)^0)</f>
        <v>2310</v>
      </c>
      <c r="N48" s="51" t="n">
        <f aca="false">IF(12&lt;$C$23,0,$E$23*$D$23*(1+$C$27)*(1+$C$28)^0)</f>
        <v>2310</v>
      </c>
      <c r="O48" s="51" t="n">
        <f aca="false">IF(13&lt;$C$23,0,$F$23*$D$23*(1+$C$27)*(1+$C$28)^1)</f>
        <v>2494.8</v>
      </c>
      <c r="P48" s="51" t="n">
        <f aca="false">IF(14&lt;$C$23,0,$F$23*$D$23*(1+$C$27)*(1+$C$28)^1)</f>
        <v>2494.8</v>
      </c>
      <c r="Q48" s="51" t="n">
        <f aca="false">IF(15&lt;$C$23,0,$F$23*$D$23*(1+$C$27)*(1+$C$28)^1)</f>
        <v>2494.8</v>
      </c>
      <c r="R48" s="51" t="n">
        <f aca="false">IF(16&lt;$C$23,0,$F$23*$D$23*(1+$C$27)*(1+$C$28)^1)</f>
        <v>2494.8</v>
      </c>
      <c r="S48" s="51" t="n">
        <f aca="false">IF(17&lt;$C$23,0,$F$23*$D$23*(1+$C$27)*(1+$C$28)^1)</f>
        <v>2494.8</v>
      </c>
      <c r="T48" s="51" t="n">
        <f aca="false">IF(18&lt;$C$23,0,$F$23*$D$23*(1+$C$27)*(1+$C$28)^1)</f>
        <v>2494.8</v>
      </c>
      <c r="U48" s="51" t="n">
        <f aca="false">IF(19&lt;$C$23,0,$F$23*$D$23*(1+$C$27)*(1+$C$28)^1)</f>
        <v>2494.8</v>
      </c>
      <c r="V48" s="51" t="n">
        <f aca="false">IF(20&lt;$C$23,0,$F$23*$D$23*(1+$C$27)*(1+$C$28)^1)</f>
        <v>2494.8</v>
      </c>
      <c r="W48" s="51" t="n">
        <f aca="false">IF(21&lt;$C$23,0,$F$23*$D$23*(1+$C$27)*(1+$C$28)^1)</f>
        <v>2494.8</v>
      </c>
      <c r="X48" s="51" t="n">
        <f aca="false">IF(22&lt;$C$23,0,$F$23*$D$23*(1+$C$27)*(1+$C$28)^1)</f>
        <v>2494.8</v>
      </c>
      <c r="Y48" s="51" t="n">
        <f aca="false">IF(23&lt;$C$23,0,$F$23*$D$23*(1+$C$27)*(1+$C$28)^1)</f>
        <v>2494.8</v>
      </c>
      <c r="Z48" s="51" t="n">
        <f aca="false">IF(24&lt;$C$23,0,$F$23*$D$23*(1+$C$27)*(1+$C$28)^1)</f>
        <v>2494.8</v>
      </c>
      <c r="AA48" s="51" t="n">
        <f aca="false">IF(25&lt;$C$23,0,$G$23*$D$23*(1+$C$27)*(1+$C$28)^2)</f>
        <v>2694.384</v>
      </c>
      <c r="AB48" s="51" t="n">
        <f aca="false">IF(26&lt;$C$23,0,$G$23*$D$23*(1+$C$27)*(1+$C$28)^2)</f>
        <v>2694.384</v>
      </c>
      <c r="AC48" s="51" t="n">
        <f aca="false">IF(27&lt;$C$23,0,$G$23*$D$23*(1+$C$27)*(1+$C$28)^2)</f>
        <v>2694.384</v>
      </c>
      <c r="AD48" s="51" t="n">
        <f aca="false">IF(28&lt;$C$23,0,$G$23*$D$23*(1+$C$27)*(1+$C$28)^2)</f>
        <v>2694.384</v>
      </c>
      <c r="AE48" s="51" t="n">
        <f aca="false">IF(29&lt;$C$23,0,$G$23*$D$23*(1+$C$27)*(1+$C$28)^2)</f>
        <v>2694.384</v>
      </c>
      <c r="AF48" s="51" t="n">
        <f aca="false">IF(30&lt;$C$23,0,$G$23*$D$23*(1+$C$27)*(1+$C$28)^2)</f>
        <v>2694.384</v>
      </c>
      <c r="AG48" s="51" t="n">
        <f aca="false">IF(31&lt;$C$23,0,$G$23*$D$23*(1+$C$27)*(1+$C$28)^2)</f>
        <v>2694.384</v>
      </c>
      <c r="AH48" s="51" t="n">
        <f aca="false">IF(32&lt;$C$23,0,$G$23*$D$23*(1+$C$27)*(1+$C$28)^2)</f>
        <v>2694.384</v>
      </c>
      <c r="AI48" s="51" t="n">
        <f aca="false">IF(33&lt;$C$23,0,$G$23*$D$23*(1+$C$27)*(1+$C$28)^2)</f>
        <v>2694.384</v>
      </c>
      <c r="AJ48" s="51" t="n">
        <f aca="false">IF(34&lt;$C$23,0,$G$23*$D$23*(1+$C$27)*(1+$C$28)^2)</f>
        <v>2694.384</v>
      </c>
      <c r="AK48" s="51" t="n">
        <f aca="false">IF(35&lt;$C$23,0,$G$23*$D$23*(1+$C$27)*(1+$C$28)^2)</f>
        <v>2694.384</v>
      </c>
      <c r="AL48" s="51" t="n">
        <f aca="false">IF(36&lt;$C$23,0,$G$23*$D$23*(1+$C$27)*(1+$C$28)^2)</f>
        <v>2694.384</v>
      </c>
      <c r="AN48" s="52" t="n">
        <f aca="false">SUM(C48:N48)</f>
        <v>27720</v>
      </c>
      <c r="AO48" s="52" t="n">
        <f aca="false">SUM(O48:Z48)</f>
        <v>29937.6</v>
      </c>
      <c r="AP48" s="52" t="n">
        <f aca="false">SUM(AA48:AL48)</f>
        <v>32332.608</v>
      </c>
    </row>
    <row r="49" customFormat="false" ht="15" hidden="false" customHeight="false" outlineLevel="0" collapsed="false">
      <c r="A49" s="26" t="s">
        <v>337</v>
      </c>
      <c r="B49" s="24" t="s">
        <v>336</v>
      </c>
      <c r="C49" s="51" t="n">
        <f aca="false">IF(1&lt;$C$24,0,$E$24*$D$24*(1+$C$27)*(1+$C$28)^0)</f>
        <v>0</v>
      </c>
      <c r="D49" s="51" t="n">
        <f aca="false">IF(2&lt;$C$24,0,$E$24*$D$24*(1+$C$27)*(1+$C$28)^0)</f>
        <v>0</v>
      </c>
      <c r="E49" s="51" t="n">
        <f aca="false">IF(3&lt;$C$24,0,$E$24*$D$24*(1+$C$27)*(1+$C$28)^0)</f>
        <v>0</v>
      </c>
      <c r="F49" s="51" t="n">
        <f aca="false">IF(4&lt;$C$24,0,$E$24*$D$24*(1+$C$27)*(1+$C$28)^0)</f>
        <v>0</v>
      </c>
      <c r="G49" s="51" t="n">
        <f aca="false">IF(5&lt;$C$24,0,$E$24*$D$24*(1+$C$27)*(1+$C$28)^0)</f>
        <v>0</v>
      </c>
      <c r="H49" s="51" t="n">
        <f aca="false">IF(6&lt;$C$24,0,$E$24*$D$24*(1+$C$27)*(1+$C$28)^0)</f>
        <v>0</v>
      </c>
      <c r="I49" s="51" t="n">
        <f aca="false">IF(7&lt;$C$24,0,$E$24*$D$24*(1+$C$27)*(1+$C$28)^0)</f>
        <v>0</v>
      </c>
      <c r="J49" s="51" t="n">
        <f aca="false">IF(8&lt;$C$24,0,$E$24*$D$24*(1+$C$27)*(1+$C$28)^0)</f>
        <v>0</v>
      </c>
      <c r="K49" s="51" t="n">
        <f aca="false">IF(9&lt;$C$24,0,$E$24*$D$24*(1+$C$27)*(1+$C$28)^0)</f>
        <v>0</v>
      </c>
      <c r="L49" s="51" t="n">
        <f aca="false">IF(10&lt;$C$24,0,$E$24*$D$24*(1+$C$27)*(1+$C$28)^0)</f>
        <v>0</v>
      </c>
      <c r="M49" s="51" t="n">
        <f aca="false">IF(11&lt;$C$24,0,$E$24*$D$24*(1+$C$27)*(1+$C$28)^0)</f>
        <v>0</v>
      </c>
      <c r="N49" s="51" t="n">
        <f aca="false">IF(12&lt;$C$24,0,$E$24*$D$24*(1+$C$27)*(1+$C$28)^0)</f>
        <v>0</v>
      </c>
      <c r="O49" s="51" t="n">
        <f aca="false">IF(13&lt;$C$24,0,$F$24*$D$24*(1+$C$27)*(1+$C$28)^1)</f>
        <v>0</v>
      </c>
      <c r="P49" s="51" t="n">
        <f aca="false">IF(14&lt;$C$24,0,$F$24*$D$24*(1+$C$27)*(1+$C$28)^1)</f>
        <v>0</v>
      </c>
      <c r="Q49" s="51" t="n">
        <f aca="false">IF(15&lt;$C$24,0,$F$24*$D$24*(1+$C$27)*(1+$C$28)^1)</f>
        <v>0</v>
      </c>
      <c r="R49" s="51" t="n">
        <f aca="false">IF(16&lt;$C$24,0,$F$24*$D$24*(1+$C$27)*(1+$C$28)^1)</f>
        <v>0</v>
      </c>
      <c r="S49" s="51" t="n">
        <f aca="false">IF(17&lt;$C$24,0,$F$24*$D$24*(1+$C$27)*(1+$C$28)^1)</f>
        <v>0</v>
      </c>
      <c r="T49" s="51" t="n">
        <f aca="false">IF(18&lt;$C$24,0,$F$24*$D$24*(1+$C$27)*(1+$C$28)^1)</f>
        <v>0</v>
      </c>
      <c r="U49" s="51" t="n">
        <f aca="false">IF(19&lt;$C$24,0,$F$24*$D$24*(1+$C$27)*(1+$C$28)^1)</f>
        <v>0</v>
      </c>
      <c r="V49" s="51" t="n">
        <f aca="false">IF(20&lt;$C$24,0,$F$24*$D$24*(1+$C$27)*(1+$C$28)^1)</f>
        <v>0</v>
      </c>
      <c r="W49" s="51" t="n">
        <f aca="false">IF(21&lt;$C$24,0,$F$24*$D$24*(1+$C$27)*(1+$C$28)^1)</f>
        <v>0</v>
      </c>
      <c r="X49" s="51" t="n">
        <f aca="false">IF(22&lt;$C$24,0,$F$24*$D$24*(1+$C$27)*(1+$C$28)^1)</f>
        <v>0</v>
      </c>
      <c r="Y49" s="51" t="n">
        <f aca="false">IF(23&lt;$C$24,0,$F$24*$D$24*(1+$C$27)*(1+$C$28)^1)</f>
        <v>0</v>
      </c>
      <c r="Z49" s="51" t="n">
        <f aca="false">IF(24&lt;$C$24,0,$F$24*$D$24*(1+$C$27)*(1+$C$28)^1)</f>
        <v>0</v>
      </c>
      <c r="AA49" s="51" t="n">
        <f aca="false">IF(25&lt;$C$24,0,$G$24*$D$24*(1+$C$27)*(1+$C$28)^2)</f>
        <v>0</v>
      </c>
      <c r="AB49" s="51" t="n">
        <f aca="false">IF(26&lt;$C$24,0,$G$24*$D$24*(1+$C$27)*(1+$C$28)^2)</f>
        <v>0</v>
      </c>
      <c r="AC49" s="51" t="n">
        <f aca="false">IF(27&lt;$C$24,0,$G$24*$D$24*(1+$C$27)*(1+$C$28)^2)</f>
        <v>0</v>
      </c>
      <c r="AD49" s="51" t="n">
        <f aca="false">IF(28&lt;$C$24,0,$G$24*$D$24*(1+$C$27)*(1+$C$28)^2)</f>
        <v>0</v>
      </c>
      <c r="AE49" s="51" t="n">
        <f aca="false">IF(29&lt;$C$24,0,$G$24*$D$24*(1+$C$27)*(1+$C$28)^2)</f>
        <v>0</v>
      </c>
      <c r="AF49" s="51" t="n">
        <f aca="false">IF(30&lt;$C$24,0,$G$24*$D$24*(1+$C$27)*(1+$C$28)^2)</f>
        <v>0</v>
      </c>
      <c r="AG49" s="51" t="n">
        <f aca="false">IF(31&lt;$C$24,0,$G$24*$D$24*(1+$C$27)*(1+$C$28)^2)</f>
        <v>0</v>
      </c>
      <c r="AH49" s="51" t="n">
        <f aca="false">IF(32&lt;$C$24,0,$G$24*$D$24*(1+$C$27)*(1+$C$28)^2)</f>
        <v>0</v>
      </c>
      <c r="AI49" s="51" t="n">
        <f aca="false">IF(33&lt;$C$24,0,$G$24*$D$24*(1+$C$27)*(1+$C$28)^2)</f>
        <v>0</v>
      </c>
      <c r="AJ49" s="51" t="n">
        <f aca="false">IF(34&lt;$C$24,0,$G$24*$D$24*(1+$C$27)*(1+$C$28)^2)</f>
        <v>0</v>
      </c>
      <c r="AK49" s="51" t="n">
        <f aca="false">IF(35&lt;$C$24,0,$G$24*$D$24*(1+$C$27)*(1+$C$28)^2)</f>
        <v>0</v>
      </c>
      <c r="AL49" s="51" t="n">
        <f aca="false">IF(36&lt;$C$24,0,$G$24*$D$24*(1+$C$27)*(1+$C$28)^2)</f>
        <v>0</v>
      </c>
      <c r="AN49" s="52" t="n">
        <f aca="false">SUM(C49:N49)</f>
        <v>0</v>
      </c>
      <c r="AO49" s="52" t="n">
        <f aca="false">SUM(O49:Z49)</f>
        <v>0</v>
      </c>
      <c r="AP49" s="52" t="n">
        <f aca="false">SUM(AA49:AL49)</f>
        <v>0</v>
      </c>
    </row>
    <row r="50" customFormat="false" ht="15" hidden="false" customHeight="false" outlineLevel="0" collapsed="false">
      <c r="A50" s="53" t="s">
        <v>386</v>
      </c>
      <c r="B50" s="54" t="s">
        <v>387</v>
      </c>
      <c r="C50" s="55" t="n">
        <f aca="false">SUM(C32:C49)</f>
        <v>17325</v>
      </c>
      <c r="D50" s="55" t="n">
        <f aca="false">SUM(D32:D49)</f>
        <v>17325</v>
      </c>
      <c r="E50" s="55" t="n">
        <f aca="false">SUM(E32:E49)</f>
        <v>17325</v>
      </c>
      <c r="F50" s="55" t="n">
        <f aca="false">SUM(F32:F49)</f>
        <v>17325</v>
      </c>
      <c r="G50" s="55" t="n">
        <f aca="false">SUM(G32:G49)</f>
        <v>17325</v>
      </c>
      <c r="H50" s="55" t="n">
        <f aca="false">SUM(H32:H49)</f>
        <v>17325</v>
      </c>
      <c r="I50" s="55" t="n">
        <f aca="false">SUM(I32:I49)</f>
        <v>17325</v>
      </c>
      <c r="J50" s="55" t="n">
        <f aca="false">SUM(J32:J49)</f>
        <v>17325</v>
      </c>
      <c r="K50" s="55" t="n">
        <f aca="false">SUM(K32:K49)</f>
        <v>17325</v>
      </c>
      <c r="L50" s="55" t="n">
        <f aca="false">SUM(L32:L49)</f>
        <v>17325</v>
      </c>
      <c r="M50" s="55" t="n">
        <f aca="false">SUM(M32:M49)</f>
        <v>17325</v>
      </c>
      <c r="N50" s="55" t="n">
        <f aca="false">SUM(N32:N49)</f>
        <v>17325</v>
      </c>
      <c r="O50" s="55" t="n">
        <f aca="false">SUM(O32:O49)</f>
        <v>30436.56</v>
      </c>
      <c r="P50" s="55" t="n">
        <f aca="false">SUM(P32:P49)</f>
        <v>30436.56</v>
      </c>
      <c r="Q50" s="55" t="n">
        <f aca="false">SUM(Q32:Q49)</f>
        <v>30436.56</v>
      </c>
      <c r="R50" s="55" t="n">
        <f aca="false">SUM(R32:R49)</f>
        <v>30436.56</v>
      </c>
      <c r="S50" s="55" t="n">
        <f aca="false">SUM(S32:S49)</f>
        <v>30436.56</v>
      </c>
      <c r="T50" s="55" t="n">
        <f aca="false">SUM(T32:T49)</f>
        <v>30436.56</v>
      </c>
      <c r="U50" s="55" t="n">
        <f aca="false">SUM(U32:U49)</f>
        <v>30436.56</v>
      </c>
      <c r="V50" s="55" t="n">
        <f aca="false">SUM(V32:V49)</f>
        <v>30436.56</v>
      </c>
      <c r="W50" s="55" t="n">
        <f aca="false">SUM(W32:W49)</f>
        <v>30436.56</v>
      </c>
      <c r="X50" s="55" t="n">
        <f aca="false">SUM(X32:X49)</f>
        <v>30436.56</v>
      </c>
      <c r="Y50" s="55" t="n">
        <f aca="false">SUM(Y32:Y49)</f>
        <v>30436.56</v>
      </c>
      <c r="Z50" s="55" t="n">
        <f aca="false">SUM(Z32:Z49)</f>
        <v>30436.56</v>
      </c>
      <c r="AA50" s="55" t="n">
        <f aca="false">SUM(AA32:AA49)</f>
        <v>40011.6024</v>
      </c>
      <c r="AB50" s="55" t="n">
        <f aca="false">SUM(AB32:AB49)</f>
        <v>40011.6024</v>
      </c>
      <c r="AC50" s="55" t="n">
        <f aca="false">SUM(AC32:AC49)</f>
        <v>40011.6024</v>
      </c>
      <c r="AD50" s="55" t="n">
        <f aca="false">SUM(AD32:AD49)</f>
        <v>40011.6024</v>
      </c>
      <c r="AE50" s="55" t="n">
        <f aca="false">SUM(AE32:AE49)</f>
        <v>40011.6024</v>
      </c>
      <c r="AF50" s="55" t="n">
        <f aca="false">SUM(AF32:AF49)</f>
        <v>40011.6024</v>
      </c>
      <c r="AG50" s="55" t="n">
        <f aca="false">SUM(AG32:AG49)</f>
        <v>40011.6024</v>
      </c>
      <c r="AH50" s="55" t="n">
        <f aca="false">SUM(AH32:AH49)</f>
        <v>40011.6024</v>
      </c>
      <c r="AI50" s="55" t="n">
        <f aca="false">SUM(AI32:AI49)</f>
        <v>40011.6024</v>
      </c>
      <c r="AJ50" s="55" t="n">
        <f aca="false">SUM(AJ32:AJ49)</f>
        <v>40011.6024</v>
      </c>
      <c r="AK50" s="55" t="n">
        <f aca="false">SUM(AK32:AK49)</f>
        <v>40011.6024</v>
      </c>
      <c r="AL50" s="55" t="n">
        <f aca="false">SUM(AL32:AL49)</f>
        <v>40011.6024</v>
      </c>
      <c r="AN50" s="52" t="n">
        <f aca="false">SUM(C50:N50)</f>
        <v>207900</v>
      </c>
      <c r="AO50" s="52" t="n">
        <f aca="false">SUM(O50:Z50)</f>
        <v>365238.72</v>
      </c>
      <c r="AP50" s="52" t="n">
        <f aca="false">SUM(AA50:AL50)</f>
        <v>480139.2288</v>
      </c>
    </row>
    <row r="52" customFormat="false" ht="16.5" hidden="false" customHeight="true" outlineLevel="0" collapsed="false">
      <c r="A52" s="21" t="s">
        <v>388</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row>
    <row r="53" customFormat="false" ht="15.75" hidden="false" customHeight="true" outlineLevel="0" collapsed="false">
      <c r="A53" s="36" t="s">
        <v>345</v>
      </c>
      <c r="B53" s="36" t="s">
        <v>346</v>
      </c>
      <c r="C53" s="47" t="s">
        <v>347</v>
      </c>
      <c r="D53" s="47" t="s">
        <v>348</v>
      </c>
      <c r="E53" s="47" t="s">
        <v>349</v>
      </c>
      <c r="F53" s="47" t="s">
        <v>350</v>
      </c>
      <c r="G53" s="47" t="s">
        <v>351</v>
      </c>
      <c r="H53" s="47" t="s">
        <v>352</v>
      </c>
      <c r="I53" s="47" t="s">
        <v>353</v>
      </c>
      <c r="J53" s="47" t="s">
        <v>354</v>
      </c>
      <c r="K53" s="47" t="s">
        <v>355</v>
      </c>
      <c r="L53" s="47" t="s">
        <v>356</v>
      </c>
      <c r="M53" s="47" t="s">
        <v>357</v>
      </c>
      <c r="N53" s="47" t="s">
        <v>358</v>
      </c>
      <c r="O53" s="48" t="s">
        <v>359</v>
      </c>
      <c r="P53" s="48" t="s">
        <v>360</v>
      </c>
      <c r="Q53" s="48" t="s">
        <v>361</v>
      </c>
      <c r="R53" s="48" t="s">
        <v>362</v>
      </c>
      <c r="S53" s="48" t="s">
        <v>363</v>
      </c>
      <c r="T53" s="48" t="s">
        <v>364</v>
      </c>
      <c r="U53" s="48" t="s">
        <v>365</v>
      </c>
      <c r="V53" s="48" t="s">
        <v>366</v>
      </c>
      <c r="W53" s="48" t="s">
        <v>367</v>
      </c>
      <c r="X53" s="48" t="s">
        <v>368</v>
      </c>
      <c r="Y53" s="48" t="s">
        <v>369</v>
      </c>
      <c r="Z53" s="48" t="s">
        <v>370</v>
      </c>
      <c r="AA53" s="47" t="s">
        <v>371</v>
      </c>
      <c r="AB53" s="47" t="s">
        <v>372</v>
      </c>
      <c r="AC53" s="47" t="s">
        <v>373</v>
      </c>
      <c r="AD53" s="47" t="s">
        <v>374</v>
      </c>
      <c r="AE53" s="47" t="s">
        <v>375</v>
      </c>
      <c r="AF53" s="47" t="s">
        <v>376</v>
      </c>
      <c r="AG53" s="47" t="s">
        <v>377</v>
      </c>
      <c r="AH53" s="47" t="s">
        <v>378</v>
      </c>
      <c r="AI53" s="47" t="s">
        <v>379</v>
      </c>
      <c r="AJ53" s="47" t="s">
        <v>380</v>
      </c>
      <c r="AK53" s="47" t="s">
        <v>381</v>
      </c>
      <c r="AL53" s="47" t="s">
        <v>382</v>
      </c>
      <c r="AM53" s="49"/>
      <c r="AN53" s="50" t="s">
        <v>383</v>
      </c>
      <c r="AO53" s="50" t="s">
        <v>384</v>
      </c>
      <c r="AP53" s="50" t="s">
        <v>385</v>
      </c>
    </row>
    <row r="54" customFormat="false" ht="15" hidden="false" customHeight="false" outlineLevel="0" collapsed="false">
      <c r="A54" s="26" t="s">
        <v>315</v>
      </c>
      <c r="B54" s="24" t="s">
        <v>316</v>
      </c>
      <c r="C54" s="56" t="n">
        <f aca="false">IF(1&lt;$C$7,0,$E$7)</f>
        <v>1</v>
      </c>
      <c r="D54" s="56" t="n">
        <f aca="false">IF(2&lt;$C$7,0,$E$7)</f>
        <v>1</v>
      </c>
      <c r="E54" s="56" t="n">
        <f aca="false">IF(3&lt;$C$7,0,$E$7)</f>
        <v>1</v>
      </c>
      <c r="F54" s="56" t="n">
        <f aca="false">IF(4&lt;$C$7,0,$E$7)</f>
        <v>1</v>
      </c>
      <c r="G54" s="56" t="n">
        <f aca="false">IF(5&lt;$C$7,0,$E$7)</f>
        <v>1</v>
      </c>
      <c r="H54" s="56" t="n">
        <f aca="false">IF(6&lt;$C$7,0,$E$7)</f>
        <v>1</v>
      </c>
      <c r="I54" s="56" t="n">
        <f aca="false">IF(7&lt;$C$7,0,$E$7)</f>
        <v>1</v>
      </c>
      <c r="J54" s="56" t="n">
        <f aca="false">IF(8&lt;$C$7,0,$E$7)</f>
        <v>1</v>
      </c>
      <c r="K54" s="56" t="n">
        <f aca="false">IF(9&lt;$C$7,0,$E$7)</f>
        <v>1</v>
      </c>
      <c r="L54" s="56" t="n">
        <f aca="false">IF(10&lt;$C$7,0,$E$7)</f>
        <v>1</v>
      </c>
      <c r="M54" s="56" t="n">
        <f aca="false">IF(11&lt;$C$7,0,$E$7)</f>
        <v>1</v>
      </c>
      <c r="N54" s="56" t="n">
        <f aca="false">IF(12&lt;$C$7,0,$E$7)</f>
        <v>1</v>
      </c>
      <c r="O54" s="56" t="n">
        <f aca="false">IF(13&lt;$C$7,0,$F$7)</f>
        <v>1</v>
      </c>
      <c r="P54" s="56" t="n">
        <f aca="false">IF(14&lt;$C$7,0,$F$7)</f>
        <v>1</v>
      </c>
      <c r="Q54" s="56" t="n">
        <f aca="false">IF(15&lt;$C$7,0,$F$7)</f>
        <v>1</v>
      </c>
      <c r="R54" s="56" t="n">
        <f aca="false">IF(16&lt;$C$7,0,$F$7)</f>
        <v>1</v>
      </c>
      <c r="S54" s="56" t="n">
        <f aca="false">IF(17&lt;$C$7,0,$F$7)</f>
        <v>1</v>
      </c>
      <c r="T54" s="56" t="n">
        <f aca="false">IF(18&lt;$C$7,0,$F$7)</f>
        <v>1</v>
      </c>
      <c r="U54" s="56" t="n">
        <f aca="false">IF(19&lt;$C$7,0,$F$7)</f>
        <v>1</v>
      </c>
      <c r="V54" s="56" t="n">
        <f aca="false">IF(20&lt;$C$7,0,$F$7)</f>
        <v>1</v>
      </c>
      <c r="W54" s="56" t="n">
        <f aca="false">IF(21&lt;$C$7,0,$F$7)</f>
        <v>1</v>
      </c>
      <c r="X54" s="56" t="n">
        <f aca="false">IF(22&lt;$C$7,0,$F$7)</f>
        <v>1</v>
      </c>
      <c r="Y54" s="56" t="n">
        <f aca="false">IF(23&lt;$C$7,0,$F$7)</f>
        <v>1</v>
      </c>
      <c r="Z54" s="56" t="n">
        <f aca="false">IF(24&lt;$C$7,0,$F$7)</f>
        <v>1</v>
      </c>
      <c r="AA54" s="56" t="n">
        <f aca="false">IF(25&lt;$C$7,0,$G$7)</f>
        <v>1</v>
      </c>
      <c r="AB54" s="56" t="n">
        <f aca="false">IF(26&lt;$C$7,0,$G$7)</f>
        <v>1</v>
      </c>
      <c r="AC54" s="56" t="n">
        <f aca="false">IF(27&lt;$C$7,0,$G$7)</f>
        <v>1</v>
      </c>
      <c r="AD54" s="56" t="n">
        <f aca="false">IF(28&lt;$C$7,0,$G$7)</f>
        <v>1</v>
      </c>
      <c r="AE54" s="56" t="n">
        <f aca="false">IF(29&lt;$C$7,0,$G$7)</f>
        <v>1</v>
      </c>
      <c r="AF54" s="56" t="n">
        <f aca="false">IF(30&lt;$C$7,0,$G$7)</f>
        <v>1</v>
      </c>
      <c r="AG54" s="56" t="n">
        <f aca="false">IF(31&lt;$C$7,0,$G$7)</f>
        <v>1</v>
      </c>
      <c r="AH54" s="56" t="n">
        <f aca="false">IF(32&lt;$C$7,0,$G$7)</f>
        <v>1</v>
      </c>
      <c r="AI54" s="56" t="n">
        <f aca="false">IF(33&lt;$C$7,0,$G$7)</f>
        <v>1</v>
      </c>
      <c r="AJ54" s="56" t="n">
        <f aca="false">IF(34&lt;$C$7,0,$G$7)</f>
        <v>1</v>
      </c>
      <c r="AK54" s="56" t="n">
        <f aca="false">IF(35&lt;$C$7,0,$G$7)</f>
        <v>1</v>
      </c>
      <c r="AL54" s="56" t="n">
        <f aca="false">IF(36&lt;$C$7,0,$G$7)</f>
        <v>1</v>
      </c>
      <c r="AN54" s="57" t="n">
        <f aca="false">N54</f>
        <v>1</v>
      </c>
      <c r="AO54" s="57" t="n">
        <f aca="false">Z54</f>
        <v>1</v>
      </c>
      <c r="AP54" s="57" t="n">
        <f aca="false">AL54</f>
        <v>1</v>
      </c>
    </row>
    <row r="55" customFormat="false" ht="15" hidden="false" customHeight="false" outlineLevel="0" collapsed="false">
      <c r="A55" s="26" t="s">
        <v>317</v>
      </c>
      <c r="B55" s="24" t="s">
        <v>316</v>
      </c>
      <c r="C55" s="56" t="n">
        <f aca="false">IF(1&lt;$C$8,0,$E$8)</f>
        <v>1</v>
      </c>
      <c r="D55" s="56" t="n">
        <f aca="false">IF(2&lt;$C$8,0,$E$8)</f>
        <v>1</v>
      </c>
      <c r="E55" s="56" t="n">
        <f aca="false">IF(3&lt;$C$8,0,$E$8)</f>
        <v>1</v>
      </c>
      <c r="F55" s="56" t="n">
        <f aca="false">IF(4&lt;$C$8,0,$E$8)</f>
        <v>1</v>
      </c>
      <c r="G55" s="56" t="n">
        <f aca="false">IF(5&lt;$C$8,0,$E$8)</f>
        <v>1</v>
      </c>
      <c r="H55" s="56" t="n">
        <f aca="false">IF(6&lt;$C$8,0,$E$8)</f>
        <v>1</v>
      </c>
      <c r="I55" s="56" t="n">
        <f aca="false">IF(7&lt;$C$8,0,$E$8)</f>
        <v>1</v>
      </c>
      <c r="J55" s="56" t="n">
        <f aca="false">IF(8&lt;$C$8,0,$E$8)</f>
        <v>1</v>
      </c>
      <c r="K55" s="56" t="n">
        <f aca="false">IF(9&lt;$C$8,0,$E$8)</f>
        <v>1</v>
      </c>
      <c r="L55" s="56" t="n">
        <f aca="false">IF(10&lt;$C$8,0,$E$8)</f>
        <v>1</v>
      </c>
      <c r="M55" s="56" t="n">
        <f aca="false">IF(11&lt;$C$8,0,$E$8)</f>
        <v>1</v>
      </c>
      <c r="N55" s="56" t="n">
        <f aca="false">IF(12&lt;$C$8,0,$E$8)</f>
        <v>1</v>
      </c>
      <c r="O55" s="56" t="n">
        <f aca="false">IF(13&lt;$C$8,0,$F$8)</f>
        <v>1</v>
      </c>
      <c r="P55" s="56" t="n">
        <f aca="false">IF(14&lt;$C$8,0,$F$8)</f>
        <v>1</v>
      </c>
      <c r="Q55" s="56" t="n">
        <f aca="false">IF(15&lt;$C$8,0,$F$8)</f>
        <v>1</v>
      </c>
      <c r="R55" s="56" t="n">
        <f aca="false">IF(16&lt;$C$8,0,$F$8)</f>
        <v>1</v>
      </c>
      <c r="S55" s="56" t="n">
        <f aca="false">IF(17&lt;$C$8,0,$F$8)</f>
        <v>1</v>
      </c>
      <c r="T55" s="56" t="n">
        <f aca="false">IF(18&lt;$C$8,0,$F$8)</f>
        <v>1</v>
      </c>
      <c r="U55" s="56" t="n">
        <f aca="false">IF(19&lt;$C$8,0,$F$8)</f>
        <v>1</v>
      </c>
      <c r="V55" s="56" t="n">
        <f aca="false">IF(20&lt;$C$8,0,$F$8)</f>
        <v>1</v>
      </c>
      <c r="W55" s="56" t="n">
        <f aca="false">IF(21&lt;$C$8,0,$F$8)</f>
        <v>1</v>
      </c>
      <c r="X55" s="56" t="n">
        <f aca="false">IF(22&lt;$C$8,0,$F$8)</f>
        <v>1</v>
      </c>
      <c r="Y55" s="56" t="n">
        <f aca="false">IF(23&lt;$C$8,0,$F$8)</f>
        <v>1</v>
      </c>
      <c r="Z55" s="56" t="n">
        <f aca="false">IF(24&lt;$C$8,0,$F$8)</f>
        <v>1</v>
      </c>
      <c r="AA55" s="56" t="n">
        <f aca="false">IF(25&lt;$C$8,0,$G$8)</f>
        <v>1</v>
      </c>
      <c r="AB55" s="56" t="n">
        <f aca="false">IF(26&lt;$C$8,0,$G$8)</f>
        <v>1</v>
      </c>
      <c r="AC55" s="56" t="n">
        <f aca="false">IF(27&lt;$C$8,0,$G$8)</f>
        <v>1</v>
      </c>
      <c r="AD55" s="56" t="n">
        <f aca="false">IF(28&lt;$C$8,0,$G$8)</f>
        <v>1</v>
      </c>
      <c r="AE55" s="56" t="n">
        <f aca="false">IF(29&lt;$C$8,0,$G$8)</f>
        <v>1</v>
      </c>
      <c r="AF55" s="56" t="n">
        <f aca="false">IF(30&lt;$C$8,0,$G$8)</f>
        <v>1</v>
      </c>
      <c r="AG55" s="56" t="n">
        <f aca="false">IF(31&lt;$C$8,0,$G$8)</f>
        <v>1</v>
      </c>
      <c r="AH55" s="56" t="n">
        <f aca="false">IF(32&lt;$C$8,0,$G$8)</f>
        <v>1</v>
      </c>
      <c r="AI55" s="56" t="n">
        <f aca="false">IF(33&lt;$C$8,0,$G$8)</f>
        <v>1</v>
      </c>
      <c r="AJ55" s="56" t="n">
        <f aca="false">IF(34&lt;$C$8,0,$G$8)</f>
        <v>1</v>
      </c>
      <c r="AK55" s="56" t="n">
        <f aca="false">IF(35&lt;$C$8,0,$G$8)</f>
        <v>1</v>
      </c>
      <c r="AL55" s="56" t="n">
        <f aca="false">IF(36&lt;$C$8,0,$G$8)</f>
        <v>1</v>
      </c>
      <c r="AN55" s="57" t="n">
        <f aca="false">N55</f>
        <v>1</v>
      </c>
      <c r="AO55" s="57" t="n">
        <f aca="false">Z55</f>
        <v>1</v>
      </c>
      <c r="AP55" s="57" t="n">
        <f aca="false">AL55</f>
        <v>1</v>
      </c>
    </row>
    <row r="56" customFormat="false" ht="15" hidden="false" customHeight="false" outlineLevel="0" collapsed="false">
      <c r="A56" s="26" t="s">
        <v>318</v>
      </c>
      <c r="B56" s="24" t="s">
        <v>316</v>
      </c>
      <c r="C56" s="56" t="n">
        <f aca="false">IF(1&lt;$C$9,0,$E$9)</f>
        <v>0</v>
      </c>
      <c r="D56" s="56" t="n">
        <f aca="false">IF(2&lt;$C$9,0,$E$9)</f>
        <v>0</v>
      </c>
      <c r="E56" s="56" t="n">
        <f aca="false">IF(3&lt;$C$9,0,$E$9)</f>
        <v>0</v>
      </c>
      <c r="F56" s="56" t="n">
        <f aca="false">IF(4&lt;$C$9,0,$E$9)</f>
        <v>0</v>
      </c>
      <c r="G56" s="56" t="n">
        <f aca="false">IF(5&lt;$C$9,0,$E$9)</f>
        <v>0</v>
      </c>
      <c r="H56" s="56" t="n">
        <f aca="false">IF(6&lt;$C$9,0,$E$9)</f>
        <v>0</v>
      </c>
      <c r="I56" s="56" t="n">
        <f aca="false">IF(7&lt;$C$9,0,$E$9)</f>
        <v>0</v>
      </c>
      <c r="J56" s="56" t="n">
        <f aca="false">IF(8&lt;$C$9,0,$E$9)</f>
        <v>0</v>
      </c>
      <c r="K56" s="56" t="n">
        <f aca="false">IF(9&lt;$C$9,0,$E$9)</f>
        <v>0</v>
      </c>
      <c r="L56" s="56" t="n">
        <f aca="false">IF(10&lt;$C$9,0,$E$9)</f>
        <v>0</v>
      </c>
      <c r="M56" s="56" t="n">
        <f aca="false">IF(11&lt;$C$9,0,$E$9)</f>
        <v>0</v>
      </c>
      <c r="N56" s="56" t="n">
        <f aca="false">IF(12&lt;$C$9,0,$E$9)</f>
        <v>0</v>
      </c>
      <c r="O56" s="56" t="n">
        <f aca="false">IF(13&lt;$C$9,0,$F$9)</f>
        <v>0</v>
      </c>
      <c r="P56" s="56" t="n">
        <f aca="false">IF(14&lt;$C$9,0,$F$9)</f>
        <v>0</v>
      </c>
      <c r="Q56" s="56" t="n">
        <f aca="false">IF(15&lt;$C$9,0,$F$9)</f>
        <v>0</v>
      </c>
      <c r="R56" s="56" t="n">
        <f aca="false">IF(16&lt;$C$9,0,$F$9)</f>
        <v>0</v>
      </c>
      <c r="S56" s="56" t="n">
        <f aca="false">IF(17&lt;$C$9,0,$F$9)</f>
        <v>0</v>
      </c>
      <c r="T56" s="56" t="n">
        <f aca="false">IF(18&lt;$C$9,0,$F$9)</f>
        <v>0</v>
      </c>
      <c r="U56" s="56" t="n">
        <f aca="false">IF(19&lt;$C$9,0,$F$9)</f>
        <v>0</v>
      </c>
      <c r="V56" s="56" t="n">
        <f aca="false">IF(20&lt;$C$9,0,$F$9)</f>
        <v>0</v>
      </c>
      <c r="W56" s="56" t="n">
        <f aca="false">IF(21&lt;$C$9,0,$F$9)</f>
        <v>0</v>
      </c>
      <c r="X56" s="56" t="n">
        <f aca="false">IF(22&lt;$C$9,0,$F$9)</f>
        <v>0</v>
      </c>
      <c r="Y56" s="56" t="n">
        <f aca="false">IF(23&lt;$C$9,0,$F$9)</f>
        <v>0</v>
      </c>
      <c r="Z56" s="56" t="n">
        <f aca="false">IF(24&lt;$C$9,0,$F$9)</f>
        <v>0</v>
      </c>
      <c r="AA56" s="56" t="n">
        <f aca="false">IF(25&lt;$C$9,0,$G$9)</f>
        <v>0</v>
      </c>
      <c r="AB56" s="56" t="n">
        <f aca="false">IF(26&lt;$C$9,0,$G$9)</f>
        <v>0</v>
      </c>
      <c r="AC56" s="56" t="n">
        <f aca="false">IF(27&lt;$C$9,0,$G$9)</f>
        <v>0</v>
      </c>
      <c r="AD56" s="56" t="n">
        <f aca="false">IF(28&lt;$C$9,0,$G$9)</f>
        <v>0</v>
      </c>
      <c r="AE56" s="56" t="n">
        <f aca="false">IF(29&lt;$C$9,0,$G$9)</f>
        <v>0</v>
      </c>
      <c r="AF56" s="56" t="n">
        <f aca="false">IF(30&lt;$C$9,0,$G$9)</f>
        <v>0</v>
      </c>
      <c r="AG56" s="56" t="n">
        <f aca="false">IF(31&lt;$C$9,0,$G$9)</f>
        <v>0</v>
      </c>
      <c r="AH56" s="56" t="n">
        <f aca="false">IF(32&lt;$C$9,0,$G$9)</f>
        <v>0</v>
      </c>
      <c r="AI56" s="56" t="n">
        <f aca="false">IF(33&lt;$C$9,0,$G$9)</f>
        <v>0</v>
      </c>
      <c r="AJ56" s="56" t="n">
        <f aca="false">IF(34&lt;$C$9,0,$G$9)</f>
        <v>0</v>
      </c>
      <c r="AK56" s="56" t="n">
        <f aca="false">IF(35&lt;$C$9,0,$G$9)</f>
        <v>0</v>
      </c>
      <c r="AL56" s="56" t="n">
        <f aca="false">IF(36&lt;$C$9,0,$G$9)</f>
        <v>0</v>
      </c>
      <c r="AN56" s="57" t="n">
        <f aca="false">N56</f>
        <v>0</v>
      </c>
      <c r="AO56" s="57" t="n">
        <f aca="false">Z56</f>
        <v>0</v>
      </c>
      <c r="AP56" s="57" t="n">
        <f aca="false">AL56</f>
        <v>0</v>
      </c>
    </row>
    <row r="57" customFormat="false" ht="15" hidden="false" customHeight="false" outlineLevel="0" collapsed="false">
      <c r="A57" s="26" t="s">
        <v>319</v>
      </c>
      <c r="B57" s="24" t="s">
        <v>320</v>
      </c>
      <c r="C57" s="56" t="n">
        <f aca="false">IF(1&lt;$C$10,0,$E$10)</f>
        <v>1</v>
      </c>
      <c r="D57" s="56" t="n">
        <f aca="false">IF(2&lt;$C$10,0,$E$10)</f>
        <v>1</v>
      </c>
      <c r="E57" s="56" t="n">
        <f aca="false">IF(3&lt;$C$10,0,$E$10)</f>
        <v>1</v>
      </c>
      <c r="F57" s="56" t="n">
        <f aca="false">IF(4&lt;$C$10,0,$E$10)</f>
        <v>1</v>
      </c>
      <c r="G57" s="56" t="n">
        <f aca="false">IF(5&lt;$C$10,0,$E$10)</f>
        <v>1</v>
      </c>
      <c r="H57" s="56" t="n">
        <f aca="false">IF(6&lt;$C$10,0,$E$10)</f>
        <v>1</v>
      </c>
      <c r="I57" s="56" t="n">
        <f aca="false">IF(7&lt;$C$10,0,$E$10)</f>
        <v>1</v>
      </c>
      <c r="J57" s="56" t="n">
        <f aca="false">IF(8&lt;$C$10,0,$E$10)</f>
        <v>1</v>
      </c>
      <c r="K57" s="56" t="n">
        <f aca="false">IF(9&lt;$C$10,0,$E$10)</f>
        <v>1</v>
      </c>
      <c r="L57" s="56" t="n">
        <f aca="false">IF(10&lt;$C$10,0,$E$10)</f>
        <v>1</v>
      </c>
      <c r="M57" s="56" t="n">
        <f aca="false">IF(11&lt;$C$10,0,$E$10)</f>
        <v>1</v>
      </c>
      <c r="N57" s="56" t="n">
        <f aca="false">IF(12&lt;$C$10,0,$E$10)</f>
        <v>1</v>
      </c>
      <c r="O57" s="56" t="n">
        <f aca="false">IF(13&lt;$C$10,0,$F$10)</f>
        <v>2</v>
      </c>
      <c r="P57" s="56" t="n">
        <f aca="false">IF(14&lt;$C$10,0,$F$10)</f>
        <v>2</v>
      </c>
      <c r="Q57" s="56" t="n">
        <f aca="false">IF(15&lt;$C$10,0,$F$10)</f>
        <v>2</v>
      </c>
      <c r="R57" s="56" t="n">
        <f aca="false">IF(16&lt;$C$10,0,$F$10)</f>
        <v>2</v>
      </c>
      <c r="S57" s="56" t="n">
        <f aca="false">IF(17&lt;$C$10,0,$F$10)</f>
        <v>2</v>
      </c>
      <c r="T57" s="56" t="n">
        <f aca="false">IF(18&lt;$C$10,0,$F$10)</f>
        <v>2</v>
      </c>
      <c r="U57" s="56" t="n">
        <f aca="false">IF(19&lt;$C$10,0,$F$10)</f>
        <v>2</v>
      </c>
      <c r="V57" s="56" t="n">
        <f aca="false">IF(20&lt;$C$10,0,$F$10)</f>
        <v>2</v>
      </c>
      <c r="W57" s="56" t="n">
        <f aca="false">IF(21&lt;$C$10,0,$F$10)</f>
        <v>2</v>
      </c>
      <c r="X57" s="56" t="n">
        <f aca="false">IF(22&lt;$C$10,0,$F$10)</f>
        <v>2</v>
      </c>
      <c r="Y57" s="56" t="n">
        <f aca="false">IF(23&lt;$C$10,0,$F$10)</f>
        <v>2</v>
      </c>
      <c r="Z57" s="56" t="n">
        <f aca="false">IF(24&lt;$C$10,0,$F$10)</f>
        <v>2</v>
      </c>
      <c r="AA57" s="56" t="n">
        <f aca="false">IF(25&lt;$C$10,0,$G$10)</f>
        <v>2</v>
      </c>
      <c r="AB57" s="56" t="n">
        <f aca="false">IF(26&lt;$C$10,0,$G$10)</f>
        <v>2</v>
      </c>
      <c r="AC57" s="56" t="n">
        <f aca="false">IF(27&lt;$C$10,0,$G$10)</f>
        <v>2</v>
      </c>
      <c r="AD57" s="56" t="n">
        <f aca="false">IF(28&lt;$C$10,0,$G$10)</f>
        <v>2</v>
      </c>
      <c r="AE57" s="56" t="n">
        <f aca="false">IF(29&lt;$C$10,0,$G$10)</f>
        <v>2</v>
      </c>
      <c r="AF57" s="56" t="n">
        <f aca="false">IF(30&lt;$C$10,0,$G$10)</f>
        <v>2</v>
      </c>
      <c r="AG57" s="56" t="n">
        <f aca="false">IF(31&lt;$C$10,0,$G$10)</f>
        <v>2</v>
      </c>
      <c r="AH57" s="56" t="n">
        <f aca="false">IF(32&lt;$C$10,0,$G$10)</f>
        <v>2</v>
      </c>
      <c r="AI57" s="56" t="n">
        <f aca="false">IF(33&lt;$C$10,0,$G$10)</f>
        <v>2</v>
      </c>
      <c r="AJ57" s="56" t="n">
        <f aca="false">IF(34&lt;$C$10,0,$G$10)</f>
        <v>2</v>
      </c>
      <c r="AK57" s="56" t="n">
        <f aca="false">IF(35&lt;$C$10,0,$G$10)</f>
        <v>2</v>
      </c>
      <c r="AL57" s="56" t="n">
        <f aca="false">IF(36&lt;$C$10,0,$G$10)</f>
        <v>2</v>
      </c>
      <c r="AN57" s="57" t="n">
        <f aca="false">N57</f>
        <v>1</v>
      </c>
      <c r="AO57" s="57" t="n">
        <f aca="false">Z57</f>
        <v>2</v>
      </c>
      <c r="AP57" s="57" t="n">
        <f aca="false">AL57</f>
        <v>2</v>
      </c>
    </row>
    <row r="58" customFormat="false" ht="15" hidden="false" customHeight="false" outlineLevel="0" collapsed="false">
      <c r="A58" s="26" t="s">
        <v>321</v>
      </c>
      <c r="B58" s="24" t="s">
        <v>320</v>
      </c>
      <c r="C58" s="56" t="n">
        <f aca="false">IF(1&lt;$C$11,0,$E$11)</f>
        <v>0</v>
      </c>
      <c r="D58" s="56" t="n">
        <f aca="false">IF(2&lt;$C$11,0,$E$11)</f>
        <v>0</v>
      </c>
      <c r="E58" s="56" t="n">
        <f aca="false">IF(3&lt;$C$11,0,$E$11)</f>
        <v>0</v>
      </c>
      <c r="F58" s="56" t="n">
        <f aca="false">IF(4&lt;$C$11,0,$E$11)</f>
        <v>0</v>
      </c>
      <c r="G58" s="56" t="n">
        <f aca="false">IF(5&lt;$C$11,0,$E$11)</f>
        <v>0</v>
      </c>
      <c r="H58" s="56" t="n">
        <f aca="false">IF(6&lt;$C$11,0,$E$11)</f>
        <v>0</v>
      </c>
      <c r="I58" s="56" t="n">
        <f aca="false">IF(7&lt;$C$11,0,$E$11)</f>
        <v>0</v>
      </c>
      <c r="J58" s="56" t="n">
        <f aca="false">IF(8&lt;$C$11,0,$E$11)</f>
        <v>0</v>
      </c>
      <c r="K58" s="56" t="n">
        <f aca="false">IF(9&lt;$C$11,0,$E$11)</f>
        <v>0</v>
      </c>
      <c r="L58" s="56" t="n">
        <f aca="false">IF(10&lt;$C$11,0,$E$11)</f>
        <v>0</v>
      </c>
      <c r="M58" s="56" t="n">
        <f aca="false">IF(11&lt;$C$11,0,$E$11)</f>
        <v>0</v>
      </c>
      <c r="N58" s="56" t="n">
        <f aca="false">IF(12&lt;$C$11,0,$E$11)</f>
        <v>0</v>
      </c>
      <c r="O58" s="56" t="n">
        <f aca="false">IF(13&lt;$C$11,0,$F$11)</f>
        <v>0</v>
      </c>
      <c r="P58" s="56" t="n">
        <f aca="false">IF(14&lt;$C$11,0,$F$11)</f>
        <v>0</v>
      </c>
      <c r="Q58" s="56" t="n">
        <f aca="false">IF(15&lt;$C$11,0,$F$11)</f>
        <v>0</v>
      </c>
      <c r="R58" s="56" t="n">
        <f aca="false">IF(16&lt;$C$11,0,$F$11)</f>
        <v>0</v>
      </c>
      <c r="S58" s="56" t="n">
        <f aca="false">IF(17&lt;$C$11,0,$F$11)</f>
        <v>0</v>
      </c>
      <c r="T58" s="56" t="n">
        <f aca="false">IF(18&lt;$C$11,0,$F$11)</f>
        <v>0</v>
      </c>
      <c r="U58" s="56" t="n">
        <f aca="false">IF(19&lt;$C$11,0,$F$11)</f>
        <v>0</v>
      </c>
      <c r="V58" s="56" t="n">
        <f aca="false">IF(20&lt;$C$11,0,$F$11)</f>
        <v>0</v>
      </c>
      <c r="W58" s="56" t="n">
        <f aca="false">IF(21&lt;$C$11,0,$F$11)</f>
        <v>0</v>
      </c>
      <c r="X58" s="56" t="n">
        <f aca="false">IF(22&lt;$C$11,0,$F$11)</f>
        <v>0</v>
      </c>
      <c r="Y58" s="56" t="n">
        <f aca="false">IF(23&lt;$C$11,0,$F$11)</f>
        <v>0</v>
      </c>
      <c r="Z58" s="56" t="n">
        <f aca="false">IF(24&lt;$C$11,0,$F$11)</f>
        <v>0</v>
      </c>
      <c r="AA58" s="56" t="n">
        <f aca="false">IF(25&lt;$C$11,0,$G$11)</f>
        <v>0</v>
      </c>
      <c r="AB58" s="56" t="n">
        <f aca="false">IF(26&lt;$C$11,0,$G$11)</f>
        <v>0</v>
      </c>
      <c r="AC58" s="56" t="n">
        <f aca="false">IF(27&lt;$C$11,0,$G$11)</f>
        <v>0</v>
      </c>
      <c r="AD58" s="56" t="n">
        <f aca="false">IF(28&lt;$C$11,0,$G$11)</f>
        <v>0</v>
      </c>
      <c r="AE58" s="56" t="n">
        <f aca="false">IF(29&lt;$C$11,0,$G$11)</f>
        <v>0</v>
      </c>
      <c r="AF58" s="56" t="n">
        <f aca="false">IF(30&lt;$C$11,0,$G$11)</f>
        <v>0</v>
      </c>
      <c r="AG58" s="56" t="n">
        <f aca="false">IF(31&lt;$C$11,0,$G$11)</f>
        <v>0</v>
      </c>
      <c r="AH58" s="56" t="n">
        <f aca="false">IF(32&lt;$C$11,0,$G$11)</f>
        <v>0</v>
      </c>
      <c r="AI58" s="56" t="n">
        <f aca="false">IF(33&lt;$C$11,0,$G$11)</f>
        <v>0</v>
      </c>
      <c r="AJ58" s="56" t="n">
        <f aca="false">IF(34&lt;$C$11,0,$G$11)</f>
        <v>0</v>
      </c>
      <c r="AK58" s="56" t="n">
        <f aca="false">IF(35&lt;$C$11,0,$G$11)</f>
        <v>0</v>
      </c>
      <c r="AL58" s="56" t="n">
        <f aca="false">IF(36&lt;$C$11,0,$G$11)</f>
        <v>0</v>
      </c>
      <c r="AN58" s="57" t="n">
        <f aca="false">N58</f>
        <v>0</v>
      </c>
      <c r="AO58" s="57" t="n">
        <f aca="false">Z58</f>
        <v>0</v>
      </c>
      <c r="AP58" s="57" t="n">
        <f aca="false">AL58</f>
        <v>0</v>
      </c>
    </row>
    <row r="59" customFormat="false" ht="15" hidden="false" customHeight="false" outlineLevel="0" collapsed="false">
      <c r="A59" s="26" t="s">
        <v>322</v>
      </c>
      <c r="B59" s="24" t="s">
        <v>320</v>
      </c>
      <c r="C59" s="56" t="n">
        <f aca="false">IF(1&lt;$C$12,0,$E$12)</f>
        <v>0</v>
      </c>
      <c r="D59" s="56" t="n">
        <f aca="false">IF(2&lt;$C$12,0,$E$12)</f>
        <v>0</v>
      </c>
      <c r="E59" s="56" t="n">
        <f aca="false">IF(3&lt;$C$12,0,$E$12)</f>
        <v>0</v>
      </c>
      <c r="F59" s="56" t="n">
        <f aca="false">IF(4&lt;$C$12,0,$E$12)</f>
        <v>0</v>
      </c>
      <c r="G59" s="56" t="n">
        <f aca="false">IF(5&lt;$C$12,0,$E$12)</f>
        <v>0</v>
      </c>
      <c r="H59" s="56" t="n">
        <f aca="false">IF(6&lt;$C$12,0,$E$12)</f>
        <v>0</v>
      </c>
      <c r="I59" s="56" t="n">
        <f aca="false">IF(7&lt;$C$12,0,$E$12)</f>
        <v>0</v>
      </c>
      <c r="J59" s="56" t="n">
        <f aca="false">IF(8&lt;$C$12,0,$E$12)</f>
        <v>0</v>
      </c>
      <c r="K59" s="56" t="n">
        <f aca="false">IF(9&lt;$C$12,0,$E$12)</f>
        <v>0</v>
      </c>
      <c r="L59" s="56" t="n">
        <f aca="false">IF(10&lt;$C$12,0,$E$12)</f>
        <v>0</v>
      </c>
      <c r="M59" s="56" t="n">
        <f aca="false">IF(11&lt;$C$12,0,$E$12)</f>
        <v>0</v>
      </c>
      <c r="N59" s="56" t="n">
        <f aca="false">IF(12&lt;$C$12,0,$E$12)</f>
        <v>0</v>
      </c>
      <c r="O59" s="56" t="n">
        <f aca="false">IF(13&lt;$C$12,0,$F$12)</f>
        <v>0</v>
      </c>
      <c r="P59" s="56" t="n">
        <f aca="false">IF(14&lt;$C$12,0,$F$12)</f>
        <v>0</v>
      </c>
      <c r="Q59" s="56" t="n">
        <f aca="false">IF(15&lt;$C$12,0,$F$12)</f>
        <v>0</v>
      </c>
      <c r="R59" s="56" t="n">
        <f aca="false">IF(16&lt;$C$12,0,$F$12)</f>
        <v>0</v>
      </c>
      <c r="S59" s="56" t="n">
        <f aca="false">IF(17&lt;$C$12,0,$F$12)</f>
        <v>0</v>
      </c>
      <c r="T59" s="56" t="n">
        <f aca="false">IF(18&lt;$C$12,0,$F$12)</f>
        <v>0</v>
      </c>
      <c r="U59" s="56" t="n">
        <f aca="false">IF(19&lt;$C$12,0,$F$12)</f>
        <v>0</v>
      </c>
      <c r="V59" s="56" t="n">
        <f aca="false">IF(20&lt;$C$12,0,$F$12)</f>
        <v>0</v>
      </c>
      <c r="W59" s="56" t="n">
        <f aca="false">IF(21&lt;$C$12,0,$F$12)</f>
        <v>0</v>
      </c>
      <c r="X59" s="56" t="n">
        <f aca="false">IF(22&lt;$C$12,0,$F$12)</f>
        <v>0</v>
      </c>
      <c r="Y59" s="56" t="n">
        <f aca="false">IF(23&lt;$C$12,0,$F$12)</f>
        <v>0</v>
      </c>
      <c r="Z59" s="56" t="n">
        <f aca="false">IF(24&lt;$C$12,0,$F$12)</f>
        <v>0</v>
      </c>
      <c r="AA59" s="56" t="n">
        <f aca="false">IF(25&lt;$C$12,0,$G$12)</f>
        <v>0</v>
      </c>
      <c r="AB59" s="56" t="n">
        <f aca="false">IF(26&lt;$C$12,0,$G$12)</f>
        <v>0</v>
      </c>
      <c r="AC59" s="56" t="n">
        <f aca="false">IF(27&lt;$C$12,0,$G$12)</f>
        <v>0</v>
      </c>
      <c r="AD59" s="56" t="n">
        <f aca="false">IF(28&lt;$C$12,0,$G$12)</f>
        <v>0</v>
      </c>
      <c r="AE59" s="56" t="n">
        <f aca="false">IF(29&lt;$C$12,0,$G$12)</f>
        <v>0</v>
      </c>
      <c r="AF59" s="56" t="n">
        <f aca="false">IF(30&lt;$C$12,0,$G$12)</f>
        <v>0</v>
      </c>
      <c r="AG59" s="56" t="n">
        <f aca="false">IF(31&lt;$C$12,0,$G$12)</f>
        <v>0</v>
      </c>
      <c r="AH59" s="56" t="n">
        <f aca="false">IF(32&lt;$C$12,0,$G$12)</f>
        <v>0</v>
      </c>
      <c r="AI59" s="56" t="n">
        <f aca="false">IF(33&lt;$C$12,0,$G$12)</f>
        <v>0</v>
      </c>
      <c r="AJ59" s="56" t="n">
        <f aca="false">IF(34&lt;$C$12,0,$G$12)</f>
        <v>0</v>
      </c>
      <c r="AK59" s="56" t="n">
        <f aca="false">IF(35&lt;$C$12,0,$G$12)</f>
        <v>0</v>
      </c>
      <c r="AL59" s="56" t="n">
        <f aca="false">IF(36&lt;$C$12,0,$G$12)</f>
        <v>0</v>
      </c>
      <c r="AN59" s="57" t="n">
        <f aca="false">N59</f>
        <v>0</v>
      </c>
      <c r="AO59" s="57" t="n">
        <f aca="false">Z59</f>
        <v>0</v>
      </c>
      <c r="AP59" s="57" t="n">
        <f aca="false">AL59</f>
        <v>0</v>
      </c>
    </row>
    <row r="60" customFormat="false" ht="15" hidden="false" customHeight="false" outlineLevel="0" collapsed="false">
      <c r="A60" s="26" t="s">
        <v>323</v>
      </c>
      <c r="B60" s="24" t="s">
        <v>324</v>
      </c>
      <c r="C60" s="56" t="n">
        <f aca="false">IF(1&lt;$C$13,0,$E$13)</f>
        <v>1</v>
      </c>
      <c r="D60" s="56" t="n">
        <f aca="false">IF(2&lt;$C$13,0,$E$13)</f>
        <v>1</v>
      </c>
      <c r="E60" s="56" t="n">
        <f aca="false">IF(3&lt;$C$13,0,$E$13)</f>
        <v>1</v>
      </c>
      <c r="F60" s="56" t="n">
        <f aca="false">IF(4&lt;$C$13,0,$E$13)</f>
        <v>1</v>
      </c>
      <c r="G60" s="56" t="n">
        <f aca="false">IF(5&lt;$C$13,0,$E$13)</f>
        <v>1</v>
      </c>
      <c r="H60" s="56" t="n">
        <f aca="false">IF(6&lt;$C$13,0,$E$13)</f>
        <v>1</v>
      </c>
      <c r="I60" s="56" t="n">
        <f aca="false">IF(7&lt;$C$13,0,$E$13)</f>
        <v>1</v>
      </c>
      <c r="J60" s="56" t="n">
        <f aca="false">IF(8&lt;$C$13,0,$E$13)</f>
        <v>1</v>
      </c>
      <c r="K60" s="56" t="n">
        <f aca="false">IF(9&lt;$C$13,0,$E$13)</f>
        <v>1</v>
      </c>
      <c r="L60" s="56" t="n">
        <f aca="false">IF(10&lt;$C$13,0,$E$13)</f>
        <v>1</v>
      </c>
      <c r="M60" s="56" t="n">
        <f aca="false">IF(11&lt;$C$13,0,$E$13)</f>
        <v>1</v>
      </c>
      <c r="N60" s="56" t="n">
        <f aca="false">IF(12&lt;$C$13,0,$E$13)</f>
        <v>1</v>
      </c>
      <c r="O60" s="56" t="n">
        <f aca="false">IF(13&lt;$C$13,0,$F$13)</f>
        <v>1</v>
      </c>
      <c r="P60" s="56" t="n">
        <f aca="false">IF(14&lt;$C$13,0,$F$13)</f>
        <v>1</v>
      </c>
      <c r="Q60" s="56" t="n">
        <f aca="false">IF(15&lt;$C$13,0,$F$13)</f>
        <v>1</v>
      </c>
      <c r="R60" s="56" t="n">
        <f aca="false">IF(16&lt;$C$13,0,$F$13)</f>
        <v>1</v>
      </c>
      <c r="S60" s="56" t="n">
        <f aca="false">IF(17&lt;$C$13,0,$F$13)</f>
        <v>1</v>
      </c>
      <c r="T60" s="56" t="n">
        <f aca="false">IF(18&lt;$C$13,0,$F$13)</f>
        <v>1</v>
      </c>
      <c r="U60" s="56" t="n">
        <f aca="false">IF(19&lt;$C$13,0,$F$13)</f>
        <v>1</v>
      </c>
      <c r="V60" s="56" t="n">
        <f aca="false">IF(20&lt;$C$13,0,$F$13)</f>
        <v>1</v>
      </c>
      <c r="W60" s="56" t="n">
        <f aca="false">IF(21&lt;$C$13,0,$F$13)</f>
        <v>1</v>
      </c>
      <c r="X60" s="56" t="n">
        <f aca="false">IF(22&lt;$C$13,0,$F$13)</f>
        <v>1</v>
      </c>
      <c r="Y60" s="56" t="n">
        <f aca="false">IF(23&lt;$C$13,0,$F$13)</f>
        <v>1</v>
      </c>
      <c r="Z60" s="56" t="n">
        <f aca="false">IF(24&lt;$C$13,0,$F$13)</f>
        <v>1</v>
      </c>
      <c r="AA60" s="56" t="n">
        <f aca="false">IF(25&lt;$C$13,0,$G$13)</f>
        <v>1</v>
      </c>
      <c r="AB60" s="56" t="n">
        <f aca="false">IF(26&lt;$C$13,0,$G$13)</f>
        <v>1</v>
      </c>
      <c r="AC60" s="56" t="n">
        <f aca="false">IF(27&lt;$C$13,0,$G$13)</f>
        <v>1</v>
      </c>
      <c r="AD60" s="56" t="n">
        <f aca="false">IF(28&lt;$C$13,0,$G$13)</f>
        <v>1</v>
      </c>
      <c r="AE60" s="56" t="n">
        <f aca="false">IF(29&lt;$C$13,0,$G$13)</f>
        <v>1</v>
      </c>
      <c r="AF60" s="56" t="n">
        <f aca="false">IF(30&lt;$C$13,0,$G$13)</f>
        <v>1</v>
      </c>
      <c r="AG60" s="56" t="n">
        <f aca="false">IF(31&lt;$C$13,0,$G$13)</f>
        <v>1</v>
      </c>
      <c r="AH60" s="56" t="n">
        <f aca="false">IF(32&lt;$C$13,0,$G$13)</f>
        <v>1</v>
      </c>
      <c r="AI60" s="56" t="n">
        <f aca="false">IF(33&lt;$C$13,0,$G$13)</f>
        <v>1</v>
      </c>
      <c r="AJ60" s="56" t="n">
        <f aca="false">IF(34&lt;$C$13,0,$G$13)</f>
        <v>1</v>
      </c>
      <c r="AK60" s="56" t="n">
        <f aca="false">IF(35&lt;$C$13,0,$G$13)</f>
        <v>1</v>
      </c>
      <c r="AL60" s="56" t="n">
        <f aca="false">IF(36&lt;$C$13,0,$G$13)</f>
        <v>1</v>
      </c>
      <c r="AN60" s="57" t="n">
        <f aca="false">N60</f>
        <v>1</v>
      </c>
      <c r="AO60" s="57" t="n">
        <f aca="false">Z60</f>
        <v>1</v>
      </c>
      <c r="AP60" s="57" t="n">
        <f aca="false">AL60</f>
        <v>1</v>
      </c>
    </row>
    <row r="61" customFormat="false" ht="15" hidden="false" customHeight="false" outlineLevel="0" collapsed="false">
      <c r="A61" s="26" t="s">
        <v>325</v>
      </c>
      <c r="B61" s="24" t="s">
        <v>324</v>
      </c>
      <c r="C61" s="56" t="n">
        <f aca="false">IF(1&lt;$C$14,0,$E$14)</f>
        <v>0</v>
      </c>
      <c r="D61" s="56" t="n">
        <f aca="false">IF(2&lt;$C$14,0,$E$14)</f>
        <v>0</v>
      </c>
      <c r="E61" s="56" t="n">
        <f aca="false">IF(3&lt;$C$14,0,$E$14)</f>
        <v>0</v>
      </c>
      <c r="F61" s="56" t="n">
        <f aca="false">IF(4&lt;$C$14,0,$E$14)</f>
        <v>0</v>
      </c>
      <c r="G61" s="56" t="n">
        <f aca="false">IF(5&lt;$C$14,0,$E$14)</f>
        <v>0</v>
      </c>
      <c r="H61" s="56" t="n">
        <f aca="false">IF(6&lt;$C$14,0,$E$14)</f>
        <v>0</v>
      </c>
      <c r="I61" s="56" t="n">
        <f aca="false">IF(7&lt;$C$14,0,$E$14)</f>
        <v>0</v>
      </c>
      <c r="J61" s="56" t="n">
        <f aca="false">IF(8&lt;$C$14,0,$E$14)</f>
        <v>0</v>
      </c>
      <c r="K61" s="56" t="n">
        <f aca="false">IF(9&lt;$C$14,0,$E$14)</f>
        <v>0</v>
      </c>
      <c r="L61" s="56" t="n">
        <f aca="false">IF(10&lt;$C$14,0,$E$14)</f>
        <v>0</v>
      </c>
      <c r="M61" s="56" t="n">
        <f aca="false">IF(11&lt;$C$14,0,$E$14)</f>
        <v>0</v>
      </c>
      <c r="N61" s="56" t="n">
        <f aca="false">IF(12&lt;$C$14,0,$E$14)</f>
        <v>0</v>
      </c>
      <c r="O61" s="56" t="n">
        <f aca="false">IF(13&lt;$C$14,0,$F$14)</f>
        <v>1</v>
      </c>
      <c r="P61" s="56" t="n">
        <f aca="false">IF(14&lt;$C$14,0,$F$14)</f>
        <v>1</v>
      </c>
      <c r="Q61" s="56" t="n">
        <f aca="false">IF(15&lt;$C$14,0,$F$14)</f>
        <v>1</v>
      </c>
      <c r="R61" s="56" t="n">
        <f aca="false">IF(16&lt;$C$14,0,$F$14)</f>
        <v>1</v>
      </c>
      <c r="S61" s="56" t="n">
        <f aca="false">IF(17&lt;$C$14,0,$F$14)</f>
        <v>1</v>
      </c>
      <c r="T61" s="56" t="n">
        <f aca="false">IF(18&lt;$C$14,0,$F$14)</f>
        <v>1</v>
      </c>
      <c r="U61" s="56" t="n">
        <f aca="false">IF(19&lt;$C$14,0,$F$14)</f>
        <v>1</v>
      </c>
      <c r="V61" s="56" t="n">
        <f aca="false">IF(20&lt;$C$14,0,$F$14)</f>
        <v>1</v>
      </c>
      <c r="W61" s="56" t="n">
        <f aca="false">IF(21&lt;$C$14,0,$F$14)</f>
        <v>1</v>
      </c>
      <c r="X61" s="56" t="n">
        <f aca="false">IF(22&lt;$C$14,0,$F$14)</f>
        <v>1</v>
      </c>
      <c r="Y61" s="56" t="n">
        <f aca="false">IF(23&lt;$C$14,0,$F$14)</f>
        <v>1</v>
      </c>
      <c r="Z61" s="56" t="n">
        <f aca="false">IF(24&lt;$C$14,0,$F$14)</f>
        <v>1</v>
      </c>
      <c r="AA61" s="56" t="n">
        <f aca="false">IF(25&lt;$C$14,0,$G$14)</f>
        <v>1</v>
      </c>
      <c r="AB61" s="56" t="n">
        <f aca="false">IF(26&lt;$C$14,0,$G$14)</f>
        <v>1</v>
      </c>
      <c r="AC61" s="56" t="n">
        <f aca="false">IF(27&lt;$C$14,0,$G$14)</f>
        <v>1</v>
      </c>
      <c r="AD61" s="56" t="n">
        <f aca="false">IF(28&lt;$C$14,0,$G$14)</f>
        <v>1</v>
      </c>
      <c r="AE61" s="56" t="n">
        <f aca="false">IF(29&lt;$C$14,0,$G$14)</f>
        <v>1</v>
      </c>
      <c r="AF61" s="56" t="n">
        <f aca="false">IF(30&lt;$C$14,0,$G$14)</f>
        <v>1</v>
      </c>
      <c r="AG61" s="56" t="n">
        <f aca="false">IF(31&lt;$C$14,0,$G$14)</f>
        <v>1</v>
      </c>
      <c r="AH61" s="56" t="n">
        <f aca="false">IF(32&lt;$C$14,0,$G$14)</f>
        <v>1</v>
      </c>
      <c r="AI61" s="56" t="n">
        <f aca="false">IF(33&lt;$C$14,0,$G$14)</f>
        <v>1</v>
      </c>
      <c r="AJ61" s="56" t="n">
        <f aca="false">IF(34&lt;$C$14,0,$G$14)</f>
        <v>1</v>
      </c>
      <c r="AK61" s="56" t="n">
        <f aca="false">IF(35&lt;$C$14,0,$G$14)</f>
        <v>1</v>
      </c>
      <c r="AL61" s="56" t="n">
        <f aca="false">IF(36&lt;$C$14,0,$G$14)</f>
        <v>1</v>
      </c>
      <c r="AN61" s="57" t="n">
        <f aca="false">N61</f>
        <v>0</v>
      </c>
      <c r="AO61" s="57" t="n">
        <f aca="false">Z61</f>
        <v>1</v>
      </c>
      <c r="AP61" s="57" t="n">
        <f aca="false">AL61</f>
        <v>1</v>
      </c>
    </row>
    <row r="62" customFormat="false" ht="15" hidden="false" customHeight="false" outlineLevel="0" collapsed="false">
      <c r="A62" s="26" t="s">
        <v>326</v>
      </c>
      <c r="B62" s="24" t="s">
        <v>324</v>
      </c>
      <c r="C62" s="56" t="n">
        <f aca="false">IF(1&lt;$C$15,0,$E$15)</f>
        <v>0</v>
      </c>
      <c r="D62" s="56" t="n">
        <f aca="false">IF(2&lt;$C$15,0,$E$15)</f>
        <v>0</v>
      </c>
      <c r="E62" s="56" t="n">
        <f aca="false">IF(3&lt;$C$15,0,$E$15)</f>
        <v>0</v>
      </c>
      <c r="F62" s="56" t="n">
        <f aca="false">IF(4&lt;$C$15,0,$E$15)</f>
        <v>0</v>
      </c>
      <c r="G62" s="56" t="n">
        <f aca="false">IF(5&lt;$C$15,0,$E$15)</f>
        <v>0</v>
      </c>
      <c r="H62" s="56" t="n">
        <f aca="false">IF(6&lt;$C$15,0,$E$15)</f>
        <v>0</v>
      </c>
      <c r="I62" s="56" t="n">
        <f aca="false">IF(7&lt;$C$15,0,$E$15)</f>
        <v>0</v>
      </c>
      <c r="J62" s="56" t="n">
        <f aca="false">IF(8&lt;$C$15,0,$E$15)</f>
        <v>0</v>
      </c>
      <c r="K62" s="56" t="n">
        <f aca="false">IF(9&lt;$C$15,0,$E$15)</f>
        <v>0</v>
      </c>
      <c r="L62" s="56" t="n">
        <f aca="false">IF(10&lt;$C$15,0,$E$15)</f>
        <v>0</v>
      </c>
      <c r="M62" s="56" t="n">
        <f aca="false">IF(11&lt;$C$15,0,$E$15)</f>
        <v>0</v>
      </c>
      <c r="N62" s="56" t="n">
        <f aca="false">IF(12&lt;$C$15,0,$E$15)</f>
        <v>0</v>
      </c>
      <c r="O62" s="56" t="n">
        <f aca="false">IF(13&lt;$C$15,0,$F$15)</f>
        <v>0</v>
      </c>
      <c r="P62" s="56" t="n">
        <f aca="false">IF(14&lt;$C$15,0,$F$15)</f>
        <v>0</v>
      </c>
      <c r="Q62" s="56" t="n">
        <f aca="false">IF(15&lt;$C$15,0,$F$15)</f>
        <v>0</v>
      </c>
      <c r="R62" s="56" t="n">
        <f aca="false">IF(16&lt;$C$15,0,$F$15)</f>
        <v>0</v>
      </c>
      <c r="S62" s="56" t="n">
        <f aca="false">IF(17&lt;$C$15,0,$F$15)</f>
        <v>0</v>
      </c>
      <c r="T62" s="56" t="n">
        <f aca="false">IF(18&lt;$C$15,0,$F$15)</f>
        <v>0</v>
      </c>
      <c r="U62" s="56" t="n">
        <f aca="false">IF(19&lt;$C$15,0,$F$15)</f>
        <v>0</v>
      </c>
      <c r="V62" s="56" t="n">
        <f aca="false">IF(20&lt;$C$15,0,$F$15)</f>
        <v>0</v>
      </c>
      <c r="W62" s="56" t="n">
        <f aca="false">IF(21&lt;$C$15,0,$F$15)</f>
        <v>0</v>
      </c>
      <c r="X62" s="56" t="n">
        <f aca="false">IF(22&lt;$C$15,0,$F$15)</f>
        <v>0</v>
      </c>
      <c r="Y62" s="56" t="n">
        <f aca="false">IF(23&lt;$C$15,0,$F$15)</f>
        <v>0</v>
      </c>
      <c r="Z62" s="56" t="n">
        <f aca="false">IF(24&lt;$C$15,0,$F$15)</f>
        <v>0</v>
      </c>
      <c r="AA62" s="56" t="n">
        <f aca="false">IF(25&lt;$C$15,0,$G$15)</f>
        <v>1</v>
      </c>
      <c r="AB62" s="56" t="n">
        <f aca="false">IF(26&lt;$C$15,0,$G$15)</f>
        <v>1</v>
      </c>
      <c r="AC62" s="56" t="n">
        <f aca="false">IF(27&lt;$C$15,0,$G$15)</f>
        <v>1</v>
      </c>
      <c r="AD62" s="56" t="n">
        <f aca="false">IF(28&lt;$C$15,0,$G$15)</f>
        <v>1</v>
      </c>
      <c r="AE62" s="56" t="n">
        <f aca="false">IF(29&lt;$C$15,0,$G$15)</f>
        <v>1</v>
      </c>
      <c r="AF62" s="56" t="n">
        <f aca="false">IF(30&lt;$C$15,0,$G$15)</f>
        <v>1</v>
      </c>
      <c r="AG62" s="56" t="n">
        <f aca="false">IF(31&lt;$C$15,0,$G$15)</f>
        <v>1</v>
      </c>
      <c r="AH62" s="56" t="n">
        <f aca="false">IF(32&lt;$C$15,0,$G$15)</f>
        <v>1</v>
      </c>
      <c r="AI62" s="56" t="n">
        <f aca="false">IF(33&lt;$C$15,0,$G$15)</f>
        <v>1</v>
      </c>
      <c r="AJ62" s="56" t="n">
        <f aca="false">IF(34&lt;$C$15,0,$G$15)</f>
        <v>1</v>
      </c>
      <c r="AK62" s="56" t="n">
        <f aca="false">IF(35&lt;$C$15,0,$G$15)</f>
        <v>1</v>
      </c>
      <c r="AL62" s="56" t="n">
        <f aca="false">IF(36&lt;$C$15,0,$G$15)</f>
        <v>1</v>
      </c>
      <c r="AN62" s="57" t="n">
        <f aca="false">N62</f>
        <v>0</v>
      </c>
      <c r="AO62" s="57" t="n">
        <f aca="false">Z62</f>
        <v>0</v>
      </c>
      <c r="AP62" s="57" t="n">
        <f aca="false">AL62</f>
        <v>1</v>
      </c>
    </row>
    <row r="63" customFormat="false" ht="15" hidden="false" customHeight="false" outlineLevel="0" collapsed="false">
      <c r="A63" s="26" t="s">
        <v>327</v>
      </c>
      <c r="B63" s="24" t="s">
        <v>324</v>
      </c>
      <c r="C63" s="56" t="n">
        <f aca="false">IF(1&lt;$C$16,0,$E$16)</f>
        <v>0</v>
      </c>
      <c r="D63" s="56" t="n">
        <f aca="false">IF(2&lt;$C$16,0,$E$16)</f>
        <v>0</v>
      </c>
      <c r="E63" s="56" t="n">
        <f aca="false">IF(3&lt;$C$16,0,$E$16)</f>
        <v>0</v>
      </c>
      <c r="F63" s="56" t="n">
        <f aca="false">IF(4&lt;$C$16,0,$E$16)</f>
        <v>0</v>
      </c>
      <c r="G63" s="56" t="n">
        <f aca="false">IF(5&lt;$C$16,0,$E$16)</f>
        <v>0</v>
      </c>
      <c r="H63" s="56" t="n">
        <f aca="false">IF(6&lt;$C$16,0,$E$16)</f>
        <v>0</v>
      </c>
      <c r="I63" s="56" t="n">
        <f aca="false">IF(7&lt;$C$16,0,$E$16)</f>
        <v>0</v>
      </c>
      <c r="J63" s="56" t="n">
        <f aca="false">IF(8&lt;$C$16,0,$E$16)</f>
        <v>0</v>
      </c>
      <c r="K63" s="56" t="n">
        <f aca="false">IF(9&lt;$C$16,0,$E$16)</f>
        <v>0</v>
      </c>
      <c r="L63" s="56" t="n">
        <f aca="false">IF(10&lt;$C$16,0,$E$16)</f>
        <v>0</v>
      </c>
      <c r="M63" s="56" t="n">
        <f aca="false">IF(11&lt;$C$16,0,$E$16)</f>
        <v>0</v>
      </c>
      <c r="N63" s="56" t="n">
        <f aca="false">IF(12&lt;$C$16,0,$E$16)</f>
        <v>0</v>
      </c>
      <c r="O63" s="56" t="n">
        <f aca="false">IF(13&lt;$C$16,0,$F$16)</f>
        <v>0</v>
      </c>
      <c r="P63" s="56" t="n">
        <f aca="false">IF(14&lt;$C$16,0,$F$16)</f>
        <v>0</v>
      </c>
      <c r="Q63" s="56" t="n">
        <f aca="false">IF(15&lt;$C$16,0,$F$16)</f>
        <v>0</v>
      </c>
      <c r="R63" s="56" t="n">
        <f aca="false">IF(16&lt;$C$16,0,$F$16)</f>
        <v>0</v>
      </c>
      <c r="S63" s="56" t="n">
        <f aca="false">IF(17&lt;$C$16,0,$F$16)</f>
        <v>0</v>
      </c>
      <c r="T63" s="56" t="n">
        <f aca="false">IF(18&lt;$C$16,0,$F$16)</f>
        <v>0</v>
      </c>
      <c r="U63" s="56" t="n">
        <f aca="false">IF(19&lt;$C$16,0,$F$16)</f>
        <v>0</v>
      </c>
      <c r="V63" s="56" t="n">
        <f aca="false">IF(20&lt;$C$16,0,$F$16)</f>
        <v>0</v>
      </c>
      <c r="W63" s="56" t="n">
        <f aca="false">IF(21&lt;$C$16,0,$F$16)</f>
        <v>0</v>
      </c>
      <c r="X63" s="56" t="n">
        <f aca="false">IF(22&lt;$C$16,0,$F$16)</f>
        <v>0</v>
      </c>
      <c r="Y63" s="56" t="n">
        <f aca="false">IF(23&lt;$C$16,0,$F$16)</f>
        <v>0</v>
      </c>
      <c r="Z63" s="56" t="n">
        <f aca="false">IF(24&lt;$C$16,0,$F$16)</f>
        <v>0</v>
      </c>
      <c r="AA63" s="56" t="n">
        <f aca="false">IF(25&lt;$C$16,0,$G$16)</f>
        <v>0</v>
      </c>
      <c r="AB63" s="56" t="n">
        <f aca="false">IF(26&lt;$C$16,0,$G$16)</f>
        <v>0</v>
      </c>
      <c r="AC63" s="56" t="n">
        <f aca="false">IF(27&lt;$C$16,0,$G$16)</f>
        <v>0</v>
      </c>
      <c r="AD63" s="56" t="n">
        <f aca="false">IF(28&lt;$C$16,0,$G$16)</f>
        <v>0</v>
      </c>
      <c r="AE63" s="56" t="n">
        <f aca="false">IF(29&lt;$C$16,0,$G$16)</f>
        <v>0</v>
      </c>
      <c r="AF63" s="56" t="n">
        <f aca="false">IF(30&lt;$C$16,0,$G$16)</f>
        <v>0</v>
      </c>
      <c r="AG63" s="56" t="n">
        <f aca="false">IF(31&lt;$C$16,0,$G$16)</f>
        <v>0</v>
      </c>
      <c r="AH63" s="56" t="n">
        <f aca="false">IF(32&lt;$C$16,0,$G$16)</f>
        <v>0</v>
      </c>
      <c r="AI63" s="56" t="n">
        <f aca="false">IF(33&lt;$C$16,0,$G$16)</f>
        <v>0</v>
      </c>
      <c r="AJ63" s="56" t="n">
        <f aca="false">IF(34&lt;$C$16,0,$G$16)</f>
        <v>0</v>
      </c>
      <c r="AK63" s="56" t="n">
        <f aca="false">IF(35&lt;$C$16,0,$G$16)</f>
        <v>0</v>
      </c>
      <c r="AL63" s="56" t="n">
        <f aca="false">IF(36&lt;$C$16,0,$G$16)</f>
        <v>0</v>
      </c>
      <c r="AN63" s="57" t="n">
        <f aca="false">N63</f>
        <v>0</v>
      </c>
      <c r="AO63" s="57" t="n">
        <f aca="false">Z63</f>
        <v>0</v>
      </c>
      <c r="AP63" s="57" t="n">
        <f aca="false">AL63</f>
        <v>0</v>
      </c>
    </row>
    <row r="64" customFormat="false" ht="15" hidden="false" customHeight="false" outlineLevel="0" collapsed="false">
      <c r="A64" s="26" t="s">
        <v>328</v>
      </c>
      <c r="B64" s="24" t="s">
        <v>329</v>
      </c>
      <c r="C64" s="56" t="n">
        <f aca="false">IF(1&lt;$C$17,0,$E$17)</f>
        <v>1</v>
      </c>
      <c r="D64" s="56" t="n">
        <f aca="false">IF(2&lt;$C$17,0,$E$17)</f>
        <v>1</v>
      </c>
      <c r="E64" s="56" t="n">
        <f aca="false">IF(3&lt;$C$17,0,$E$17)</f>
        <v>1</v>
      </c>
      <c r="F64" s="56" t="n">
        <f aca="false">IF(4&lt;$C$17,0,$E$17)</f>
        <v>1</v>
      </c>
      <c r="G64" s="56" t="n">
        <f aca="false">IF(5&lt;$C$17,0,$E$17)</f>
        <v>1</v>
      </c>
      <c r="H64" s="56" t="n">
        <f aca="false">IF(6&lt;$C$17,0,$E$17)</f>
        <v>1</v>
      </c>
      <c r="I64" s="56" t="n">
        <f aca="false">IF(7&lt;$C$17,0,$E$17)</f>
        <v>1</v>
      </c>
      <c r="J64" s="56" t="n">
        <f aca="false">IF(8&lt;$C$17,0,$E$17)</f>
        <v>1</v>
      </c>
      <c r="K64" s="56" t="n">
        <f aca="false">IF(9&lt;$C$17,0,$E$17)</f>
        <v>1</v>
      </c>
      <c r="L64" s="56" t="n">
        <f aca="false">IF(10&lt;$C$17,0,$E$17)</f>
        <v>1</v>
      </c>
      <c r="M64" s="56" t="n">
        <f aca="false">IF(11&lt;$C$17,0,$E$17)</f>
        <v>1</v>
      </c>
      <c r="N64" s="56" t="n">
        <f aca="false">IF(12&lt;$C$17,0,$E$17)</f>
        <v>1</v>
      </c>
      <c r="O64" s="56" t="n">
        <f aca="false">IF(13&lt;$C$17,0,$F$17)</f>
        <v>1</v>
      </c>
      <c r="P64" s="56" t="n">
        <f aca="false">IF(14&lt;$C$17,0,$F$17)</f>
        <v>1</v>
      </c>
      <c r="Q64" s="56" t="n">
        <f aca="false">IF(15&lt;$C$17,0,$F$17)</f>
        <v>1</v>
      </c>
      <c r="R64" s="56" t="n">
        <f aca="false">IF(16&lt;$C$17,0,$F$17)</f>
        <v>1</v>
      </c>
      <c r="S64" s="56" t="n">
        <f aca="false">IF(17&lt;$C$17,0,$F$17)</f>
        <v>1</v>
      </c>
      <c r="T64" s="56" t="n">
        <f aca="false">IF(18&lt;$C$17,0,$F$17)</f>
        <v>1</v>
      </c>
      <c r="U64" s="56" t="n">
        <f aca="false">IF(19&lt;$C$17,0,$F$17)</f>
        <v>1</v>
      </c>
      <c r="V64" s="56" t="n">
        <f aca="false">IF(20&lt;$C$17,0,$F$17)</f>
        <v>1</v>
      </c>
      <c r="W64" s="56" t="n">
        <f aca="false">IF(21&lt;$C$17,0,$F$17)</f>
        <v>1</v>
      </c>
      <c r="X64" s="56" t="n">
        <f aca="false">IF(22&lt;$C$17,0,$F$17)</f>
        <v>1</v>
      </c>
      <c r="Y64" s="56" t="n">
        <f aca="false">IF(23&lt;$C$17,0,$F$17)</f>
        <v>1</v>
      </c>
      <c r="Z64" s="56" t="n">
        <f aca="false">IF(24&lt;$C$17,0,$F$17)</f>
        <v>1</v>
      </c>
      <c r="AA64" s="56" t="n">
        <f aca="false">IF(25&lt;$C$17,0,$G$17)</f>
        <v>1</v>
      </c>
      <c r="AB64" s="56" t="n">
        <f aca="false">IF(26&lt;$C$17,0,$G$17)</f>
        <v>1</v>
      </c>
      <c r="AC64" s="56" t="n">
        <f aca="false">IF(27&lt;$C$17,0,$G$17)</f>
        <v>1</v>
      </c>
      <c r="AD64" s="56" t="n">
        <f aca="false">IF(28&lt;$C$17,0,$G$17)</f>
        <v>1</v>
      </c>
      <c r="AE64" s="56" t="n">
        <f aca="false">IF(29&lt;$C$17,0,$G$17)</f>
        <v>1</v>
      </c>
      <c r="AF64" s="56" t="n">
        <f aca="false">IF(30&lt;$C$17,0,$G$17)</f>
        <v>1</v>
      </c>
      <c r="AG64" s="56" t="n">
        <f aca="false">IF(31&lt;$C$17,0,$G$17)</f>
        <v>1</v>
      </c>
      <c r="AH64" s="56" t="n">
        <f aca="false">IF(32&lt;$C$17,0,$G$17)</f>
        <v>1</v>
      </c>
      <c r="AI64" s="56" t="n">
        <f aca="false">IF(33&lt;$C$17,0,$G$17)</f>
        <v>1</v>
      </c>
      <c r="AJ64" s="56" t="n">
        <f aca="false">IF(34&lt;$C$17,0,$G$17)</f>
        <v>1</v>
      </c>
      <c r="AK64" s="56" t="n">
        <f aca="false">IF(35&lt;$C$17,0,$G$17)</f>
        <v>1</v>
      </c>
      <c r="AL64" s="56" t="n">
        <f aca="false">IF(36&lt;$C$17,0,$G$17)</f>
        <v>1</v>
      </c>
      <c r="AN64" s="57" t="n">
        <f aca="false">N64</f>
        <v>1</v>
      </c>
      <c r="AO64" s="57" t="n">
        <f aca="false">Z64</f>
        <v>1</v>
      </c>
      <c r="AP64" s="57" t="n">
        <f aca="false">AL64</f>
        <v>1</v>
      </c>
    </row>
    <row r="65" customFormat="false" ht="15" hidden="false" customHeight="false" outlineLevel="0" collapsed="false">
      <c r="A65" s="26" t="s">
        <v>330</v>
      </c>
      <c r="B65" s="24" t="s">
        <v>329</v>
      </c>
      <c r="C65" s="56" t="n">
        <f aca="false">IF(1&lt;$C$18,0,$E$18)</f>
        <v>0</v>
      </c>
      <c r="D65" s="56" t="n">
        <f aca="false">IF(2&lt;$C$18,0,$E$18)</f>
        <v>0</v>
      </c>
      <c r="E65" s="56" t="n">
        <f aca="false">IF(3&lt;$C$18,0,$E$18)</f>
        <v>0</v>
      </c>
      <c r="F65" s="56" t="n">
        <f aca="false">IF(4&lt;$C$18,0,$E$18)</f>
        <v>0</v>
      </c>
      <c r="G65" s="56" t="n">
        <f aca="false">IF(5&lt;$C$18,0,$E$18)</f>
        <v>0</v>
      </c>
      <c r="H65" s="56" t="n">
        <f aca="false">IF(6&lt;$C$18,0,$E$18)</f>
        <v>0</v>
      </c>
      <c r="I65" s="56" t="n">
        <f aca="false">IF(7&lt;$C$18,0,$E$18)</f>
        <v>0</v>
      </c>
      <c r="J65" s="56" t="n">
        <f aca="false">IF(8&lt;$C$18,0,$E$18)</f>
        <v>0</v>
      </c>
      <c r="K65" s="56" t="n">
        <f aca="false">IF(9&lt;$C$18,0,$E$18)</f>
        <v>0</v>
      </c>
      <c r="L65" s="56" t="n">
        <f aca="false">IF(10&lt;$C$18,0,$E$18)</f>
        <v>0</v>
      </c>
      <c r="M65" s="56" t="n">
        <f aca="false">IF(11&lt;$C$18,0,$E$18)</f>
        <v>0</v>
      </c>
      <c r="N65" s="56" t="n">
        <f aca="false">IF(12&lt;$C$18,0,$E$18)</f>
        <v>0</v>
      </c>
      <c r="O65" s="56" t="n">
        <f aca="false">IF(13&lt;$C$18,0,$F$18)</f>
        <v>1</v>
      </c>
      <c r="P65" s="56" t="n">
        <f aca="false">IF(14&lt;$C$18,0,$F$18)</f>
        <v>1</v>
      </c>
      <c r="Q65" s="56" t="n">
        <f aca="false">IF(15&lt;$C$18,0,$F$18)</f>
        <v>1</v>
      </c>
      <c r="R65" s="56" t="n">
        <f aca="false">IF(16&lt;$C$18,0,$F$18)</f>
        <v>1</v>
      </c>
      <c r="S65" s="56" t="n">
        <f aca="false">IF(17&lt;$C$18,0,$F$18)</f>
        <v>1</v>
      </c>
      <c r="T65" s="56" t="n">
        <f aca="false">IF(18&lt;$C$18,0,$F$18)</f>
        <v>1</v>
      </c>
      <c r="U65" s="56" t="n">
        <f aca="false">IF(19&lt;$C$18,0,$F$18)</f>
        <v>1</v>
      </c>
      <c r="V65" s="56" t="n">
        <f aca="false">IF(20&lt;$C$18,0,$F$18)</f>
        <v>1</v>
      </c>
      <c r="W65" s="56" t="n">
        <f aca="false">IF(21&lt;$C$18,0,$F$18)</f>
        <v>1</v>
      </c>
      <c r="X65" s="56" t="n">
        <f aca="false">IF(22&lt;$C$18,0,$F$18)</f>
        <v>1</v>
      </c>
      <c r="Y65" s="56" t="n">
        <f aca="false">IF(23&lt;$C$18,0,$F$18)</f>
        <v>1</v>
      </c>
      <c r="Z65" s="56" t="n">
        <f aca="false">IF(24&lt;$C$18,0,$F$18)</f>
        <v>1</v>
      </c>
      <c r="AA65" s="56" t="n">
        <f aca="false">IF(25&lt;$C$18,0,$G$18)</f>
        <v>1</v>
      </c>
      <c r="AB65" s="56" t="n">
        <f aca="false">IF(26&lt;$C$18,0,$G$18)</f>
        <v>1</v>
      </c>
      <c r="AC65" s="56" t="n">
        <f aca="false">IF(27&lt;$C$18,0,$G$18)</f>
        <v>1</v>
      </c>
      <c r="AD65" s="56" t="n">
        <f aca="false">IF(28&lt;$C$18,0,$G$18)</f>
        <v>1</v>
      </c>
      <c r="AE65" s="56" t="n">
        <f aca="false">IF(29&lt;$C$18,0,$G$18)</f>
        <v>1</v>
      </c>
      <c r="AF65" s="56" t="n">
        <f aca="false">IF(30&lt;$C$18,0,$G$18)</f>
        <v>1</v>
      </c>
      <c r="AG65" s="56" t="n">
        <f aca="false">IF(31&lt;$C$18,0,$G$18)</f>
        <v>1</v>
      </c>
      <c r="AH65" s="56" t="n">
        <f aca="false">IF(32&lt;$C$18,0,$G$18)</f>
        <v>1</v>
      </c>
      <c r="AI65" s="56" t="n">
        <f aca="false">IF(33&lt;$C$18,0,$G$18)</f>
        <v>1</v>
      </c>
      <c r="AJ65" s="56" t="n">
        <f aca="false">IF(34&lt;$C$18,0,$G$18)</f>
        <v>1</v>
      </c>
      <c r="AK65" s="56" t="n">
        <f aca="false">IF(35&lt;$C$18,0,$G$18)</f>
        <v>1</v>
      </c>
      <c r="AL65" s="56" t="n">
        <f aca="false">IF(36&lt;$C$18,0,$G$18)</f>
        <v>1</v>
      </c>
      <c r="AN65" s="57" t="n">
        <f aca="false">N65</f>
        <v>0</v>
      </c>
      <c r="AO65" s="57" t="n">
        <f aca="false">Z65</f>
        <v>1</v>
      </c>
      <c r="AP65" s="57" t="n">
        <f aca="false">AL65</f>
        <v>1</v>
      </c>
    </row>
    <row r="66" customFormat="false" ht="15" hidden="false" customHeight="false" outlineLevel="0" collapsed="false">
      <c r="A66" s="26" t="s">
        <v>331</v>
      </c>
      <c r="B66" s="24" t="s">
        <v>329</v>
      </c>
      <c r="C66" s="56" t="n">
        <f aca="false">IF(1&lt;$C$19,0,$E$19)</f>
        <v>0</v>
      </c>
      <c r="D66" s="56" t="n">
        <f aca="false">IF(2&lt;$C$19,0,$E$19)</f>
        <v>0</v>
      </c>
      <c r="E66" s="56" t="n">
        <f aca="false">IF(3&lt;$C$19,0,$E$19)</f>
        <v>0</v>
      </c>
      <c r="F66" s="56" t="n">
        <f aca="false">IF(4&lt;$C$19,0,$E$19)</f>
        <v>0</v>
      </c>
      <c r="G66" s="56" t="n">
        <f aca="false">IF(5&lt;$C$19,0,$E$19)</f>
        <v>0</v>
      </c>
      <c r="H66" s="56" t="n">
        <f aca="false">IF(6&lt;$C$19,0,$E$19)</f>
        <v>0</v>
      </c>
      <c r="I66" s="56" t="n">
        <f aca="false">IF(7&lt;$C$19,0,$E$19)</f>
        <v>0</v>
      </c>
      <c r="J66" s="56" t="n">
        <f aca="false">IF(8&lt;$C$19,0,$E$19)</f>
        <v>0</v>
      </c>
      <c r="K66" s="56" t="n">
        <f aca="false">IF(9&lt;$C$19,0,$E$19)</f>
        <v>0</v>
      </c>
      <c r="L66" s="56" t="n">
        <f aca="false">IF(10&lt;$C$19,0,$E$19)</f>
        <v>0</v>
      </c>
      <c r="M66" s="56" t="n">
        <f aca="false">IF(11&lt;$C$19,0,$E$19)</f>
        <v>0</v>
      </c>
      <c r="N66" s="56" t="n">
        <f aca="false">IF(12&lt;$C$19,0,$E$19)</f>
        <v>0</v>
      </c>
      <c r="O66" s="56" t="n">
        <f aca="false">IF(13&lt;$C$19,0,$F$19)</f>
        <v>0</v>
      </c>
      <c r="P66" s="56" t="n">
        <f aca="false">IF(14&lt;$C$19,0,$F$19)</f>
        <v>0</v>
      </c>
      <c r="Q66" s="56" t="n">
        <f aca="false">IF(15&lt;$C$19,0,$F$19)</f>
        <v>0</v>
      </c>
      <c r="R66" s="56" t="n">
        <f aca="false">IF(16&lt;$C$19,0,$F$19)</f>
        <v>0</v>
      </c>
      <c r="S66" s="56" t="n">
        <f aca="false">IF(17&lt;$C$19,0,$F$19)</f>
        <v>0</v>
      </c>
      <c r="T66" s="56" t="n">
        <f aca="false">IF(18&lt;$C$19,0,$F$19)</f>
        <v>0</v>
      </c>
      <c r="U66" s="56" t="n">
        <f aca="false">IF(19&lt;$C$19,0,$F$19)</f>
        <v>0</v>
      </c>
      <c r="V66" s="56" t="n">
        <f aca="false">IF(20&lt;$C$19,0,$F$19)</f>
        <v>0</v>
      </c>
      <c r="W66" s="56" t="n">
        <f aca="false">IF(21&lt;$C$19,0,$F$19)</f>
        <v>0</v>
      </c>
      <c r="X66" s="56" t="n">
        <f aca="false">IF(22&lt;$C$19,0,$F$19)</f>
        <v>0</v>
      </c>
      <c r="Y66" s="56" t="n">
        <f aca="false">IF(23&lt;$C$19,0,$F$19)</f>
        <v>0</v>
      </c>
      <c r="Z66" s="56" t="n">
        <f aca="false">IF(24&lt;$C$19,0,$F$19)</f>
        <v>0</v>
      </c>
      <c r="AA66" s="56" t="n">
        <f aca="false">IF(25&lt;$C$19,0,$G$19)</f>
        <v>1</v>
      </c>
      <c r="AB66" s="56" t="n">
        <f aca="false">IF(26&lt;$C$19,0,$G$19)</f>
        <v>1</v>
      </c>
      <c r="AC66" s="56" t="n">
        <f aca="false">IF(27&lt;$C$19,0,$G$19)</f>
        <v>1</v>
      </c>
      <c r="AD66" s="56" t="n">
        <f aca="false">IF(28&lt;$C$19,0,$G$19)</f>
        <v>1</v>
      </c>
      <c r="AE66" s="56" t="n">
        <f aca="false">IF(29&lt;$C$19,0,$G$19)</f>
        <v>1</v>
      </c>
      <c r="AF66" s="56" t="n">
        <f aca="false">IF(30&lt;$C$19,0,$G$19)</f>
        <v>1</v>
      </c>
      <c r="AG66" s="56" t="n">
        <f aca="false">IF(31&lt;$C$19,0,$G$19)</f>
        <v>1</v>
      </c>
      <c r="AH66" s="56" t="n">
        <f aca="false">IF(32&lt;$C$19,0,$G$19)</f>
        <v>1</v>
      </c>
      <c r="AI66" s="56" t="n">
        <f aca="false">IF(33&lt;$C$19,0,$G$19)</f>
        <v>1</v>
      </c>
      <c r="AJ66" s="56" t="n">
        <f aca="false">IF(34&lt;$C$19,0,$G$19)</f>
        <v>1</v>
      </c>
      <c r="AK66" s="56" t="n">
        <f aca="false">IF(35&lt;$C$19,0,$G$19)</f>
        <v>1</v>
      </c>
      <c r="AL66" s="56" t="n">
        <f aca="false">IF(36&lt;$C$19,0,$G$19)</f>
        <v>1</v>
      </c>
      <c r="AN66" s="57" t="n">
        <f aca="false">N66</f>
        <v>0</v>
      </c>
      <c r="AO66" s="57" t="n">
        <f aca="false">Z66</f>
        <v>0</v>
      </c>
      <c r="AP66" s="57" t="n">
        <f aca="false">AL66</f>
        <v>1</v>
      </c>
    </row>
    <row r="67" customFormat="false" ht="15" hidden="false" customHeight="false" outlineLevel="0" collapsed="false">
      <c r="A67" s="26" t="s">
        <v>332</v>
      </c>
      <c r="B67" s="24" t="s">
        <v>329</v>
      </c>
      <c r="C67" s="56" t="n">
        <f aca="false">IF(1&lt;$C$20,0,$E$20)</f>
        <v>0</v>
      </c>
      <c r="D67" s="56" t="n">
        <f aca="false">IF(2&lt;$C$20,0,$E$20)</f>
        <v>0</v>
      </c>
      <c r="E67" s="56" t="n">
        <f aca="false">IF(3&lt;$C$20,0,$E$20)</f>
        <v>0</v>
      </c>
      <c r="F67" s="56" t="n">
        <f aca="false">IF(4&lt;$C$20,0,$E$20)</f>
        <v>0</v>
      </c>
      <c r="G67" s="56" t="n">
        <f aca="false">IF(5&lt;$C$20,0,$E$20)</f>
        <v>0</v>
      </c>
      <c r="H67" s="56" t="n">
        <f aca="false">IF(6&lt;$C$20,0,$E$20)</f>
        <v>0</v>
      </c>
      <c r="I67" s="56" t="n">
        <f aca="false">IF(7&lt;$C$20,0,$E$20)</f>
        <v>0</v>
      </c>
      <c r="J67" s="56" t="n">
        <f aca="false">IF(8&lt;$C$20,0,$E$20)</f>
        <v>0</v>
      </c>
      <c r="K67" s="56" t="n">
        <f aca="false">IF(9&lt;$C$20,0,$E$20)</f>
        <v>0</v>
      </c>
      <c r="L67" s="56" t="n">
        <f aca="false">IF(10&lt;$C$20,0,$E$20)</f>
        <v>0</v>
      </c>
      <c r="M67" s="56" t="n">
        <f aca="false">IF(11&lt;$C$20,0,$E$20)</f>
        <v>0</v>
      </c>
      <c r="N67" s="56" t="n">
        <f aca="false">IF(12&lt;$C$20,0,$E$20)</f>
        <v>0</v>
      </c>
      <c r="O67" s="56" t="n">
        <f aca="false">IF(13&lt;$C$20,0,$F$20)</f>
        <v>0</v>
      </c>
      <c r="P67" s="56" t="n">
        <f aca="false">IF(14&lt;$C$20,0,$F$20)</f>
        <v>0</v>
      </c>
      <c r="Q67" s="56" t="n">
        <f aca="false">IF(15&lt;$C$20,0,$F$20)</f>
        <v>0</v>
      </c>
      <c r="R67" s="56" t="n">
        <f aca="false">IF(16&lt;$C$20,0,$F$20)</f>
        <v>0</v>
      </c>
      <c r="S67" s="56" t="n">
        <f aca="false">IF(17&lt;$C$20,0,$F$20)</f>
        <v>0</v>
      </c>
      <c r="T67" s="56" t="n">
        <f aca="false">IF(18&lt;$C$20,0,$F$20)</f>
        <v>0</v>
      </c>
      <c r="U67" s="56" t="n">
        <f aca="false">IF(19&lt;$C$20,0,$F$20)</f>
        <v>0</v>
      </c>
      <c r="V67" s="56" t="n">
        <f aca="false">IF(20&lt;$C$20,0,$F$20)</f>
        <v>0</v>
      </c>
      <c r="W67" s="56" t="n">
        <f aca="false">IF(21&lt;$C$20,0,$F$20)</f>
        <v>0</v>
      </c>
      <c r="X67" s="56" t="n">
        <f aca="false">IF(22&lt;$C$20,0,$F$20)</f>
        <v>0</v>
      </c>
      <c r="Y67" s="56" t="n">
        <f aca="false">IF(23&lt;$C$20,0,$F$20)</f>
        <v>0</v>
      </c>
      <c r="Z67" s="56" t="n">
        <f aca="false">IF(24&lt;$C$20,0,$F$20)</f>
        <v>0</v>
      </c>
      <c r="AA67" s="56" t="n">
        <f aca="false">IF(25&lt;$C$20,0,$G$20)</f>
        <v>1</v>
      </c>
      <c r="AB67" s="56" t="n">
        <f aca="false">IF(26&lt;$C$20,0,$G$20)</f>
        <v>1</v>
      </c>
      <c r="AC67" s="56" t="n">
        <f aca="false">IF(27&lt;$C$20,0,$G$20)</f>
        <v>1</v>
      </c>
      <c r="AD67" s="56" t="n">
        <f aca="false">IF(28&lt;$C$20,0,$G$20)</f>
        <v>1</v>
      </c>
      <c r="AE67" s="56" t="n">
        <f aca="false">IF(29&lt;$C$20,0,$G$20)</f>
        <v>1</v>
      </c>
      <c r="AF67" s="56" t="n">
        <f aca="false">IF(30&lt;$C$20,0,$G$20)</f>
        <v>1</v>
      </c>
      <c r="AG67" s="56" t="n">
        <f aca="false">IF(31&lt;$C$20,0,$G$20)</f>
        <v>1</v>
      </c>
      <c r="AH67" s="56" t="n">
        <f aca="false">IF(32&lt;$C$20,0,$G$20)</f>
        <v>1</v>
      </c>
      <c r="AI67" s="56" t="n">
        <f aca="false">IF(33&lt;$C$20,0,$G$20)</f>
        <v>1</v>
      </c>
      <c r="AJ67" s="56" t="n">
        <f aca="false">IF(34&lt;$C$20,0,$G$20)</f>
        <v>1</v>
      </c>
      <c r="AK67" s="56" t="n">
        <f aca="false">IF(35&lt;$C$20,0,$G$20)</f>
        <v>1</v>
      </c>
      <c r="AL67" s="56" t="n">
        <f aca="false">IF(36&lt;$C$20,0,$G$20)</f>
        <v>1</v>
      </c>
      <c r="AN67" s="57" t="n">
        <f aca="false">N67</f>
        <v>0</v>
      </c>
      <c r="AO67" s="57" t="n">
        <f aca="false">Z67</f>
        <v>0</v>
      </c>
      <c r="AP67" s="57" t="n">
        <f aca="false">AL67</f>
        <v>1</v>
      </c>
    </row>
    <row r="68" customFormat="false" ht="15" hidden="false" customHeight="false" outlineLevel="0" collapsed="false">
      <c r="A68" s="26" t="s">
        <v>333</v>
      </c>
      <c r="B68" s="24" t="s">
        <v>329</v>
      </c>
      <c r="C68" s="56" t="n">
        <f aca="false">IF(1&lt;$C$21,0,$E$21)</f>
        <v>0</v>
      </c>
      <c r="D68" s="56" t="n">
        <f aca="false">IF(2&lt;$C$21,0,$E$21)</f>
        <v>0</v>
      </c>
      <c r="E68" s="56" t="n">
        <f aca="false">IF(3&lt;$C$21,0,$E$21)</f>
        <v>0</v>
      </c>
      <c r="F68" s="56" t="n">
        <f aca="false">IF(4&lt;$C$21,0,$E$21)</f>
        <v>0</v>
      </c>
      <c r="G68" s="56" t="n">
        <f aca="false">IF(5&lt;$C$21,0,$E$21)</f>
        <v>0</v>
      </c>
      <c r="H68" s="56" t="n">
        <f aca="false">IF(6&lt;$C$21,0,$E$21)</f>
        <v>0</v>
      </c>
      <c r="I68" s="56" t="n">
        <f aca="false">IF(7&lt;$C$21,0,$E$21)</f>
        <v>0</v>
      </c>
      <c r="J68" s="56" t="n">
        <f aca="false">IF(8&lt;$C$21,0,$E$21)</f>
        <v>0</v>
      </c>
      <c r="K68" s="56" t="n">
        <f aca="false">IF(9&lt;$C$21,0,$E$21)</f>
        <v>0</v>
      </c>
      <c r="L68" s="56" t="n">
        <f aca="false">IF(10&lt;$C$21,0,$E$21)</f>
        <v>0</v>
      </c>
      <c r="M68" s="56" t="n">
        <f aca="false">IF(11&lt;$C$21,0,$E$21)</f>
        <v>0</v>
      </c>
      <c r="N68" s="56" t="n">
        <f aca="false">IF(12&lt;$C$21,0,$E$21)</f>
        <v>0</v>
      </c>
      <c r="O68" s="56" t="n">
        <f aca="false">IF(13&lt;$C$21,0,$F$21)</f>
        <v>0</v>
      </c>
      <c r="P68" s="56" t="n">
        <f aca="false">IF(14&lt;$C$21,0,$F$21)</f>
        <v>0</v>
      </c>
      <c r="Q68" s="56" t="n">
        <f aca="false">IF(15&lt;$C$21,0,$F$21)</f>
        <v>0</v>
      </c>
      <c r="R68" s="56" t="n">
        <f aca="false">IF(16&lt;$C$21,0,$F$21)</f>
        <v>0</v>
      </c>
      <c r="S68" s="56" t="n">
        <f aca="false">IF(17&lt;$C$21,0,$F$21)</f>
        <v>0</v>
      </c>
      <c r="T68" s="56" t="n">
        <f aca="false">IF(18&lt;$C$21,0,$F$21)</f>
        <v>0</v>
      </c>
      <c r="U68" s="56" t="n">
        <f aca="false">IF(19&lt;$C$21,0,$F$21)</f>
        <v>0</v>
      </c>
      <c r="V68" s="56" t="n">
        <f aca="false">IF(20&lt;$C$21,0,$F$21)</f>
        <v>0</v>
      </c>
      <c r="W68" s="56" t="n">
        <f aca="false">IF(21&lt;$C$21,0,$F$21)</f>
        <v>0</v>
      </c>
      <c r="X68" s="56" t="n">
        <f aca="false">IF(22&lt;$C$21,0,$F$21)</f>
        <v>0</v>
      </c>
      <c r="Y68" s="56" t="n">
        <f aca="false">IF(23&lt;$C$21,0,$F$21)</f>
        <v>0</v>
      </c>
      <c r="Z68" s="56" t="n">
        <f aca="false">IF(24&lt;$C$21,0,$F$21)</f>
        <v>0</v>
      </c>
      <c r="AA68" s="56" t="n">
        <f aca="false">IF(25&lt;$C$21,0,$G$21)</f>
        <v>0</v>
      </c>
      <c r="AB68" s="56" t="n">
        <f aca="false">IF(26&lt;$C$21,0,$G$21)</f>
        <v>0</v>
      </c>
      <c r="AC68" s="56" t="n">
        <f aca="false">IF(27&lt;$C$21,0,$G$21)</f>
        <v>0</v>
      </c>
      <c r="AD68" s="56" t="n">
        <f aca="false">IF(28&lt;$C$21,0,$G$21)</f>
        <v>0</v>
      </c>
      <c r="AE68" s="56" t="n">
        <f aca="false">IF(29&lt;$C$21,0,$G$21)</f>
        <v>0</v>
      </c>
      <c r="AF68" s="56" t="n">
        <f aca="false">IF(30&lt;$C$21,0,$G$21)</f>
        <v>0</v>
      </c>
      <c r="AG68" s="56" t="n">
        <f aca="false">IF(31&lt;$C$21,0,$G$21)</f>
        <v>0</v>
      </c>
      <c r="AH68" s="56" t="n">
        <f aca="false">IF(32&lt;$C$21,0,$G$21)</f>
        <v>0</v>
      </c>
      <c r="AI68" s="56" t="n">
        <f aca="false">IF(33&lt;$C$21,0,$G$21)</f>
        <v>0</v>
      </c>
      <c r="AJ68" s="56" t="n">
        <f aca="false">IF(34&lt;$C$21,0,$G$21)</f>
        <v>0</v>
      </c>
      <c r="AK68" s="56" t="n">
        <f aca="false">IF(35&lt;$C$21,0,$G$21)</f>
        <v>0</v>
      </c>
      <c r="AL68" s="56" t="n">
        <f aca="false">IF(36&lt;$C$21,0,$G$21)</f>
        <v>0</v>
      </c>
      <c r="AN68" s="57" t="n">
        <f aca="false">N68</f>
        <v>0</v>
      </c>
      <c r="AO68" s="57" t="n">
        <f aca="false">Z68</f>
        <v>0</v>
      </c>
      <c r="AP68" s="57" t="n">
        <f aca="false">AL68</f>
        <v>0</v>
      </c>
    </row>
    <row r="69" customFormat="false" ht="15" hidden="false" customHeight="false" outlineLevel="0" collapsed="false">
      <c r="A69" s="26" t="s">
        <v>334</v>
      </c>
      <c r="B69" s="24" t="s">
        <v>329</v>
      </c>
      <c r="C69" s="56" t="n">
        <f aca="false">IF(1&lt;$C$22,0,$E$22)</f>
        <v>0</v>
      </c>
      <c r="D69" s="56" t="n">
        <f aca="false">IF(2&lt;$C$22,0,$E$22)</f>
        <v>0</v>
      </c>
      <c r="E69" s="56" t="n">
        <f aca="false">IF(3&lt;$C$22,0,$E$22)</f>
        <v>0</v>
      </c>
      <c r="F69" s="56" t="n">
        <f aca="false">IF(4&lt;$C$22,0,$E$22)</f>
        <v>0</v>
      </c>
      <c r="G69" s="56" t="n">
        <f aca="false">IF(5&lt;$C$22,0,$E$22)</f>
        <v>0</v>
      </c>
      <c r="H69" s="56" t="n">
        <f aca="false">IF(6&lt;$C$22,0,$E$22)</f>
        <v>0</v>
      </c>
      <c r="I69" s="56" t="n">
        <f aca="false">IF(7&lt;$C$22,0,$E$22)</f>
        <v>0</v>
      </c>
      <c r="J69" s="56" t="n">
        <f aca="false">IF(8&lt;$C$22,0,$E$22)</f>
        <v>0</v>
      </c>
      <c r="K69" s="56" t="n">
        <f aca="false">IF(9&lt;$C$22,0,$E$22)</f>
        <v>0</v>
      </c>
      <c r="L69" s="56" t="n">
        <f aca="false">IF(10&lt;$C$22,0,$E$22)</f>
        <v>0</v>
      </c>
      <c r="M69" s="56" t="n">
        <f aca="false">IF(11&lt;$C$22,0,$E$22)</f>
        <v>0</v>
      </c>
      <c r="N69" s="56" t="n">
        <f aca="false">IF(12&lt;$C$22,0,$E$22)</f>
        <v>0</v>
      </c>
      <c r="O69" s="56" t="n">
        <f aca="false">IF(13&lt;$C$22,0,$F$22)</f>
        <v>0</v>
      </c>
      <c r="P69" s="56" t="n">
        <f aca="false">IF(14&lt;$C$22,0,$F$22)</f>
        <v>0</v>
      </c>
      <c r="Q69" s="56" t="n">
        <f aca="false">IF(15&lt;$C$22,0,$F$22)</f>
        <v>0</v>
      </c>
      <c r="R69" s="56" t="n">
        <f aca="false">IF(16&lt;$C$22,0,$F$22)</f>
        <v>0</v>
      </c>
      <c r="S69" s="56" t="n">
        <f aca="false">IF(17&lt;$C$22,0,$F$22)</f>
        <v>0</v>
      </c>
      <c r="T69" s="56" t="n">
        <f aca="false">IF(18&lt;$C$22,0,$F$22)</f>
        <v>0</v>
      </c>
      <c r="U69" s="56" t="n">
        <f aca="false">IF(19&lt;$C$22,0,$F$22)</f>
        <v>0</v>
      </c>
      <c r="V69" s="56" t="n">
        <f aca="false">IF(20&lt;$C$22,0,$F$22)</f>
        <v>0</v>
      </c>
      <c r="W69" s="56" t="n">
        <f aca="false">IF(21&lt;$C$22,0,$F$22)</f>
        <v>0</v>
      </c>
      <c r="X69" s="56" t="n">
        <f aca="false">IF(22&lt;$C$22,0,$F$22)</f>
        <v>0</v>
      </c>
      <c r="Y69" s="56" t="n">
        <f aca="false">IF(23&lt;$C$22,0,$F$22)</f>
        <v>0</v>
      </c>
      <c r="Z69" s="56" t="n">
        <f aca="false">IF(24&lt;$C$22,0,$F$22)</f>
        <v>0</v>
      </c>
      <c r="AA69" s="56" t="n">
        <f aca="false">IF(25&lt;$C$22,0,$G$22)</f>
        <v>0</v>
      </c>
      <c r="AB69" s="56" t="n">
        <f aca="false">IF(26&lt;$C$22,0,$G$22)</f>
        <v>0</v>
      </c>
      <c r="AC69" s="56" t="n">
        <f aca="false">IF(27&lt;$C$22,0,$G$22)</f>
        <v>0</v>
      </c>
      <c r="AD69" s="56" t="n">
        <f aca="false">IF(28&lt;$C$22,0,$G$22)</f>
        <v>0</v>
      </c>
      <c r="AE69" s="56" t="n">
        <f aca="false">IF(29&lt;$C$22,0,$G$22)</f>
        <v>0</v>
      </c>
      <c r="AF69" s="56" t="n">
        <f aca="false">IF(30&lt;$C$22,0,$G$22)</f>
        <v>0</v>
      </c>
      <c r="AG69" s="56" t="n">
        <f aca="false">IF(31&lt;$C$22,0,$G$22)</f>
        <v>0</v>
      </c>
      <c r="AH69" s="56" t="n">
        <f aca="false">IF(32&lt;$C$22,0,$G$22)</f>
        <v>0</v>
      </c>
      <c r="AI69" s="56" t="n">
        <f aca="false">IF(33&lt;$C$22,0,$G$22)</f>
        <v>0</v>
      </c>
      <c r="AJ69" s="56" t="n">
        <f aca="false">IF(34&lt;$C$22,0,$G$22)</f>
        <v>0</v>
      </c>
      <c r="AK69" s="56" t="n">
        <f aca="false">IF(35&lt;$C$22,0,$G$22)</f>
        <v>0</v>
      </c>
      <c r="AL69" s="56" t="n">
        <f aca="false">IF(36&lt;$C$22,0,$G$22)</f>
        <v>0</v>
      </c>
      <c r="AN69" s="57" t="n">
        <f aca="false">N69</f>
        <v>0</v>
      </c>
      <c r="AO69" s="57" t="n">
        <f aca="false">Z69</f>
        <v>0</v>
      </c>
      <c r="AP69" s="57" t="n">
        <f aca="false">AL69</f>
        <v>0</v>
      </c>
    </row>
    <row r="70" customFormat="false" ht="15" hidden="false" customHeight="false" outlineLevel="0" collapsed="false">
      <c r="A70" s="26" t="s">
        <v>335</v>
      </c>
      <c r="B70" s="24" t="s">
        <v>336</v>
      </c>
      <c r="C70" s="56" t="n">
        <f aca="false">IF(1&lt;$C$23,0,$E$23)</f>
        <v>1</v>
      </c>
      <c r="D70" s="56" t="n">
        <f aca="false">IF(2&lt;$C$23,0,$E$23)</f>
        <v>1</v>
      </c>
      <c r="E70" s="56" t="n">
        <f aca="false">IF(3&lt;$C$23,0,$E$23)</f>
        <v>1</v>
      </c>
      <c r="F70" s="56" t="n">
        <f aca="false">IF(4&lt;$C$23,0,$E$23)</f>
        <v>1</v>
      </c>
      <c r="G70" s="56" t="n">
        <f aca="false">IF(5&lt;$C$23,0,$E$23)</f>
        <v>1</v>
      </c>
      <c r="H70" s="56" t="n">
        <f aca="false">IF(6&lt;$C$23,0,$E$23)</f>
        <v>1</v>
      </c>
      <c r="I70" s="56" t="n">
        <f aca="false">IF(7&lt;$C$23,0,$E$23)</f>
        <v>1</v>
      </c>
      <c r="J70" s="56" t="n">
        <f aca="false">IF(8&lt;$C$23,0,$E$23)</f>
        <v>1</v>
      </c>
      <c r="K70" s="56" t="n">
        <f aca="false">IF(9&lt;$C$23,0,$E$23)</f>
        <v>1</v>
      </c>
      <c r="L70" s="56" t="n">
        <f aca="false">IF(10&lt;$C$23,0,$E$23)</f>
        <v>1</v>
      </c>
      <c r="M70" s="56" t="n">
        <f aca="false">IF(11&lt;$C$23,0,$E$23)</f>
        <v>1</v>
      </c>
      <c r="N70" s="56" t="n">
        <f aca="false">IF(12&lt;$C$23,0,$E$23)</f>
        <v>1</v>
      </c>
      <c r="O70" s="56" t="n">
        <f aca="false">IF(13&lt;$C$23,0,$F$23)</f>
        <v>1</v>
      </c>
      <c r="P70" s="56" t="n">
        <f aca="false">IF(14&lt;$C$23,0,$F$23)</f>
        <v>1</v>
      </c>
      <c r="Q70" s="56" t="n">
        <f aca="false">IF(15&lt;$C$23,0,$F$23)</f>
        <v>1</v>
      </c>
      <c r="R70" s="56" t="n">
        <f aca="false">IF(16&lt;$C$23,0,$F$23)</f>
        <v>1</v>
      </c>
      <c r="S70" s="56" t="n">
        <f aca="false">IF(17&lt;$C$23,0,$F$23)</f>
        <v>1</v>
      </c>
      <c r="T70" s="56" t="n">
        <f aca="false">IF(18&lt;$C$23,0,$F$23)</f>
        <v>1</v>
      </c>
      <c r="U70" s="56" t="n">
        <f aca="false">IF(19&lt;$C$23,0,$F$23)</f>
        <v>1</v>
      </c>
      <c r="V70" s="56" t="n">
        <f aca="false">IF(20&lt;$C$23,0,$F$23)</f>
        <v>1</v>
      </c>
      <c r="W70" s="56" t="n">
        <f aca="false">IF(21&lt;$C$23,0,$F$23)</f>
        <v>1</v>
      </c>
      <c r="X70" s="56" t="n">
        <f aca="false">IF(22&lt;$C$23,0,$F$23)</f>
        <v>1</v>
      </c>
      <c r="Y70" s="56" t="n">
        <f aca="false">IF(23&lt;$C$23,0,$F$23)</f>
        <v>1</v>
      </c>
      <c r="Z70" s="56" t="n">
        <f aca="false">IF(24&lt;$C$23,0,$F$23)</f>
        <v>1</v>
      </c>
      <c r="AA70" s="56" t="n">
        <f aca="false">IF(25&lt;$C$23,0,$G$23)</f>
        <v>1</v>
      </c>
      <c r="AB70" s="56" t="n">
        <f aca="false">IF(26&lt;$C$23,0,$G$23)</f>
        <v>1</v>
      </c>
      <c r="AC70" s="56" t="n">
        <f aca="false">IF(27&lt;$C$23,0,$G$23)</f>
        <v>1</v>
      </c>
      <c r="AD70" s="56" t="n">
        <f aca="false">IF(28&lt;$C$23,0,$G$23)</f>
        <v>1</v>
      </c>
      <c r="AE70" s="56" t="n">
        <f aca="false">IF(29&lt;$C$23,0,$G$23)</f>
        <v>1</v>
      </c>
      <c r="AF70" s="56" t="n">
        <f aca="false">IF(30&lt;$C$23,0,$G$23)</f>
        <v>1</v>
      </c>
      <c r="AG70" s="56" t="n">
        <f aca="false">IF(31&lt;$C$23,0,$G$23)</f>
        <v>1</v>
      </c>
      <c r="AH70" s="56" t="n">
        <f aca="false">IF(32&lt;$C$23,0,$G$23)</f>
        <v>1</v>
      </c>
      <c r="AI70" s="56" t="n">
        <f aca="false">IF(33&lt;$C$23,0,$G$23)</f>
        <v>1</v>
      </c>
      <c r="AJ70" s="56" t="n">
        <f aca="false">IF(34&lt;$C$23,0,$G$23)</f>
        <v>1</v>
      </c>
      <c r="AK70" s="56" t="n">
        <f aca="false">IF(35&lt;$C$23,0,$G$23)</f>
        <v>1</v>
      </c>
      <c r="AL70" s="56" t="n">
        <f aca="false">IF(36&lt;$C$23,0,$G$23)</f>
        <v>1</v>
      </c>
      <c r="AN70" s="57" t="n">
        <f aca="false">N70</f>
        <v>1</v>
      </c>
      <c r="AO70" s="57" t="n">
        <f aca="false">Z70</f>
        <v>1</v>
      </c>
      <c r="AP70" s="57" t="n">
        <f aca="false">AL70</f>
        <v>1</v>
      </c>
    </row>
    <row r="71" customFormat="false" ht="15" hidden="false" customHeight="false" outlineLevel="0" collapsed="false">
      <c r="A71" s="26" t="s">
        <v>337</v>
      </c>
      <c r="B71" s="24" t="s">
        <v>336</v>
      </c>
      <c r="C71" s="56" t="n">
        <f aca="false">IF(1&lt;$C$24,0,$E$24)</f>
        <v>0</v>
      </c>
      <c r="D71" s="56" t="n">
        <f aca="false">IF(2&lt;$C$24,0,$E$24)</f>
        <v>0</v>
      </c>
      <c r="E71" s="56" t="n">
        <f aca="false">IF(3&lt;$C$24,0,$E$24)</f>
        <v>0</v>
      </c>
      <c r="F71" s="56" t="n">
        <f aca="false">IF(4&lt;$C$24,0,$E$24)</f>
        <v>0</v>
      </c>
      <c r="G71" s="56" t="n">
        <f aca="false">IF(5&lt;$C$24,0,$E$24)</f>
        <v>0</v>
      </c>
      <c r="H71" s="56" t="n">
        <f aca="false">IF(6&lt;$C$24,0,$E$24)</f>
        <v>0</v>
      </c>
      <c r="I71" s="56" t="n">
        <f aca="false">IF(7&lt;$C$24,0,$E$24)</f>
        <v>0</v>
      </c>
      <c r="J71" s="56" t="n">
        <f aca="false">IF(8&lt;$C$24,0,$E$24)</f>
        <v>0</v>
      </c>
      <c r="K71" s="56" t="n">
        <f aca="false">IF(9&lt;$C$24,0,$E$24)</f>
        <v>0</v>
      </c>
      <c r="L71" s="56" t="n">
        <f aca="false">IF(10&lt;$C$24,0,$E$24)</f>
        <v>0</v>
      </c>
      <c r="M71" s="56" t="n">
        <f aca="false">IF(11&lt;$C$24,0,$E$24)</f>
        <v>0</v>
      </c>
      <c r="N71" s="56" t="n">
        <f aca="false">IF(12&lt;$C$24,0,$E$24)</f>
        <v>0</v>
      </c>
      <c r="O71" s="56" t="n">
        <f aca="false">IF(13&lt;$C$24,0,$F$24)</f>
        <v>0</v>
      </c>
      <c r="P71" s="56" t="n">
        <f aca="false">IF(14&lt;$C$24,0,$F$24)</f>
        <v>0</v>
      </c>
      <c r="Q71" s="56" t="n">
        <f aca="false">IF(15&lt;$C$24,0,$F$24)</f>
        <v>0</v>
      </c>
      <c r="R71" s="56" t="n">
        <f aca="false">IF(16&lt;$C$24,0,$F$24)</f>
        <v>0</v>
      </c>
      <c r="S71" s="56" t="n">
        <f aca="false">IF(17&lt;$C$24,0,$F$24)</f>
        <v>0</v>
      </c>
      <c r="T71" s="56" t="n">
        <f aca="false">IF(18&lt;$C$24,0,$F$24)</f>
        <v>0</v>
      </c>
      <c r="U71" s="56" t="n">
        <f aca="false">IF(19&lt;$C$24,0,$F$24)</f>
        <v>0</v>
      </c>
      <c r="V71" s="56" t="n">
        <f aca="false">IF(20&lt;$C$24,0,$F$24)</f>
        <v>0</v>
      </c>
      <c r="W71" s="56" t="n">
        <f aca="false">IF(21&lt;$C$24,0,$F$24)</f>
        <v>0</v>
      </c>
      <c r="X71" s="56" t="n">
        <f aca="false">IF(22&lt;$C$24,0,$F$24)</f>
        <v>0</v>
      </c>
      <c r="Y71" s="56" t="n">
        <f aca="false">IF(23&lt;$C$24,0,$F$24)</f>
        <v>0</v>
      </c>
      <c r="Z71" s="56" t="n">
        <f aca="false">IF(24&lt;$C$24,0,$F$24)</f>
        <v>0</v>
      </c>
      <c r="AA71" s="56" t="n">
        <f aca="false">IF(25&lt;$C$24,0,$G$24)</f>
        <v>0</v>
      </c>
      <c r="AB71" s="56" t="n">
        <f aca="false">IF(26&lt;$C$24,0,$G$24)</f>
        <v>0</v>
      </c>
      <c r="AC71" s="56" t="n">
        <f aca="false">IF(27&lt;$C$24,0,$G$24)</f>
        <v>0</v>
      </c>
      <c r="AD71" s="56" t="n">
        <f aca="false">IF(28&lt;$C$24,0,$G$24)</f>
        <v>0</v>
      </c>
      <c r="AE71" s="56" t="n">
        <f aca="false">IF(29&lt;$C$24,0,$G$24)</f>
        <v>0</v>
      </c>
      <c r="AF71" s="56" t="n">
        <f aca="false">IF(30&lt;$C$24,0,$G$24)</f>
        <v>0</v>
      </c>
      <c r="AG71" s="56" t="n">
        <f aca="false">IF(31&lt;$C$24,0,$G$24)</f>
        <v>0</v>
      </c>
      <c r="AH71" s="56" t="n">
        <f aca="false">IF(32&lt;$C$24,0,$G$24)</f>
        <v>0</v>
      </c>
      <c r="AI71" s="56" t="n">
        <f aca="false">IF(33&lt;$C$24,0,$G$24)</f>
        <v>0</v>
      </c>
      <c r="AJ71" s="56" t="n">
        <f aca="false">IF(34&lt;$C$24,0,$G$24)</f>
        <v>0</v>
      </c>
      <c r="AK71" s="56" t="n">
        <f aca="false">IF(35&lt;$C$24,0,$G$24)</f>
        <v>0</v>
      </c>
      <c r="AL71" s="56" t="n">
        <f aca="false">IF(36&lt;$C$24,0,$G$24)</f>
        <v>0</v>
      </c>
      <c r="AN71" s="57" t="n">
        <f aca="false">N71</f>
        <v>0</v>
      </c>
      <c r="AO71" s="57" t="n">
        <f aca="false">Z71</f>
        <v>0</v>
      </c>
      <c r="AP71" s="57" t="n">
        <f aca="false">AL71</f>
        <v>0</v>
      </c>
    </row>
    <row r="72" customFormat="false" ht="15" hidden="false" customHeight="false" outlineLevel="0" collapsed="false">
      <c r="A72" s="53" t="s">
        <v>389</v>
      </c>
      <c r="B72" s="54" t="s">
        <v>390</v>
      </c>
      <c r="C72" s="58" t="n">
        <f aca="false">SUM(C54:C71)</f>
        <v>6</v>
      </c>
      <c r="D72" s="58" t="n">
        <f aca="false">SUM(D54:D71)</f>
        <v>6</v>
      </c>
      <c r="E72" s="58" t="n">
        <f aca="false">SUM(E54:E71)</f>
        <v>6</v>
      </c>
      <c r="F72" s="58" t="n">
        <f aca="false">SUM(F54:F71)</f>
        <v>6</v>
      </c>
      <c r="G72" s="58" t="n">
        <f aca="false">SUM(G54:G71)</f>
        <v>6</v>
      </c>
      <c r="H72" s="58" t="n">
        <f aca="false">SUM(H54:H71)</f>
        <v>6</v>
      </c>
      <c r="I72" s="58" t="n">
        <f aca="false">SUM(I54:I71)</f>
        <v>6</v>
      </c>
      <c r="J72" s="58" t="n">
        <f aca="false">SUM(J54:J71)</f>
        <v>6</v>
      </c>
      <c r="K72" s="58" t="n">
        <f aca="false">SUM(K54:K71)</f>
        <v>6</v>
      </c>
      <c r="L72" s="58" t="n">
        <f aca="false">SUM(L54:L71)</f>
        <v>6</v>
      </c>
      <c r="M72" s="58" t="n">
        <f aca="false">SUM(M54:M71)</f>
        <v>6</v>
      </c>
      <c r="N72" s="58" t="n">
        <f aca="false">SUM(N54:N71)</f>
        <v>6</v>
      </c>
      <c r="O72" s="58" t="n">
        <f aca="false">SUM(O54:O71)</f>
        <v>9</v>
      </c>
      <c r="P72" s="58" t="n">
        <f aca="false">SUM(P54:P71)</f>
        <v>9</v>
      </c>
      <c r="Q72" s="58" t="n">
        <f aca="false">SUM(Q54:Q71)</f>
        <v>9</v>
      </c>
      <c r="R72" s="58" t="n">
        <f aca="false">SUM(R54:R71)</f>
        <v>9</v>
      </c>
      <c r="S72" s="58" t="n">
        <f aca="false">SUM(S54:S71)</f>
        <v>9</v>
      </c>
      <c r="T72" s="58" t="n">
        <f aca="false">SUM(T54:T71)</f>
        <v>9</v>
      </c>
      <c r="U72" s="58" t="n">
        <f aca="false">SUM(U54:U71)</f>
        <v>9</v>
      </c>
      <c r="V72" s="58" t="n">
        <f aca="false">SUM(V54:V71)</f>
        <v>9</v>
      </c>
      <c r="W72" s="58" t="n">
        <f aca="false">SUM(W54:W71)</f>
        <v>9</v>
      </c>
      <c r="X72" s="58" t="n">
        <f aca="false">SUM(X54:X71)</f>
        <v>9</v>
      </c>
      <c r="Y72" s="58" t="n">
        <f aca="false">SUM(Y54:Y71)</f>
        <v>9</v>
      </c>
      <c r="Z72" s="58" t="n">
        <f aca="false">SUM(Z54:Z71)</f>
        <v>9</v>
      </c>
      <c r="AA72" s="58" t="n">
        <f aca="false">SUM(AA54:AA71)</f>
        <v>12</v>
      </c>
      <c r="AB72" s="58" t="n">
        <f aca="false">SUM(AB54:AB71)</f>
        <v>12</v>
      </c>
      <c r="AC72" s="58" t="n">
        <f aca="false">SUM(AC54:AC71)</f>
        <v>12</v>
      </c>
      <c r="AD72" s="58" t="n">
        <f aca="false">SUM(AD54:AD71)</f>
        <v>12</v>
      </c>
      <c r="AE72" s="58" t="n">
        <f aca="false">SUM(AE54:AE71)</f>
        <v>12</v>
      </c>
      <c r="AF72" s="58" t="n">
        <f aca="false">SUM(AF54:AF71)</f>
        <v>12</v>
      </c>
      <c r="AG72" s="58" t="n">
        <f aca="false">SUM(AG54:AG71)</f>
        <v>12</v>
      </c>
      <c r="AH72" s="58" t="n">
        <f aca="false">SUM(AH54:AH71)</f>
        <v>12</v>
      </c>
      <c r="AI72" s="58" t="n">
        <f aca="false">SUM(AI54:AI71)</f>
        <v>12</v>
      </c>
      <c r="AJ72" s="58" t="n">
        <f aca="false">SUM(AJ54:AJ71)</f>
        <v>12</v>
      </c>
      <c r="AK72" s="58" t="n">
        <f aca="false">SUM(AK54:AK71)</f>
        <v>12</v>
      </c>
      <c r="AL72" s="58" t="n">
        <f aca="false">SUM(AL54:AL71)</f>
        <v>12</v>
      </c>
      <c r="AN72" s="57" t="n">
        <f aca="false">N72</f>
        <v>6</v>
      </c>
      <c r="AO72" s="57" t="n">
        <f aca="false">Z72</f>
        <v>9</v>
      </c>
      <c r="AP72" s="57" t="n">
        <f aca="false">AL72</f>
        <v>12</v>
      </c>
    </row>
    <row r="73" customFormat="false" ht="15" hidden="false" customHeight="false" outlineLevel="0" collapsed="false">
      <c r="A73" s="10" t="s">
        <v>391</v>
      </c>
      <c r="B73" s="24" t="s">
        <v>392</v>
      </c>
      <c r="C73" s="59" t="n">
        <f aca="false">C72</f>
        <v>6</v>
      </c>
      <c r="D73" s="59" t="n">
        <f aca="false">MAX(0,D72-C72)</f>
        <v>0</v>
      </c>
      <c r="E73" s="59" t="n">
        <f aca="false">MAX(0,E72-D72)</f>
        <v>0</v>
      </c>
      <c r="F73" s="59" t="n">
        <f aca="false">MAX(0,F72-E72)</f>
        <v>0</v>
      </c>
      <c r="G73" s="59" t="n">
        <f aca="false">MAX(0,G72-F72)</f>
        <v>0</v>
      </c>
      <c r="H73" s="59" t="n">
        <f aca="false">MAX(0,H72-G72)</f>
        <v>0</v>
      </c>
      <c r="I73" s="59" t="n">
        <f aca="false">MAX(0,I72-H72)</f>
        <v>0</v>
      </c>
      <c r="J73" s="59" t="n">
        <f aca="false">MAX(0,J72-I72)</f>
        <v>0</v>
      </c>
      <c r="K73" s="59" t="n">
        <f aca="false">MAX(0,K72-J72)</f>
        <v>0</v>
      </c>
      <c r="L73" s="59" t="n">
        <f aca="false">MAX(0,L72-K72)</f>
        <v>0</v>
      </c>
      <c r="M73" s="59" t="n">
        <f aca="false">MAX(0,M72-L72)</f>
        <v>0</v>
      </c>
      <c r="N73" s="59" t="n">
        <f aca="false">MAX(0,N72-M72)</f>
        <v>0</v>
      </c>
      <c r="O73" s="59" t="n">
        <f aca="false">MAX(0,O72-N72)</f>
        <v>3</v>
      </c>
      <c r="P73" s="59" t="n">
        <f aca="false">MAX(0,P72-O72)</f>
        <v>0</v>
      </c>
      <c r="Q73" s="59" t="n">
        <f aca="false">MAX(0,Q72-P72)</f>
        <v>0</v>
      </c>
      <c r="R73" s="59" t="n">
        <f aca="false">MAX(0,R72-Q72)</f>
        <v>0</v>
      </c>
      <c r="S73" s="59" t="n">
        <f aca="false">MAX(0,S72-R72)</f>
        <v>0</v>
      </c>
      <c r="T73" s="59" t="n">
        <f aca="false">MAX(0,T72-S72)</f>
        <v>0</v>
      </c>
      <c r="U73" s="59" t="n">
        <f aca="false">MAX(0,U72-T72)</f>
        <v>0</v>
      </c>
      <c r="V73" s="59" t="n">
        <f aca="false">MAX(0,V72-U72)</f>
        <v>0</v>
      </c>
      <c r="W73" s="59" t="n">
        <f aca="false">MAX(0,W72-V72)</f>
        <v>0</v>
      </c>
      <c r="X73" s="59" t="n">
        <f aca="false">MAX(0,X72-W72)</f>
        <v>0</v>
      </c>
      <c r="Y73" s="59" t="n">
        <f aca="false">MAX(0,Y72-X72)</f>
        <v>0</v>
      </c>
      <c r="Z73" s="59" t="n">
        <f aca="false">MAX(0,Z72-Y72)</f>
        <v>0</v>
      </c>
      <c r="AA73" s="59" t="n">
        <f aca="false">MAX(0,AA72-Z72)</f>
        <v>3</v>
      </c>
      <c r="AB73" s="59" t="n">
        <f aca="false">MAX(0,AB72-AA72)</f>
        <v>0</v>
      </c>
      <c r="AC73" s="59" t="n">
        <f aca="false">MAX(0,AC72-AB72)</f>
        <v>0</v>
      </c>
      <c r="AD73" s="59" t="n">
        <f aca="false">MAX(0,AD72-AC72)</f>
        <v>0</v>
      </c>
      <c r="AE73" s="59" t="n">
        <f aca="false">MAX(0,AE72-AD72)</f>
        <v>0</v>
      </c>
      <c r="AF73" s="59" t="n">
        <f aca="false">MAX(0,AF72-AE72)</f>
        <v>0</v>
      </c>
      <c r="AG73" s="59" t="n">
        <f aca="false">MAX(0,AG72-AF72)</f>
        <v>0</v>
      </c>
      <c r="AH73" s="59" t="n">
        <f aca="false">MAX(0,AH72-AG72)</f>
        <v>0</v>
      </c>
      <c r="AI73" s="59" t="n">
        <f aca="false">MAX(0,AI72-AH72)</f>
        <v>0</v>
      </c>
      <c r="AJ73" s="59" t="n">
        <f aca="false">MAX(0,AJ72-AI72)</f>
        <v>0</v>
      </c>
      <c r="AK73" s="59" t="n">
        <f aca="false">MAX(0,AK72-AJ72)</f>
        <v>0</v>
      </c>
      <c r="AL73" s="59" t="n">
        <f aca="false">MAX(0,AL72-AK72)</f>
        <v>0</v>
      </c>
      <c r="AN73" s="57" t="n">
        <f aca="false">SUM(C73:N73)</f>
        <v>6</v>
      </c>
      <c r="AO73" s="57" t="n">
        <f aca="false">SUM(O73:Z73)</f>
        <v>3</v>
      </c>
      <c r="AP73" s="57" t="n">
        <f aca="false">SUM(AA73:AL73)</f>
        <v>3</v>
      </c>
    </row>
    <row r="74" customFormat="false" ht="15" hidden="false" customHeight="false" outlineLevel="0" collapsed="false">
      <c r="A74" s="26" t="s">
        <v>393</v>
      </c>
      <c r="B74" s="24" t="s">
        <v>394</v>
      </c>
      <c r="C74" s="56" t="n">
        <f aca="false">IF(1&lt;$C$17,0,$E$17)+IF(1&lt;$C$18,0,$E$18)+IF(1&lt;$C$19,0,$E$19)+IF(1&lt;$C$20,0,$E$20)+IF(1&lt;$C$21,0,$E$21)+IF(1&lt;$C$22,0,$E$22)</f>
        <v>1</v>
      </c>
      <c r="D74" s="56" t="n">
        <f aca="false">IF(2&lt;$C$17,0,$E$17)+IF(2&lt;$C$18,0,$E$18)+IF(2&lt;$C$19,0,$E$19)+IF(2&lt;$C$20,0,$E$20)+IF(2&lt;$C$21,0,$E$21)+IF(2&lt;$C$22,0,$E$22)</f>
        <v>1</v>
      </c>
      <c r="E74" s="56" t="n">
        <f aca="false">IF(3&lt;$C$17,0,$E$17)+IF(3&lt;$C$18,0,$E$18)+IF(3&lt;$C$19,0,$E$19)+IF(3&lt;$C$20,0,$E$20)+IF(3&lt;$C$21,0,$E$21)+IF(3&lt;$C$22,0,$E$22)</f>
        <v>1</v>
      </c>
      <c r="F74" s="56" t="n">
        <f aca="false">IF(4&lt;$C$17,0,$E$17)+IF(4&lt;$C$18,0,$E$18)+IF(4&lt;$C$19,0,$E$19)+IF(4&lt;$C$20,0,$E$20)+IF(4&lt;$C$21,0,$E$21)+IF(4&lt;$C$22,0,$E$22)</f>
        <v>1</v>
      </c>
      <c r="G74" s="56" t="n">
        <f aca="false">IF(5&lt;$C$17,0,$E$17)+IF(5&lt;$C$18,0,$E$18)+IF(5&lt;$C$19,0,$E$19)+IF(5&lt;$C$20,0,$E$20)+IF(5&lt;$C$21,0,$E$21)+IF(5&lt;$C$22,0,$E$22)</f>
        <v>1</v>
      </c>
      <c r="H74" s="56" t="n">
        <f aca="false">IF(6&lt;$C$17,0,$E$17)+IF(6&lt;$C$18,0,$E$18)+IF(6&lt;$C$19,0,$E$19)+IF(6&lt;$C$20,0,$E$20)+IF(6&lt;$C$21,0,$E$21)+IF(6&lt;$C$22,0,$E$22)</f>
        <v>1</v>
      </c>
      <c r="I74" s="56" t="n">
        <f aca="false">IF(7&lt;$C$17,0,$E$17)+IF(7&lt;$C$18,0,$E$18)+IF(7&lt;$C$19,0,$E$19)+IF(7&lt;$C$20,0,$E$20)+IF(7&lt;$C$21,0,$E$21)+IF(7&lt;$C$22,0,$E$22)</f>
        <v>1</v>
      </c>
      <c r="J74" s="56" t="n">
        <f aca="false">IF(8&lt;$C$17,0,$E$17)+IF(8&lt;$C$18,0,$E$18)+IF(8&lt;$C$19,0,$E$19)+IF(8&lt;$C$20,0,$E$20)+IF(8&lt;$C$21,0,$E$21)+IF(8&lt;$C$22,0,$E$22)</f>
        <v>1</v>
      </c>
      <c r="K74" s="56" t="n">
        <f aca="false">IF(9&lt;$C$17,0,$E$17)+IF(9&lt;$C$18,0,$E$18)+IF(9&lt;$C$19,0,$E$19)+IF(9&lt;$C$20,0,$E$20)+IF(9&lt;$C$21,0,$E$21)+IF(9&lt;$C$22,0,$E$22)</f>
        <v>1</v>
      </c>
      <c r="L74" s="56" t="n">
        <f aca="false">IF(10&lt;$C$17,0,$E$17)+IF(10&lt;$C$18,0,$E$18)+IF(10&lt;$C$19,0,$E$19)+IF(10&lt;$C$20,0,$E$20)+IF(10&lt;$C$21,0,$E$21)+IF(10&lt;$C$22,0,$E$22)</f>
        <v>1</v>
      </c>
      <c r="M74" s="56" t="n">
        <f aca="false">IF(11&lt;$C$17,0,$E$17)+IF(11&lt;$C$18,0,$E$18)+IF(11&lt;$C$19,0,$E$19)+IF(11&lt;$C$20,0,$E$20)+IF(11&lt;$C$21,0,$E$21)+IF(11&lt;$C$22,0,$E$22)</f>
        <v>1</v>
      </c>
      <c r="N74" s="56" t="n">
        <f aca="false">IF(12&lt;$C$17,0,$E$17)+IF(12&lt;$C$18,0,$E$18)+IF(12&lt;$C$19,0,$E$19)+IF(12&lt;$C$20,0,$E$20)+IF(12&lt;$C$21,0,$E$21)+IF(12&lt;$C$22,0,$E$22)</f>
        <v>1</v>
      </c>
      <c r="O74" s="56" t="n">
        <f aca="false">IF(13&lt;$C$17,0,$F$17)+IF(13&lt;$C$18,0,$F$18)+IF(13&lt;$C$19,0,$F$19)+IF(13&lt;$C$20,0,$F$20)+IF(13&lt;$C$21,0,$F$21)+IF(13&lt;$C$22,0,$F$22)</f>
        <v>2</v>
      </c>
      <c r="P74" s="56" t="n">
        <f aca="false">IF(14&lt;$C$17,0,$F$17)+IF(14&lt;$C$18,0,$F$18)+IF(14&lt;$C$19,0,$F$19)+IF(14&lt;$C$20,0,$F$20)+IF(14&lt;$C$21,0,$F$21)+IF(14&lt;$C$22,0,$F$22)</f>
        <v>2</v>
      </c>
      <c r="Q74" s="56" t="n">
        <f aca="false">IF(15&lt;$C$17,0,$F$17)+IF(15&lt;$C$18,0,$F$18)+IF(15&lt;$C$19,0,$F$19)+IF(15&lt;$C$20,0,$F$20)+IF(15&lt;$C$21,0,$F$21)+IF(15&lt;$C$22,0,$F$22)</f>
        <v>2</v>
      </c>
      <c r="R74" s="56" t="n">
        <f aca="false">IF(16&lt;$C$17,0,$F$17)+IF(16&lt;$C$18,0,$F$18)+IF(16&lt;$C$19,0,$F$19)+IF(16&lt;$C$20,0,$F$20)+IF(16&lt;$C$21,0,$F$21)+IF(16&lt;$C$22,0,$F$22)</f>
        <v>2</v>
      </c>
      <c r="S74" s="56" t="n">
        <f aca="false">IF(17&lt;$C$17,0,$F$17)+IF(17&lt;$C$18,0,$F$18)+IF(17&lt;$C$19,0,$F$19)+IF(17&lt;$C$20,0,$F$20)+IF(17&lt;$C$21,0,$F$21)+IF(17&lt;$C$22,0,$F$22)</f>
        <v>2</v>
      </c>
      <c r="T74" s="56" t="n">
        <f aca="false">IF(18&lt;$C$17,0,$F$17)+IF(18&lt;$C$18,0,$F$18)+IF(18&lt;$C$19,0,$F$19)+IF(18&lt;$C$20,0,$F$20)+IF(18&lt;$C$21,0,$F$21)+IF(18&lt;$C$22,0,$F$22)</f>
        <v>2</v>
      </c>
      <c r="U74" s="56" t="n">
        <f aca="false">IF(19&lt;$C$17,0,$F$17)+IF(19&lt;$C$18,0,$F$18)+IF(19&lt;$C$19,0,$F$19)+IF(19&lt;$C$20,0,$F$20)+IF(19&lt;$C$21,0,$F$21)+IF(19&lt;$C$22,0,$F$22)</f>
        <v>2</v>
      </c>
      <c r="V74" s="56" t="n">
        <f aca="false">IF(20&lt;$C$17,0,$F$17)+IF(20&lt;$C$18,0,$F$18)+IF(20&lt;$C$19,0,$F$19)+IF(20&lt;$C$20,0,$F$20)+IF(20&lt;$C$21,0,$F$21)+IF(20&lt;$C$22,0,$F$22)</f>
        <v>2</v>
      </c>
      <c r="W74" s="56" t="n">
        <f aca="false">IF(21&lt;$C$17,0,$F$17)+IF(21&lt;$C$18,0,$F$18)+IF(21&lt;$C$19,0,$F$19)+IF(21&lt;$C$20,0,$F$20)+IF(21&lt;$C$21,0,$F$21)+IF(21&lt;$C$22,0,$F$22)</f>
        <v>2</v>
      </c>
      <c r="X74" s="56" t="n">
        <f aca="false">IF(22&lt;$C$17,0,$F$17)+IF(22&lt;$C$18,0,$F$18)+IF(22&lt;$C$19,0,$F$19)+IF(22&lt;$C$20,0,$F$20)+IF(22&lt;$C$21,0,$F$21)+IF(22&lt;$C$22,0,$F$22)</f>
        <v>2</v>
      </c>
      <c r="Y74" s="56" t="n">
        <f aca="false">IF(23&lt;$C$17,0,$F$17)+IF(23&lt;$C$18,0,$F$18)+IF(23&lt;$C$19,0,$F$19)+IF(23&lt;$C$20,0,$F$20)+IF(23&lt;$C$21,0,$F$21)+IF(23&lt;$C$22,0,$F$22)</f>
        <v>2</v>
      </c>
      <c r="Z74" s="56" t="n">
        <f aca="false">IF(24&lt;$C$17,0,$F$17)+IF(24&lt;$C$18,0,$F$18)+IF(24&lt;$C$19,0,$F$19)+IF(24&lt;$C$20,0,$F$20)+IF(24&lt;$C$21,0,$F$21)+IF(24&lt;$C$22,0,$F$22)</f>
        <v>2</v>
      </c>
      <c r="AA74" s="56" t="n">
        <f aca="false">IF(25&lt;$C$17,0,$G$17)+IF(25&lt;$C$18,0,$G$18)+IF(25&lt;$C$19,0,$G$19)+IF(25&lt;$C$20,0,$G$20)+IF(25&lt;$C$21,0,$G$21)+IF(25&lt;$C$22,0,$G$22)</f>
        <v>4</v>
      </c>
      <c r="AB74" s="56" t="n">
        <f aca="false">IF(26&lt;$C$17,0,$G$17)+IF(26&lt;$C$18,0,$G$18)+IF(26&lt;$C$19,0,$G$19)+IF(26&lt;$C$20,0,$G$20)+IF(26&lt;$C$21,0,$G$21)+IF(26&lt;$C$22,0,$G$22)</f>
        <v>4</v>
      </c>
      <c r="AC74" s="56" t="n">
        <f aca="false">IF(27&lt;$C$17,0,$G$17)+IF(27&lt;$C$18,0,$G$18)+IF(27&lt;$C$19,0,$G$19)+IF(27&lt;$C$20,0,$G$20)+IF(27&lt;$C$21,0,$G$21)+IF(27&lt;$C$22,0,$G$22)</f>
        <v>4</v>
      </c>
      <c r="AD74" s="56" t="n">
        <f aca="false">IF(28&lt;$C$17,0,$G$17)+IF(28&lt;$C$18,0,$G$18)+IF(28&lt;$C$19,0,$G$19)+IF(28&lt;$C$20,0,$G$20)+IF(28&lt;$C$21,0,$G$21)+IF(28&lt;$C$22,0,$G$22)</f>
        <v>4</v>
      </c>
      <c r="AE74" s="56" t="n">
        <f aca="false">IF(29&lt;$C$17,0,$G$17)+IF(29&lt;$C$18,0,$G$18)+IF(29&lt;$C$19,0,$G$19)+IF(29&lt;$C$20,0,$G$20)+IF(29&lt;$C$21,0,$G$21)+IF(29&lt;$C$22,0,$G$22)</f>
        <v>4</v>
      </c>
      <c r="AF74" s="56" t="n">
        <f aca="false">IF(30&lt;$C$17,0,$G$17)+IF(30&lt;$C$18,0,$G$18)+IF(30&lt;$C$19,0,$G$19)+IF(30&lt;$C$20,0,$G$20)+IF(30&lt;$C$21,0,$G$21)+IF(30&lt;$C$22,0,$G$22)</f>
        <v>4</v>
      </c>
      <c r="AG74" s="56" t="n">
        <f aca="false">IF(31&lt;$C$17,0,$G$17)+IF(31&lt;$C$18,0,$G$18)+IF(31&lt;$C$19,0,$G$19)+IF(31&lt;$C$20,0,$G$20)+IF(31&lt;$C$21,0,$G$21)+IF(31&lt;$C$22,0,$G$22)</f>
        <v>4</v>
      </c>
      <c r="AH74" s="56" t="n">
        <f aca="false">IF(32&lt;$C$17,0,$G$17)+IF(32&lt;$C$18,0,$G$18)+IF(32&lt;$C$19,0,$G$19)+IF(32&lt;$C$20,0,$G$20)+IF(32&lt;$C$21,0,$G$21)+IF(32&lt;$C$22,0,$G$22)</f>
        <v>4</v>
      </c>
      <c r="AI74" s="56" t="n">
        <f aca="false">IF(33&lt;$C$17,0,$G$17)+IF(33&lt;$C$18,0,$G$18)+IF(33&lt;$C$19,0,$G$19)+IF(33&lt;$C$20,0,$G$20)+IF(33&lt;$C$21,0,$G$21)+IF(33&lt;$C$22,0,$G$22)</f>
        <v>4</v>
      </c>
      <c r="AJ74" s="56" t="n">
        <f aca="false">IF(34&lt;$C$17,0,$G$17)+IF(34&lt;$C$18,0,$G$18)+IF(34&lt;$C$19,0,$G$19)+IF(34&lt;$C$20,0,$G$20)+IF(34&lt;$C$21,0,$G$21)+IF(34&lt;$C$22,0,$G$22)</f>
        <v>4</v>
      </c>
      <c r="AK74" s="56" t="n">
        <f aca="false">IF(35&lt;$C$17,0,$G$17)+IF(35&lt;$C$18,0,$G$18)+IF(35&lt;$C$19,0,$G$19)+IF(35&lt;$C$20,0,$G$20)+IF(35&lt;$C$21,0,$G$21)+IF(35&lt;$C$22,0,$G$22)</f>
        <v>4</v>
      </c>
      <c r="AL74" s="56" t="n">
        <f aca="false">IF(36&lt;$C$17,0,$G$17)+IF(36&lt;$C$18,0,$G$18)+IF(36&lt;$C$19,0,$G$19)+IF(36&lt;$C$20,0,$G$20)+IF(36&lt;$C$21,0,$G$21)+IF(36&lt;$C$22,0,$G$22)</f>
        <v>4</v>
      </c>
      <c r="AN74" s="57" t="n">
        <f aca="false">N74</f>
        <v>1</v>
      </c>
      <c r="AO74" s="57" t="n">
        <f aca="false">Z74</f>
        <v>2</v>
      </c>
      <c r="AP74" s="57" t="n">
        <f aca="false">AL74</f>
        <v>4</v>
      </c>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395</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396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397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 hidden="false" customHeight="false" outlineLevel="0" collapsed="false">
      <c r="A6" s="26" t="s">
        <v>398</v>
      </c>
      <c r="B6" s="24" t="s">
        <v>399</v>
      </c>
      <c r="C6" s="27" t="n">
        <f aca="false">Assumptions!$C$140</f>
        <v>50000</v>
      </c>
    </row>
    <row r="7" customFormat="false" ht="15" hidden="false" customHeight="false" outlineLevel="0" collapsed="false">
      <c r="A7" s="26" t="s">
        <v>400</v>
      </c>
      <c r="B7" s="24" t="s">
        <v>401</v>
      </c>
      <c r="C7" s="60" t="n">
        <v>0</v>
      </c>
    </row>
    <row r="8" customFormat="false" ht="15" hidden="false" customHeight="false" outlineLevel="0" collapsed="false">
      <c r="A8" s="26" t="s">
        <v>402</v>
      </c>
      <c r="B8" s="24" t="s">
        <v>403</v>
      </c>
      <c r="C8" s="60" t="n">
        <v>0</v>
      </c>
    </row>
    <row r="9" customFormat="false" ht="15" hidden="false" customHeight="false" outlineLevel="0" collapsed="false">
      <c r="A9" s="26" t="s">
        <v>404</v>
      </c>
      <c r="B9" s="24" t="s">
        <v>405</v>
      </c>
      <c r="C9" s="60" t="n">
        <v>0</v>
      </c>
    </row>
    <row r="10" customFormat="false" ht="15" hidden="false" customHeight="false" outlineLevel="0" collapsed="false">
      <c r="A10" s="53" t="s">
        <v>406</v>
      </c>
      <c r="B10" s="54"/>
      <c r="C10" s="61" t="n">
        <f aca="false">SUM(C6:C9)</f>
        <v>50000</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N10" s="62"/>
      <c r="AO10" s="62"/>
      <c r="AP10" s="62"/>
    </row>
    <row r="12" customFormat="false" ht="15" hidden="false" customHeight="false" outlineLevel="0" collapsed="false">
      <c r="A12" s="26" t="s">
        <v>407</v>
      </c>
      <c r="B12" s="24" t="s">
        <v>408</v>
      </c>
      <c r="C12" s="60" t="n">
        <v>0</v>
      </c>
    </row>
    <row r="13" customFormat="false" ht="15" hidden="false" customHeight="false" outlineLevel="0" collapsed="false">
      <c r="A13" s="26" t="s">
        <v>409</v>
      </c>
      <c r="B13" s="24" t="s">
        <v>410</v>
      </c>
      <c r="C13" s="27" t="n">
        <f aca="false">Assumptions!$C$140</f>
        <v>50000</v>
      </c>
    </row>
    <row r="14" customFormat="false" ht="15" hidden="false" customHeight="false" outlineLevel="0" collapsed="false">
      <c r="A14" s="26" t="s">
        <v>411</v>
      </c>
      <c r="B14" s="24" t="s">
        <v>412</v>
      </c>
      <c r="C14" s="60" t="n">
        <v>0</v>
      </c>
    </row>
    <row r="15" customFormat="false" ht="15" hidden="false" customHeight="false" outlineLevel="0" collapsed="false">
      <c r="A15" s="53" t="s">
        <v>413</v>
      </c>
      <c r="B15" s="54"/>
      <c r="C15" s="61" t="n">
        <f aca="false">C12+C13+C14</f>
        <v>50000</v>
      </c>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N15" s="62"/>
      <c r="AO15" s="62"/>
      <c r="AP15" s="62"/>
    </row>
    <row r="16" customFormat="false" ht="15" hidden="false" customHeight="false" outlineLevel="0" collapsed="false">
      <c r="A16" s="10" t="s">
        <v>414</v>
      </c>
      <c r="B16" s="24" t="s">
        <v>415</v>
      </c>
      <c r="C16" s="30" t="n">
        <f aca="false">C10-C15</f>
        <v>0</v>
      </c>
    </row>
    <row r="18" customFormat="false" ht="16.5" hidden="false" customHeight="true" outlineLevel="0" collapsed="false">
      <c r="A18" s="21" t="s">
        <v>416</v>
      </c>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row>
    <row r="19" customFormat="false" ht="15" hidden="false" customHeight="false" outlineLevel="0" collapsed="false">
      <c r="A19" s="32" t="s">
        <v>417</v>
      </c>
      <c r="B19" s="32"/>
      <c r="C19" s="32"/>
      <c r="D19" s="32"/>
      <c r="E19" s="32"/>
      <c r="F19" s="32"/>
      <c r="G19" s="32"/>
      <c r="H19" s="32"/>
      <c r="I19" s="32"/>
      <c r="J19" s="32"/>
      <c r="K19" s="32"/>
      <c r="L19" s="32"/>
      <c r="M19" s="32"/>
      <c r="N19" s="32"/>
      <c r="O19" s="32"/>
      <c r="P19" s="32"/>
      <c r="Q19" s="32"/>
      <c r="R19" s="32"/>
      <c r="S19" s="32"/>
      <c r="T19" s="32"/>
      <c r="U19" s="32"/>
      <c r="V19" s="32"/>
    </row>
    <row r="20" customFormat="false" ht="15.75" hidden="false" customHeight="true" outlineLevel="0" collapsed="false">
      <c r="A20" s="36" t="s">
        <v>345</v>
      </c>
      <c r="B20" s="36" t="s">
        <v>346</v>
      </c>
      <c r="C20" s="47" t="s">
        <v>347</v>
      </c>
      <c r="D20" s="47" t="s">
        <v>348</v>
      </c>
      <c r="E20" s="47" t="s">
        <v>349</v>
      </c>
      <c r="F20" s="47" t="s">
        <v>350</v>
      </c>
      <c r="G20" s="47" t="s">
        <v>351</v>
      </c>
      <c r="H20" s="47" t="s">
        <v>352</v>
      </c>
      <c r="I20" s="47" t="s">
        <v>353</v>
      </c>
      <c r="J20" s="47" t="s">
        <v>354</v>
      </c>
      <c r="K20" s="47" t="s">
        <v>355</v>
      </c>
      <c r="L20" s="47" t="s">
        <v>356</v>
      </c>
      <c r="M20" s="47" t="s">
        <v>357</v>
      </c>
      <c r="N20" s="47" t="s">
        <v>358</v>
      </c>
      <c r="O20" s="48" t="s">
        <v>359</v>
      </c>
      <c r="P20" s="48" t="s">
        <v>360</v>
      </c>
      <c r="Q20" s="48" t="s">
        <v>361</v>
      </c>
      <c r="R20" s="48" t="s">
        <v>362</v>
      </c>
      <c r="S20" s="48" t="s">
        <v>363</v>
      </c>
      <c r="T20" s="48" t="s">
        <v>364</v>
      </c>
      <c r="U20" s="48" t="s">
        <v>365</v>
      </c>
      <c r="V20" s="48" t="s">
        <v>366</v>
      </c>
      <c r="W20" s="48" t="s">
        <v>367</v>
      </c>
      <c r="X20" s="48" t="s">
        <v>368</v>
      </c>
      <c r="Y20" s="48" t="s">
        <v>369</v>
      </c>
      <c r="Z20" s="48" t="s">
        <v>370</v>
      </c>
      <c r="AA20" s="47" t="s">
        <v>371</v>
      </c>
      <c r="AB20" s="47" t="s">
        <v>372</v>
      </c>
      <c r="AC20" s="47" t="s">
        <v>373</v>
      </c>
      <c r="AD20" s="47" t="s">
        <v>374</v>
      </c>
      <c r="AE20" s="47" t="s">
        <v>375</v>
      </c>
      <c r="AF20" s="47" t="s">
        <v>376</v>
      </c>
      <c r="AG20" s="47" t="s">
        <v>377</v>
      </c>
      <c r="AH20" s="47" t="s">
        <v>378</v>
      </c>
      <c r="AI20" s="47" t="s">
        <v>379</v>
      </c>
      <c r="AJ20" s="47" t="s">
        <v>380</v>
      </c>
      <c r="AK20" s="47" t="s">
        <v>381</v>
      </c>
      <c r="AL20" s="47" t="s">
        <v>382</v>
      </c>
      <c r="AM20" s="49"/>
      <c r="AN20" s="50" t="s">
        <v>383</v>
      </c>
      <c r="AO20" s="50" t="s">
        <v>384</v>
      </c>
      <c r="AP20" s="50" t="s">
        <v>385</v>
      </c>
    </row>
    <row r="21" customFormat="false" ht="15" hidden="false" customHeight="false" outlineLevel="0" collapsed="false">
      <c r="A21" s="26" t="s">
        <v>418</v>
      </c>
      <c r="B21" s="24" t="s">
        <v>419</v>
      </c>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N21" s="64" t="n">
        <f aca="false">SUM(C21:N21)</f>
        <v>0</v>
      </c>
      <c r="AO21" s="64" t="n">
        <f aca="false">SUM(O21:Z21)</f>
        <v>0</v>
      </c>
      <c r="AP21" s="64" t="n">
        <f aca="false">SUM(AA21:AL21)</f>
        <v>0</v>
      </c>
    </row>
    <row r="22" customFormat="false" ht="15" hidden="false" customHeight="false" outlineLevel="0" collapsed="false">
      <c r="A22" s="26" t="s">
        <v>420</v>
      </c>
      <c r="B22" s="24" t="s">
        <v>419</v>
      </c>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N22" s="64" t="n">
        <f aca="false">SUM(C22:N22)</f>
        <v>0</v>
      </c>
      <c r="AO22" s="64" t="n">
        <f aca="false">SUM(O22:Z22)</f>
        <v>0</v>
      </c>
      <c r="AP22" s="64" t="n">
        <f aca="false">SUM(AA22:AL22)</f>
        <v>0</v>
      </c>
    </row>
    <row r="23" customFormat="false" ht="15" hidden="false" customHeight="false" outlineLevel="0" collapsed="false">
      <c r="A23" s="26" t="s">
        <v>421</v>
      </c>
      <c r="B23" s="24" t="s">
        <v>419</v>
      </c>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N23" s="64" t="n">
        <f aca="false">SUM(C23:N23)</f>
        <v>0</v>
      </c>
      <c r="AO23" s="64" t="n">
        <f aca="false">SUM(O23:Z23)</f>
        <v>0</v>
      </c>
      <c r="AP23" s="64" t="n">
        <f aca="false">SUM(AA23:AL23)</f>
        <v>0</v>
      </c>
    </row>
    <row r="24" customFormat="false" ht="15" hidden="false" customHeight="false" outlineLevel="0" collapsed="false">
      <c r="A24" s="26" t="s">
        <v>422</v>
      </c>
      <c r="B24" s="24" t="s">
        <v>419</v>
      </c>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N24" s="64" t="n">
        <f aca="false">SUM(C24:N24)</f>
        <v>0</v>
      </c>
      <c r="AO24" s="64" t="n">
        <f aca="false">SUM(O24:Z24)</f>
        <v>0</v>
      </c>
      <c r="AP24" s="64" t="n">
        <f aca="false">SUM(AA24:AL24)</f>
        <v>0</v>
      </c>
    </row>
    <row r="26" customFormat="false" ht="16.5" hidden="false" customHeight="true" outlineLevel="0" collapsed="false">
      <c r="A26" s="21" t="s">
        <v>423</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row>
    <row r="27" customFormat="false" ht="15.75" hidden="false" customHeight="true" outlineLevel="0" collapsed="false">
      <c r="A27" s="36" t="s">
        <v>345</v>
      </c>
      <c r="B27" s="36" t="s">
        <v>346</v>
      </c>
      <c r="C27" s="47" t="s">
        <v>347</v>
      </c>
      <c r="D27" s="47" t="s">
        <v>348</v>
      </c>
      <c r="E27" s="47" t="s">
        <v>349</v>
      </c>
      <c r="F27" s="47" t="s">
        <v>350</v>
      </c>
      <c r="G27" s="47" t="s">
        <v>351</v>
      </c>
      <c r="H27" s="47" t="s">
        <v>352</v>
      </c>
      <c r="I27" s="47" t="s">
        <v>353</v>
      </c>
      <c r="J27" s="47" t="s">
        <v>354</v>
      </c>
      <c r="K27" s="47" t="s">
        <v>355</v>
      </c>
      <c r="L27" s="47" t="s">
        <v>356</v>
      </c>
      <c r="M27" s="47" t="s">
        <v>357</v>
      </c>
      <c r="N27" s="47" t="s">
        <v>358</v>
      </c>
      <c r="O27" s="48" t="s">
        <v>359</v>
      </c>
      <c r="P27" s="48" t="s">
        <v>360</v>
      </c>
      <c r="Q27" s="48" t="s">
        <v>361</v>
      </c>
      <c r="R27" s="48" t="s">
        <v>362</v>
      </c>
      <c r="S27" s="48" t="s">
        <v>363</v>
      </c>
      <c r="T27" s="48" t="s">
        <v>364</v>
      </c>
      <c r="U27" s="48" t="s">
        <v>365</v>
      </c>
      <c r="V27" s="48" t="s">
        <v>366</v>
      </c>
      <c r="W27" s="48" t="s">
        <v>367</v>
      </c>
      <c r="X27" s="48" t="s">
        <v>368</v>
      </c>
      <c r="Y27" s="48" t="s">
        <v>369</v>
      </c>
      <c r="Z27" s="48" t="s">
        <v>370</v>
      </c>
      <c r="AA27" s="47" t="s">
        <v>371</v>
      </c>
      <c r="AB27" s="47" t="s">
        <v>372</v>
      </c>
      <c r="AC27" s="47" t="s">
        <v>373</v>
      </c>
      <c r="AD27" s="47" t="s">
        <v>374</v>
      </c>
      <c r="AE27" s="47" t="s">
        <v>375</v>
      </c>
      <c r="AF27" s="47" t="s">
        <v>376</v>
      </c>
      <c r="AG27" s="47" t="s">
        <v>377</v>
      </c>
      <c r="AH27" s="47" t="s">
        <v>378</v>
      </c>
      <c r="AI27" s="47" t="s">
        <v>379</v>
      </c>
      <c r="AJ27" s="47" t="s">
        <v>380</v>
      </c>
      <c r="AK27" s="47" t="s">
        <v>381</v>
      </c>
      <c r="AL27" s="47" t="s">
        <v>382</v>
      </c>
      <c r="AM27" s="49"/>
      <c r="AN27" s="50" t="s">
        <v>383</v>
      </c>
      <c r="AO27" s="50" t="s">
        <v>384</v>
      </c>
      <c r="AP27" s="50" t="s">
        <v>385</v>
      </c>
    </row>
    <row r="28" customFormat="false" ht="15" hidden="false" customHeight="false" outlineLevel="0" collapsed="false">
      <c r="A28" s="26" t="s">
        <v>424</v>
      </c>
      <c r="B28" s="24" t="s">
        <v>425</v>
      </c>
      <c r="C28" s="65" t="n">
        <f aca="false">Revenue!C$49</f>
        <v>2340.71277504808</v>
      </c>
      <c r="D28" s="65" t="n">
        <f aca="false">Revenue!D$49</f>
        <v>2656.90740165865</v>
      </c>
      <c r="E28" s="65" t="n">
        <f aca="false">Revenue!E$49</f>
        <v>3048.74449701923</v>
      </c>
      <c r="F28" s="65" t="n">
        <f aca="false">Revenue!F$49</f>
        <v>23738.9578439423</v>
      </c>
      <c r="G28" s="65" t="n">
        <f aca="false">Revenue!G$49</f>
        <v>26202.1030996154</v>
      </c>
      <c r="H28" s="65" t="n">
        <f aca="false">Revenue!H$49</f>
        <v>29448.4909002885</v>
      </c>
      <c r="I28" s="65" t="n">
        <f aca="false">Revenue!I$49</f>
        <v>48411.7743128365</v>
      </c>
      <c r="J28" s="65" t="n">
        <f aca="false">Revenue!J$49</f>
        <v>53317.3966406971</v>
      </c>
      <c r="K28" s="65" t="n">
        <f aca="false">Revenue!K$49</f>
        <v>59817.1375223077</v>
      </c>
      <c r="L28" s="65" t="n">
        <f aca="false">Revenue!L$49</f>
        <v>109684.799975481</v>
      </c>
      <c r="M28" s="65" t="n">
        <f aca="false">Revenue!M$49</f>
        <v>120791.539248029</v>
      </c>
      <c r="N28" s="65" t="n">
        <f aca="false">Revenue!N$49</f>
        <v>135532.047613077</v>
      </c>
      <c r="O28" s="65" t="n">
        <f aca="false">Revenue!O$49</f>
        <v>155008.466787095</v>
      </c>
      <c r="P28" s="65" t="n">
        <f aca="false">Revenue!P$49</f>
        <v>170772.199883325</v>
      </c>
      <c r="Q28" s="65" t="n">
        <f aca="false">Revenue!Q$49</f>
        <v>191662.018209172</v>
      </c>
      <c r="R28" s="65" t="n">
        <f aca="false">Revenue!R$49</f>
        <v>177716.505413314</v>
      </c>
      <c r="S28" s="65" t="n">
        <f aca="false">Revenue!S$49</f>
        <v>195627.313342682</v>
      </c>
      <c r="T28" s="65" t="n">
        <f aca="false">Revenue!T$49</f>
        <v>219373.348905683</v>
      </c>
      <c r="U28" s="65" t="n">
        <f aca="false">Revenue!U$49</f>
        <v>237502.639841951</v>
      </c>
      <c r="V28" s="65" t="n">
        <f aca="false">Revenue!V$49</f>
        <v>261373.511876656</v>
      </c>
      <c r="W28" s="65" t="n">
        <f aca="false">Revenue!W$49</f>
        <v>293033.025375944</v>
      </c>
      <c r="X28" s="65" t="n">
        <f aca="false">Revenue!X$49</f>
        <v>265335.650667087</v>
      </c>
      <c r="Y28" s="65" t="n">
        <f aca="false">Revenue!Y$49</f>
        <v>291775.270492155</v>
      </c>
      <c r="Z28" s="65" t="n">
        <f aca="false">Revenue!Z$49</f>
        <v>326861.149695789</v>
      </c>
      <c r="AA28" s="65" t="n">
        <f aca="false">Revenue!AA$49</f>
        <v>377206.954854734</v>
      </c>
      <c r="AB28" s="65" t="n">
        <f aca="false">Revenue!AB$49</f>
        <v>415188.796655841</v>
      </c>
      <c r="AC28" s="65" t="n">
        <f aca="false">Revenue!AC$49</f>
        <v>465510.820646498</v>
      </c>
      <c r="AD28" s="65" t="n">
        <f aca="false">Revenue!AD$49</f>
        <v>421537.074303443</v>
      </c>
      <c r="AE28" s="65" t="n">
        <f aca="false">Revenue!AE$49</f>
        <v>463711.96945235</v>
      </c>
      <c r="AF28" s="65" t="n">
        <f aca="false">Revenue!AF$49</f>
        <v>519588.786590541</v>
      </c>
      <c r="AG28" s="65" t="n">
        <f aca="false">Revenue!AG$49</f>
        <v>489283.323846611</v>
      </c>
      <c r="AH28" s="65" t="n">
        <f aca="false">Revenue!AH$49</f>
        <v>537894.170954556</v>
      </c>
      <c r="AI28" s="65" t="n">
        <f aca="false">Revenue!AI$49</f>
        <v>602327.364531667</v>
      </c>
      <c r="AJ28" s="65" t="n">
        <f aca="false">Revenue!AJ$49</f>
        <v>546973.004279737</v>
      </c>
      <c r="AK28" s="65" t="n">
        <f aca="false">Revenue!AK$49</f>
        <v>600916.404128882</v>
      </c>
      <c r="AL28" s="65" t="n">
        <f aca="false">Revenue!AL$49</f>
        <v>672449.284112793</v>
      </c>
      <c r="AN28" s="52" t="n">
        <f aca="false">SUM(C28:N28)</f>
        <v>614990.61183</v>
      </c>
      <c r="AO28" s="52" t="n">
        <f aca="false">SUM(O28:Z28)</f>
        <v>2786041.10049085</v>
      </c>
      <c r="AP28" s="52" t="n">
        <f aca="false">SUM(AA28:AL28)</f>
        <v>6112587.95435765</v>
      </c>
    </row>
    <row r="29" customFormat="false" ht="15" hidden="false" customHeight="false" outlineLevel="0" collapsed="false">
      <c r="A29" s="10" t="s">
        <v>426</v>
      </c>
      <c r="B29" s="24" t="s">
        <v>427</v>
      </c>
      <c r="C29" s="64" t="n">
        <f aca="false">IF(C21=0,0,C21-C28)</f>
        <v>0</v>
      </c>
      <c r="D29" s="64" t="n">
        <f aca="false">IF(D21=0,0,D21-D28)</f>
        <v>0</v>
      </c>
      <c r="E29" s="64" t="n">
        <f aca="false">IF(E21=0,0,E21-E28)</f>
        <v>0</v>
      </c>
      <c r="F29" s="64" t="n">
        <f aca="false">IF(F21=0,0,F21-F28)</f>
        <v>0</v>
      </c>
      <c r="G29" s="64" t="n">
        <f aca="false">IF(G21=0,0,G21-G28)</f>
        <v>0</v>
      </c>
      <c r="H29" s="64" t="n">
        <f aca="false">IF(H21=0,0,H21-H28)</f>
        <v>0</v>
      </c>
      <c r="I29" s="64" t="n">
        <f aca="false">IF(I21=0,0,I21-I28)</f>
        <v>0</v>
      </c>
      <c r="J29" s="64" t="n">
        <f aca="false">IF(J21=0,0,J21-J28)</f>
        <v>0</v>
      </c>
      <c r="K29" s="64" t="n">
        <f aca="false">IF(K21=0,0,K21-K28)</f>
        <v>0</v>
      </c>
      <c r="L29" s="64" t="n">
        <f aca="false">IF(L21=0,0,L21-L28)</f>
        <v>0</v>
      </c>
      <c r="M29" s="64" t="n">
        <f aca="false">IF(M21=0,0,M21-M28)</f>
        <v>0</v>
      </c>
      <c r="N29" s="64" t="n">
        <f aca="false">IF(N21=0,0,N21-N28)</f>
        <v>0</v>
      </c>
      <c r="O29" s="64" t="n">
        <f aca="false">IF(O21=0,0,O21-O28)</f>
        <v>0</v>
      </c>
      <c r="P29" s="64" t="n">
        <f aca="false">IF(P21=0,0,P21-P28)</f>
        <v>0</v>
      </c>
      <c r="Q29" s="64" t="n">
        <f aca="false">IF(Q21=0,0,Q21-Q28)</f>
        <v>0</v>
      </c>
      <c r="R29" s="64" t="n">
        <f aca="false">IF(R21=0,0,R21-R28)</f>
        <v>0</v>
      </c>
      <c r="S29" s="64" t="n">
        <f aca="false">IF(S21=0,0,S21-S28)</f>
        <v>0</v>
      </c>
      <c r="T29" s="64" t="n">
        <f aca="false">IF(T21=0,0,T21-T28)</f>
        <v>0</v>
      </c>
      <c r="U29" s="64" t="n">
        <f aca="false">IF(U21=0,0,U21-U28)</f>
        <v>0</v>
      </c>
      <c r="V29" s="64" t="n">
        <f aca="false">IF(V21=0,0,V21-V28)</f>
        <v>0</v>
      </c>
      <c r="W29" s="64" t="n">
        <f aca="false">IF(W21=0,0,W21-W28)</f>
        <v>0</v>
      </c>
      <c r="X29" s="64" t="n">
        <f aca="false">IF(X21=0,0,X21-X28)</f>
        <v>0</v>
      </c>
      <c r="Y29" s="64" t="n">
        <f aca="false">IF(Y21=0,0,Y21-Y28)</f>
        <v>0</v>
      </c>
      <c r="Z29" s="64" t="n">
        <f aca="false">IF(Z21=0,0,Z21-Z28)</f>
        <v>0</v>
      </c>
      <c r="AA29" s="64" t="n">
        <f aca="false">IF(AA21=0,0,AA21-AA28)</f>
        <v>0</v>
      </c>
      <c r="AB29" s="64" t="n">
        <f aca="false">IF(AB21=0,0,AB21-AB28)</f>
        <v>0</v>
      </c>
      <c r="AC29" s="64" t="n">
        <f aca="false">IF(AC21=0,0,AC21-AC28)</f>
        <v>0</v>
      </c>
      <c r="AD29" s="64" t="n">
        <f aca="false">IF(AD21=0,0,AD21-AD28)</f>
        <v>0</v>
      </c>
      <c r="AE29" s="64" t="n">
        <f aca="false">IF(AE21=0,0,AE21-AE28)</f>
        <v>0</v>
      </c>
      <c r="AF29" s="64" t="n">
        <f aca="false">IF(AF21=0,0,AF21-AF28)</f>
        <v>0</v>
      </c>
      <c r="AG29" s="64" t="n">
        <f aca="false">IF(AG21=0,0,AG21-AG28)</f>
        <v>0</v>
      </c>
      <c r="AH29" s="64" t="n">
        <f aca="false">IF(AH21=0,0,AH21-AH28)</f>
        <v>0</v>
      </c>
      <c r="AI29" s="64" t="n">
        <f aca="false">IF(AI21=0,0,AI21-AI28)</f>
        <v>0</v>
      </c>
      <c r="AJ29" s="64" t="n">
        <f aca="false">IF(AJ21=0,0,AJ21-AJ28)</f>
        <v>0</v>
      </c>
      <c r="AK29" s="64" t="n">
        <f aca="false">IF(AK21=0,0,AK21-AK28)</f>
        <v>0</v>
      </c>
      <c r="AL29" s="64" t="n">
        <f aca="false">IF(AL21=0,0,AL21-AL28)</f>
        <v>0</v>
      </c>
      <c r="AN29" s="52" t="n">
        <f aca="false">SUM(C29:N29)</f>
        <v>0</v>
      </c>
      <c r="AO29" s="52" t="n">
        <f aca="false">SUM(O29:Z29)</f>
        <v>0</v>
      </c>
      <c r="AP29" s="52" t="n">
        <f aca="false">SUM(AA29:AL29)</f>
        <v>0</v>
      </c>
    </row>
    <row r="30" customFormat="false" ht="15" hidden="false" customHeight="false" outlineLevel="0" collapsed="false">
      <c r="A30" s="26" t="s">
        <v>428</v>
      </c>
      <c r="B30" s="24" t="s">
        <v>425</v>
      </c>
      <c r="C30" s="65" t="n">
        <f aca="false">Expenses!C$21</f>
        <v>3386.98122101899</v>
      </c>
      <c r="D30" s="65" t="n">
        <f aca="false">Expenses!D$21</f>
        <v>3736.12980201752</v>
      </c>
      <c r="E30" s="65" t="n">
        <f aca="false">Expenses!E$21</f>
        <v>4197.48268481427</v>
      </c>
      <c r="F30" s="65" t="n">
        <f aca="false">Expenses!F$21</f>
        <v>10715.977621615</v>
      </c>
      <c r="G30" s="65" t="n">
        <f aca="false">Expenses!G$21</f>
        <v>11797.9563184874</v>
      </c>
      <c r="H30" s="65" t="n">
        <f aca="false">Expenses!H$21</f>
        <v>13235.6570060533</v>
      </c>
      <c r="I30" s="65" t="n">
        <f aca="false">Expenses!I$21</f>
        <v>17469.5930292803</v>
      </c>
      <c r="J30" s="65" t="n">
        <f aca="false">Expenses!J$21</f>
        <v>19222.8236595728</v>
      </c>
      <c r="K30" s="65" t="n">
        <f aca="false">Expenses!K$21</f>
        <v>21555.5827006498</v>
      </c>
      <c r="L30" s="65" t="n">
        <f aca="false">Expenses!L$21</f>
        <v>36244.6188764716</v>
      </c>
      <c r="M30" s="65" t="n">
        <f aca="false">Expenses!M$21</f>
        <v>39884.2539510233</v>
      </c>
      <c r="N30" s="65" t="n">
        <f aca="false">Expenses!N$21</f>
        <v>44728.7672976118</v>
      </c>
      <c r="O30" s="65" t="n">
        <f aca="false">Expenses!O$21</f>
        <v>52436.9881592885</v>
      </c>
      <c r="P30" s="65" t="n">
        <f aca="false">Expenses!P$21</f>
        <v>57717.9596382102</v>
      </c>
      <c r="Q30" s="65" t="n">
        <f aca="false">Expenses!Q$21</f>
        <v>64740.2743996356</v>
      </c>
      <c r="R30" s="65" t="n">
        <f aca="false">Expenses!R$21</f>
        <v>60508.9456019844</v>
      </c>
      <c r="S30" s="65" t="n">
        <f aca="false">Expenses!S$21</f>
        <v>66578.3161090529</v>
      </c>
      <c r="T30" s="65" t="n">
        <f aca="false">Expenses!T$21</f>
        <v>74652.3654310972</v>
      </c>
      <c r="U30" s="65" t="n">
        <f aca="false">Expenses!U$21</f>
        <v>78214.6275095416</v>
      </c>
      <c r="V30" s="65" t="n">
        <f aca="false">Expenses!V$21</f>
        <v>86048.1019853259</v>
      </c>
      <c r="W30" s="65" t="n">
        <f aca="false">Expenses!W$21</f>
        <v>96471.470700015</v>
      </c>
      <c r="X30" s="65" t="n">
        <f aca="false">Expenses!X$21</f>
        <v>87728.4885442994</v>
      </c>
      <c r="Y30" s="65" t="n">
        <f aca="false">Expenses!Y$21</f>
        <v>96491.7311653199</v>
      </c>
      <c r="Z30" s="65" t="n">
        <f aca="false">Expenses!Z$21</f>
        <v>108154.831532813</v>
      </c>
      <c r="AA30" s="65" t="n">
        <f aca="false">Expenses!AA$21</f>
        <v>127303.184658465</v>
      </c>
      <c r="AB30" s="65" t="n">
        <f aca="false">Expenses!AB$21</f>
        <v>140089.004172363</v>
      </c>
      <c r="AC30" s="65" t="n">
        <f aca="false">Expenses!AC$21</f>
        <v>157086.976400007</v>
      </c>
      <c r="AD30" s="65" t="n">
        <f aca="false">Expenses!AD$21</f>
        <v>144583.697211813</v>
      </c>
      <c r="AE30" s="65" t="n">
        <f aca="false">Expenses!AE$21</f>
        <v>159050.006551715</v>
      </c>
      <c r="AF30" s="65" t="n">
        <f aca="false">Expenses!AF$21</f>
        <v>178288.740398007</v>
      </c>
      <c r="AG30" s="65" t="n">
        <f aca="false">Expenses!AG$21</f>
        <v>164794.528303234</v>
      </c>
      <c r="AH30" s="65" t="n">
        <f aca="false">Expenses!AH$21</f>
        <v>181233.574974719</v>
      </c>
      <c r="AI30" s="65" t="n">
        <f aca="false">Expenses!AI$21</f>
        <v>203102.109709604</v>
      </c>
      <c r="AJ30" s="65" t="n">
        <f aca="false">Expenses!AJ$21</f>
        <v>184093.044650286</v>
      </c>
      <c r="AK30" s="65" t="n">
        <f aca="false">Expenses!AK$21</f>
        <v>202396.768371978</v>
      </c>
      <c r="AL30" s="65" t="n">
        <f aca="false">Expenses!AL$21</f>
        <v>226754.707110273</v>
      </c>
      <c r="AN30" s="52" t="n">
        <f aca="false">SUM(C30:N30)</f>
        <v>226175.824168616</v>
      </c>
      <c r="AO30" s="52" t="n">
        <f aca="false">SUM(O30:Z30)</f>
        <v>929744.100776583</v>
      </c>
      <c r="AP30" s="52" t="n">
        <f aca="false">SUM(AA30:AL30)</f>
        <v>2068776.34251246</v>
      </c>
    </row>
    <row r="31" customFormat="false" ht="15" hidden="false" customHeight="false" outlineLevel="0" collapsed="false">
      <c r="A31" s="10" t="s">
        <v>429</v>
      </c>
      <c r="B31" s="24" t="s">
        <v>427</v>
      </c>
      <c r="C31" s="64" t="n">
        <f aca="false">IF(C22=0,0,C22-C30)</f>
        <v>0</v>
      </c>
      <c r="D31" s="64" t="n">
        <f aca="false">IF(D22=0,0,D22-D30)</f>
        <v>0</v>
      </c>
      <c r="E31" s="64" t="n">
        <f aca="false">IF(E22=0,0,E22-E30)</f>
        <v>0</v>
      </c>
      <c r="F31" s="64" t="n">
        <f aca="false">IF(F22=0,0,F22-F30)</f>
        <v>0</v>
      </c>
      <c r="G31" s="64" t="n">
        <f aca="false">IF(G22=0,0,G22-G30)</f>
        <v>0</v>
      </c>
      <c r="H31" s="64" t="n">
        <f aca="false">IF(H22=0,0,H22-H30)</f>
        <v>0</v>
      </c>
      <c r="I31" s="64" t="n">
        <f aca="false">IF(I22=0,0,I22-I30)</f>
        <v>0</v>
      </c>
      <c r="J31" s="64" t="n">
        <f aca="false">IF(J22=0,0,J22-J30)</f>
        <v>0</v>
      </c>
      <c r="K31" s="64" t="n">
        <f aca="false">IF(K22=0,0,K22-K30)</f>
        <v>0</v>
      </c>
      <c r="L31" s="64" t="n">
        <f aca="false">IF(L22=0,0,L22-L30)</f>
        <v>0</v>
      </c>
      <c r="M31" s="64" t="n">
        <f aca="false">IF(M22=0,0,M22-M30)</f>
        <v>0</v>
      </c>
      <c r="N31" s="64" t="n">
        <f aca="false">IF(N22=0,0,N22-N30)</f>
        <v>0</v>
      </c>
      <c r="O31" s="64" t="n">
        <f aca="false">IF(O22=0,0,O22-O30)</f>
        <v>0</v>
      </c>
      <c r="P31" s="64" t="n">
        <f aca="false">IF(P22=0,0,P22-P30)</f>
        <v>0</v>
      </c>
      <c r="Q31" s="64" t="n">
        <f aca="false">IF(Q22=0,0,Q22-Q30)</f>
        <v>0</v>
      </c>
      <c r="R31" s="64" t="n">
        <f aca="false">IF(R22=0,0,R22-R30)</f>
        <v>0</v>
      </c>
      <c r="S31" s="64" t="n">
        <f aca="false">IF(S22=0,0,S22-S30)</f>
        <v>0</v>
      </c>
      <c r="T31" s="64" t="n">
        <f aca="false">IF(T22=0,0,T22-T30)</f>
        <v>0</v>
      </c>
      <c r="U31" s="64" t="n">
        <f aca="false">IF(U22=0,0,U22-U30)</f>
        <v>0</v>
      </c>
      <c r="V31" s="64" t="n">
        <f aca="false">IF(V22=0,0,V22-V30)</f>
        <v>0</v>
      </c>
      <c r="W31" s="64" t="n">
        <f aca="false">IF(W22=0,0,W22-W30)</f>
        <v>0</v>
      </c>
      <c r="X31" s="64" t="n">
        <f aca="false">IF(X22=0,0,X22-X30)</f>
        <v>0</v>
      </c>
      <c r="Y31" s="64" t="n">
        <f aca="false">IF(Y22=0,0,Y22-Y30)</f>
        <v>0</v>
      </c>
      <c r="Z31" s="64" t="n">
        <f aca="false">IF(Z22=0,0,Z22-Z30)</f>
        <v>0</v>
      </c>
      <c r="AA31" s="64" t="n">
        <f aca="false">IF(AA22=0,0,AA22-AA30)</f>
        <v>0</v>
      </c>
      <c r="AB31" s="64" t="n">
        <f aca="false">IF(AB22=0,0,AB22-AB30)</f>
        <v>0</v>
      </c>
      <c r="AC31" s="64" t="n">
        <f aca="false">IF(AC22=0,0,AC22-AC30)</f>
        <v>0</v>
      </c>
      <c r="AD31" s="64" t="n">
        <f aca="false">IF(AD22=0,0,AD22-AD30)</f>
        <v>0</v>
      </c>
      <c r="AE31" s="64" t="n">
        <f aca="false">IF(AE22=0,0,AE22-AE30)</f>
        <v>0</v>
      </c>
      <c r="AF31" s="64" t="n">
        <f aca="false">IF(AF22=0,0,AF22-AF30)</f>
        <v>0</v>
      </c>
      <c r="AG31" s="64" t="n">
        <f aca="false">IF(AG22=0,0,AG22-AG30)</f>
        <v>0</v>
      </c>
      <c r="AH31" s="64" t="n">
        <f aca="false">IF(AH22=0,0,AH22-AH30)</f>
        <v>0</v>
      </c>
      <c r="AI31" s="64" t="n">
        <f aca="false">IF(AI22=0,0,AI22-AI30)</f>
        <v>0</v>
      </c>
      <c r="AJ31" s="64" t="n">
        <f aca="false">IF(AJ22=0,0,AJ22-AJ30)</f>
        <v>0</v>
      </c>
      <c r="AK31" s="64" t="n">
        <f aca="false">IF(AK22=0,0,AK22-AK30)</f>
        <v>0</v>
      </c>
      <c r="AL31" s="64" t="n">
        <f aca="false">IF(AL22=0,0,AL22-AL30)</f>
        <v>0</v>
      </c>
      <c r="AN31" s="52" t="n">
        <f aca="false">SUM(C31:N31)</f>
        <v>0</v>
      </c>
      <c r="AO31" s="52" t="n">
        <f aca="false">SUM(O31:Z31)</f>
        <v>0</v>
      </c>
      <c r="AP31" s="52" t="n">
        <f aca="false">SUM(AA31:AL31)</f>
        <v>0</v>
      </c>
    </row>
    <row r="32" customFormat="false" ht="15" hidden="false" customHeight="false" outlineLevel="0" collapsed="false">
      <c r="A32" s="26" t="s">
        <v>430</v>
      </c>
      <c r="B32" s="24" t="s">
        <v>425</v>
      </c>
      <c r="C32" s="65" t="n">
        <f aca="false">Expenses!C$42</f>
        <v>42877.3792405806</v>
      </c>
      <c r="D32" s="65" t="n">
        <f aca="false">Expenses!D$42</f>
        <v>42893.3817286367</v>
      </c>
      <c r="E32" s="65" t="n">
        <f aca="false">Expenses!E$42</f>
        <v>42914.3183981552</v>
      </c>
      <c r="F32" s="65" t="n">
        <f aca="false">Expenses!F$42</f>
        <v>44272.1795380367</v>
      </c>
      <c r="G32" s="65" t="n">
        <f aca="false">Expenses!G$42</f>
        <v>44427.6213911845</v>
      </c>
      <c r="H32" s="65" t="n">
        <f aca="false">Expenses!H$42</f>
        <v>44634.4163632886</v>
      </c>
      <c r="I32" s="65" t="n">
        <f aca="false">Expenses!I$42</f>
        <v>45859.0990340216</v>
      </c>
      <c r="J32" s="65" t="n">
        <f aca="false">Expenses!J$42</f>
        <v>46172.8195522458</v>
      </c>
      <c r="K32" s="65" t="n">
        <f aca="false">Expenses!K$42</f>
        <v>46590.6745062989</v>
      </c>
      <c r="L32" s="65" t="n">
        <f aca="false">Expenses!L$42</f>
        <v>49883.0802525189</v>
      </c>
      <c r="M32" s="65" t="n">
        <f aca="false">Expenses!M$42</f>
        <v>50600.0044830205</v>
      </c>
      <c r="N32" s="65" t="n">
        <f aca="false">Expenses!N$42</f>
        <v>51555.1465261315</v>
      </c>
      <c r="O32" s="65" t="n">
        <f aca="false">Expenses!O$42</f>
        <v>96284.6428960081</v>
      </c>
      <c r="P32" s="65" t="n">
        <f aca="false">Expenses!P$42</f>
        <v>97295.9987331287</v>
      </c>
      <c r="Q32" s="65" t="n">
        <f aca="false">Expenses!Q$42</f>
        <v>98642.6265609314</v>
      </c>
      <c r="R32" s="65" t="n">
        <f aca="false">Expenses!R$42</f>
        <v>97708.6854725824</v>
      </c>
      <c r="S32" s="65" t="n">
        <f aca="false">Expenses!S$42</f>
        <v>98860.6011268488</v>
      </c>
      <c r="T32" s="65" t="n">
        <f aca="false">Expenses!T$42</f>
        <v>100394.73959171</v>
      </c>
      <c r="U32" s="65" t="n">
        <f aca="false">Expenses!U$42</f>
        <v>101574.495390908</v>
      </c>
      <c r="V32" s="65" t="n">
        <f aca="false">Expenses!V$42</f>
        <v>103112.250625116</v>
      </c>
      <c r="W32" s="65" t="n">
        <f aca="false">Expenses!W$42</f>
        <v>105160.630897248</v>
      </c>
      <c r="X32" s="65" t="n">
        <f aca="false">Expenses!X$42</f>
        <v>103326.965162033</v>
      </c>
      <c r="Y32" s="65" t="n">
        <f aca="false">Expenses!Y$42</f>
        <v>105038.168527743</v>
      </c>
      <c r="Z32" s="65" t="n">
        <f aca="false">Expenses!Z$42</f>
        <v>107317.812068652</v>
      </c>
      <c r="AA32" s="65" t="n">
        <f aca="false">Expenses!AA$42</f>
        <v>172828.696305959</v>
      </c>
      <c r="AB32" s="65" t="n">
        <f aca="false">Expenses!AB$42</f>
        <v>175272.775319944</v>
      </c>
      <c r="AC32" s="65" t="n">
        <f aca="false">Expenses!AC$42</f>
        <v>178526.62940691</v>
      </c>
      <c r="AD32" s="65" t="n">
        <f aca="false">Expenses!AD$42</f>
        <v>175583.299848471</v>
      </c>
      <c r="AE32" s="65" t="n">
        <f aca="false">Expenses!AE$42</f>
        <v>178297.845949707</v>
      </c>
      <c r="AF32" s="65" t="n">
        <f aca="false">Expenses!AF$42</f>
        <v>181912.49705863</v>
      </c>
      <c r="AG32" s="65" t="n">
        <f aca="false">Expenses!AG$42</f>
        <v>179847.070399041</v>
      </c>
      <c r="AH32" s="65" t="n">
        <f aca="false">Expenses!AH$42</f>
        <v>182983.340796936</v>
      </c>
      <c r="AI32" s="65" t="n">
        <f aca="false">Expenses!AI$42</f>
        <v>187160.336319296</v>
      </c>
      <c r="AJ32" s="65" t="n">
        <f aca="false">Expenses!AJ$42</f>
        <v>183396.017284357</v>
      </c>
      <c r="AK32" s="65" t="n">
        <f aca="false">Expenses!AK$42</f>
        <v>186880.820114546</v>
      </c>
      <c r="AL32" s="65" t="n">
        <f aca="false">Expenses!AL$42</f>
        <v>191522.97579675</v>
      </c>
      <c r="AN32" s="52" t="n">
        <f aca="false">SUM(C32:N32)</f>
        <v>552680.121014119</v>
      </c>
      <c r="AO32" s="52" t="n">
        <f aca="false">SUM(O32:Z32)</f>
        <v>1214717.61705291</v>
      </c>
      <c r="AP32" s="52" t="n">
        <f aca="false">SUM(AA32:AL32)</f>
        <v>2174212.30460055</v>
      </c>
    </row>
    <row r="33" customFormat="false" ht="15" hidden="false" customHeight="false" outlineLevel="0" collapsed="false">
      <c r="A33" s="10" t="s">
        <v>431</v>
      </c>
      <c r="B33" s="24" t="s">
        <v>427</v>
      </c>
      <c r="C33" s="64" t="n">
        <f aca="false">IF(C23=0,0,C23-C32)</f>
        <v>0</v>
      </c>
      <c r="D33" s="64" t="n">
        <f aca="false">IF(D23=0,0,D23-D32)</f>
        <v>0</v>
      </c>
      <c r="E33" s="64" t="n">
        <f aca="false">IF(E23=0,0,E23-E32)</f>
        <v>0</v>
      </c>
      <c r="F33" s="64" t="n">
        <f aca="false">IF(F23=0,0,F23-F32)</f>
        <v>0</v>
      </c>
      <c r="G33" s="64" t="n">
        <f aca="false">IF(G23=0,0,G23-G32)</f>
        <v>0</v>
      </c>
      <c r="H33" s="64" t="n">
        <f aca="false">IF(H23=0,0,H23-H32)</f>
        <v>0</v>
      </c>
      <c r="I33" s="64" t="n">
        <f aca="false">IF(I23=0,0,I23-I32)</f>
        <v>0</v>
      </c>
      <c r="J33" s="64" t="n">
        <f aca="false">IF(J23=0,0,J23-J32)</f>
        <v>0</v>
      </c>
      <c r="K33" s="64" t="n">
        <f aca="false">IF(K23=0,0,K23-K32)</f>
        <v>0</v>
      </c>
      <c r="L33" s="64" t="n">
        <f aca="false">IF(L23=0,0,L23-L32)</f>
        <v>0</v>
      </c>
      <c r="M33" s="64" t="n">
        <f aca="false">IF(M23=0,0,M23-M32)</f>
        <v>0</v>
      </c>
      <c r="N33" s="64" t="n">
        <f aca="false">IF(N23=0,0,N23-N32)</f>
        <v>0</v>
      </c>
      <c r="O33" s="64" t="n">
        <f aca="false">IF(O23=0,0,O23-O32)</f>
        <v>0</v>
      </c>
      <c r="P33" s="64" t="n">
        <f aca="false">IF(P23=0,0,P23-P32)</f>
        <v>0</v>
      </c>
      <c r="Q33" s="64" t="n">
        <f aca="false">IF(Q23=0,0,Q23-Q32)</f>
        <v>0</v>
      </c>
      <c r="R33" s="64" t="n">
        <f aca="false">IF(R23=0,0,R23-R32)</f>
        <v>0</v>
      </c>
      <c r="S33" s="64" t="n">
        <f aca="false">IF(S23=0,0,S23-S32)</f>
        <v>0</v>
      </c>
      <c r="T33" s="64" t="n">
        <f aca="false">IF(T23=0,0,T23-T32)</f>
        <v>0</v>
      </c>
      <c r="U33" s="64" t="n">
        <f aca="false">IF(U23=0,0,U23-U32)</f>
        <v>0</v>
      </c>
      <c r="V33" s="64" t="n">
        <f aca="false">IF(V23=0,0,V23-V32)</f>
        <v>0</v>
      </c>
      <c r="W33" s="64" t="n">
        <f aca="false">IF(W23=0,0,W23-W32)</f>
        <v>0</v>
      </c>
      <c r="X33" s="64" t="n">
        <f aca="false">IF(X23=0,0,X23-X32)</f>
        <v>0</v>
      </c>
      <c r="Y33" s="64" t="n">
        <f aca="false">IF(Y23=0,0,Y23-Y32)</f>
        <v>0</v>
      </c>
      <c r="Z33" s="64" t="n">
        <f aca="false">IF(Z23=0,0,Z23-Z32)</f>
        <v>0</v>
      </c>
      <c r="AA33" s="64" t="n">
        <f aca="false">IF(AA23=0,0,AA23-AA32)</f>
        <v>0</v>
      </c>
      <c r="AB33" s="64" t="n">
        <f aca="false">IF(AB23=0,0,AB23-AB32)</f>
        <v>0</v>
      </c>
      <c r="AC33" s="64" t="n">
        <f aca="false">IF(AC23=0,0,AC23-AC32)</f>
        <v>0</v>
      </c>
      <c r="AD33" s="64" t="n">
        <f aca="false">IF(AD23=0,0,AD23-AD32)</f>
        <v>0</v>
      </c>
      <c r="AE33" s="64" t="n">
        <f aca="false">IF(AE23=0,0,AE23-AE32)</f>
        <v>0</v>
      </c>
      <c r="AF33" s="64" t="n">
        <f aca="false">IF(AF23=0,0,AF23-AF32)</f>
        <v>0</v>
      </c>
      <c r="AG33" s="64" t="n">
        <f aca="false">IF(AG23=0,0,AG23-AG32)</f>
        <v>0</v>
      </c>
      <c r="AH33" s="64" t="n">
        <f aca="false">IF(AH23=0,0,AH23-AH32)</f>
        <v>0</v>
      </c>
      <c r="AI33" s="64" t="n">
        <f aca="false">IF(AI23=0,0,AI23-AI32)</f>
        <v>0</v>
      </c>
      <c r="AJ33" s="64" t="n">
        <f aca="false">IF(AJ23=0,0,AJ23-AJ32)</f>
        <v>0</v>
      </c>
      <c r="AK33" s="64" t="n">
        <f aca="false">IF(AK23=0,0,AK23-AK32)</f>
        <v>0</v>
      </c>
      <c r="AL33" s="64" t="n">
        <f aca="false">IF(AL23=0,0,AL23-AL32)</f>
        <v>0</v>
      </c>
      <c r="AN33" s="52" t="n">
        <f aca="false">SUM(C33:N33)</f>
        <v>0</v>
      </c>
      <c r="AO33" s="52" t="n">
        <f aca="false">SUM(O33:Z33)</f>
        <v>0</v>
      </c>
      <c r="AP33" s="52" t="n">
        <f aca="false">SUM(AA33:AL33)</f>
        <v>0</v>
      </c>
    </row>
    <row r="34" customFormat="false" ht="15" hidden="false" customHeight="false" outlineLevel="0" collapsed="false">
      <c r="A34" s="26" t="s">
        <v>432</v>
      </c>
      <c r="B34" s="24" t="s">
        <v>425</v>
      </c>
      <c r="C34" s="65" t="n">
        <f aca="false">Cash_Flow!C$33</f>
        <v>468135.73252584</v>
      </c>
      <c r="D34" s="65" t="n">
        <f aca="false">Cash_Flow!D$33</f>
        <v>415500.486453303</v>
      </c>
      <c r="E34" s="65" t="n">
        <f aca="false">Cash_Flow!E$33</f>
        <v>372162.279186004</v>
      </c>
      <c r="F34" s="65" t="n">
        <f aca="false">Cash_Flow!F$33</f>
        <v>305954.41672243</v>
      </c>
      <c r="G34" s="65" t="n">
        <f aca="false">Cash_Flow!G$33</f>
        <v>273252.829705481</v>
      </c>
      <c r="H34" s="65" t="n">
        <f aca="false">Cash_Flow!H$33</f>
        <v>240844.629027119</v>
      </c>
      <c r="I34" s="65" t="n">
        <f aca="false">Cash_Flow!I$33</f>
        <v>191743.640829844</v>
      </c>
      <c r="J34" s="65" t="n">
        <f aca="false">Cash_Flow!J$33</f>
        <v>172382.067070431</v>
      </c>
      <c r="K34" s="65" t="n">
        <f aca="false">Cash_Flow!K$33</f>
        <v>154009.034045021</v>
      </c>
      <c r="L34" s="65" t="n">
        <f aca="false">Cash_Flow!L$33</f>
        <v>91108.3224329443</v>
      </c>
      <c r="M34" s="65" t="n">
        <f aca="false">Cash_Flow!M$33</f>
        <v>104303.738507203</v>
      </c>
      <c r="N34" s="65" t="n">
        <f aca="false">Cash_Flow!N$33</f>
        <v>120154.622461016</v>
      </c>
      <c r="O34" s="65" t="n">
        <f aca="false">Cash_Flow!O$33</f>
        <v>131065.450286386</v>
      </c>
      <c r="P34" s="65" t="n">
        <f aca="false">Cash_Flow!P$33</f>
        <v>116282.95758477</v>
      </c>
      <c r="Q34" s="65" t="n">
        <f aca="false">Cash_Flow!Q$33</f>
        <v>113684.966811069</v>
      </c>
      <c r="R34" s="65" t="n">
        <f aca="false">Cash_Flow!R$33</f>
        <v>162483.561668681</v>
      </c>
      <c r="S34" s="65" t="n">
        <f aca="false">Cash_Flow!S$33</f>
        <v>166306.302646202</v>
      </c>
      <c r="T34" s="65" t="n">
        <f aca="false">Cash_Flow!T$33</f>
        <v>174305.881368006</v>
      </c>
      <c r="U34" s="65" t="n">
        <f aca="false">Cash_Flow!U$33</f>
        <v>202743.225448178</v>
      </c>
      <c r="V34" s="65" t="n">
        <f aca="false">Cash_Flow!V$33</f>
        <v>238478.595047869</v>
      </c>
      <c r="W34" s="65" t="n">
        <f aca="false">Cash_Flow!W$33</f>
        <v>280091.125606067</v>
      </c>
      <c r="X34" s="65" t="n">
        <f aca="false">Cash_Flow!X$33</f>
        <v>407286.673939362</v>
      </c>
      <c r="Y34" s="65" t="n">
        <f aca="false">Cash_Flow!Y$33</f>
        <v>456073.749080536</v>
      </c>
      <c r="Z34" s="65" t="n">
        <f aca="false">Cash_Flow!Z$33</f>
        <v>511419.658916153</v>
      </c>
      <c r="AA34" s="65" t="n">
        <f aca="false">Cash_Flow!AA$33</f>
        <v>573923.797827378</v>
      </c>
      <c r="AB34" s="65" t="n">
        <f aca="false">Cash_Flow!AB$33</f>
        <v>621782.944784904</v>
      </c>
      <c r="AC34" s="65" t="n">
        <f aca="false">Cash_Flow!AC$33</f>
        <v>679095.287688031</v>
      </c>
      <c r="AD34" s="65" t="n">
        <f aca="false">Cash_Flow!AD$33</f>
        <v>789169.781039565</v>
      </c>
      <c r="AE34" s="65" t="n">
        <f aca="false">Cash_Flow!AE$33</f>
        <v>855574.70021692</v>
      </c>
      <c r="AF34" s="65" t="n">
        <f aca="false">Cash_Flow!AF$33</f>
        <v>932349.670087864</v>
      </c>
      <c r="AG34" s="65" t="n">
        <f aca="false">Cash_Flow!AG$33</f>
        <v>1136731.98294706</v>
      </c>
      <c r="AH34" s="65" t="n">
        <f aca="false">Cash_Flow!AH$33</f>
        <v>1238133.55159527</v>
      </c>
      <c r="AI34" s="65" t="n">
        <f aca="false">Cash_Flow!AI$33</f>
        <v>1351855.24012415</v>
      </c>
      <c r="AJ34" s="65" t="n">
        <f aca="false">Cash_Flow!AJ$33</f>
        <v>1634884.75733829</v>
      </c>
      <c r="AK34" s="65" t="n">
        <f aca="false">Cash_Flow!AK$33</f>
        <v>1762359.55720015</v>
      </c>
      <c r="AL34" s="65" t="n">
        <f aca="false">Cash_Flow!AL$33</f>
        <v>1903484.2164159</v>
      </c>
      <c r="AN34" s="52" t="n">
        <f aca="false">SUM(C34:N34)</f>
        <v>2909551.79896664</v>
      </c>
      <c r="AO34" s="52" t="n">
        <f aca="false">SUM(O34:Z34)</f>
        <v>2960222.14840328</v>
      </c>
      <c r="AP34" s="52" t="n">
        <f aca="false">SUM(AA34:AL34)</f>
        <v>13479345.4872655</v>
      </c>
    </row>
    <row r="35" customFormat="false" ht="15" hidden="false" customHeight="false" outlineLevel="0" collapsed="false">
      <c r="A35" s="10" t="s">
        <v>433</v>
      </c>
      <c r="B35" s="24" t="s">
        <v>427</v>
      </c>
      <c r="C35" s="64" t="n">
        <f aca="false">IF(C24=0,0,C24-C34)</f>
        <v>0</v>
      </c>
      <c r="D35" s="64" t="n">
        <f aca="false">IF(D24=0,0,D24-D34)</f>
        <v>0</v>
      </c>
      <c r="E35" s="64" t="n">
        <f aca="false">IF(E24=0,0,E24-E34)</f>
        <v>0</v>
      </c>
      <c r="F35" s="64" t="n">
        <f aca="false">IF(F24=0,0,F24-F34)</f>
        <v>0</v>
      </c>
      <c r="G35" s="64" t="n">
        <f aca="false">IF(G24=0,0,G24-G34)</f>
        <v>0</v>
      </c>
      <c r="H35" s="64" t="n">
        <f aca="false">IF(H24=0,0,H24-H34)</f>
        <v>0</v>
      </c>
      <c r="I35" s="64" t="n">
        <f aca="false">IF(I24=0,0,I24-I34)</f>
        <v>0</v>
      </c>
      <c r="J35" s="64" t="n">
        <f aca="false">IF(J24=0,0,J24-J34)</f>
        <v>0</v>
      </c>
      <c r="K35" s="64" t="n">
        <f aca="false">IF(K24=0,0,K24-K34)</f>
        <v>0</v>
      </c>
      <c r="L35" s="64" t="n">
        <f aca="false">IF(L24=0,0,L24-L34)</f>
        <v>0</v>
      </c>
      <c r="M35" s="64" t="n">
        <f aca="false">IF(M24=0,0,M24-M34)</f>
        <v>0</v>
      </c>
      <c r="N35" s="64" t="n">
        <f aca="false">IF(N24=0,0,N24-N34)</f>
        <v>0</v>
      </c>
      <c r="O35" s="64" t="n">
        <f aca="false">IF(O24=0,0,O24-O34)</f>
        <v>0</v>
      </c>
      <c r="P35" s="64" t="n">
        <f aca="false">IF(P24=0,0,P24-P34)</f>
        <v>0</v>
      </c>
      <c r="Q35" s="64" t="n">
        <f aca="false">IF(Q24=0,0,Q24-Q34)</f>
        <v>0</v>
      </c>
      <c r="R35" s="64" t="n">
        <f aca="false">IF(R24=0,0,R24-R34)</f>
        <v>0</v>
      </c>
      <c r="S35" s="64" t="n">
        <f aca="false">IF(S24=0,0,S24-S34)</f>
        <v>0</v>
      </c>
      <c r="T35" s="64" t="n">
        <f aca="false">IF(T24=0,0,T24-T34)</f>
        <v>0</v>
      </c>
      <c r="U35" s="64" t="n">
        <f aca="false">IF(U24=0,0,U24-U34)</f>
        <v>0</v>
      </c>
      <c r="V35" s="64" t="n">
        <f aca="false">IF(V24=0,0,V24-V34)</f>
        <v>0</v>
      </c>
      <c r="W35" s="64" t="n">
        <f aca="false">IF(W24=0,0,W24-W34)</f>
        <v>0</v>
      </c>
      <c r="X35" s="64" t="n">
        <f aca="false">IF(X24=0,0,X24-X34)</f>
        <v>0</v>
      </c>
      <c r="Y35" s="64" t="n">
        <f aca="false">IF(Y24=0,0,Y24-Y34)</f>
        <v>0</v>
      </c>
      <c r="Z35" s="64" t="n">
        <f aca="false">IF(Z24=0,0,Z24-Z34)</f>
        <v>0</v>
      </c>
      <c r="AA35" s="64" t="n">
        <f aca="false">IF(AA24=0,0,AA24-AA34)</f>
        <v>0</v>
      </c>
      <c r="AB35" s="64" t="n">
        <f aca="false">IF(AB24=0,0,AB24-AB34)</f>
        <v>0</v>
      </c>
      <c r="AC35" s="64" t="n">
        <f aca="false">IF(AC24=0,0,AC24-AC34)</f>
        <v>0</v>
      </c>
      <c r="AD35" s="64" t="n">
        <f aca="false">IF(AD24=0,0,AD24-AD34)</f>
        <v>0</v>
      </c>
      <c r="AE35" s="64" t="n">
        <f aca="false">IF(AE24=0,0,AE24-AE34)</f>
        <v>0</v>
      </c>
      <c r="AF35" s="64" t="n">
        <f aca="false">IF(AF24=0,0,AF24-AF34)</f>
        <v>0</v>
      </c>
      <c r="AG35" s="64" t="n">
        <f aca="false">IF(AG24=0,0,AG24-AG34)</f>
        <v>0</v>
      </c>
      <c r="AH35" s="64" t="n">
        <f aca="false">IF(AH24=0,0,AH24-AH34)</f>
        <v>0</v>
      </c>
      <c r="AI35" s="64" t="n">
        <f aca="false">IF(AI24=0,0,AI24-AI34)</f>
        <v>0</v>
      </c>
      <c r="AJ35" s="64" t="n">
        <f aca="false">IF(AJ24=0,0,AJ24-AJ34)</f>
        <v>0</v>
      </c>
      <c r="AK35" s="64" t="n">
        <f aca="false">IF(AK24=0,0,AK24-AK34)</f>
        <v>0</v>
      </c>
      <c r="AL35" s="64" t="n">
        <f aca="false">IF(AL24=0,0,AL24-AL34)</f>
        <v>0</v>
      </c>
      <c r="AN35" s="52" t="n">
        <f aca="false">SUM(C35:N35)</f>
        <v>0</v>
      </c>
      <c r="AO35" s="52" t="n">
        <f aca="false">SUM(O35:Z35)</f>
        <v>0</v>
      </c>
      <c r="AP35" s="52" t="n">
        <f aca="false">SUM(AA35:AL35)</f>
        <v>0</v>
      </c>
    </row>
  </sheetData>
  <mergeCells count="3">
    <mergeCell ref="A1:AP1"/>
    <mergeCell ref="A2:AP2"/>
    <mergeCell ref="A19:V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434</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435</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436</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75" hidden="false" customHeight="true" outlineLevel="0" collapsed="false">
      <c r="A6" s="36" t="s">
        <v>345</v>
      </c>
      <c r="B6" s="36" t="s">
        <v>346</v>
      </c>
      <c r="C6" s="47" t="s">
        <v>347</v>
      </c>
      <c r="D6" s="47" t="s">
        <v>348</v>
      </c>
      <c r="E6" s="47" t="s">
        <v>349</v>
      </c>
      <c r="F6" s="47" t="s">
        <v>350</v>
      </c>
      <c r="G6" s="47" t="s">
        <v>351</v>
      </c>
      <c r="H6" s="47" t="s">
        <v>352</v>
      </c>
      <c r="I6" s="47" t="s">
        <v>353</v>
      </c>
      <c r="J6" s="47" t="s">
        <v>354</v>
      </c>
      <c r="K6" s="47" t="s">
        <v>355</v>
      </c>
      <c r="L6" s="47" t="s">
        <v>356</v>
      </c>
      <c r="M6" s="47" t="s">
        <v>357</v>
      </c>
      <c r="N6" s="47" t="s">
        <v>358</v>
      </c>
      <c r="O6" s="48" t="s">
        <v>359</v>
      </c>
      <c r="P6" s="48" t="s">
        <v>360</v>
      </c>
      <c r="Q6" s="48" t="s">
        <v>361</v>
      </c>
      <c r="R6" s="48" t="s">
        <v>362</v>
      </c>
      <c r="S6" s="48" t="s">
        <v>363</v>
      </c>
      <c r="T6" s="48" t="s">
        <v>364</v>
      </c>
      <c r="U6" s="48" t="s">
        <v>365</v>
      </c>
      <c r="V6" s="48" t="s">
        <v>366</v>
      </c>
      <c r="W6" s="48" t="s">
        <v>367</v>
      </c>
      <c r="X6" s="48" t="s">
        <v>368</v>
      </c>
      <c r="Y6" s="48" t="s">
        <v>369</v>
      </c>
      <c r="Z6" s="48" t="s">
        <v>370</v>
      </c>
      <c r="AA6" s="47" t="s">
        <v>371</v>
      </c>
      <c r="AB6" s="47" t="s">
        <v>372</v>
      </c>
      <c r="AC6" s="47" t="s">
        <v>373</v>
      </c>
      <c r="AD6" s="47" t="s">
        <v>374</v>
      </c>
      <c r="AE6" s="47" t="s">
        <v>375</v>
      </c>
      <c r="AF6" s="47" t="s">
        <v>376</v>
      </c>
      <c r="AG6" s="47" t="s">
        <v>377</v>
      </c>
      <c r="AH6" s="47" t="s">
        <v>378</v>
      </c>
      <c r="AI6" s="47" t="s">
        <v>379</v>
      </c>
      <c r="AJ6" s="47" t="s">
        <v>380</v>
      </c>
      <c r="AK6" s="47" t="s">
        <v>381</v>
      </c>
      <c r="AL6" s="47" t="s">
        <v>382</v>
      </c>
      <c r="AM6" s="49"/>
      <c r="AN6" s="50" t="s">
        <v>383</v>
      </c>
      <c r="AO6" s="50" t="s">
        <v>384</v>
      </c>
      <c r="AP6" s="50" t="s">
        <v>385</v>
      </c>
    </row>
    <row r="7" customFormat="false" ht="15" hidden="false" customHeight="false" outlineLevel="0" collapsed="false">
      <c r="A7" s="26" t="s">
        <v>291</v>
      </c>
      <c r="B7" s="24" t="s">
        <v>437</v>
      </c>
      <c r="C7" s="51" t="n">
        <f aca="false">HR_Model!C$73*Assumptions!$C$148*Assumptions!$D$148</f>
        <v>8400</v>
      </c>
      <c r="D7" s="51" t="n">
        <f aca="false">HR_Model!D$73*Assumptions!$C$148*Assumptions!$D$148</f>
        <v>0</v>
      </c>
      <c r="E7" s="51" t="n">
        <f aca="false">HR_Model!E$73*Assumptions!$C$148*Assumptions!$D$148</f>
        <v>0</v>
      </c>
      <c r="F7" s="51" t="n">
        <f aca="false">HR_Model!F$73*Assumptions!$C$148*Assumptions!$D$148</f>
        <v>0</v>
      </c>
      <c r="G7" s="51" t="n">
        <f aca="false">HR_Model!G$73*Assumptions!$C$148*Assumptions!$D$148</f>
        <v>0</v>
      </c>
      <c r="H7" s="51" t="n">
        <f aca="false">HR_Model!H$73*Assumptions!$C$148*Assumptions!$D$148</f>
        <v>0</v>
      </c>
      <c r="I7" s="51" t="n">
        <f aca="false">HR_Model!I$73*Assumptions!$C$148*Assumptions!$D$148</f>
        <v>0</v>
      </c>
      <c r="J7" s="51" t="n">
        <f aca="false">HR_Model!J$73*Assumptions!$C$148*Assumptions!$D$148</f>
        <v>0</v>
      </c>
      <c r="K7" s="51" t="n">
        <f aca="false">HR_Model!K$73*Assumptions!$C$148*Assumptions!$D$148</f>
        <v>0</v>
      </c>
      <c r="L7" s="51" t="n">
        <f aca="false">HR_Model!L$73*Assumptions!$C$148*Assumptions!$D$148</f>
        <v>0</v>
      </c>
      <c r="M7" s="51" t="n">
        <f aca="false">HR_Model!M$73*Assumptions!$C$148*Assumptions!$D$148</f>
        <v>0</v>
      </c>
      <c r="N7" s="51" t="n">
        <f aca="false">HR_Model!N$73*Assumptions!$C$148*Assumptions!$D$148</f>
        <v>0</v>
      </c>
      <c r="O7" s="51" t="n">
        <f aca="false">HR_Model!O$73*Assumptions!$C$148*Assumptions!$D$148</f>
        <v>4200</v>
      </c>
      <c r="P7" s="51" t="n">
        <f aca="false">HR_Model!P$73*Assumptions!$C$148*Assumptions!$D$148</f>
        <v>0</v>
      </c>
      <c r="Q7" s="51" t="n">
        <f aca="false">HR_Model!Q$73*Assumptions!$C$148*Assumptions!$D$148</f>
        <v>0</v>
      </c>
      <c r="R7" s="51" t="n">
        <f aca="false">HR_Model!R$73*Assumptions!$C$148*Assumptions!$D$148</f>
        <v>0</v>
      </c>
      <c r="S7" s="51" t="n">
        <f aca="false">HR_Model!S$73*Assumptions!$C$148*Assumptions!$D$148</f>
        <v>0</v>
      </c>
      <c r="T7" s="51" t="n">
        <f aca="false">HR_Model!T$73*Assumptions!$C$148*Assumptions!$D$148</f>
        <v>0</v>
      </c>
      <c r="U7" s="51" t="n">
        <f aca="false">HR_Model!U$73*Assumptions!$C$148*Assumptions!$D$148</f>
        <v>0</v>
      </c>
      <c r="V7" s="51" t="n">
        <f aca="false">HR_Model!V$73*Assumptions!$C$148*Assumptions!$D$148</f>
        <v>0</v>
      </c>
      <c r="W7" s="51" t="n">
        <f aca="false">HR_Model!W$73*Assumptions!$C$148*Assumptions!$D$148</f>
        <v>0</v>
      </c>
      <c r="X7" s="51" t="n">
        <f aca="false">HR_Model!X$73*Assumptions!$C$148*Assumptions!$D$148</f>
        <v>0</v>
      </c>
      <c r="Y7" s="51" t="n">
        <f aca="false">HR_Model!Y$73*Assumptions!$C$148*Assumptions!$D$148</f>
        <v>0</v>
      </c>
      <c r="Z7" s="51" t="n">
        <f aca="false">HR_Model!Z$73*Assumptions!$C$148*Assumptions!$D$148</f>
        <v>0</v>
      </c>
      <c r="AA7" s="51" t="n">
        <f aca="false">HR_Model!AA$73*Assumptions!$C$148*Assumptions!$D$148</f>
        <v>4200</v>
      </c>
      <c r="AB7" s="51" t="n">
        <f aca="false">HR_Model!AB$73*Assumptions!$C$148*Assumptions!$D$148</f>
        <v>0</v>
      </c>
      <c r="AC7" s="51" t="n">
        <f aca="false">HR_Model!AC$73*Assumptions!$C$148*Assumptions!$D$148</f>
        <v>0</v>
      </c>
      <c r="AD7" s="51" t="n">
        <f aca="false">HR_Model!AD$73*Assumptions!$C$148*Assumptions!$D$148</f>
        <v>0</v>
      </c>
      <c r="AE7" s="51" t="n">
        <f aca="false">HR_Model!AE$73*Assumptions!$C$148*Assumptions!$D$148</f>
        <v>0</v>
      </c>
      <c r="AF7" s="51" t="n">
        <f aca="false">HR_Model!AF$73*Assumptions!$C$148*Assumptions!$D$148</f>
        <v>0</v>
      </c>
      <c r="AG7" s="51" t="n">
        <f aca="false">HR_Model!AG$73*Assumptions!$C$148*Assumptions!$D$148</f>
        <v>0</v>
      </c>
      <c r="AH7" s="51" t="n">
        <f aca="false">HR_Model!AH$73*Assumptions!$C$148*Assumptions!$D$148</f>
        <v>0</v>
      </c>
      <c r="AI7" s="51" t="n">
        <f aca="false">HR_Model!AI$73*Assumptions!$C$148*Assumptions!$D$148</f>
        <v>0</v>
      </c>
      <c r="AJ7" s="51" t="n">
        <f aca="false">HR_Model!AJ$73*Assumptions!$C$148*Assumptions!$D$148</f>
        <v>0</v>
      </c>
      <c r="AK7" s="51" t="n">
        <f aca="false">HR_Model!AK$73*Assumptions!$C$148*Assumptions!$D$148</f>
        <v>0</v>
      </c>
      <c r="AL7" s="51" t="n">
        <f aca="false">HR_Model!AL$73*Assumptions!$C$148*Assumptions!$D$148</f>
        <v>0</v>
      </c>
      <c r="AN7" s="52" t="n">
        <f aca="false">SUM(C7:N7)</f>
        <v>8400</v>
      </c>
      <c r="AO7" s="52" t="n">
        <f aca="false">SUM(O7:Z7)</f>
        <v>4200</v>
      </c>
      <c r="AP7" s="52" t="n">
        <f aca="false">SUM(AA7:AL7)</f>
        <v>4200</v>
      </c>
    </row>
    <row r="8" customFormat="false" ht="15" hidden="false" customHeight="false" outlineLevel="0" collapsed="false">
      <c r="A8" s="26" t="s">
        <v>292</v>
      </c>
      <c r="B8" s="24" t="s">
        <v>438</v>
      </c>
      <c r="C8" s="51" t="n">
        <f aca="false">HR_Model!C$73*Assumptions!$C$149*Assumptions!$D$149</f>
        <v>3720</v>
      </c>
      <c r="D8" s="51" t="n">
        <f aca="false">HR_Model!D$73*Assumptions!$C$149*Assumptions!$D$149</f>
        <v>0</v>
      </c>
      <c r="E8" s="51" t="n">
        <f aca="false">HR_Model!E$73*Assumptions!$C$149*Assumptions!$D$149</f>
        <v>0</v>
      </c>
      <c r="F8" s="51" t="n">
        <f aca="false">HR_Model!F$73*Assumptions!$C$149*Assumptions!$D$149</f>
        <v>0</v>
      </c>
      <c r="G8" s="51" t="n">
        <f aca="false">HR_Model!G$73*Assumptions!$C$149*Assumptions!$D$149</f>
        <v>0</v>
      </c>
      <c r="H8" s="51" t="n">
        <f aca="false">HR_Model!H$73*Assumptions!$C$149*Assumptions!$D$149</f>
        <v>0</v>
      </c>
      <c r="I8" s="51" t="n">
        <f aca="false">HR_Model!I$73*Assumptions!$C$149*Assumptions!$D$149</f>
        <v>0</v>
      </c>
      <c r="J8" s="51" t="n">
        <f aca="false">HR_Model!J$73*Assumptions!$C$149*Assumptions!$D$149</f>
        <v>0</v>
      </c>
      <c r="K8" s="51" t="n">
        <f aca="false">HR_Model!K$73*Assumptions!$C$149*Assumptions!$D$149</f>
        <v>0</v>
      </c>
      <c r="L8" s="51" t="n">
        <f aca="false">HR_Model!L$73*Assumptions!$C$149*Assumptions!$D$149</f>
        <v>0</v>
      </c>
      <c r="M8" s="51" t="n">
        <f aca="false">HR_Model!M$73*Assumptions!$C$149*Assumptions!$D$149</f>
        <v>0</v>
      </c>
      <c r="N8" s="51" t="n">
        <f aca="false">HR_Model!N$73*Assumptions!$C$149*Assumptions!$D$149</f>
        <v>0</v>
      </c>
      <c r="O8" s="51" t="n">
        <f aca="false">HR_Model!O$73*Assumptions!$C$149*Assumptions!$D$149</f>
        <v>1860</v>
      </c>
      <c r="P8" s="51" t="n">
        <f aca="false">HR_Model!P$73*Assumptions!$C$149*Assumptions!$D$149</f>
        <v>0</v>
      </c>
      <c r="Q8" s="51" t="n">
        <f aca="false">HR_Model!Q$73*Assumptions!$C$149*Assumptions!$D$149</f>
        <v>0</v>
      </c>
      <c r="R8" s="51" t="n">
        <f aca="false">HR_Model!R$73*Assumptions!$C$149*Assumptions!$D$149</f>
        <v>0</v>
      </c>
      <c r="S8" s="51" t="n">
        <f aca="false">HR_Model!S$73*Assumptions!$C$149*Assumptions!$D$149</f>
        <v>0</v>
      </c>
      <c r="T8" s="51" t="n">
        <f aca="false">HR_Model!T$73*Assumptions!$C$149*Assumptions!$D$149</f>
        <v>0</v>
      </c>
      <c r="U8" s="51" t="n">
        <f aca="false">HR_Model!U$73*Assumptions!$C$149*Assumptions!$D$149</f>
        <v>0</v>
      </c>
      <c r="V8" s="51" t="n">
        <f aca="false">HR_Model!V$73*Assumptions!$C$149*Assumptions!$D$149</f>
        <v>0</v>
      </c>
      <c r="W8" s="51" t="n">
        <f aca="false">HR_Model!W$73*Assumptions!$C$149*Assumptions!$D$149</f>
        <v>0</v>
      </c>
      <c r="X8" s="51" t="n">
        <f aca="false">HR_Model!X$73*Assumptions!$C$149*Assumptions!$D$149</f>
        <v>0</v>
      </c>
      <c r="Y8" s="51" t="n">
        <f aca="false">HR_Model!Y$73*Assumptions!$C$149*Assumptions!$D$149</f>
        <v>0</v>
      </c>
      <c r="Z8" s="51" t="n">
        <f aca="false">HR_Model!Z$73*Assumptions!$C$149*Assumptions!$D$149</f>
        <v>0</v>
      </c>
      <c r="AA8" s="51" t="n">
        <f aca="false">HR_Model!AA$73*Assumptions!$C$149*Assumptions!$D$149</f>
        <v>1860</v>
      </c>
      <c r="AB8" s="51" t="n">
        <f aca="false">HR_Model!AB$73*Assumptions!$C$149*Assumptions!$D$149</f>
        <v>0</v>
      </c>
      <c r="AC8" s="51" t="n">
        <f aca="false">HR_Model!AC$73*Assumptions!$C$149*Assumptions!$D$149</f>
        <v>0</v>
      </c>
      <c r="AD8" s="51" t="n">
        <f aca="false">HR_Model!AD$73*Assumptions!$C$149*Assumptions!$D$149</f>
        <v>0</v>
      </c>
      <c r="AE8" s="51" t="n">
        <f aca="false">HR_Model!AE$73*Assumptions!$C$149*Assumptions!$D$149</f>
        <v>0</v>
      </c>
      <c r="AF8" s="51" t="n">
        <f aca="false">HR_Model!AF$73*Assumptions!$C$149*Assumptions!$D$149</f>
        <v>0</v>
      </c>
      <c r="AG8" s="51" t="n">
        <f aca="false">HR_Model!AG$73*Assumptions!$C$149*Assumptions!$D$149</f>
        <v>0</v>
      </c>
      <c r="AH8" s="51" t="n">
        <f aca="false">HR_Model!AH$73*Assumptions!$C$149*Assumptions!$D$149</f>
        <v>0</v>
      </c>
      <c r="AI8" s="51" t="n">
        <f aca="false">HR_Model!AI$73*Assumptions!$C$149*Assumptions!$D$149</f>
        <v>0</v>
      </c>
      <c r="AJ8" s="51" t="n">
        <f aca="false">HR_Model!AJ$73*Assumptions!$C$149*Assumptions!$D$149</f>
        <v>0</v>
      </c>
      <c r="AK8" s="51" t="n">
        <f aca="false">HR_Model!AK$73*Assumptions!$C$149*Assumptions!$D$149</f>
        <v>0</v>
      </c>
      <c r="AL8" s="51" t="n">
        <f aca="false">HR_Model!AL$73*Assumptions!$C$149*Assumptions!$D$149</f>
        <v>0</v>
      </c>
      <c r="AN8" s="52" t="n">
        <f aca="false">SUM(C8:N8)</f>
        <v>3720</v>
      </c>
      <c r="AO8" s="52" t="n">
        <f aca="false">SUM(O8:Z8)</f>
        <v>1860</v>
      </c>
      <c r="AP8" s="52" t="n">
        <f aca="false">SUM(AA8:AL8)</f>
        <v>1860</v>
      </c>
    </row>
    <row r="9" customFormat="false" ht="15" hidden="false" customHeight="false" outlineLevel="0" collapsed="false">
      <c r="A9" s="26" t="s">
        <v>293</v>
      </c>
      <c r="B9" s="24" t="s">
        <v>439</v>
      </c>
      <c r="C9" s="51" t="n">
        <f aca="false">HR_Model!C$73*Assumptions!$C$150*Assumptions!$D$150</f>
        <v>1860</v>
      </c>
      <c r="D9" s="51" t="n">
        <f aca="false">HR_Model!D$73*Assumptions!$C$150*Assumptions!$D$150</f>
        <v>0</v>
      </c>
      <c r="E9" s="51" t="n">
        <f aca="false">HR_Model!E$73*Assumptions!$C$150*Assumptions!$D$150</f>
        <v>0</v>
      </c>
      <c r="F9" s="51" t="n">
        <f aca="false">HR_Model!F$73*Assumptions!$C$150*Assumptions!$D$150</f>
        <v>0</v>
      </c>
      <c r="G9" s="51" t="n">
        <f aca="false">HR_Model!G$73*Assumptions!$C$150*Assumptions!$D$150</f>
        <v>0</v>
      </c>
      <c r="H9" s="51" t="n">
        <f aca="false">HR_Model!H$73*Assumptions!$C$150*Assumptions!$D$150</f>
        <v>0</v>
      </c>
      <c r="I9" s="51" t="n">
        <f aca="false">HR_Model!I$73*Assumptions!$C$150*Assumptions!$D$150</f>
        <v>0</v>
      </c>
      <c r="J9" s="51" t="n">
        <f aca="false">HR_Model!J$73*Assumptions!$C$150*Assumptions!$D$150</f>
        <v>0</v>
      </c>
      <c r="K9" s="51" t="n">
        <f aca="false">HR_Model!K$73*Assumptions!$C$150*Assumptions!$D$150</f>
        <v>0</v>
      </c>
      <c r="L9" s="51" t="n">
        <f aca="false">HR_Model!L$73*Assumptions!$C$150*Assumptions!$D$150</f>
        <v>0</v>
      </c>
      <c r="M9" s="51" t="n">
        <f aca="false">HR_Model!M$73*Assumptions!$C$150*Assumptions!$D$150</f>
        <v>0</v>
      </c>
      <c r="N9" s="51" t="n">
        <f aca="false">HR_Model!N$73*Assumptions!$C$150*Assumptions!$D$150</f>
        <v>0</v>
      </c>
      <c r="O9" s="51" t="n">
        <f aca="false">HR_Model!O$73*Assumptions!$C$150*Assumptions!$D$150</f>
        <v>930</v>
      </c>
      <c r="P9" s="51" t="n">
        <f aca="false">HR_Model!P$73*Assumptions!$C$150*Assumptions!$D$150</f>
        <v>0</v>
      </c>
      <c r="Q9" s="51" t="n">
        <f aca="false">HR_Model!Q$73*Assumptions!$C$150*Assumptions!$D$150</f>
        <v>0</v>
      </c>
      <c r="R9" s="51" t="n">
        <f aca="false">HR_Model!R$73*Assumptions!$C$150*Assumptions!$D$150</f>
        <v>0</v>
      </c>
      <c r="S9" s="51" t="n">
        <f aca="false">HR_Model!S$73*Assumptions!$C$150*Assumptions!$D$150</f>
        <v>0</v>
      </c>
      <c r="T9" s="51" t="n">
        <f aca="false">HR_Model!T$73*Assumptions!$C$150*Assumptions!$D$150</f>
        <v>0</v>
      </c>
      <c r="U9" s="51" t="n">
        <f aca="false">HR_Model!U$73*Assumptions!$C$150*Assumptions!$D$150</f>
        <v>0</v>
      </c>
      <c r="V9" s="51" t="n">
        <f aca="false">HR_Model!V$73*Assumptions!$C$150*Assumptions!$D$150</f>
        <v>0</v>
      </c>
      <c r="W9" s="51" t="n">
        <f aca="false">HR_Model!W$73*Assumptions!$C$150*Assumptions!$D$150</f>
        <v>0</v>
      </c>
      <c r="X9" s="51" t="n">
        <f aca="false">HR_Model!X$73*Assumptions!$C$150*Assumptions!$D$150</f>
        <v>0</v>
      </c>
      <c r="Y9" s="51" t="n">
        <f aca="false">HR_Model!Y$73*Assumptions!$C$150*Assumptions!$D$150</f>
        <v>0</v>
      </c>
      <c r="Z9" s="51" t="n">
        <f aca="false">HR_Model!Z$73*Assumptions!$C$150*Assumptions!$D$150</f>
        <v>0</v>
      </c>
      <c r="AA9" s="51" t="n">
        <f aca="false">HR_Model!AA$73*Assumptions!$C$150*Assumptions!$D$150</f>
        <v>930</v>
      </c>
      <c r="AB9" s="51" t="n">
        <f aca="false">HR_Model!AB$73*Assumptions!$C$150*Assumptions!$D$150</f>
        <v>0</v>
      </c>
      <c r="AC9" s="51" t="n">
        <f aca="false">HR_Model!AC$73*Assumptions!$C$150*Assumptions!$D$150</f>
        <v>0</v>
      </c>
      <c r="AD9" s="51" t="n">
        <f aca="false">HR_Model!AD$73*Assumptions!$C$150*Assumptions!$D$150</f>
        <v>0</v>
      </c>
      <c r="AE9" s="51" t="n">
        <f aca="false">HR_Model!AE$73*Assumptions!$C$150*Assumptions!$D$150</f>
        <v>0</v>
      </c>
      <c r="AF9" s="51" t="n">
        <f aca="false">HR_Model!AF$73*Assumptions!$C$150*Assumptions!$D$150</f>
        <v>0</v>
      </c>
      <c r="AG9" s="51" t="n">
        <f aca="false">HR_Model!AG$73*Assumptions!$C$150*Assumptions!$D$150</f>
        <v>0</v>
      </c>
      <c r="AH9" s="51" t="n">
        <f aca="false">HR_Model!AH$73*Assumptions!$C$150*Assumptions!$D$150</f>
        <v>0</v>
      </c>
      <c r="AI9" s="51" t="n">
        <f aca="false">HR_Model!AI$73*Assumptions!$C$150*Assumptions!$D$150</f>
        <v>0</v>
      </c>
      <c r="AJ9" s="51" t="n">
        <f aca="false">HR_Model!AJ$73*Assumptions!$C$150*Assumptions!$D$150</f>
        <v>0</v>
      </c>
      <c r="AK9" s="51" t="n">
        <f aca="false">HR_Model!AK$73*Assumptions!$C$150*Assumptions!$D$150</f>
        <v>0</v>
      </c>
      <c r="AL9" s="51" t="n">
        <f aca="false">HR_Model!AL$73*Assumptions!$C$150*Assumptions!$D$150</f>
        <v>0</v>
      </c>
      <c r="AN9" s="52" t="n">
        <f aca="false">SUM(C9:N9)</f>
        <v>1860</v>
      </c>
      <c r="AO9" s="52" t="n">
        <f aca="false">SUM(O9:Z9)</f>
        <v>930</v>
      </c>
      <c r="AP9" s="52" t="n">
        <f aca="false">SUM(AA9:AL9)</f>
        <v>930</v>
      </c>
    </row>
    <row r="10" customFormat="false" ht="15" hidden="false" customHeight="false" outlineLevel="0" collapsed="false">
      <c r="A10" s="26" t="s">
        <v>294</v>
      </c>
      <c r="B10" s="24" t="s">
        <v>440</v>
      </c>
      <c r="C10" s="51" t="n">
        <f aca="false">HR_Model!C$73*Assumptions!$C$151*Assumptions!$D$151</f>
        <v>2340</v>
      </c>
      <c r="D10" s="51" t="n">
        <f aca="false">HR_Model!D$73*Assumptions!$C$151*Assumptions!$D$151</f>
        <v>0</v>
      </c>
      <c r="E10" s="51" t="n">
        <f aca="false">HR_Model!E$73*Assumptions!$C$151*Assumptions!$D$151</f>
        <v>0</v>
      </c>
      <c r="F10" s="51" t="n">
        <f aca="false">HR_Model!F$73*Assumptions!$C$151*Assumptions!$D$151</f>
        <v>0</v>
      </c>
      <c r="G10" s="51" t="n">
        <f aca="false">HR_Model!G$73*Assumptions!$C$151*Assumptions!$D$151</f>
        <v>0</v>
      </c>
      <c r="H10" s="51" t="n">
        <f aca="false">HR_Model!H$73*Assumptions!$C$151*Assumptions!$D$151</f>
        <v>0</v>
      </c>
      <c r="I10" s="51" t="n">
        <f aca="false">HR_Model!I$73*Assumptions!$C$151*Assumptions!$D$151</f>
        <v>0</v>
      </c>
      <c r="J10" s="51" t="n">
        <f aca="false">HR_Model!J$73*Assumptions!$C$151*Assumptions!$D$151</f>
        <v>0</v>
      </c>
      <c r="K10" s="51" t="n">
        <f aca="false">HR_Model!K$73*Assumptions!$C$151*Assumptions!$D$151</f>
        <v>0</v>
      </c>
      <c r="L10" s="51" t="n">
        <f aca="false">HR_Model!L$73*Assumptions!$C$151*Assumptions!$D$151</f>
        <v>0</v>
      </c>
      <c r="M10" s="51" t="n">
        <f aca="false">HR_Model!M$73*Assumptions!$C$151*Assumptions!$D$151</f>
        <v>0</v>
      </c>
      <c r="N10" s="51" t="n">
        <f aca="false">HR_Model!N$73*Assumptions!$C$151*Assumptions!$D$151</f>
        <v>0</v>
      </c>
      <c r="O10" s="51" t="n">
        <f aca="false">HR_Model!O$73*Assumptions!$C$151*Assumptions!$D$151</f>
        <v>1170</v>
      </c>
      <c r="P10" s="51" t="n">
        <f aca="false">HR_Model!P$73*Assumptions!$C$151*Assumptions!$D$151</f>
        <v>0</v>
      </c>
      <c r="Q10" s="51" t="n">
        <f aca="false">HR_Model!Q$73*Assumptions!$C$151*Assumptions!$D$151</f>
        <v>0</v>
      </c>
      <c r="R10" s="51" t="n">
        <f aca="false">HR_Model!R$73*Assumptions!$C$151*Assumptions!$D$151</f>
        <v>0</v>
      </c>
      <c r="S10" s="51" t="n">
        <f aca="false">HR_Model!S$73*Assumptions!$C$151*Assumptions!$D$151</f>
        <v>0</v>
      </c>
      <c r="T10" s="51" t="n">
        <f aca="false">HR_Model!T$73*Assumptions!$C$151*Assumptions!$D$151</f>
        <v>0</v>
      </c>
      <c r="U10" s="51" t="n">
        <f aca="false">HR_Model!U$73*Assumptions!$C$151*Assumptions!$D$151</f>
        <v>0</v>
      </c>
      <c r="V10" s="51" t="n">
        <f aca="false">HR_Model!V$73*Assumptions!$C$151*Assumptions!$D$151</f>
        <v>0</v>
      </c>
      <c r="W10" s="51" t="n">
        <f aca="false">HR_Model!W$73*Assumptions!$C$151*Assumptions!$D$151</f>
        <v>0</v>
      </c>
      <c r="X10" s="51" t="n">
        <f aca="false">HR_Model!X$73*Assumptions!$C$151*Assumptions!$D$151</f>
        <v>0</v>
      </c>
      <c r="Y10" s="51" t="n">
        <f aca="false">HR_Model!Y$73*Assumptions!$C$151*Assumptions!$D$151</f>
        <v>0</v>
      </c>
      <c r="Z10" s="51" t="n">
        <f aca="false">HR_Model!Z$73*Assumptions!$C$151*Assumptions!$D$151</f>
        <v>0</v>
      </c>
      <c r="AA10" s="51" t="n">
        <f aca="false">HR_Model!AA$73*Assumptions!$C$151*Assumptions!$D$151</f>
        <v>1170</v>
      </c>
      <c r="AB10" s="51" t="n">
        <f aca="false">HR_Model!AB$73*Assumptions!$C$151*Assumptions!$D$151</f>
        <v>0</v>
      </c>
      <c r="AC10" s="51" t="n">
        <f aca="false">HR_Model!AC$73*Assumptions!$C$151*Assumptions!$D$151</f>
        <v>0</v>
      </c>
      <c r="AD10" s="51" t="n">
        <f aca="false">HR_Model!AD$73*Assumptions!$C$151*Assumptions!$D$151</f>
        <v>0</v>
      </c>
      <c r="AE10" s="51" t="n">
        <f aca="false">HR_Model!AE$73*Assumptions!$C$151*Assumptions!$D$151</f>
        <v>0</v>
      </c>
      <c r="AF10" s="51" t="n">
        <f aca="false">HR_Model!AF$73*Assumptions!$C$151*Assumptions!$D$151</f>
        <v>0</v>
      </c>
      <c r="AG10" s="51" t="n">
        <f aca="false">HR_Model!AG$73*Assumptions!$C$151*Assumptions!$D$151</f>
        <v>0</v>
      </c>
      <c r="AH10" s="51" t="n">
        <f aca="false">HR_Model!AH$73*Assumptions!$C$151*Assumptions!$D$151</f>
        <v>0</v>
      </c>
      <c r="AI10" s="51" t="n">
        <f aca="false">HR_Model!AI$73*Assumptions!$C$151*Assumptions!$D$151</f>
        <v>0</v>
      </c>
      <c r="AJ10" s="51" t="n">
        <f aca="false">HR_Model!AJ$73*Assumptions!$C$151*Assumptions!$D$151</f>
        <v>0</v>
      </c>
      <c r="AK10" s="51" t="n">
        <f aca="false">HR_Model!AK$73*Assumptions!$C$151*Assumptions!$D$151</f>
        <v>0</v>
      </c>
      <c r="AL10" s="51" t="n">
        <f aca="false">HR_Model!AL$73*Assumptions!$C$151*Assumptions!$D$151</f>
        <v>0</v>
      </c>
      <c r="AN10" s="52" t="n">
        <f aca="false">SUM(C10:N10)</f>
        <v>2340</v>
      </c>
      <c r="AO10" s="52" t="n">
        <f aca="false">SUM(O10:Z10)</f>
        <v>1170</v>
      </c>
      <c r="AP10" s="52" t="n">
        <f aca="false">SUM(AA10:AL10)</f>
        <v>1170</v>
      </c>
    </row>
    <row r="11" customFormat="false" ht="15" hidden="false" customHeight="false" outlineLevel="0" collapsed="false">
      <c r="A11" s="26" t="s">
        <v>298</v>
      </c>
      <c r="B11" s="24" t="s">
        <v>441</v>
      </c>
      <c r="C11" s="51" t="n">
        <f aca="false">IF(1=Assumptions!$C$155,Assumptions!$D$155,0)</f>
        <v>14000</v>
      </c>
      <c r="D11" s="51" t="n">
        <f aca="false">IF(2=Assumptions!$C$155,Assumptions!$D$155,0)</f>
        <v>0</v>
      </c>
      <c r="E11" s="51" t="n">
        <f aca="false">IF(3=Assumptions!$C$155,Assumptions!$D$155,0)</f>
        <v>0</v>
      </c>
      <c r="F11" s="51" t="n">
        <f aca="false">IF(4=Assumptions!$C$155,Assumptions!$D$155,0)</f>
        <v>0</v>
      </c>
      <c r="G11" s="51" t="n">
        <f aca="false">IF(5=Assumptions!$C$155,Assumptions!$D$155,0)</f>
        <v>0</v>
      </c>
      <c r="H11" s="51" t="n">
        <f aca="false">IF(6=Assumptions!$C$155,Assumptions!$D$155,0)</f>
        <v>0</v>
      </c>
      <c r="I11" s="51" t="n">
        <f aca="false">IF(7=Assumptions!$C$155,Assumptions!$D$155,0)</f>
        <v>0</v>
      </c>
      <c r="J11" s="51" t="n">
        <f aca="false">IF(8=Assumptions!$C$155,Assumptions!$D$155,0)</f>
        <v>0</v>
      </c>
      <c r="K11" s="51" t="n">
        <f aca="false">IF(9=Assumptions!$C$155,Assumptions!$D$155,0)</f>
        <v>0</v>
      </c>
      <c r="L11" s="51" t="n">
        <f aca="false">IF(10=Assumptions!$C$155,Assumptions!$D$155,0)</f>
        <v>0</v>
      </c>
      <c r="M11" s="51" t="n">
        <f aca="false">IF(11=Assumptions!$C$155,Assumptions!$D$155,0)</f>
        <v>0</v>
      </c>
      <c r="N11" s="51" t="n">
        <f aca="false">IF(12=Assumptions!$C$155,Assumptions!$D$155,0)</f>
        <v>0</v>
      </c>
      <c r="O11" s="51" t="n">
        <f aca="false">IF(13=Assumptions!$C$155,Assumptions!$D$155,0)</f>
        <v>0</v>
      </c>
      <c r="P11" s="51" t="n">
        <f aca="false">IF(14=Assumptions!$C$155,Assumptions!$D$155,0)</f>
        <v>0</v>
      </c>
      <c r="Q11" s="51" t="n">
        <f aca="false">IF(15=Assumptions!$C$155,Assumptions!$D$155,0)</f>
        <v>0</v>
      </c>
      <c r="R11" s="51" t="n">
        <f aca="false">IF(16=Assumptions!$C$155,Assumptions!$D$155,0)</f>
        <v>0</v>
      </c>
      <c r="S11" s="51" t="n">
        <f aca="false">IF(17=Assumptions!$C$155,Assumptions!$D$155,0)</f>
        <v>0</v>
      </c>
      <c r="T11" s="51" t="n">
        <f aca="false">IF(18=Assumptions!$C$155,Assumptions!$D$155,0)</f>
        <v>0</v>
      </c>
      <c r="U11" s="51" t="n">
        <f aca="false">IF(19=Assumptions!$C$155,Assumptions!$D$155,0)</f>
        <v>0</v>
      </c>
      <c r="V11" s="51" t="n">
        <f aca="false">IF(20=Assumptions!$C$155,Assumptions!$D$155,0)</f>
        <v>0</v>
      </c>
      <c r="W11" s="51" t="n">
        <f aca="false">IF(21=Assumptions!$C$155,Assumptions!$D$155,0)</f>
        <v>0</v>
      </c>
      <c r="X11" s="51" t="n">
        <f aca="false">IF(22=Assumptions!$C$155,Assumptions!$D$155,0)</f>
        <v>0</v>
      </c>
      <c r="Y11" s="51" t="n">
        <f aca="false">IF(23=Assumptions!$C$155,Assumptions!$D$155,0)</f>
        <v>0</v>
      </c>
      <c r="Z11" s="51" t="n">
        <f aca="false">IF(24=Assumptions!$C$155,Assumptions!$D$155,0)</f>
        <v>0</v>
      </c>
      <c r="AA11" s="51" t="n">
        <f aca="false">IF(25=Assumptions!$C$155,Assumptions!$D$155,0)</f>
        <v>0</v>
      </c>
      <c r="AB11" s="51" t="n">
        <f aca="false">IF(26=Assumptions!$C$155,Assumptions!$D$155,0)</f>
        <v>0</v>
      </c>
      <c r="AC11" s="51" t="n">
        <f aca="false">IF(27=Assumptions!$C$155,Assumptions!$D$155,0)</f>
        <v>0</v>
      </c>
      <c r="AD11" s="51" t="n">
        <f aca="false">IF(28=Assumptions!$C$155,Assumptions!$D$155,0)</f>
        <v>0</v>
      </c>
      <c r="AE11" s="51" t="n">
        <f aca="false">IF(29=Assumptions!$C$155,Assumptions!$D$155,0)</f>
        <v>0</v>
      </c>
      <c r="AF11" s="51" t="n">
        <f aca="false">IF(30=Assumptions!$C$155,Assumptions!$D$155,0)</f>
        <v>0</v>
      </c>
      <c r="AG11" s="51" t="n">
        <f aca="false">IF(31=Assumptions!$C$155,Assumptions!$D$155,0)</f>
        <v>0</v>
      </c>
      <c r="AH11" s="51" t="n">
        <f aca="false">IF(32=Assumptions!$C$155,Assumptions!$D$155,0)</f>
        <v>0</v>
      </c>
      <c r="AI11" s="51" t="n">
        <f aca="false">IF(33=Assumptions!$C$155,Assumptions!$D$155,0)</f>
        <v>0</v>
      </c>
      <c r="AJ11" s="51" t="n">
        <f aca="false">IF(34=Assumptions!$C$155,Assumptions!$D$155,0)</f>
        <v>0</v>
      </c>
      <c r="AK11" s="51" t="n">
        <f aca="false">IF(35=Assumptions!$C$155,Assumptions!$D$155,0)</f>
        <v>0</v>
      </c>
      <c r="AL11" s="51" t="n">
        <f aca="false">IF(36=Assumptions!$C$155,Assumptions!$D$155,0)</f>
        <v>0</v>
      </c>
      <c r="AN11" s="52" t="n">
        <f aca="false">SUM(C11:N11)</f>
        <v>14000</v>
      </c>
      <c r="AO11" s="52" t="n">
        <f aca="false">SUM(O11:Z11)</f>
        <v>0</v>
      </c>
      <c r="AP11" s="52" t="n">
        <f aca="false">SUM(AA11:AL11)</f>
        <v>0</v>
      </c>
    </row>
    <row r="12" customFormat="false" ht="15" hidden="false" customHeight="false" outlineLevel="0" collapsed="false">
      <c r="A12" s="26" t="s">
        <v>299</v>
      </c>
      <c r="B12" s="24" t="s">
        <v>442</v>
      </c>
      <c r="C12" s="51" t="n">
        <f aca="false">IF(1=Assumptions!$C$156,Assumptions!$D$156,0)</f>
        <v>0</v>
      </c>
      <c r="D12" s="51" t="n">
        <f aca="false">IF(2=Assumptions!$C$156,Assumptions!$D$156,0)</f>
        <v>9500</v>
      </c>
      <c r="E12" s="51" t="n">
        <f aca="false">IF(3=Assumptions!$C$156,Assumptions!$D$156,0)</f>
        <v>0</v>
      </c>
      <c r="F12" s="51" t="n">
        <f aca="false">IF(4=Assumptions!$C$156,Assumptions!$D$156,0)</f>
        <v>0</v>
      </c>
      <c r="G12" s="51" t="n">
        <f aca="false">IF(5=Assumptions!$C$156,Assumptions!$D$156,0)</f>
        <v>0</v>
      </c>
      <c r="H12" s="51" t="n">
        <f aca="false">IF(6=Assumptions!$C$156,Assumptions!$D$156,0)</f>
        <v>0</v>
      </c>
      <c r="I12" s="51" t="n">
        <f aca="false">IF(7=Assumptions!$C$156,Assumptions!$D$156,0)</f>
        <v>0</v>
      </c>
      <c r="J12" s="51" t="n">
        <f aca="false">IF(8=Assumptions!$C$156,Assumptions!$D$156,0)</f>
        <v>0</v>
      </c>
      <c r="K12" s="51" t="n">
        <f aca="false">IF(9=Assumptions!$C$156,Assumptions!$D$156,0)</f>
        <v>0</v>
      </c>
      <c r="L12" s="51" t="n">
        <f aca="false">IF(10=Assumptions!$C$156,Assumptions!$D$156,0)</f>
        <v>0</v>
      </c>
      <c r="M12" s="51" t="n">
        <f aca="false">IF(11=Assumptions!$C$156,Assumptions!$D$156,0)</f>
        <v>0</v>
      </c>
      <c r="N12" s="51" t="n">
        <f aca="false">IF(12=Assumptions!$C$156,Assumptions!$D$156,0)</f>
        <v>0</v>
      </c>
      <c r="O12" s="51" t="n">
        <f aca="false">IF(13=Assumptions!$C$156,Assumptions!$D$156,0)</f>
        <v>0</v>
      </c>
      <c r="P12" s="51" t="n">
        <f aca="false">IF(14=Assumptions!$C$156,Assumptions!$D$156,0)</f>
        <v>0</v>
      </c>
      <c r="Q12" s="51" t="n">
        <f aca="false">IF(15=Assumptions!$C$156,Assumptions!$D$156,0)</f>
        <v>0</v>
      </c>
      <c r="R12" s="51" t="n">
        <f aca="false">IF(16=Assumptions!$C$156,Assumptions!$D$156,0)</f>
        <v>0</v>
      </c>
      <c r="S12" s="51" t="n">
        <f aca="false">IF(17=Assumptions!$C$156,Assumptions!$D$156,0)</f>
        <v>0</v>
      </c>
      <c r="T12" s="51" t="n">
        <f aca="false">IF(18=Assumptions!$C$156,Assumptions!$D$156,0)</f>
        <v>0</v>
      </c>
      <c r="U12" s="51" t="n">
        <f aca="false">IF(19=Assumptions!$C$156,Assumptions!$D$156,0)</f>
        <v>0</v>
      </c>
      <c r="V12" s="51" t="n">
        <f aca="false">IF(20=Assumptions!$C$156,Assumptions!$D$156,0)</f>
        <v>0</v>
      </c>
      <c r="W12" s="51" t="n">
        <f aca="false">IF(21=Assumptions!$C$156,Assumptions!$D$156,0)</f>
        <v>0</v>
      </c>
      <c r="X12" s="51" t="n">
        <f aca="false">IF(22=Assumptions!$C$156,Assumptions!$D$156,0)</f>
        <v>0</v>
      </c>
      <c r="Y12" s="51" t="n">
        <f aca="false">IF(23=Assumptions!$C$156,Assumptions!$D$156,0)</f>
        <v>0</v>
      </c>
      <c r="Z12" s="51" t="n">
        <f aca="false">IF(24=Assumptions!$C$156,Assumptions!$D$156,0)</f>
        <v>0</v>
      </c>
      <c r="AA12" s="51" t="n">
        <f aca="false">IF(25=Assumptions!$C$156,Assumptions!$D$156,0)</f>
        <v>0</v>
      </c>
      <c r="AB12" s="51" t="n">
        <f aca="false">IF(26=Assumptions!$C$156,Assumptions!$D$156,0)</f>
        <v>0</v>
      </c>
      <c r="AC12" s="51" t="n">
        <f aca="false">IF(27=Assumptions!$C$156,Assumptions!$D$156,0)</f>
        <v>0</v>
      </c>
      <c r="AD12" s="51" t="n">
        <f aca="false">IF(28=Assumptions!$C$156,Assumptions!$D$156,0)</f>
        <v>0</v>
      </c>
      <c r="AE12" s="51" t="n">
        <f aca="false">IF(29=Assumptions!$C$156,Assumptions!$D$156,0)</f>
        <v>0</v>
      </c>
      <c r="AF12" s="51" t="n">
        <f aca="false">IF(30=Assumptions!$C$156,Assumptions!$D$156,0)</f>
        <v>0</v>
      </c>
      <c r="AG12" s="51" t="n">
        <f aca="false">IF(31=Assumptions!$C$156,Assumptions!$D$156,0)</f>
        <v>0</v>
      </c>
      <c r="AH12" s="51" t="n">
        <f aca="false">IF(32=Assumptions!$C$156,Assumptions!$D$156,0)</f>
        <v>0</v>
      </c>
      <c r="AI12" s="51" t="n">
        <f aca="false">IF(33=Assumptions!$C$156,Assumptions!$D$156,0)</f>
        <v>0</v>
      </c>
      <c r="AJ12" s="51" t="n">
        <f aca="false">IF(34=Assumptions!$C$156,Assumptions!$D$156,0)</f>
        <v>0</v>
      </c>
      <c r="AK12" s="51" t="n">
        <f aca="false">IF(35=Assumptions!$C$156,Assumptions!$D$156,0)</f>
        <v>0</v>
      </c>
      <c r="AL12" s="51" t="n">
        <f aca="false">IF(36=Assumptions!$C$156,Assumptions!$D$156,0)</f>
        <v>0</v>
      </c>
      <c r="AN12" s="52" t="n">
        <f aca="false">SUM(C12:N12)</f>
        <v>9500</v>
      </c>
      <c r="AO12" s="52" t="n">
        <f aca="false">SUM(O12:Z12)</f>
        <v>0</v>
      </c>
      <c r="AP12" s="52" t="n">
        <f aca="false">SUM(AA12:AL12)</f>
        <v>0</v>
      </c>
    </row>
    <row r="13" customFormat="false" ht="15" hidden="false" customHeight="false" outlineLevel="0" collapsed="false">
      <c r="A13" s="26" t="s">
        <v>300</v>
      </c>
      <c r="B13" s="24" t="s">
        <v>441</v>
      </c>
      <c r="C13" s="51" t="n">
        <f aca="false">IF(1=Assumptions!$C$157,Assumptions!$D$157,0)</f>
        <v>0</v>
      </c>
      <c r="D13" s="51" t="n">
        <f aca="false">IF(2=Assumptions!$C$157,Assumptions!$D$157,0)</f>
        <v>0</v>
      </c>
      <c r="E13" s="51" t="n">
        <f aca="false">IF(3=Assumptions!$C$157,Assumptions!$D$157,0)</f>
        <v>0</v>
      </c>
      <c r="F13" s="51" t="n">
        <f aca="false">IF(4=Assumptions!$C$157,Assumptions!$D$157,0)</f>
        <v>0</v>
      </c>
      <c r="G13" s="51" t="n">
        <f aca="false">IF(5=Assumptions!$C$157,Assumptions!$D$157,0)</f>
        <v>0</v>
      </c>
      <c r="H13" s="51" t="n">
        <f aca="false">IF(6=Assumptions!$C$157,Assumptions!$D$157,0)</f>
        <v>0</v>
      </c>
      <c r="I13" s="51" t="n">
        <f aca="false">IF(7=Assumptions!$C$157,Assumptions!$D$157,0)</f>
        <v>0</v>
      </c>
      <c r="J13" s="51" t="n">
        <f aca="false">IF(8=Assumptions!$C$157,Assumptions!$D$157,0)</f>
        <v>0</v>
      </c>
      <c r="K13" s="51" t="n">
        <f aca="false">IF(9=Assumptions!$C$157,Assumptions!$D$157,0)</f>
        <v>0</v>
      </c>
      <c r="L13" s="51" t="n">
        <f aca="false">IF(10=Assumptions!$C$157,Assumptions!$D$157,0)</f>
        <v>0</v>
      </c>
      <c r="M13" s="51" t="n">
        <f aca="false">IF(11=Assumptions!$C$157,Assumptions!$D$157,0)</f>
        <v>0</v>
      </c>
      <c r="N13" s="51" t="n">
        <f aca="false">IF(12=Assumptions!$C$157,Assumptions!$D$157,0)</f>
        <v>0</v>
      </c>
      <c r="O13" s="51" t="n">
        <f aca="false">IF(13=Assumptions!$C$157,Assumptions!$D$157,0)</f>
        <v>0</v>
      </c>
      <c r="P13" s="51" t="n">
        <f aca="false">IF(14=Assumptions!$C$157,Assumptions!$D$157,0)</f>
        <v>8500</v>
      </c>
      <c r="Q13" s="51" t="n">
        <f aca="false">IF(15=Assumptions!$C$157,Assumptions!$D$157,0)</f>
        <v>0</v>
      </c>
      <c r="R13" s="51" t="n">
        <f aca="false">IF(16=Assumptions!$C$157,Assumptions!$D$157,0)</f>
        <v>0</v>
      </c>
      <c r="S13" s="51" t="n">
        <f aca="false">IF(17=Assumptions!$C$157,Assumptions!$D$157,0)</f>
        <v>0</v>
      </c>
      <c r="T13" s="51" t="n">
        <f aca="false">IF(18=Assumptions!$C$157,Assumptions!$D$157,0)</f>
        <v>0</v>
      </c>
      <c r="U13" s="51" t="n">
        <f aca="false">IF(19=Assumptions!$C$157,Assumptions!$D$157,0)</f>
        <v>0</v>
      </c>
      <c r="V13" s="51" t="n">
        <f aca="false">IF(20=Assumptions!$C$157,Assumptions!$D$157,0)</f>
        <v>0</v>
      </c>
      <c r="W13" s="51" t="n">
        <f aca="false">IF(21=Assumptions!$C$157,Assumptions!$D$157,0)</f>
        <v>0</v>
      </c>
      <c r="X13" s="51" t="n">
        <f aca="false">IF(22=Assumptions!$C$157,Assumptions!$D$157,0)</f>
        <v>0</v>
      </c>
      <c r="Y13" s="51" t="n">
        <f aca="false">IF(23=Assumptions!$C$157,Assumptions!$D$157,0)</f>
        <v>0</v>
      </c>
      <c r="Z13" s="51" t="n">
        <f aca="false">IF(24=Assumptions!$C$157,Assumptions!$D$157,0)</f>
        <v>0</v>
      </c>
      <c r="AA13" s="51" t="n">
        <f aca="false">IF(25=Assumptions!$C$157,Assumptions!$D$157,0)</f>
        <v>0</v>
      </c>
      <c r="AB13" s="51" t="n">
        <f aca="false">IF(26=Assumptions!$C$157,Assumptions!$D$157,0)</f>
        <v>0</v>
      </c>
      <c r="AC13" s="51" t="n">
        <f aca="false">IF(27=Assumptions!$C$157,Assumptions!$D$157,0)</f>
        <v>0</v>
      </c>
      <c r="AD13" s="51" t="n">
        <f aca="false">IF(28=Assumptions!$C$157,Assumptions!$D$157,0)</f>
        <v>0</v>
      </c>
      <c r="AE13" s="51" t="n">
        <f aca="false">IF(29=Assumptions!$C$157,Assumptions!$D$157,0)</f>
        <v>0</v>
      </c>
      <c r="AF13" s="51" t="n">
        <f aca="false">IF(30=Assumptions!$C$157,Assumptions!$D$157,0)</f>
        <v>0</v>
      </c>
      <c r="AG13" s="51" t="n">
        <f aca="false">IF(31=Assumptions!$C$157,Assumptions!$D$157,0)</f>
        <v>0</v>
      </c>
      <c r="AH13" s="51" t="n">
        <f aca="false">IF(32=Assumptions!$C$157,Assumptions!$D$157,0)</f>
        <v>0</v>
      </c>
      <c r="AI13" s="51" t="n">
        <f aca="false">IF(33=Assumptions!$C$157,Assumptions!$D$157,0)</f>
        <v>0</v>
      </c>
      <c r="AJ13" s="51" t="n">
        <f aca="false">IF(34=Assumptions!$C$157,Assumptions!$D$157,0)</f>
        <v>0</v>
      </c>
      <c r="AK13" s="51" t="n">
        <f aca="false">IF(35=Assumptions!$C$157,Assumptions!$D$157,0)</f>
        <v>0</v>
      </c>
      <c r="AL13" s="51" t="n">
        <f aca="false">IF(36=Assumptions!$C$157,Assumptions!$D$157,0)</f>
        <v>0</v>
      </c>
      <c r="AN13" s="52" t="n">
        <f aca="false">SUM(C13:N13)</f>
        <v>0</v>
      </c>
      <c r="AO13" s="52" t="n">
        <f aca="false">SUM(O13:Z13)</f>
        <v>8500</v>
      </c>
      <c r="AP13" s="52" t="n">
        <f aca="false">SUM(AA13:AL13)</f>
        <v>0</v>
      </c>
    </row>
    <row r="14" customFormat="false" ht="15" hidden="false" customHeight="false" outlineLevel="0" collapsed="false">
      <c r="A14" s="26" t="s">
        <v>301</v>
      </c>
      <c r="B14" s="24" t="s">
        <v>442</v>
      </c>
      <c r="C14" s="51" t="n">
        <f aca="false">IF(1=Assumptions!$C$158,Assumptions!$D$158,0)</f>
        <v>4200</v>
      </c>
      <c r="D14" s="51" t="n">
        <f aca="false">IF(2=Assumptions!$C$158,Assumptions!$D$158,0)</f>
        <v>0</v>
      </c>
      <c r="E14" s="51" t="n">
        <f aca="false">IF(3=Assumptions!$C$158,Assumptions!$D$158,0)</f>
        <v>0</v>
      </c>
      <c r="F14" s="51" t="n">
        <f aca="false">IF(4=Assumptions!$C$158,Assumptions!$D$158,0)</f>
        <v>0</v>
      </c>
      <c r="G14" s="51" t="n">
        <f aca="false">IF(5=Assumptions!$C$158,Assumptions!$D$158,0)</f>
        <v>0</v>
      </c>
      <c r="H14" s="51" t="n">
        <f aca="false">IF(6=Assumptions!$C$158,Assumptions!$D$158,0)</f>
        <v>0</v>
      </c>
      <c r="I14" s="51" t="n">
        <f aca="false">IF(7=Assumptions!$C$158,Assumptions!$D$158,0)</f>
        <v>0</v>
      </c>
      <c r="J14" s="51" t="n">
        <f aca="false">IF(8=Assumptions!$C$158,Assumptions!$D$158,0)</f>
        <v>0</v>
      </c>
      <c r="K14" s="51" t="n">
        <f aca="false">IF(9=Assumptions!$C$158,Assumptions!$D$158,0)</f>
        <v>0</v>
      </c>
      <c r="L14" s="51" t="n">
        <f aca="false">IF(10=Assumptions!$C$158,Assumptions!$D$158,0)</f>
        <v>0</v>
      </c>
      <c r="M14" s="51" t="n">
        <f aca="false">IF(11=Assumptions!$C$158,Assumptions!$D$158,0)</f>
        <v>0</v>
      </c>
      <c r="N14" s="51" t="n">
        <f aca="false">IF(12=Assumptions!$C$158,Assumptions!$D$158,0)</f>
        <v>0</v>
      </c>
      <c r="O14" s="51" t="n">
        <f aca="false">IF(13=Assumptions!$C$158,Assumptions!$D$158,0)</f>
        <v>0</v>
      </c>
      <c r="P14" s="51" t="n">
        <f aca="false">IF(14=Assumptions!$C$158,Assumptions!$D$158,0)</f>
        <v>0</v>
      </c>
      <c r="Q14" s="51" t="n">
        <f aca="false">IF(15=Assumptions!$C$158,Assumptions!$D$158,0)</f>
        <v>0</v>
      </c>
      <c r="R14" s="51" t="n">
        <f aca="false">IF(16=Assumptions!$C$158,Assumptions!$D$158,0)</f>
        <v>0</v>
      </c>
      <c r="S14" s="51" t="n">
        <f aca="false">IF(17=Assumptions!$C$158,Assumptions!$D$158,0)</f>
        <v>0</v>
      </c>
      <c r="T14" s="51" t="n">
        <f aca="false">IF(18=Assumptions!$C$158,Assumptions!$D$158,0)</f>
        <v>0</v>
      </c>
      <c r="U14" s="51" t="n">
        <f aca="false">IF(19=Assumptions!$C$158,Assumptions!$D$158,0)</f>
        <v>0</v>
      </c>
      <c r="V14" s="51" t="n">
        <f aca="false">IF(20=Assumptions!$C$158,Assumptions!$D$158,0)</f>
        <v>0</v>
      </c>
      <c r="W14" s="51" t="n">
        <f aca="false">IF(21=Assumptions!$C$158,Assumptions!$D$158,0)</f>
        <v>0</v>
      </c>
      <c r="X14" s="51" t="n">
        <f aca="false">IF(22=Assumptions!$C$158,Assumptions!$D$158,0)</f>
        <v>0</v>
      </c>
      <c r="Y14" s="51" t="n">
        <f aca="false">IF(23=Assumptions!$C$158,Assumptions!$D$158,0)</f>
        <v>0</v>
      </c>
      <c r="Z14" s="51" t="n">
        <f aca="false">IF(24=Assumptions!$C$158,Assumptions!$D$158,0)</f>
        <v>0</v>
      </c>
      <c r="AA14" s="51" t="n">
        <f aca="false">IF(25=Assumptions!$C$158,Assumptions!$D$158,0)</f>
        <v>0</v>
      </c>
      <c r="AB14" s="51" t="n">
        <f aca="false">IF(26=Assumptions!$C$158,Assumptions!$D$158,0)</f>
        <v>0</v>
      </c>
      <c r="AC14" s="51" t="n">
        <f aca="false">IF(27=Assumptions!$C$158,Assumptions!$D$158,0)</f>
        <v>0</v>
      </c>
      <c r="AD14" s="51" t="n">
        <f aca="false">IF(28=Assumptions!$C$158,Assumptions!$D$158,0)</f>
        <v>0</v>
      </c>
      <c r="AE14" s="51" t="n">
        <f aca="false">IF(29=Assumptions!$C$158,Assumptions!$D$158,0)</f>
        <v>0</v>
      </c>
      <c r="AF14" s="51" t="n">
        <f aca="false">IF(30=Assumptions!$C$158,Assumptions!$D$158,0)</f>
        <v>0</v>
      </c>
      <c r="AG14" s="51" t="n">
        <f aca="false">IF(31=Assumptions!$C$158,Assumptions!$D$158,0)</f>
        <v>0</v>
      </c>
      <c r="AH14" s="51" t="n">
        <f aca="false">IF(32=Assumptions!$C$158,Assumptions!$D$158,0)</f>
        <v>0</v>
      </c>
      <c r="AI14" s="51" t="n">
        <f aca="false">IF(33=Assumptions!$C$158,Assumptions!$D$158,0)</f>
        <v>0</v>
      </c>
      <c r="AJ14" s="51" t="n">
        <f aca="false">IF(34=Assumptions!$C$158,Assumptions!$D$158,0)</f>
        <v>0</v>
      </c>
      <c r="AK14" s="51" t="n">
        <f aca="false">IF(35=Assumptions!$C$158,Assumptions!$D$158,0)</f>
        <v>0</v>
      </c>
      <c r="AL14" s="51" t="n">
        <f aca="false">IF(36=Assumptions!$C$158,Assumptions!$D$158,0)</f>
        <v>0</v>
      </c>
      <c r="AN14" s="52" t="n">
        <f aca="false">SUM(C14:N14)</f>
        <v>4200</v>
      </c>
      <c r="AO14" s="52" t="n">
        <f aca="false">SUM(O14:Z14)</f>
        <v>0</v>
      </c>
      <c r="AP14" s="52" t="n">
        <f aca="false">SUM(AA14:AL14)</f>
        <v>0</v>
      </c>
    </row>
    <row r="15" customFormat="false" ht="15" hidden="false" customHeight="false" outlineLevel="0" collapsed="false">
      <c r="A15" s="26" t="s">
        <v>302</v>
      </c>
      <c r="B15" s="24" t="s">
        <v>443</v>
      </c>
      <c r="C15" s="51" t="n">
        <f aca="false">IF(1=Assumptions!$C$159,Assumptions!$D$159,0)</f>
        <v>86000</v>
      </c>
      <c r="D15" s="51" t="n">
        <f aca="false">IF(2=Assumptions!$C$159,Assumptions!$D$159,0)</f>
        <v>0</v>
      </c>
      <c r="E15" s="51" t="n">
        <f aca="false">IF(3=Assumptions!$C$159,Assumptions!$D$159,0)</f>
        <v>0</v>
      </c>
      <c r="F15" s="51" t="n">
        <f aca="false">IF(4=Assumptions!$C$159,Assumptions!$D$159,0)</f>
        <v>0</v>
      </c>
      <c r="G15" s="51" t="n">
        <f aca="false">IF(5=Assumptions!$C$159,Assumptions!$D$159,0)</f>
        <v>0</v>
      </c>
      <c r="H15" s="51" t="n">
        <f aca="false">IF(6=Assumptions!$C$159,Assumptions!$D$159,0)</f>
        <v>0</v>
      </c>
      <c r="I15" s="51" t="n">
        <f aca="false">IF(7=Assumptions!$C$159,Assumptions!$D$159,0)</f>
        <v>0</v>
      </c>
      <c r="J15" s="51" t="n">
        <f aca="false">IF(8=Assumptions!$C$159,Assumptions!$D$159,0)</f>
        <v>0</v>
      </c>
      <c r="K15" s="51" t="n">
        <f aca="false">IF(9=Assumptions!$C$159,Assumptions!$D$159,0)</f>
        <v>0</v>
      </c>
      <c r="L15" s="51" t="n">
        <f aca="false">IF(10=Assumptions!$C$159,Assumptions!$D$159,0)</f>
        <v>0</v>
      </c>
      <c r="M15" s="51" t="n">
        <f aca="false">IF(11=Assumptions!$C$159,Assumptions!$D$159,0)</f>
        <v>0</v>
      </c>
      <c r="N15" s="51" t="n">
        <f aca="false">IF(12=Assumptions!$C$159,Assumptions!$D$159,0)</f>
        <v>0</v>
      </c>
      <c r="O15" s="51" t="n">
        <f aca="false">IF(13=Assumptions!$C$159,Assumptions!$D$159,0)</f>
        <v>0</v>
      </c>
      <c r="P15" s="51" t="n">
        <f aca="false">IF(14=Assumptions!$C$159,Assumptions!$D$159,0)</f>
        <v>0</v>
      </c>
      <c r="Q15" s="51" t="n">
        <f aca="false">IF(15=Assumptions!$C$159,Assumptions!$D$159,0)</f>
        <v>0</v>
      </c>
      <c r="R15" s="51" t="n">
        <f aca="false">IF(16=Assumptions!$C$159,Assumptions!$D$159,0)</f>
        <v>0</v>
      </c>
      <c r="S15" s="51" t="n">
        <f aca="false">IF(17=Assumptions!$C$159,Assumptions!$D$159,0)</f>
        <v>0</v>
      </c>
      <c r="T15" s="51" t="n">
        <f aca="false">IF(18=Assumptions!$C$159,Assumptions!$D$159,0)</f>
        <v>0</v>
      </c>
      <c r="U15" s="51" t="n">
        <f aca="false">IF(19=Assumptions!$C$159,Assumptions!$D$159,0)</f>
        <v>0</v>
      </c>
      <c r="V15" s="51" t="n">
        <f aca="false">IF(20=Assumptions!$C$159,Assumptions!$D$159,0)</f>
        <v>0</v>
      </c>
      <c r="W15" s="51" t="n">
        <f aca="false">IF(21=Assumptions!$C$159,Assumptions!$D$159,0)</f>
        <v>0</v>
      </c>
      <c r="X15" s="51" t="n">
        <f aca="false">IF(22=Assumptions!$C$159,Assumptions!$D$159,0)</f>
        <v>0</v>
      </c>
      <c r="Y15" s="51" t="n">
        <f aca="false">IF(23=Assumptions!$C$159,Assumptions!$D$159,0)</f>
        <v>0</v>
      </c>
      <c r="Z15" s="51" t="n">
        <f aca="false">IF(24=Assumptions!$C$159,Assumptions!$D$159,0)</f>
        <v>0</v>
      </c>
      <c r="AA15" s="51" t="n">
        <f aca="false">IF(25=Assumptions!$C$159,Assumptions!$D$159,0)</f>
        <v>0</v>
      </c>
      <c r="AB15" s="51" t="n">
        <f aca="false">IF(26=Assumptions!$C$159,Assumptions!$D$159,0)</f>
        <v>0</v>
      </c>
      <c r="AC15" s="51" t="n">
        <f aca="false">IF(27=Assumptions!$C$159,Assumptions!$D$159,0)</f>
        <v>0</v>
      </c>
      <c r="AD15" s="51" t="n">
        <f aca="false">IF(28=Assumptions!$C$159,Assumptions!$D$159,0)</f>
        <v>0</v>
      </c>
      <c r="AE15" s="51" t="n">
        <f aca="false">IF(29=Assumptions!$C$159,Assumptions!$D$159,0)</f>
        <v>0</v>
      </c>
      <c r="AF15" s="51" t="n">
        <f aca="false">IF(30=Assumptions!$C$159,Assumptions!$D$159,0)</f>
        <v>0</v>
      </c>
      <c r="AG15" s="51" t="n">
        <f aca="false">IF(31=Assumptions!$C$159,Assumptions!$D$159,0)</f>
        <v>0</v>
      </c>
      <c r="AH15" s="51" t="n">
        <f aca="false">IF(32=Assumptions!$C$159,Assumptions!$D$159,0)</f>
        <v>0</v>
      </c>
      <c r="AI15" s="51" t="n">
        <f aca="false">IF(33=Assumptions!$C$159,Assumptions!$D$159,0)</f>
        <v>0</v>
      </c>
      <c r="AJ15" s="51" t="n">
        <f aca="false">IF(34=Assumptions!$C$159,Assumptions!$D$159,0)</f>
        <v>0</v>
      </c>
      <c r="AK15" s="51" t="n">
        <f aca="false">IF(35=Assumptions!$C$159,Assumptions!$D$159,0)</f>
        <v>0</v>
      </c>
      <c r="AL15" s="51" t="n">
        <f aca="false">IF(36=Assumptions!$C$159,Assumptions!$D$159,0)</f>
        <v>0</v>
      </c>
      <c r="AN15" s="52" t="n">
        <f aca="false">SUM(C15:N15)</f>
        <v>86000</v>
      </c>
      <c r="AO15" s="52" t="n">
        <f aca="false">SUM(O15:Z15)</f>
        <v>0</v>
      </c>
      <c r="AP15" s="52" t="n">
        <f aca="false">SUM(AA15:AL15)</f>
        <v>0</v>
      </c>
    </row>
    <row r="16" customFormat="false" ht="15" hidden="false" customHeight="false" outlineLevel="0" collapsed="false">
      <c r="A16" s="26" t="s">
        <v>303</v>
      </c>
      <c r="B16" s="24" t="s">
        <v>443</v>
      </c>
      <c r="C16" s="51" t="n">
        <f aca="false">IF(1=Assumptions!$C$160,Assumptions!$D$160,0)</f>
        <v>42000</v>
      </c>
      <c r="D16" s="51" t="n">
        <f aca="false">IF(2=Assumptions!$C$160,Assumptions!$D$160,0)</f>
        <v>0</v>
      </c>
      <c r="E16" s="51" t="n">
        <f aca="false">IF(3=Assumptions!$C$160,Assumptions!$D$160,0)</f>
        <v>0</v>
      </c>
      <c r="F16" s="51" t="n">
        <f aca="false">IF(4=Assumptions!$C$160,Assumptions!$D$160,0)</f>
        <v>0</v>
      </c>
      <c r="G16" s="51" t="n">
        <f aca="false">IF(5=Assumptions!$C$160,Assumptions!$D$160,0)</f>
        <v>0</v>
      </c>
      <c r="H16" s="51" t="n">
        <f aca="false">IF(6=Assumptions!$C$160,Assumptions!$D$160,0)</f>
        <v>0</v>
      </c>
      <c r="I16" s="51" t="n">
        <f aca="false">IF(7=Assumptions!$C$160,Assumptions!$D$160,0)</f>
        <v>0</v>
      </c>
      <c r="J16" s="51" t="n">
        <f aca="false">IF(8=Assumptions!$C$160,Assumptions!$D$160,0)</f>
        <v>0</v>
      </c>
      <c r="K16" s="51" t="n">
        <f aca="false">IF(9=Assumptions!$C$160,Assumptions!$D$160,0)</f>
        <v>0</v>
      </c>
      <c r="L16" s="51" t="n">
        <f aca="false">IF(10=Assumptions!$C$160,Assumptions!$D$160,0)</f>
        <v>0</v>
      </c>
      <c r="M16" s="51" t="n">
        <f aca="false">IF(11=Assumptions!$C$160,Assumptions!$D$160,0)</f>
        <v>0</v>
      </c>
      <c r="N16" s="51" t="n">
        <f aca="false">IF(12=Assumptions!$C$160,Assumptions!$D$160,0)</f>
        <v>0</v>
      </c>
      <c r="O16" s="51" t="n">
        <f aca="false">IF(13=Assumptions!$C$160,Assumptions!$D$160,0)</f>
        <v>0</v>
      </c>
      <c r="P16" s="51" t="n">
        <f aca="false">IF(14=Assumptions!$C$160,Assumptions!$D$160,0)</f>
        <v>0</v>
      </c>
      <c r="Q16" s="51" t="n">
        <f aca="false">IF(15=Assumptions!$C$160,Assumptions!$D$160,0)</f>
        <v>0</v>
      </c>
      <c r="R16" s="51" t="n">
        <f aca="false">IF(16=Assumptions!$C$160,Assumptions!$D$160,0)</f>
        <v>0</v>
      </c>
      <c r="S16" s="51" t="n">
        <f aca="false">IF(17=Assumptions!$C$160,Assumptions!$D$160,0)</f>
        <v>0</v>
      </c>
      <c r="T16" s="51" t="n">
        <f aca="false">IF(18=Assumptions!$C$160,Assumptions!$D$160,0)</f>
        <v>0</v>
      </c>
      <c r="U16" s="51" t="n">
        <f aca="false">IF(19=Assumptions!$C$160,Assumptions!$D$160,0)</f>
        <v>0</v>
      </c>
      <c r="V16" s="51" t="n">
        <f aca="false">IF(20=Assumptions!$C$160,Assumptions!$D$160,0)</f>
        <v>0</v>
      </c>
      <c r="W16" s="51" t="n">
        <f aca="false">IF(21=Assumptions!$C$160,Assumptions!$D$160,0)</f>
        <v>0</v>
      </c>
      <c r="X16" s="51" t="n">
        <f aca="false">IF(22=Assumptions!$C$160,Assumptions!$D$160,0)</f>
        <v>0</v>
      </c>
      <c r="Y16" s="51" t="n">
        <f aca="false">IF(23=Assumptions!$C$160,Assumptions!$D$160,0)</f>
        <v>0</v>
      </c>
      <c r="Z16" s="51" t="n">
        <f aca="false">IF(24=Assumptions!$C$160,Assumptions!$D$160,0)</f>
        <v>0</v>
      </c>
      <c r="AA16" s="51" t="n">
        <f aca="false">IF(25=Assumptions!$C$160,Assumptions!$D$160,0)</f>
        <v>0</v>
      </c>
      <c r="AB16" s="51" t="n">
        <f aca="false">IF(26=Assumptions!$C$160,Assumptions!$D$160,0)</f>
        <v>0</v>
      </c>
      <c r="AC16" s="51" t="n">
        <f aca="false">IF(27=Assumptions!$C$160,Assumptions!$D$160,0)</f>
        <v>0</v>
      </c>
      <c r="AD16" s="51" t="n">
        <f aca="false">IF(28=Assumptions!$C$160,Assumptions!$D$160,0)</f>
        <v>0</v>
      </c>
      <c r="AE16" s="51" t="n">
        <f aca="false">IF(29=Assumptions!$C$160,Assumptions!$D$160,0)</f>
        <v>0</v>
      </c>
      <c r="AF16" s="51" t="n">
        <f aca="false">IF(30=Assumptions!$C$160,Assumptions!$D$160,0)</f>
        <v>0</v>
      </c>
      <c r="AG16" s="51" t="n">
        <f aca="false">IF(31=Assumptions!$C$160,Assumptions!$D$160,0)</f>
        <v>0</v>
      </c>
      <c r="AH16" s="51" t="n">
        <f aca="false">IF(32=Assumptions!$C$160,Assumptions!$D$160,0)</f>
        <v>0</v>
      </c>
      <c r="AI16" s="51" t="n">
        <f aca="false">IF(33=Assumptions!$C$160,Assumptions!$D$160,0)</f>
        <v>0</v>
      </c>
      <c r="AJ16" s="51" t="n">
        <f aca="false">IF(34=Assumptions!$C$160,Assumptions!$D$160,0)</f>
        <v>0</v>
      </c>
      <c r="AK16" s="51" t="n">
        <f aca="false">IF(35=Assumptions!$C$160,Assumptions!$D$160,0)</f>
        <v>0</v>
      </c>
      <c r="AL16" s="51" t="n">
        <f aca="false">IF(36=Assumptions!$C$160,Assumptions!$D$160,0)</f>
        <v>0</v>
      </c>
      <c r="AN16" s="52" t="n">
        <f aca="false">SUM(C16:N16)</f>
        <v>42000</v>
      </c>
      <c r="AO16" s="52" t="n">
        <f aca="false">SUM(O16:Z16)</f>
        <v>0</v>
      </c>
      <c r="AP16" s="52" t="n">
        <f aca="false">SUM(AA16:AL16)</f>
        <v>0</v>
      </c>
    </row>
    <row r="17" customFormat="false" ht="15" hidden="false" customHeight="false" outlineLevel="0" collapsed="false">
      <c r="A17" s="26" t="s">
        <v>304</v>
      </c>
      <c r="B17" s="24" t="s">
        <v>441</v>
      </c>
      <c r="C17" s="51" t="n">
        <f aca="false">IF(1=Assumptions!$C$161,Assumptions!$D$161,0)</f>
        <v>11000</v>
      </c>
      <c r="D17" s="51" t="n">
        <f aca="false">IF(2=Assumptions!$C$161,Assumptions!$D$161,0)</f>
        <v>0</v>
      </c>
      <c r="E17" s="51" t="n">
        <f aca="false">IF(3=Assumptions!$C$161,Assumptions!$D$161,0)</f>
        <v>0</v>
      </c>
      <c r="F17" s="51" t="n">
        <f aca="false">IF(4=Assumptions!$C$161,Assumptions!$D$161,0)</f>
        <v>0</v>
      </c>
      <c r="G17" s="51" t="n">
        <f aca="false">IF(5=Assumptions!$C$161,Assumptions!$D$161,0)</f>
        <v>0</v>
      </c>
      <c r="H17" s="51" t="n">
        <f aca="false">IF(6=Assumptions!$C$161,Assumptions!$D$161,0)</f>
        <v>0</v>
      </c>
      <c r="I17" s="51" t="n">
        <f aca="false">IF(7=Assumptions!$C$161,Assumptions!$D$161,0)</f>
        <v>0</v>
      </c>
      <c r="J17" s="51" t="n">
        <f aca="false">IF(8=Assumptions!$C$161,Assumptions!$D$161,0)</f>
        <v>0</v>
      </c>
      <c r="K17" s="51" t="n">
        <f aca="false">IF(9=Assumptions!$C$161,Assumptions!$D$161,0)</f>
        <v>0</v>
      </c>
      <c r="L17" s="51" t="n">
        <f aca="false">IF(10=Assumptions!$C$161,Assumptions!$D$161,0)</f>
        <v>0</v>
      </c>
      <c r="M17" s="51" t="n">
        <f aca="false">IF(11=Assumptions!$C$161,Assumptions!$D$161,0)</f>
        <v>0</v>
      </c>
      <c r="N17" s="51" t="n">
        <f aca="false">IF(12=Assumptions!$C$161,Assumptions!$D$161,0)</f>
        <v>0</v>
      </c>
      <c r="O17" s="51" t="n">
        <f aca="false">IF(13=Assumptions!$C$161,Assumptions!$D$161,0)</f>
        <v>0</v>
      </c>
      <c r="P17" s="51" t="n">
        <f aca="false">IF(14=Assumptions!$C$161,Assumptions!$D$161,0)</f>
        <v>0</v>
      </c>
      <c r="Q17" s="51" t="n">
        <f aca="false">IF(15=Assumptions!$C$161,Assumptions!$D$161,0)</f>
        <v>0</v>
      </c>
      <c r="R17" s="51" t="n">
        <f aca="false">IF(16=Assumptions!$C$161,Assumptions!$D$161,0)</f>
        <v>0</v>
      </c>
      <c r="S17" s="51" t="n">
        <f aca="false">IF(17=Assumptions!$C$161,Assumptions!$D$161,0)</f>
        <v>0</v>
      </c>
      <c r="T17" s="51" t="n">
        <f aca="false">IF(18=Assumptions!$C$161,Assumptions!$D$161,0)</f>
        <v>0</v>
      </c>
      <c r="U17" s="51" t="n">
        <f aca="false">IF(19=Assumptions!$C$161,Assumptions!$D$161,0)</f>
        <v>0</v>
      </c>
      <c r="V17" s="51" t="n">
        <f aca="false">IF(20=Assumptions!$C$161,Assumptions!$D$161,0)</f>
        <v>0</v>
      </c>
      <c r="W17" s="51" t="n">
        <f aca="false">IF(21=Assumptions!$C$161,Assumptions!$D$161,0)</f>
        <v>0</v>
      </c>
      <c r="X17" s="51" t="n">
        <f aca="false">IF(22=Assumptions!$C$161,Assumptions!$D$161,0)</f>
        <v>0</v>
      </c>
      <c r="Y17" s="51" t="n">
        <f aca="false">IF(23=Assumptions!$C$161,Assumptions!$D$161,0)</f>
        <v>0</v>
      </c>
      <c r="Z17" s="51" t="n">
        <f aca="false">IF(24=Assumptions!$C$161,Assumptions!$D$161,0)</f>
        <v>0</v>
      </c>
      <c r="AA17" s="51" t="n">
        <f aca="false">IF(25=Assumptions!$C$161,Assumptions!$D$161,0)</f>
        <v>0</v>
      </c>
      <c r="AB17" s="51" t="n">
        <f aca="false">IF(26=Assumptions!$C$161,Assumptions!$D$161,0)</f>
        <v>0</v>
      </c>
      <c r="AC17" s="51" t="n">
        <f aca="false">IF(27=Assumptions!$C$161,Assumptions!$D$161,0)</f>
        <v>0</v>
      </c>
      <c r="AD17" s="51" t="n">
        <f aca="false">IF(28=Assumptions!$C$161,Assumptions!$D$161,0)</f>
        <v>0</v>
      </c>
      <c r="AE17" s="51" t="n">
        <f aca="false">IF(29=Assumptions!$C$161,Assumptions!$D$161,0)</f>
        <v>0</v>
      </c>
      <c r="AF17" s="51" t="n">
        <f aca="false">IF(30=Assumptions!$C$161,Assumptions!$D$161,0)</f>
        <v>0</v>
      </c>
      <c r="AG17" s="51" t="n">
        <f aca="false">IF(31=Assumptions!$C$161,Assumptions!$D$161,0)</f>
        <v>0</v>
      </c>
      <c r="AH17" s="51" t="n">
        <f aca="false">IF(32=Assumptions!$C$161,Assumptions!$D$161,0)</f>
        <v>0</v>
      </c>
      <c r="AI17" s="51" t="n">
        <f aca="false">IF(33=Assumptions!$C$161,Assumptions!$D$161,0)</f>
        <v>0</v>
      </c>
      <c r="AJ17" s="51" t="n">
        <f aca="false">IF(34=Assumptions!$C$161,Assumptions!$D$161,0)</f>
        <v>0</v>
      </c>
      <c r="AK17" s="51" t="n">
        <f aca="false">IF(35=Assumptions!$C$161,Assumptions!$D$161,0)</f>
        <v>0</v>
      </c>
      <c r="AL17" s="51" t="n">
        <f aca="false">IF(36=Assumptions!$C$161,Assumptions!$D$161,0)</f>
        <v>0</v>
      </c>
      <c r="AN17" s="52" t="n">
        <f aca="false">SUM(C17:N17)</f>
        <v>11000</v>
      </c>
      <c r="AO17" s="52" t="n">
        <f aca="false">SUM(O17:Z17)</f>
        <v>0</v>
      </c>
      <c r="AP17" s="52" t="n">
        <f aca="false">SUM(AA17:AL17)</f>
        <v>0</v>
      </c>
    </row>
    <row r="18" customFormat="false" ht="15" hidden="false" customHeight="false" outlineLevel="0" collapsed="false">
      <c r="A18" s="53" t="s">
        <v>444</v>
      </c>
      <c r="B18" s="54" t="s">
        <v>445</v>
      </c>
      <c r="C18" s="55" t="n">
        <f aca="false">SUM(C7:C17)</f>
        <v>173520</v>
      </c>
      <c r="D18" s="55" t="n">
        <f aca="false">SUM(D7:D17)</f>
        <v>9500</v>
      </c>
      <c r="E18" s="55" t="n">
        <f aca="false">SUM(E7:E17)</f>
        <v>0</v>
      </c>
      <c r="F18" s="55" t="n">
        <f aca="false">SUM(F7:F17)</f>
        <v>0</v>
      </c>
      <c r="G18" s="55" t="n">
        <f aca="false">SUM(G7:G17)</f>
        <v>0</v>
      </c>
      <c r="H18" s="55" t="n">
        <f aca="false">SUM(H7:H17)</f>
        <v>0</v>
      </c>
      <c r="I18" s="55" t="n">
        <f aca="false">SUM(I7:I17)</f>
        <v>0</v>
      </c>
      <c r="J18" s="55" t="n">
        <f aca="false">SUM(J7:J17)</f>
        <v>0</v>
      </c>
      <c r="K18" s="55" t="n">
        <f aca="false">SUM(K7:K17)</f>
        <v>0</v>
      </c>
      <c r="L18" s="55" t="n">
        <f aca="false">SUM(L7:L17)</f>
        <v>0</v>
      </c>
      <c r="M18" s="55" t="n">
        <f aca="false">SUM(M7:M17)</f>
        <v>0</v>
      </c>
      <c r="N18" s="55" t="n">
        <f aca="false">SUM(N7:N17)</f>
        <v>0</v>
      </c>
      <c r="O18" s="55" t="n">
        <f aca="false">SUM(O7:O17)</f>
        <v>8160</v>
      </c>
      <c r="P18" s="55" t="n">
        <f aca="false">SUM(P7:P17)</f>
        <v>8500</v>
      </c>
      <c r="Q18" s="55" t="n">
        <f aca="false">SUM(Q7:Q17)</f>
        <v>0</v>
      </c>
      <c r="R18" s="55" t="n">
        <f aca="false">SUM(R7:R17)</f>
        <v>0</v>
      </c>
      <c r="S18" s="55" t="n">
        <f aca="false">SUM(S7:S17)</f>
        <v>0</v>
      </c>
      <c r="T18" s="55" t="n">
        <f aca="false">SUM(T7:T17)</f>
        <v>0</v>
      </c>
      <c r="U18" s="55" t="n">
        <f aca="false">SUM(U7:U17)</f>
        <v>0</v>
      </c>
      <c r="V18" s="55" t="n">
        <f aca="false">SUM(V7:V17)</f>
        <v>0</v>
      </c>
      <c r="W18" s="55" t="n">
        <f aca="false">SUM(W7:W17)</f>
        <v>0</v>
      </c>
      <c r="X18" s="55" t="n">
        <f aca="false">SUM(X7:X17)</f>
        <v>0</v>
      </c>
      <c r="Y18" s="55" t="n">
        <f aca="false">SUM(Y7:Y17)</f>
        <v>0</v>
      </c>
      <c r="Z18" s="55" t="n">
        <f aca="false">SUM(Z7:Z17)</f>
        <v>0</v>
      </c>
      <c r="AA18" s="55" t="n">
        <f aca="false">SUM(AA7:AA17)</f>
        <v>8160</v>
      </c>
      <c r="AB18" s="55" t="n">
        <f aca="false">SUM(AB7:AB17)</f>
        <v>0</v>
      </c>
      <c r="AC18" s="55" t="n">
        <f aca="false">SUM(AC7:AC17)</f>
        <v>0</v>
      </c>
      <c r="AD18" s="55" t="n">
        <f aca="false">SUM(AD7:AD17)</f>
        <v>0</v>
      </c>
      <c r="AE18" s="55" t="n">
        <f aca="false">SUM(AE7:AE17)</f>
        <v>0</v>
      </c>
      <c r="AF18" s="55" t="n">
        <f aca="false">SUM(AF7:AF17)</f>
        <v>0</v>
      </c>
      <c r="AG18" s="55" t="n">
        <f aca="false">SUM(AG7:AG17)</f>
        <v>0</v>
      </c>
      <c r="AH18" s="55" t="n">
        <f aca="false">SUM(AH7:AH17)</f>
        <v>0</v>
      </c>
      <c r="AI18" s="55" t="n">
        <f aca="false">SUM(AI7:AI17)</f>
        <v>0</v>
      </c>
      <c r="AJ18" s="55" t="n">
        <f aca="false">SUM(AJ7:AJ17)</f>
        <v>0</v>
      </c>
      <c r="AK18" s="55" t="n">
        <f aca="false">SUM(AK7:AK17)</f>
        <v>0</v>
      </c>
      <c r="AL18" s="55" t="n">
        <f aca="false">SUM(AL7:AL17)</f>
        <v>0</v>
      </c>
      <c r="AN18" s="52" t="n">
        <f aca="false">SUM(C18:N18)</f>
        <v>183020</v>
      </c>
      <c r="AO18" s="52" t="n">
        <f aca="false">SUM(O18:Z18)</f>
        <v>16660</v>
      </c>
      <c r="AP18" s="52" t="n">
        <f aca="false">SUM(AA18:AL18)</f>
        <v>8160</v>
      </c>
    </row>
    <row r="20" customFormat="false" ht="16.5" hidden="false" customHeight="true" outlineLevel="0" collapsed="false">
      <c r="A20" s="21" t="s">
        <v>446</v>
      </c>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row>
    <row r="21" customFormat="false" ht="15.75" hidden="false" customHeight="true" outlineLevel="0" collapsed="false">
      <c r="A21" s="36" t="s">
        <v>345</v>
      </c>
      <c r="B21" s="36" t="s">
        <v>346</v>
      </c>
      <c r="C21" s="47" t="s">
        <v>347</v>
      </c>
      <c r="D21" s="47" t="s">
        <v>348</v>
      </c>
      <c r="E21" s="47" t="s">
        <v>349</v>
      </c>
      <c r="F21" s="47" t="s">
        <v>350</v>
      </c>
      <c r="G21" s="47" t="s">
        <v>351</v>
      </c>
      <c r="H21" s="47" t="s">
        <v>352</v>
      </c>
      <c r="I21" s="47" t="s">
        <v>353</v>
      </c>
      <c r="J21" s="47" t="s">
        <v>354</v>
      </c>
      <c r="K21" s="47" t="s">
        <v>355</v>
      </c>
      <c r="L21" s="47" t="s">
        <v>356</v>
      </c>
      <c r="M21" s="47" t="s">
        <v>357</v>
      </c>
      <c r="N21" s="47" t="s">
        <v>358</v>
      </c>
      <c r="O21" s="48" t="s">
        <v>359</v>
      </c>
      <c r="P21" s="48" t="s">
        <v>360</v>
      </c>
      <c r="Q21" s="48" t="s">
        <v>361</v>
      </c>
      <c r="R21" s="48" t="s">
        <v>362</v>
      </c>
      <c r="S21" s="48" t="s">
        <v>363</v>
      </c>
      <c r="T21" s="48" t="s">
        <v>364</v>
      </c>
      <c r="U21" s="48" t="s">
        <v>365</v>
      </c>
      <c r="V21" s="48" t="s">
        <v>366</v>
      </c>
      <c r="W21" s="48" t="s">
        <v>367</v>
      </c>
      <c r="X21" s="48" t="s">
        <v>368</v>
      </c>
      <c r="Y21" s="48" t="s">
        <v>369</v>
      </c>
      <c r="Z21" s="48" t="s">
        <v>370</v>
      </c>
      <c r="AA21" s="47" t="s">
        <v>371</v>
      </c>
      <c r="AB21" s="47" t="s">
        <v>372</v>
      </c>
      <c r="AC21" s="47" t="s">
        <v>373</v>
      </c>
      <c r="AD21" s="47" t="s">
        <v>374</v>
      </c>
      <c r="AE21" s="47" t="s">
        <v>375</v>
      </c>
      <c r="AF21" s="47" t="s">
        <v>376</v>
      </c>
      <c r="AG21" s="47" t="s">
        <v>377</v>
      </c>
      <c r="AH21" s="47" t="s">
        <v>378</v>
      </c>
      <c r="AI21" s="47" t="s">
        <v>379</v>
      </c>
      <c r="AJ21" s="47" t="s">
        <v>380</v>
      </c>
      <c r="AK21" s="47" t="s">
        <v>381</v>
      </c>
      <c r="AL21" s="47" t="s">
        <v>382</v>
      </c>
      <c r="AM21" s="49"/>
      <c r="AN21" s="50" t="s">
        <v>383</v>
      </c>
      <c r="AO21" s="50" t="s">
        <v>384</v>
      </c>
      <c r="AP21" s="50" t="s">
        <v>385</v>
      </c>
    </row>
    <row r="22" customFormat="false" ht="15" hidden="false" customHeight="false" outlineLevel="0" collapsed="false">
      <c r="A22" s="26" t="s">
        <v>291</v>
      </c>
      <c r="B22" s="24"/>
      <c r="C22" s="51" t="n">
        <f aca="false">C7</f>
        <v>8400</v>
      </c>
      <c r="D22" s="51" t="n">
        <f aca="false">C22+D7</f>
        <v>8400</v>
      </c>
      <c r="E22" s="51" t="n">
        <f aca="false">D22+E7</f>
        <v>8400</v>
      </c>
      <c r="F22" s="51" t="n">
        <f aca="false">E22+F7</f>
        <v>8400</v>
      </c>
      <c r="G22" s="51" t="n">
        <f aca="false">F22+G7</f>
        <v>8400</v>
      </c>
      <c r="H22" s="51" t="n">
        <f aca="false">G22+H7</f>
        <v>8400</v>
      </c>
      <c r="I22" s="51" t="n">
        <f aca="false">H22+I7</f>
        <v>8400</v>
      </c>
      <c r="J22" s="51" t="n">
        <f aca="false">I22+J7</f>
        <v>8400</v>
      </c>
      <c r="K22" s="51" t="n">
        <f aca="false">J22+K7</f>
        <v>8400</v>
      </c>
      <c r="L22" s="51" t="n">
        <f aca="false">K22+L7</f>
        <v>8400</v>
      </c>
      <c r="M22" s="51" t="n">
        <f aca="false">L22+M7</f>
        <v>8400</v>
      </c>
      <c r="N22" s="51" t="n">
        <f aca="false">M22+N7</f>
        <v>8400</v>
      </c>
      <c r="O22" s="51" t="n">
        <f aca="false">N22+O7</f>
        <v>12600</v>
      </c>
      <c r="P22" s="51" t="n">
        <f aca="false">O22+P7</f>
        <v>12600</v>
      </c>
      <c r="Q22" s="51" t="n">
        <f aca="false">P22+Q7</f>
        <v>12600</v>
      </c>
      <c r="R22" s="51" t="n">
        <f aca="false">Q22+R7</f>
        <v>12600</v>
      </c>
      <c r="S22" s="51" t="n">
        <f aca="false">R22+S7</f>
        <v>12600</v>
      </c>
      <c r="T22" s="51" t="n">
        <f aca="false">S22+T7</f>
        <v>12600</v>
      </c>
      <c r="U22" s="51" t="n">
        <f aca="false">T22+U7</f>
        <v>12600</v>
      </c>
      <c r="V22" s="51" t="n">
        <f aca="false">U22+V7</f>
        <v>12600</v>
      </c>
      <c r="W22" s="51" t="n">
        <f aca="false">V22+W7</f>
        <v>12600</v>
      </c>
      <c r="X22" s="51" t="n">
        <f aca="false">W22+X7</f>
        <v>12600</v>
      </c>
      <c r="Y22" s="51" t="n">
        <f aca="false">X22+Y7</f>
        <v>12600</v>
      </c>
      <c r="Z22" s="51" t="n">
        <f aca="false">Y22+Z7</f>
        <v>12600</v>
      </c>
      <c r="AA22" s="51" t="n">
        <f aca="false">Z22+AA7</f>
        <v>16800</v>
      </c>
      <c r="AB22" s="51" t="n">
        <f aca="false">AA22+AB7</f>
        <v>16800</v>
      </c>
      <c r="AC22" s="51" t="n">
        <f aca="false">AB22+AC7</f>
        <v>16800</v>
      </c>
      <c r="AD22" s="51" t="n">
        <f aca="false">AC22+AD7</f>
        <v>16800</v>
      </c>
      <c r="AE22" s="51" t="n">
        <f aca="false">AD22+AE7</f>
        <v>16800</v>
      </c>
      <c r="AF22" s="51" t="n">
        <f aca="false">AE22+AF7</f>
        <v>16800</v>
      </c>
      <c r="AG22" s="51" t="n">
        <f aca="false">AF22+AG7</f>
        <v>16800</v>
      </c>
      <c r="AH22" s="51" t="n">
        <f aca="false">AG22+AH7</f>
        <v>16800</v>
      </c>
      <c r="AI22" s="51" t="n">
        <f aca="false">AH22+AI7</f>
        <v>16800</v>
      </c>
      <c r="AJ22" s="51" t="n">
        <f aca="false">AI22+AJ7</f>
        <v>16800</v>
      </c>
      <c r="AK22" s="51" t="n">
        <f aca="false">AJ22+AK7</f>
        <v>16800</v>
      </c>
      <c r="AL22" s="51" t="n">
        <f aca="false">AK22+AL7</f>
        <v>16800</v>
      </c>
      <c r="AN22" s="52" t="n">
        <f aca="false">N22</f>
        <v>8400</v>
      </c>
      <c r="AO22" s="52" t="n">
        <f aca="false">Z22</f>
        <v>12600</v>
      </c>
      <c r="AP22" s="52" t="n">
        <f aca="false">AL22</f>
        <v>16800</v>
      </c>
    </row>
    <row r="23" customFormat="false" ht="15" hidden="false" customHeight="false" outlineLevel="0" collapsed="false">
      <c r="A23" s="26" t="s">
        <v>292</v>
      </c>
      <c r="B23" s="24"/>
      <c r="C23" s="51" t="n">
        <f aca="false">C8</f>
        <v>3720</v>
      </c>
      <c r="D23" s="51" t="n">
        <f aca="false">C23+D8</f>
        <v>3720</v>
      </c>
      <c r="E23" s="51" t="n">
        <f aca="false">D23+E8</f>
        <v>3720</v>
      </c>
      <c r="F23" s="51" t="n">
        <f aca="false">E23+F8</f>
        <v>3720</v>
      </c>
      <c r="G23" s="51" t="n">
        <f aca="false">F23+G8</f>
        <v>3720</v>
      </c>
      <c r="H23" s="51" t="n">
        <f aca="false">G23+H8</f>
        <v>3720</v>
      </c>
      <c r="I23" s="51" t="n">
        <f aca="false">H23+I8</f>
        <v>3720</v>
      </c>
      <c r="J23" s="51" t="n">
        <f aca="false">I23+J8</f>
        <v>3720</v>
      </c>
      <c r="K23" s="51" t="n">
        <f aca="false">J23+K8</f>
        <v>3720</v>
      </c>
      <c r="L23" s="51" t="n">
        <f aca="false">K23+L8</f>
        <v>3720</v>
      </c>
      <c r="M23" s="51" t="n">
        <f aca="false">L23+M8</f>
        <v>3720</v>
      </c>
      <c r="N23" s="51" t="n">
        <f aca="false">M23+N8</f>
        <v>3720</v>
      </c>
      <c r="O23" s="51" t="n">
        <f aca="false">N23+O8</f>
        <v>5580</v>
      </c>
      <c r="P23" s="51" t="n">
        <f aca="false">O23+P8</f>
        <v>5580</v>
      </c>
      <c r="Q23" s="51" t="n">
        <f aca="false">P23+Q8</f>
        <v>5580</v>
      </c>
      <c r="R23" s="51" t="n">
        <f aca="false">Q23+R8</f>
        <v>5580</v>
      </c>
      <c r="S23" s="51" t="n">
        <f aca="false">R23+S8</f>
        <v>5580</v>
      </c>
      <c r="T23" s="51" t="n">
        <f aca="false">S23+T8</f>
        <v>5580</v>
      </c>
      <c r="U23" s="51" t="n">
        <f aca="false">T23+U8</f>
        <v>5580</v>
      </c>
      <c r="V23" s="51" t="n">
        <f aca="false">U23+V8</f>
        <v>5580</v>
      </c>
      <c r="W23" s="51" t="n">
        <f aca="false">V23+W8</f>
        <v>5580</v>
      </c>
      <c r="X23" s="51" t="n">
        <f aca="false">W23+X8</f>
        <v>5580</v>
      </c>
      <c r="Y23" s="51" t="n">
        <f aca="false">X23+Y8</f>
        <v>5580</v>
      </c>
      <c r="Z23" s="51" t="n">
        <f aca="false">Y23+Z8</f>
        <v>5580</v>
      </c>
      <c r="AA23" s="51" t="n">
        <f aca="false">Z23+AA8</f>
        <v>7440</v>
      </c>
      <c r="AB23" s="51" t="n">
        <f aca="false">AA23+AB8</f>
        <v>7440</v>
      </c>
      <c r="AC23" s="51" t="n">
        <f aca="false">AB23+AC8</f>
        <v>7440</v>
      </c>
      <c r="AD23" s="51" t="n">
        <f aca="false">AC23+AD8</f>
        <v>7440</v>
      </c>
      <c r="AE23" s="51" t="n">
        <f aca="false">AD23+AE8</f>
        <v>7440</v>
      </c>
      <c r="AF23" s="51" t="n">
        <f aca="false">AE23+AF8</f>
        <v>7440</v>
      </c>
      <c r="AG23" s="51" t="n">
        <f aca="false">AF23+AG8</f>
        <v>7440</v>
      </c>
      <c r="AH23" s="51" t="n">
        <f aca="false">AG23+AH8</f>
        <v>7440</v>
      </c>
      <c r="AI23" s="51" t="n">
        <f aca="false">AH23+AI8</f>
        <v>7440</v>
      </c>
      <c r="AJ23" s="51" t="n">
        <f aca="false">AI23+AJ8</f>
        <v>7440</v>
      </c>
      <c r="AK23" s="51" t="n">
        <f aca="false">AJ23+AK8</f>
        <v>7440</v>
      </c>
      <c r="AL23" s="51" t="n">
        <f aca="false">AK23+AL8</f>
        <v>7440</v>
      </c>
      <c r="AN23" s="52" t="n">
        <f aca="false">N23</f>
        <v>3720</v>
      </c>
      <c r="AO23" s="52" t="n">
        <f aca="false">Z23</f>
        <v>5580</v>
      </c>
      <c r="AP23" s="52" t="n">
        <f aca="false">AL23</f>
        <v>7440</v>
      </c>
    </row>
    <row r="24" customFormat="false" ht="15" hidden="false" customHeight="false" outlineLevel="0" collapsed="false">
      <c r="A24" s="26" t="s">
        <v>293</v>
      </c>
      <c r="B24" s="24"/>
      <c r="C24" s="51" t="n">
        <f aca="false">C9</f>
        <v>1860</v>
      </c>
      <c r="D24" s="51" t="n">
        <f aca="false">C24+D9</f>
        <v>1860</v>
      </c>
      <c r="E24" s="51" t="n">
        <f aca="false">D24+E9</f>
        <v>1860</v>
      </c>
      <c r="F24" s="51" t="n">
        <f aca="false">E24+F9</f>
        <v>1860</v>
      </c>
      <c r="G24" s="51" t="n">
        <f aca="false">F24+G9</f>
        <v>1860</v>
      </c>
      <c r="H24" s="51" t="n">
        <f aca="false">G24+H9</f>
        <v>1860</v>
      </c>
      <c r="I24" s="51" t="n">
        <f aca="false">H24+I9</f>
        <v>1860</v>
      </c>
      <c r="J24" s="51" t="n">
        <f aca="false">I24+J9</f>
        <v>1860</v>
      </c>
      <c r="K24" s="51" t="n">
        <f aca="false">J24+K9</f>
        <v>1860</v>
      </c>
      <c r="L24" s="51" t="n">
        <f aca="false">K24+L9</f>
        <v>1860</v>
      </c>
      <c r="M24" s="51" t="n">
        <f aca="false">L24+M9</f>
        <v>1860</v>
      </c>
      <c r="N24" s="51" t="n">
        <f aca="false">M24+N9</f>
        <v>1860</v>
      </c>
      <c r="O24" s="51" t="n">
        <f aca="false">N24+O9</f>
        <v>2790</v>
      </c>
      <c r="P24" s="51" t="n">
        <f aca="false">O24+P9</f>
        <v>2790</v>
      </c>
      <c r="Q24" s="51" t="n">
        <f aca="false">P24+Q9</f>
        <v>2790</v>
      </c>
      <c r="R24" s="51" t="n">
        <f aca="false">Q24+R9</f>
        <v>2790</v>
      </c>
      <c r="S24" s="51" t="n">
        <f aca="false">R24+S9</f>
        <v>2790</v>
      </c>
      <c r="T24" s="51" t="n">
        <f aca="false">S24+T9</f>
        <v>2790</v>
      </c>
      <c r="U24" s="51" t="n">
        <f aca="false">T24+U9</f>
        <v>2790</v>
      </c>
      <c r="V24" s="51" t="n">
        <f aca="false">U24+V9</f>
        <v>2790</v>
      </c>
      <c r="W24" s="51" t="n">
        <f aca="false">V24+W9</f>
        <v>2790</v>
      </c>
      <c r="X24" s="51" t="n">
        <f aca="false">W24+X9</f>
        <v>2790</v>
      </c>
      <c r="Y24" s="51" t="n">
        <f aca="false">X24+Y9</f>
        <v>2790</v>
      </c>
      <c r="Z24" s="51" t="n">
        <f aca="false">Y24+Z9</f>
        <v>2790</v>
      </c>
      <c r="AA24" s="51" t="n">
        <f aca="false">Z24+AA9</f>
        <v>3720</v>
      </c>
      <c r="AB24" s="51" t="n">
        <f aca="false">AA24+AB9</f>
        <v>3720</v>
      </c>
      <c r="AC24" s="51" t="n">
        <f aca="false">AB24+AC9</f>
        <v>3720</v>
      </c>
      <c r="AD24" s="51" t="n">
        <f aca="false">AC24+AD9</f>
        <v>3720</v>
      </c>
      <c r="AE24" s="51" t="n">
        <f aca="false">AD24+AE9</f>
        <v>3720</v>
      </c>
      <c r="AF24" s="51" t="n">
        <f aca="false">AE24+AF9</f>
        <v>3720</v>
      </c>
      <c r="AG24" s="51" t="n">
        <f aca="false">AF24+AG9</f>
        <v>3720</v>
      </c>
      <c r="AH24" s="51" t="n">
        <f aca="false">AG24+AH9</f>
        <v>3720</v>
      </c>
      <c r="AI24" s="51" t="n">
        <f aca="false">AH24+AI9</f>
        <v>3720</v>
      </c>
      <c r="AJ24" s="51" t="n">
        <f aca="false">AI24+AJ9</f>
        <v>3720</v>
      </c>
      <c r="AK24" s="51" t="n">
        <f aca="false">AJ24+AK9</f>
        <v>3720</v>
      </c>
      <c r="AL24" s="51" t="n">
        <f aca="false">AK24+AL9</f>
        <v>3720</v>
      </c>
      <c r="AN24" s="52" t="n">
        <f aca="false">N24</f>
        <v>1860</v>
      </c>
      <c r="AO24" s="52" t="n">
        <f aca="false">Z24</f>
        <v>2790</v>
      </c>
      <c r="AP24" s="52" t="n">
        <f aca="false">AL24</f>
        <v>3720</v>
      </c>
    </row>
    <row r="25" customFormat="false" ht="15" hidden="false" customHeight="false" outlineLevel="0" collapsed="false">
      <c r="A25" s="26" t="s">
        <v>294</v>
      </c>
      <c r="B25" s="24"/>
      <c r="C25" s="51" t="n">
        <f aca="false">C10</f>
        <v>2340</v>
      </c>
      <c r="D25" s="51" t="n">
        <f aca="false">C25+D10</f>
        <v>2340</v>
      </c>
      <c r="E25" s="51" t="n">
        <f aca="false">D25+E10</f>
        <v>2340</v>
      </c>
      <c r="F25" s="51" t="n">
        <f aca="false">E25+F10</f>
        <v>2340</v>
      </c>
      <c r="G25" s="51" t="n">
        <f aca="false">F25+G10</f>
        <v>2340</v>
      </c>
      <c r="H25" s="51" t="n">
        <f aca="false">G25+H10</f>
        <v>2340</v>
      </c>
      <c r="I25" s="51" t="n">
        <f aca="false">H25+I10</f>
        <v>2340</v>
      </c>
      <c r="J25" s="51" t="n">
        <f aca="false">I25+J10</f>
        <v>2340</v>
      </c>
      <c r="K25" s="51" t="n">
        <f aca="false">J25+K10</f>
        <v>2340</v>
      </c>
      <c r="L25" s="51" t="n">
        <f aca="false">K25+L10</f>
        <v>2340</v>
      </c>
      <c r="M25" s="51" t="n">
        <f aca="false">L25+M10</f>
        <v>2340</v>
      </c>
      <c r="N25" s="51" t="n">
        <f aca="false">M25+N10</f>
        <v>2340</v>
      </c>
      <c r="O25" s="51" t="n">
        <f aca="false">N25+O10</f>
        <v>3510</v>
      </c>
      <c r="P25" s="51" t="n">
        <f aca="false">O25+P10</f>
        <v>3510</v>
      </c>
      <c r="Q25" s="51" t="n">
        <f aca="false">P25+Q10</f>
        <v>3510</v>
      </c>
      <c r="R25" s="51" t="n">
        <f aca="false">Q25+R10</f>
        <v>3510</v>
      </c>
      <c r="S25" s="51" t="n">
        <f aca="false">R25+S10</f>
        <v>3510</v>
      </c>
      <c r="T25" s="51" t="n">
        <f aca="false">S25+T10</f>
        <v>3510</v>
      </c>
      <c r="U25" s="51" t="n">
        <f aca="false">T25+U10</f>
        <v>3510</v>
      </c>
      <c r="V25" s="51" t="n">
        <f aca="false">U25+V10</f>
        <v>3510</v>
      </c>
      <c r="W25" s="51" t="n">
        <f aca="false">V25+W10</f>
        <v>3510</v>
      </c>
      <c r="X25" s="51" t="n">
        <f aca="false">W25+X10</f>
        <v>3510</v>
      </c>
      <c r="Y25" s="51" t="n">
        <f aca="false">X25+Y10</f>
        <v>3510</v>
      </c>
      <c r="Z25" s="51" t="n">
        <f aca="false">Y25+Z10</f>
        <v>3510</v>
      </c>
      <c r="AA25" s="51" t="n">
        <f aca="false">Z25+AA10</f>
        <v>4680</v>
      </c>
      <c r="AB25" s="51" t="n">
        <f aca="false">AA25+AB10</f>
        <v>4680</v>
      </c>
      <c r="AC25" s="51" t="n">
        <f aca="false">AB25+AC10</f>
        <v>4680</v>
      </c>
      <c r="AD25" s="51" t="n">
        <f aca="false">AC25+AD10</f>
        <v>4680</v>
      </c>
      <c r="AE25" s="51" t="n">
        <f aca="false">AD25+AE10</f>
        <v>4680</v>
      </c>
      <c r="AF25" s="51" t="n">
        <f aca="false">AE25+AF10</f>
        <v>4680</v>
      </c>
      <c r="AG25" s="51" t="n">
        <f aca="false">AF25+AG10</f>
        <v>4680</v>
      </c>
      <c r="AH25" s="51" t="n">
        <f aca="false">AG25+AH10</f>
        <v>4680</v>
      </c>
      <c r="AI25" s="51" t="n">
        <f aca="false">AH25+AI10</f>
        <v>4680</v>
      </c>
      <c r="AJ25" s="51" t="n">
        <f aca="false">AI25+AJ10</f>
        <v>4680</v>
      </c>
      <c r="AK25" s="51" t="n">
        <f aca="false">AJ25+AK10</f>
        <v>4680</v>
      </c>
      <c r="AL25" s="51" t="n">
        <f aca="false">AK25+AL10</f>
        <v>4680</v>
      </c>
      <c r="AN25" s="52" t="n">
        <f aca="false">N25</f>
        <v>2340</v>
      </c>
      <c r="AO25" s="52" t="n">
        <f aca="false">Z25</f>
        <v>3510</v>
      </c>
      <c r="AP25" s="52" t="n">
        <f aca="false">AL25</f>
        <v>4680</v>
      </c>
    </row>
    <row r="26" customFormat="false" ht="15" hidden="false" customHeight="false" outlineLevel="0" collapsed="false">
      <c r="A26" s="26" t="s">
        <v>298</v>
      </c>
      <c r="B26" s="24"/>
      <c r="C26" s="51" t="n">
        <f aca="false">C11</f>
        <v>14000</v>
      </c>
      <c r="D26" s="51" t="n">
        <f aca="false">C26+D11</f>
        <v>14000</v>
      </c>
      <c r="E26" s="51" t="n">
        <f aca="false">D26+E11</f>
        <v>14000</v>
      </c>
      <c r="F26" s="51" t="n">
        <f aca="false">E26+F11</f>
        <v>14000</v>
      </c>
      <c r="G26" s="51" t="n">
        <f aca="false">F26+G11</f>
        <v>14000</v>
      </c>
      <c r="H26" s="51" t="n">
        <f aca="false">G26+H11</f>
        <v>14000</v>
      </c>
      <c r="I26" s="51" t="n">
        <f aca="false">H26+I11</f>
        <v>14000</v>
      </c>
      <c r="J26" s="51" t="n">
        <f aca="false">I26+J11</f>
        <v>14000</v>
      </c>
      <c r="K26" s="51" t="n">
        <f aca="false">J26+K11</f>
        <v>14000</v>
      </c>
      <c r="L26" s="51" t="n">
        <f aca="false">K26+L11</f>
        <v>14000</v>
      </c>
      <c r="M26" s="51" t="n">
        <f aca="false">L26+M11</f>
        <v>14000</v>
      </c>
      <c r="N26" s="51" t="n">
        <f aca="false">M26+N11</f>
        <v>14000</v>
      </c>
      <c r="O26" s="51" t="n">
        <f aca="false">N26+O11</f>
        <v>14000</v>
      </c>
      <c r="P26" s="51" t="n">
        <f aca="false">O26+P11</f>
        <v>14000</v>
      </c>
      <c r="Q26" s="51" t="n">
        <f aca="false">P26+Q11</f>
        <v>14000</v>
      </c>
      <c r="R26" s="51" t="n">
        <f aca="false">Q26+R11</f>
        <v>14000</v>
      </c>
      <c r="S26" s="51" t="n">
        <f aca="false">R26+S11</f>
        <v>14000</v>
      </c>
      <c r="T26" s="51" t="n">
        <f aca="false">S26+T11</f>
        <v>14000</v>
      </c>
      <c r="U26" s="51" t="n">
        <f aca="false">T26+U11</f>
        <v>14000</v>
      </c>
      <c r="V26" s="51" t="n">
        <f aca="false">U26+V11</f>
        <v>14000</v>
      </c>
      <c r="W26" s="51" t="n">
        <f aca="false">V26+W11</f>
        <v>14000</v>
      </c>
      <c r="X26" s="51" t="n">
        <f aca="false">W26+X11</f>
        <v>14000</v>
      </c>
      <c r="Y26" s="51" t="n">
        <f aca="false">X26+Y11</f>
        <v>14000</v>
      </c>
      <c r="Z26" s="51" t="n">
        <f aca="false">Y26+Z11</f>
        <v>14000</v>
      </c>
      <c r="AA26" s="51" t="n">
        <f aca="false">Z26+AA11</f>
        <v>14000</v>
      </c>
      <c r="AB26" s="51" t="n">
        <f aca="false">AA26+AB11</f>
        <v>14000</v>
      </c>
      <c r="AC26" s="51" t="n">
        <f aca="false">AB26+AC11</f>
        <v>14000</v>
      </c>
      <c r="AD26" s="51" t="n">
        <f aca="false">AC26+AD11</f>
        <v>14000</v>
      </c>
      <c r="AE26" s="51" t="n">
        <f aca="false">AD26+AE11</f>
        <v>14000</v>
      </c>
      <c r="AF26" s="51" t="n">
        <f aca="false">AE26+AF11</f>
        <v>14000</v>
      </c>
      <c r="AG26" s="51" t="n">
        <f aca="false">AF26+AG11</f>
        <v>14000</v>
      </c>
      <c r="AH26" s="51" t="n">
        <f aca="false">AG26+AH11</f>
        <v>14000</v>
      </c>
      <c r="AI26" s="51" t="n">
        <f aca="false">AH26+AI11</f>
        <v>14000</v>
      </c>
      <c r="AJ26" s="51" t="n">
        <f aca="false">AI26+AJ11</f>
        <v>14000</v>
      </c>
      <c r="AK26" s="51" t="n">
        <f aca="false">AJ26+AK11</f>
        <v>14000</v>
      </c>
      <c r="AL26" s="51" t="n">
        <f aca="false">AK26+AL11</f>
        <v>14000</v>
      </c>
      <c r="AN26" s="52" t="n">
        <f aca="false">N26</f>
        <v>14000</v>
      </c>
      <c r="AO26" s="52" t="n">
        <f aca="false">Z26</f>
        <v>14000</v>
      </c>
      <c r="AP26" s="52" t="n">
        <f aca="false">AL26</f>
        <v>14000</v>
      </c>
    </row>
    <row r="27" customFormat="false" ht="15" hidden="false" customHeight="false" outlineLevel="0" collapsed="false">
      <c r="A27" s="26" t="s">
        <v>299</v>
      </c>
      <c r="B27" s="24"/>
      <c r="C27" s="51" t="n">
        <f aca="false">C12</f>
        <v>0</v>
      </c>
      <c r="D27" s="51" t="n">
        <f aca="false">C27+D12</f>
        <v>9500</v>
      </c>
      <c r="E27" s="51" t="n">
        <f aca="false">D27+E12</f>
        <v>9500</v>
      </c>
      <c r="F27" s="51" t="n">
        <f aca="false">E27+F12</f>
        <v>9500</v>
      </c>
      <c r="G27" s="51" t="n">
        <f aca="false">F27+G12</f>
        <v>9500</v>
      </c>
      <c r="H27" s="51" t="n">
        <f aca="false">G27+H12</f>
        <v>9500</v>
      </c>
      <c r="I27" s="51" t="n">
        <f aca="false">H27+I12</f>
        <v>9500</v>
      </c>
      <c r="J27" s="51" t="n">
        <f aca="false">I27+J12</f>
        <v>9500</v>
      </c>
      <c r="K27" s="51" t="n">
        <f aca="false">J27+K12</f>
        <v>9500</v>
      </c>
      <c r="L27" s="51" t="n">
        <f aca="false">K27+L12</f>
        <v>9500</v>
      </c>
      <c r="M27" s="51" t="n">
        <f aca="false">L27+M12</f>
        <v>9500</v>
      </c>
      <c r="N27" s="51" t="n">
        <f aca="false">M27+N12</f>
        <v>9500</v>
      </c>
      <c r="O27" s="51" t="n">
        <f aca="false">N27+O12</f>
        <v>9500</v>
      </c>
      <c r="P27" s="51" t="n">
        <f aca="false">O27+P12</f>
        <v>9500</v>
      </c>
      <c r="Q27" s="51" t="n">
        <f aca="false">P27+Q12</f>
        <v>9500</v>
      </c>
      <c r="R27" s="51" t="n">
        <f aca="false">Q27+R12</f>
        <v>9500</v>
      </c>
      <c r="S27" s="51" t="n">
        <f aca="false">R27+S12</f>
        <v>9500</v>
      </c>
      <c r="T27" s="51" t="n">
        <f aca="false">S27+T12</f>
        <v>9500</v>
      </c>
      <c r="U27" s="51" t="n">
        <f aca="false">T27+U12</f>
        <v>9500</v>
      </c>
      <c r="V27" s="51" t="n">
        <f aca="false">U27+V12</f>
        <v>9500</v>
      </c>
      <c r="W27" s="51" t="n">
        <f aca="false">V27+W12</f>
        <v>9500</v>
      </c>
      <c r="X27" s="51" t="n">
        <f aca="false">W27+X12</f>
        <v>9500</v>
      </c>
      <c r="Y27" s="51" t="n">
        <f aca="false">X27+Y12</f>
        <v>9500</v>
      </c>
      <c r="Z27" s="51" t="n">
        <f aca="false">Y27+Z12</f>
        <v>9500</v>
      </c>
      <c r="AA27" s="51" t="n">
        <f aca="false">Z27+AA12</f>
        <v>9500</v>
      </c>
      <c r="AB27" s="51" t="n">
        <f aca="false">AA27+AB12</f>
        <v>9500</v>
      </c>
      <c r="AC27" s="51" t="n">
        <f aca="false">AB27+AC12</f>
        <v>9500</v>
      </c>
      <c r="AD27" s="51" t="n">
        <f aca="false">AC27+AD12</f>
        <v>9500</v>
      </c>
      <c r="AE27" s="51" t="n">
        <f aca="false">AD27+AE12</f>
        <v>9500</v>
      </c>
      <c r="AF27" s="51" t="n">
        <f aca="false">AE27+AF12</f>
        <v>9500</v>
      </c>
      <c r="AG27" s="51" t="n">
        <f aca="false">AF27+AG12</f>
        <v>9500</v>
      </c>
      <c r="AH27" s="51" t="n">
        <f aca="false">AG27+AH12</f>
        <v>9500</v>
      </c>
      <c r="AI27" s="51" t="n">
        <f aca="false">AH27+AI12</f>
        <v>9500</v>
      </c>
      <c r="AJ27" s="51" t="n">
        <f aca="false">AI27+AJ12</f>
        <v>9500</v>
      </c>
      <c r="AK27" s="51" t="n">
        <f aca="false">AJ27+AK12</f>
        <v>9500</v>
      </c>
      <c r="AL27" s="51" t="n">
        <f aca="false">AK27+AL12</f>
        <v>9500</v>
      </c>
      <c r="AN27" s="52" t="n">
        <f aca="false">N27</f>
        <v>9500</v>
      </c>
      <c r="AO27" s="52" t="n">
        <f aca="false">Z27</f>
        <v>9500</v>
      </c>
      <c r="AP27" s="52" t="n">
        <f aca="false">AL27</f>
        <v>9500</v>
      </c>
    </row>
    <row r="28" customFormat="false" ht="15" hidden="false" customHeight="false" outlineLevel="0" collapsed="false">
      <c r="A28" s="26" t="s">
        <v>300</v>
      </c>
      <c r="B28" s="24"/>
      <c r="C28" s="51" t="n">
        <f aca="false">C13</f>
        <v>0</v>
      </c>
      <c r="D28" s="51" t="n">
        <f aca="false">C28+D13</f>
        <v>0</v>
      </c>
      <c r="E28" s="51" t="n">
        <f aca="false">D28+E13</f>
        <v>0</v>
      </c>
      <c r="F28" s="51" t="n">
        <f aca="false">E28+F13</f>
        <v>0</v>
      </c>
      <c r="G28" s="51" t="n">
        <f aca="false">F28+G13</f>
        <v>0</v>
      </c>
      <c r="H28" s="51" t="n">
        <f aca="false">G28+H13</f>
        <v>0</v>
      </c>
      <c r="I28" s="51" t="n">
        <f aca="false">H28+I13</f>
        <v>0</v>
      </c>
      <c r="J28" s="51" t="n">
        <f aca="false">I28+J13</f>
        <v>0</v>
      </c>
      <c r="K28" s="51" t="n">
        <f aca="false">J28+K13</f>
        <v>0</v>
      </c>
      <c r="L28" s="51" t="n">
        <f aca="false">K28+L13</f>
        <v>0</v>
      </c>
      <c r="M28" s="51" t="n">
        <f aca="false">L28+M13</f>
        <v>0</v>
      </c>
      <c r="N28" s="51" t="n">
        <f aca="false">M28+N13</f>
        <v>0</v>
      </c>
      <c r="O28" s="51" t="n">
        <f aca="false">N28+O13</f>
        <v>0</v>
      </c>
      <c r="P28" s="51" t="n">
        <f aca="false">O28+P13</f>
        <v>8500</v>
      </c>
      <c r="Q28" s="51" t="n">
        <f aca="false">P28+Q13</f>
        <v>8500</v>
      </c>
      <c r="R28" s="51" t="n">
        <f aca="false">Q28+R13</f>
        <v>8500</v>
      </c>
      <c r="S28" s="51" t="n">
        <f aca="false">R28+S13</f>
        <v>8500</v>
      </c>
      <c r="T28" s="51" t="n">
        <f aca="false">S28+T13</f>
        <v>8500</v>
      </c>
      <c r="U28" s="51" t="n">
        <f aca="false">T28+U13</f>
        <v>8500</v>
      </c>
      <c r="V28" s="51" t="n">
        <f aca="false">U28+V13</f>
        <v>8500</v>
      </c>
      <c r="W28" s="51" t="n">
        <f aca="false">V28+W13</f>
        <v>8500</v>
      </c>
      <c r="X28" s="51" t="n">
        <f aca="false">W28+X13</f>
        <v>8500</v>
      </c>
      <c r="Y28" s="51" t="n">
        <f aca="false">X28+Y13</f>
        <v>8500</v>
      </c>
      <c r="Z28" s="51" t="n">
        <f aca="false">Y28+Z13</f>
        <v>8500</v>
      </c>
      <c r="AA28" s="51" t="n">
        <f aca="false">Z28+AA13</f>
        <v>8500</v>
      </c>
      <c r="AB28" s="51" t="n">
        <f aca="false">AA28+AB13</f>
        <v>8500</v>
      </c>
      <c r="AC28" s="51" t="n">
        <f aca="false">AB28+AC13</f>
        <v>8500</v>
      </c>
      <c r="AD28" s="51" t="n">
        <f aca="false">AC28+AD13</f>
        <v>8500</v>
      </c>
      <c r="AE28" s="51" t="n">
        <f aca="false">AD28+AE13</f>
        <v>8500</v>
      </c>
      <c r="AF28" s="51" t="n">
        <f aca="false">AE28+AF13</f>
        <v>8500</v>
      </c>
      <c r="AG28" s="51" t="n">
        <f aca="false">AF28+AG13</f>
        <v>8500</v>
      </c>
      <c r="AH28" s="51" t="n">
        <f aca="false">AG28+AH13</f>
        <v>8500</v>
      </c>
      <c r="AI28" s="51" t="n">
        <f aca="false">AH28+AI13</f>
        <v>8500</v>
      </c>
      <c r="AJ28" s="51" t="n">
        <f aca="false">AI28+AJ13</f>
        <v>8500</v>
      </c>
      <c r="AK28" s="51" t="n">
        <f aca="false">AJ28+AK13</f>
        <v>8500</v>
      </c>
      <c r="AL28" s="51" t="n">
        <f aca="false">AK28+AL13</f>
        <v>8500</v>
      </c>
      <c r="AN28" s="52" t="n">
        <f aca="false">N28</f>
        <v>0</v>
      </c>
      <c r="AO28" s="52" t="n">
        <f aca="false">Z28</f>
        <v>8500</v>
      </c>
      <c r="AP28" s="52" t="n">
        <f aca="false">AL28</f>
        <v>8500</v>
      </c>
    </row>
    <row r="29" customFormat="false" ht="15" hidden="false" customHeight="false" outlineLevel="0" collapsed="false">
      <c r="A29" s="26" t="s">
        <v>301</v>
      </c>
      <c r="B29" s="24"/>
      <c r="C29" s="51" t="n">
        <f aca="false">C14</f>
        <v>4200</v>
      </c>
      <c r="D29" s="51" t="n">
        <f aca="false">C29+D14</f>
        <v>4200</v>
      </c>
      <c r="E29" s="51" t="n">
        <f aca="false">D29+E14</f>
        <v>4200</v>
      </c>
      <c r="F29" s="51" t="n">
        <f aca="false">E29+F14</f>
        <v>4200</v>
      </c>
      <c r="G29" s="51" t="n">
        <f aca="false">F29+G14</f>
        <v>4200</v>
      </c>
      <c r="H29" s="51" t="n">
        <f aca="false">G29+H14</f>
        <v>4200</v>
      </c>
      <c r="I29" s="51" t="n">
        <f aca="false">H29+I14</f>
        <v>4200</v>
      </c>
      <c r="J29" s="51" t="n">
        <f aca="false">I29+J14</f>
        <v>4200</v>
      </c>
      <c r="K29" s="51" t="n">
        <f aca="false">J29+K14</f>
        <v>4200</v>
      </c>
      <c r="L29" s="51" t="n">
        <f aca="false">K29+L14</f>
        <v>4200</v>
      </c>
      <c r="M29" s="51" t="n">
        <f aca="false">L29+M14</f>
        <v>4200</v>
      </c>
      <c r="N29" s="51" t="n">
        <f aca="false">M29+N14</f>
        <v>4200</v>
      </c>
      <c r="O29" s="51" t="n">
        <f aca="false">N29+O14</f>
        <v>4200</v>
      </c>
      <c r="P29" s="51" t="n">
        <f aca="false">O29+P14</f>
        <v>4200</v>
      </c>
      <c r="Q29" s="51" t="n">
        <f aca="false">P29+Q14</f>
        <v>4200</v>
      </c>
      <c r="R29" s="51" t="n">
        <f aca="false">Q29+R14</f>
        <v>4200</v>
      </c>
      <c r="S29" s="51" t="n">
        <f aca="false">R29+S14</f>
        <v>4200</v>
      </c>
      <c r="T29" s="51" t="n">
        <f aca="false">S29+T14</f>
        <v>4200</v>
      </c>
      <c r="U29" s="51" t="n">
        <f aca="false">T29+U14</f>
        <v>4200</v>
      </c>
      <c r="V29" s="51" t="n">
        <f aca="false">U29+V14</f>
        <v>4200</v>
      </c>
      <c r="W29" s="51" t="n">
        <f aca="false">V29+W14</f>
        <v>4200</v>
      </c>
      <c r="X29" s="51" t="n">
        <f aca="false">W29+X14</f>
        <v>4200</v>
      </c>
      <c r="Y29" s="51" t="n">
        <f aca="false">X29+Y14</f>
        <v>4200</v>
      </c>
      <c r="Z29" s="51" t="n">
        <f aca="false">Y29+Z14</f>
        <v>4200</v>
      </c>
      <c r="AA29" s="51" t="n">
        <f aca="false">Z29+AA14</f>
        <v>4200</v>
      </c>
      <c r="AB29" s="51" t="n">
        <f aca="false">AA29+AB14</f>
        <v>4200</v>
      </c>
      <c r="AC29" s="51" t="n">
        <f aca="false">AB29+AC14</f>
        <v>4200</v>
      </c>
      <c r="AD29" s="51" t="n">
        <f aca="false">AC29+AD14</f>
        <v>4200</v>
      </c>
      <c r="AE29" s="51" t="n">
        <f aca="false">AD29+AE14</f>
        <v>4200</v>
      </c>
      <c r="AF29" s="51" t="n">
        <f aca="false">AE29+AF14</f>
        <v>4200</v>
      </c>
      <c r="AG29" s="51" t="n">
        <f aca="false">AF29+AG14</f>
        <v>4200</v>
      </c>
      <c r="AH29" s="51" t="n">
        <f aca="false">AG29+AH14</f>
        <v>4200</v>
      </c>
      <c r="AI29" s="51" t="n">
        <f aca="false">AH29+AI14</f>
        <v>4200</v>
      </c>
      <c r="AJ29" s="51" t="n">
        <f aca="false">AI29+AJ14</f>
        <v>4200</v>
      </c>
      <c r="AK29" s="51" t="n">
        <f aca="false">AJ29+AK14</f>
        <v>4200</v>
      </c>
      <c r="AL29" s="51" t="n">
        <f aca="false">AK29+AL14</f>
        <v>4200</v>
      </c>
      <c r="AN29" s="52" t="n">
        <f aca="false">N29</f>
        <v>4200</v>
      </c>
      <c r="AO29" s="52" t="n">
        <f aca="false">Z29</f>
        <v>4200</v>
      </c>
      <c r="AP29" s="52" t="n">
        <f aca="false">AL29</f>
        <v>4200</v>
      </c>
    </row>
    <row r="30" customFormat="false" ht="15" hidden="false" customHeight="false" outlineLevel="0" collapsed="false">
      <c r="A30" s="26" t="s">
        <v>302</v>
      </c>
      <c r="B30" s="24"/>
      <c r="C30" s="51" t="n">
        <f aca="false">C15</f>
        <v>86000</v>
      </c>
      <c r="D30" s="51" t="n">
        <f aca="false">C30+D15</f>
        <v>86000</v>
      </c>
      <c r="E30" s="51" t="n">
        <f aca="false">D30+E15</f>
        <v>86000</v>
      </c>
      <c r="F30" s="51" t="n">
        <f aca="false">E30+F15</f>
        <v>86000</v>
      </c>
      <c r="G30" s="51" t="n">
        <f aca="false">F30+G15</f>
        <v>86000</v>
      </c>
      <c r="H30" s="51" t="n">
        <f aca="false">G30+H15</f>
        <v>86000</v>
      </c>
      <c r="I30" s="51" t="n">
        <f aca="false">H30+I15</f>
        <v>86000</v>
      </c>
      <c r="J30" s="51" t="n">
        <f aca="false">I30+J15</f>
        <v>86000</v>
      </c>
      <c r="K30" s="51" t="n">
        <f aca="false">J30+K15</f>
        <v>86000</v>
      </c>
      <c r="L30" s="51" t="n">
        <f aca="false">K30+L15</f>
        <v>86000</v>
      </c>
      <c r="M30" s="51" t="n">
        <f aca="false">L30+M15</f>
        <v>86000</v>
      </c>
      <c r="N30" s="51" t="n">
        <f aca="false">M30+N15</f>
        <v>86000</v>
      </c>
      <c r="O30" s="51" t="n">
        <f aca="false">N30+O15</f>
        <v>86000</v>
      </c>
      <c r="P30" s="51" t="n">
        <f aca="false">O30+P15</f>
        <v>86000</v>
      </c>
      <c r="Q30" s="51" t="n">
        <f aca="false">P30+Q15</f>
        <v>86000</v>
      </c>
      <c r="R30" s="51" t="n">
        <f aca="false">Q30+R15</f>
        <v>86000</v>
      </c>
      <c r="S30" s="51" t="n">
        <f aca="false">R30+S15</f>
        <v>86000</v>
      </c>
      <c r="T30" s="51" t="n">
        <f aca="false">S30+T15</f>
        <v>86000</v>
      </c>
      <c r="U30" s="51" t="n">
        <f aca="false">T30+U15</f>
        <v>86000</v>
      </c>
      <c r="V30" s="51" t="n">
        <f aca="false">U30+V15</f>
        <v>86000</v>
      </c>
      <c r="W30" s="51" t="n">
        <f aca="false">V30+W15</f>
        <v>86000</v>
      </c>
      <c r="X30" s="51" t="n">
        <f aca="false">W30+X15</f>
        <v>86000</v>
      </c>
      <c r="Y30" s="51" t="n">
        <f aca="false">X30+Y15</f>
        <v>86000</v>
      </c>
      <c r="Z30" s="51" t="n">
        <f aca="false">Y30+Z15</f>
        <v>86000</v>
      </c>
      <c r="AA30" s="51" t="n">
        <f aca="false">Z30+AA15</f>
        <v>86000</v>
      </c>
      <c r="AB30" s="51" t="n">
        <f aca="false">AA30+AB15</f>
        <v>86000</v>
      </c>
      <c r="AC30" s="51" t="n">
        <f aca="false">AB30+AC15</f>
        <v>86000</v>
      </c>
      <c r="AD30" s="51" t="n">
        <f aca="false">AC30+AD15</f>
        <v>86000</v>
      </c>
      <c r="AE30" s="51" t="n">
        <f aca="false">AD30+AE15</f>
        <v>86000</v>
      </c>
      <c r="AF30" s="51" t="n">
        <f aca="false">AE30+AF15</f>
        <v>86000</v>
      </c>
      <c r="AG30" s="51" t="n">
        <f aca="false">AF30+AG15</f>
        <v>86000</v>
      </c>
      <c r="AH30" s="51" t="n">
        <f aca="false">AG30+AH15</f>
        <v>86000</v>
      </c>
      <c r="AI30" s="51" t="n">
        <f aca="false">AH30+AI15</f>
        <v>86000</v>
      </c>
      <c r="AJ30" s="51" t="n">
        <f aca="false">AI30+AJ15</f>
        <v>86000</v>
      </c>
      <c r="AK30" s="51" t="n">
        <f aca="false">AJ30+AK15</f>
        <v>86000</v>
      </c>
      <c r="AL30" s="51" t="n">
        <f aca="false">AK30+AL15</f>
        <v>86000</v>
      </c>
      <c r="AN30" s="52" t="n">
        <f aca="false">N30</f>
        <v>86000</v>
      </c>
      <c r="AO30" s="52" t="n">
        <f aca="false">Z30</f>
        <v>86000</v>
      </c>
      <c r="AP30" s="52" t="n">
        <f aca="false">AL30</f>
        <v>86000</v>
      </c>
    </row>
    <row r="31" customFormat="false" ht="15" hidden="false" customHeight="false" outlineLevel="0" collapsed="false">
      <c r="A31" s="26" t="s">
        <v>303</v>
      </c>
      <c r="B31" s="24"/>
      <c r="C31" s="51" t="n">
        <f aca="false">C16</f>
        <v>42000</v>
      </c>
      <c r="D31" s="51" t="n">
        <f aca="false">C31+D16</f>
        <v>42000</v>
      </c>
      <c r="E31" s="51" t="n">
        <f aca="false">D31+E16</f>
        <v>42000</v>
      </c>
      <c r="F31" s="51" t="n">
        <f aca="false">E31+F16</f>
        <v>42000</v>
      </c>
      <c r="G31" s="51" t="n">
        <f aca="false">F31+G16</f>
        <v>42000</v>
      </c>
      <c r="H31" s="51" t="n">
        <f aca="false">G31+H16</f>
        <v>42000</v>
      </c>
      <c r="I31" s="51" t="n">
        <f aca="false">H31+I16</f>
        <v>42000</v>
      </c>
      <c r="J31" s="51" t="n">
        <f aca="false">I31+J16</f>
        <v>42000</v>
      </c>
      <c r="K31" s="51" t="n">
        <f aca="false">J31+K16</f>
        <v>42000</v>
      </c>
      <c r="L31" s="51" t="n">
        <f aca="false">K31+L16</f>
        <v>42000</v>
      </c>
      <c r="M31" s="51" t="n">
        <f aca="false">L31+M16</f>
        <v>42000</v>
      </c>
      <c r="N31" s="51" t="n">
        <f aca="false">M31+N16</f>
        <v>42000</v>
      </c>
      <c r="O31" s="51" t="n">
        <f aca="false">N31+O16</f>
        <v>42000</v>
      </c>
      <c r="P31" s="51" t="n">
        <f aca="false">O31+P16</f>
        <v>42000</v>
      </c>
      <c r="Q31" s="51" t="n">
        <f aca="false">P31+Q16</f>
        <v>42000</v>
      </c>
      <c r="R31" s="51" t="n">
        <f aca="false">Q31+R16</f>
        <v>42000</v>
      </c>
      <c r="S31" s="51" t="n">
        <f aca="false">R31+S16</f>
        <v>42000</v>
      </c>
      <c r="T31" s="51" t="n">
        <f aca="false">S31+T16</f>
        <v>42000</v>
      </c>
      <c r="U31" s="51" t="n">
        <f aca="false">T31+U16</f>
        <v>42000</v>
      </c>
      <c r="V31" s="51" t="n">
        <f aca="false">U31+V16</f>
        <v>42000</v>
      </c>
      <c r="W31" s="51" t="n">
        <f aca="false">V31+W16</f>
        <v>42000</v>
      </c>
      <c r="X31" s="51" t="n">
        <f aca="false">W31+X16</f>
        <v>42000</v>
      </c>
      <c r="Y31" s="51" t="n">
        <f aca="false">X31+Y16</f>
        <v>42000</v>
      </c>
      <c r="Z31" s="51" t="n">
        <f aca="false">Y31+Z16</f>
        <v>42000</v>
      </c>
      <c r="AA31" s="51" t="n">
        <f aca="false">Z31+AA16</f>
        <v>42000</v>
      </c>
      <c r="AB31" s="51" t="n">
        <f aca="false">AA31+AB16</f>
        <v>42000</v>
      </c>
      <c r="AC31" s="51" t="n">
        <f aca="false">AB31+AC16</f>
        <v>42000</v>
      </c>
      <c r="AD31" s="51" t="n">
        <f aca="false">AC31+AD16</f>
        <v>42000</v>
      </c>
      <c r="AE31" s="51" t="n">
        <f aca="false">AD31+AE16</f>
        <v>42000</v>
      </c>
      <c r="AF31" s="51" t="n">
        <f aca="false">AE31+AF16</f>
        <v>42000</v>
      </c>
      <c r="AG31" s="51" t="n">
        <f aca="false">AF31+AG16</f>
        <v>42000</v>
      </c>
      <c r="AH31" s="51" t="n">
        <f aca="false">AG31+AH16</f>
        <v>42000</v>
      </c>
      <c r="AI31" s="51" t="n">
        <f aca="false">AH31+AI16</f>
        <v>42000</v>
      </c>
      <c r="AJ31" s="51" t="n">
        <f aca="false">AI31+AJ16</f>
        <v>42000</v>
      </c>
      <c r="AK31" s="51" t="n">
        <f aca="false">AJ31+AK16</f>
        <v>42000</v>
      </c>
      <c r="AL31" s="51" t="n">
        <f aca="false">AK31+AL16</f>
        <v>42000</v>
      </c>
      <c r="AN31" s="52" t="n">
        <f aca="false">N31</f>
        <v>42000</v>
      </c>
      <c r="AO31" s="52" t="n">
        <f aca="false">Z31</f>
        <v>42000</v>
      </c>
      <c r="AP31" s="52" t="n">
        <f aca="false">AL31</f>
        <v>42000</v>
      </c>
    </row>
    <row r="32" customFormat="false" ht="15" hidden="false" customHeight="false" outlineLevel="0" collapsed="false">
      <c r="A32" s="26" t="s">
        <v>304</v>
      </c>
      <c r="B32" s="24"/>
      <c r="C32" s="51" t="n">
        <f aca="false">C17</f>
        <v>11000</v>
      </c>
      <c r="D32" s="51" t="n">
        <f aca="false">C32+D17</f>
        <v>11000</v>
      </c>
      <c r="E32" s="51" t="n">
        <f aca="false">D32+E17</f>
        <v>11000</v>
      </c>
      <c r="F32" s="51" t="n">
        <f aca="false">E32+F17</f>
        <v>11000</v>
      </c>
      <c r="G32" s="51" t="n">
        <f aca="false">F32+G17</f>
        <v>11000</v>
      </c>
      <c r="H32" s="51" t="n">
        <f aca="false">G32+H17</f>
        <v>11000</v>
      </c>
      <c r="I32" s="51" t="n">
        <f aca="false">H32+I17</f>
        <v>11000</v>
      </c>
      <c r="J32" s="51" t="n">
        <f aca="false">I32+J17</f>
        <v>11000</v>
      </c>
      <c r="K32" s="51" t="n">
        <f aca="false">J32+K17</f>
        <v>11000</v>
      </c>
      <c r="L32" s="51" t="n">
        <f aca="false">K32+L17</f>
        <v>11000</v>
      </c>
      <c r="M32" s="51" t="n">
        <f aca="false">L32+M17</f>
        <v>11000</v>
      </c>
      <c r="N32" s="51" t="n">
        <f aca="false">M32+N17</f>
        <v>11000</v>
      </c>
      <c r="O32" s="51" t="n">
        <f aca="false">N32+O17</f>
        <v>11000</v>
      </c>
      <c r="P32" s="51" t="n">
        <f aca="false">O32+P17</f>
        <v>11000</v>
      </c>
      <c r="Q32" s="51" t="n">
        <f aca="false">P32+Q17</f>
        <v>11000</v>
      </c>
      <c r="R32" s="51" t="n">
        <f aca="false">Q32+R17</f>
        <v>11000</v>
      </c>
      <c r="S32" s="51" t="n">
        <f aca="false">R32+S17</f>
        <v>11000</v>
      </c>
      <c r="T32" s="51" t="n">
        <f aca="false">S32+T17</f>
        <v>11000</v>
      </c>
      <c r="U32" s="51" t="n">
        <f aca="false">T32+U17</f>
        <v>11000</v>
      </c>
      <c r="V32" s="51" t="n">
        <f aca="false">U32+V17</f>
        <v>11000</v>
      </c>
      <c r="W32" s="51" t="n">
        <f aca="false">V32+W17</f>
        <v>11000</v>
      </c>
      <c r="X32" s="51" t="n">
        <f aca="false">W32+X17</f>
        <v>11000</v>
      </c>
      <c r="Y32" s="51" t="n">
        <f aca="false">X32+Y17</f>
        <v>11000</v>
      </c>
      <c r="Z32" s="51" t="n">
        <f aca="false">Y32+Z17</f>
        <v>11000</v>
      </c>
      <c r="AA32" s="51" t="n">
        <f aca="false">Z32+AA17</f>
        <v>11000</v>
      </c>
      <c r="AB32" s="51" t="n">
        <f aca="false">AA32+AB17</f>
        <v>11000</v>
      </c>
      <c r="AC32" s="51" t="n">
        <f aca="false">AB32+AC17</f>
        <v>11000</v>
      </c>
      <c r="AD32" s="51" t="n">
        <f aca="false">AC32+AD17</f>
        <v>11000</v>
      </c>
      <c r="AE32" s="51" t="n">
        <f aca="false">AD32+AE17</f>
        <v>11000</v>
      </c>
      <c r="AF32" s="51" t="n">
        <f aca="false">AE32+AF17</f>
        <v>11000</v>
      </c>
      <c r="AG32" s="51" t="n">
        <f aca="false">AF32+AG17</f>
        <v>11000</v>
      </c>
      <c r="AH32" s="51" t="n">
        <f aca="false">AG32+AH17</f>
        <v>11000</v>
      </c>
      <c r="AI32" s="51" t="n">
        <f aca="false">AH32+AI17</f>
        <v>11000</v>
      </c>
      <c r="AJ32" s="51" t="n">
        <f aca="false">AI32+AJ17</f>
        <v>11000</v>
      </c>
      <c r="AK32" s="51" t="n">
        <f aca="false">AJ32+AK17</f>
        <v>11000</v>
      </c>
      <c r="AL32" s="51" t="n">
        <f aca="false">AK32+AL17</f>
        <v>11000</v>
      </c>
      <c r="AN32" s="52" t="n">
        <f aca="false">N32</f>
        <v>11000</v>
      </c>
      <c r="AO32" s="52" t="n">
        <f aca="false">Z32</f>
        <v>11000</v>
      </c>
      <c r="AP32" s="52" t="n">
        <f aca="false">AL32</f>
        <v>11000</v>
      </c>
    </row>
    <row r="33" customFormat="false" ht="15" hidden="false" customHeight="false" outlineLevel="0" collapsed="false">
      <c r="A33" s="53" t="s">
        <v>447</v>
      </c>
      <c r="B33" s="54"/>
      <c r="C33" s="55" t="n">
        <f aca="false">SUM(C22:C32)</f>
        <v>173520</v>
      </c>
      <c r="D33" s="55" t="n">
        <f aca="false">SUM(D22:D32)</f>
        <v>183020</v>
      </c>
      <c r="E33" s="55" t="n">
        <f aca="false">SUM(E22:E32)</f>
        <v>183020</v>
      </c>
      <c r="F33" s="55" t="n">
        <f aca="false">SUM(F22:F32)</f>
        <v>183020</v>
      </c>
      <c r="G33" s="55" t="n">
        <f aca="false">SUM(G22:G32)</f>
        <v>183020</v>
      </c>
      <c r="H33" s="55" t="n">
        <f aca="false">SUM(H22:H32)</f>
        <v>183020</v>
      </c>
      <c r="I33" s="55" t="n">
        <f aca="false">SUM(I22:I32)</f>
        <v>183020</v>
      </c>
      <c r="J33" s="55" t="n">
        <f aca="false">SUM(J22:J32)</f>
        <v>183020</v>
      </c>
      <c r="K33" s="55" t="n">
        <f aca="false">SUM(K22:K32)</f>
        <v>183020</v>
      </c>
      <c r="L33" s="55" t="n">
        <f aca="false">SUM(L22:L32)</f>
        <v>183020</v>
      </c>
      <c r="M33" s="55" t="n">
        <f aca="false">SUM(M22:M32)</f>
        <v>183020</v>
      </c>
      <c r="N33" s="55" t="n">
        <f aca="false">SUM(N22:N32)</f>
        <v>183020</v>
      </c>
      <c r="O33" s="55" t="n">
        <f aca="false">SUM(O22:O32)</f>
        <v>191180</v>
      </c>
      <c r="P33" s="55" t="n">
        <f aca="false">SUM(P22:P32)</f>
        <v>199680</v>
      </c>
      <c r="Q33" s="55" t="n">
        <f aca="false">SUM(Q22:Q32)</f>
        <v>199680</v>
      </c>
      <c r="R33" s="55" t="n">
        <f aca="false">SUM(R22:R32)</f>
        <v>199680</v>
      </c>
      <c r="S33" s="55" t="n">
        <f aca="false">SUM(S22:S32)</f>
        <v>199680</v>
      </c>
      <c r="T33" s="55" t="n">
        <f aca="false">SUM(T22:T32)</f>
        <v>199680</v>
      </c>
      <c r="U33" s="55" t="n">
        <f aca="false">SUM(U22:U32)</f>
        <v>199680</v>
      </c>
      <c r="V33" s="55" t="n">
        <f aca="false">SUM(V22:V32)</f>
        <v>199680</v>
      </c>
      <c r="W33" s="55" t="n">
        <f aca="false">SUM(W22:W32)</f>
        <v>199680</v>
      </c>
      <c r="X33" s="55" t="n">
        <f aca="false">SUM(X22:X32)</f>
        <v>199680</v>
      </c>
      <c r="Y33" s="55" t="n">
        <f aca="false">SUM(Y22:Y32)</f>
        <v>199680</v>
      </c>
      <c r="Z33" s="55" t="n">
        <f aca="false">SUM(Z22:Z32)</f>
        <v>199680</v>
      </c>
      <c r="AA33" s="55" t="n">
        <f aca="false">SUM(AA22:AA32)</f>
        <v>207840</v>
      </c>
      <c r="AB33" s="55" t="n">
        <f aca="false">SUM(AB22:AB32)</f>
        <v>207840</v>
      </c>
      <c r="AC33" s="55" t="n">
        <f aca="false">SUM(AC22:AC32)</f>
        <v>207840</v>
      </c>
      <c r="AD33" s="55" t="n">
        <f aca="false">SUM(AD22:AD32)</f>
        <v>207840</v>
      </c>
      <c r="AE33" s="55" t="n">
        <f aca="false">SUM(AE22:AE32)</f>
        <v>207840</v>
      </c>
      <c r="AF33" s="55" t="n">
        <f aca="false">SUM(AF22:AF32)</f>
        <v>207840</v>
      </c>
      <c r="AG33" s="55" t="n">
        <f aca="false">SUM(AG22:AG32)</f>
        <v>207840</v>
      </c>
      <c r="AH33" s="55" t="n">
        <f aca="false">SUM(AH22:AH32)</f>
        <v>207840</v>
      </c>
      <c r="AI33" s="55" t="n">
        <f aca="false">SUM(AI22:AI32)</f>
        <v>207840</v>
      </c>
      <c r="AJ33" s="55" t="n">
        <f aca="false">SUM(AJ22:AJ32)</f>
        <v>207840</v>
      </c>
      <c r="AK33" s="55" t="n">
        <f aca="false">SUM(AK22:AK32)</f>
        <v>207840</v>
      </c>
      <c r="AL33" s="55" t="n">
        <f aca="false">SUM(AL22:AL32)</f>
        <v>207840</v>
      </c>
      <c r="AN33" s="52" t="n">
        <f aca="false">N33</f>
        <v>183020</v>
      </c>
      <c r="AO33" s="52" t="n">
        <f aca="false">Z33</f>
        <v>199680</v>
      </c>
      <c r="AP33" s="52" t="n">
        <f aca="false">AL33</f>
        <v>207840</v>
      </c>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448</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449</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450</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75" hidden="false" customHeight="true" outlineLevel="0" collapsed="false">
      <c r="A6" s="36" t="s">
        <v>345</v>
      </c>
      <c r="B6" s="36" t="s">
        <v>346</v>
      </c>
      <c r="C6" s="47" t="s">
        <v>347</v>
      </c>
      <c r="D6" s="47" t="s">
        <v>348</v>
      </c>
      <c r="E6" s="47" t="s">
        <v>349</v>
      </c>
      <c r="F6" s="47" t="s">
        <v>350</v>
      </c>
      <c r="G6" s="47" t="s">
        <v>351</v>
      </c>
      <c r="H6" s="47" t="s">
        <v>352</v>
      </c>
      <c r="I6" s="47" t="s">
        <v>353</v>
      </c>
      <c r="J6" s="47" t="s">
        <v>354</v>
      </c>
      <c r="K6" s="47" t="s">
        <v>355</v>
      </c>
      <c r="L6" s="47" t="s">
        <v>356</v>
      </c>
      <c r="M6" s="47" t="s">
        <v>357</v>
      </c>
      <c r="N6" s="47" t="s">
        <v>358</v>
      </c>
      <c r="O6" s="48" t="s">
        <v>359</v>
      </c>
      <c r="P6" s="48" t="s">
        <v>360</v>
      </c>
      <c r="Q6" s="48" t="s">
        <v>361</v>
      </c>
      <c r="R6" s="48" t="s">
        <v>362</v>
      </c>
      <c r="S6" s="48" t="s">
        <v>363</v>
      </c>
      <c r="T6" s="48" t="s">
        <v>364</v>
      </c>
      <c r="U6" s="48" t="s">
        <v>365</v>
      </c>
      <c r="V6" s="48" t="s">
        <v>366</v>
      </c>
      <c r="W6" s="48" t="s">
        <v>367</v>
      </c>
      <c r="X6" s="48" t="s">
        <v>368</v>
      </c>
      <c r="Y6" s="48" t="s">
        <v>369</v>
      </c>
      <c r="Z6" s="48" t="s">
        <v>370</v>
      </c>
      <c r="AA6" s="47" t="s">
        <v>371</v>
      </c>
      <c r="AB6" s="47" t="s">
        <v>372</v>
      </c>
      <c r="AC6" s="47" t="s">
        <v>373</v>
      </c>
      <c r="AD6" s="47" t="s">
        <v>374</v>
      </c>
      <c r="AE6" s="47" t="s">
        <v>375</v>
      </c>
      <c r="AF6" s="47" t="s">
        <v>376</v>
      </c>
      <c r="AG6" s="47" t="s">
        <v>377</v>
      </c>
      <c r="AH6" s="47" t="s">
        <v>378</v>
      </c>
      <c r="AI6" s="47" t="s">
        <v>379</v>
      </c>
      <c r="AJ6" s="47" t="s">
        <v>380</v>
      </c>
      <c r="AK6" s="47" t="s">
        <v>381</v>
      </c>
      <c r="AL6" s="47" t="s">
        <v>382</v>
      </c>
      <c r="AM6" s="49"/>
      <c r="AN6" s="50" t="s">
        <v>383</v>
      </c>
      <c r="AO6" s="50" t="s">
        <v>384</v>
      </c>
      <c r="AP6" s="50" t="s">
        <v>385</v>
      </c>
    </row>
    <row r="7" customFormat="false" ht="15" hidden="false" customHeight="false" outlineLevel="0" collapsed="false">
      <c r="A7" s="26" t="s">
        <v>168</v>
      </c>
      <c r="B7" s="24" t="s">
        <v>451</v>
      </c>
      <c r="C7" s="66" t="n">
        <f aca="false">Assumptions!$C$55</f>
        <v>2</v>
      </c>
      <c r="D7" s="66" t="n">
        <f aca="false">Assumptions!$C$55</f>
        <v>2</v>
      </c>
      <c r="E7" s="66" t="n">
        <f aca="false">Assumptions!$C$55</f>
        <v>2</v>
      </c>
      <c r="F7" s="66" t="n">
        <f aca="false">Assumptions!$C$55</f>
        <v>2</v>
      </c>
      <c r="G7" s="66" t="n">
        <f aca="false">Assumptions!$C$55</f>
        <v>2</v>
      </c>
      <c r="H7" s="66" t="n">
        <f aca="false">Assumptions!$C$55</f>
        <v>2</v>
      </c>
      <c r="I7" s="66" t="n">
        <f aca="false">Assumptions!$C$55</f>
        <v>2</v>
      </c>
      <c r="J7" s="66" t="n">
        <f aca="false">Assumptions!$C$55</f>
        <v>2</v>
      </c>
      <c r="K7" s="66" t="n">
        <f aca="false">Assumptions!$C$55</f>
        <v>2</v>
      </c>
      <c r="L7" s="66" t="n">
        <f aca="false">Assumptions!$C$55</f>
        <v>2</v>
      </c>
      <c r="M7" s="66" t="n">
        <f aca="false">Assumptions!$C$55</f>
        <v>2</v>
      </c>
      <c r="N7" s="66" t="n">
        <f aca="false">Assumptions!$C$55</f>
        <v>2</v>
      </c>
      <c r="O7" s="66" t="n">
        <f aca="false">Assumptions!$D$55</f>
        <v>6</v>
      </c>
      <c r="P7" s="66" t="n">
        <f aca="false">Assumptions!$D$55</f>
        <v>6</v>
      </c>
      <c r="Q7" s="66" t="n">
        <f aca="false">Assumptions!$D$55</f>
        <v>6</v>
      </c>
      <c r="R7" s="66" t="n">
        <f aca="false">Assumptions!$D$55</f>
        <v>6</v>
      </c>
      <c r="S7" s="66" t="n">
        <f aca="false">Assumptions!$D$55</f>
        <v>6</v>
      </c>
      <c r="T7" s="66" t="n">
        <f aca="false">Assumptions!$D$55</f>
        <v>6</v>
      </c>
      <c r="U7" s="66" t="n">
        <f aca="false">Assumptions!$D$55</f>
        <v>6</v>
      </c>
      <c r="V7" s="66" t="n">
        <f aca="false">Assumptions!$D$55</f>
        <v>6</v>
      </c>
      <c r="W7" s="66" t="n">
        <f aca="false">Assumptions!$D$55</f>
        <v>6</v>
      </c>
      <c r="X7" s="66" t="n">
        <f aca="false">Assumptions!$D$55</f>
        <v>6</v>
      </c>
      <c r="Y7" s="66" t="n">
        <f aca="false">Assumptions!$D$55</f>
        <v>6</v>
      </c>
      <c r="Z7" s="66" t="n">
        <f aca="false">Assumptions!$D$55</f>
        <v>6</v>
      </c>
      <c r="AA7" s="66" t="n">
        <f aca="false">Assumptions!$E$55</f>
        <v>11</v>
      </c>
      <c r="AB7" s="66" t="n">
        <f aca="false">Assumptions!$E$55</f>
        <v>11</v>
      </c>
      <c r="AC7" s="66" t="n">
        <f aca="false">Assumptions!$E$55</f>
        <v>11</v>
      </c>
      <c r="AD7" s="66" t="n">
        <f aca="false">Assumptions!$E$55</f>
        <v>11</v>
      </c>
      <c r="AE7" s="66" t="n">
        <f aca="false">Assumptions!$E$55</f>
        <v>11</v>
      </c>
      <c r="AF7" s="66" t="n">
        <f aca="false">Assumptions!$E$55</f>
        <v>11</v>
      </c>
      <c r="AG7" s="66" t="n">
        <f aca="false">Assumptions!$E$55</f>
        <v>11</v>
      </c>
      <c r="AH7" s="66" t="n">
        <f aca="false">Assumptions!$E$55</f>
        <v>11</v>
      </c>
      <c r="AI7" s="66" t="n">
        <f aca="false">Assumptions!$E$55</f>
        <v>11</v>
      </c>
      <c r="AJ7" s="66" t="n">
        <f aca="false">Assumptions!$E$55</f>
        <v>11</v>
      </c>
      <c r="AK7" s="66" t="n">
        <f aca="false">Assumptions!$E$55</f>
        <v>11</v>
      </c>
      <c r="AL7" s="66" t="n">
        <f aca="false">Assumptions!$E$55</f>
        <v>11</v>
      </c>
      <c r="AN7" s="67" t="n">
        <f aca="false">SUM(C7:N7)</f>
        <v>24</v>
      </c>
      <c r="AO7" s="67" t="n">
        <f aca="false">SUM(O7:Z7)</f>
        <v>72</v>
      </c>
      <c r="AP7" s="67" t="n">
        <f aca="false">SUM(AA7:AL7)</f>
        <v>132</v>
      </c>
    </row>
    <row r="8" customFormat="false" ht="15" hidden="false" customHeight="false" outlineLevel="0" collapsed="false">
      <c r="A8" s="26" t="s">
        <v>452</v>
      </c>
      <c r="B8" s="24"/>
      <c r="C8" s="51" t="n">
        <f aca="false">C7*Assumptions!$F$55</f>
        <v>840</v>
      </c>
      <c r="D8" s="51" t="n">
        <f aca="false">D7*Assumptions!$F$55</f>
        <v>840</v>
      </c>
      <c r="E8" s="51" t="n">
        <f aca="false">E7*Assumptions!$F$55</f>
        <v>840</v>
      </c>
      <c r="F8" s="51" t="n">
        <f aca="false">F7*Assumptions!$F$55</f>
        <v>840</v>
      </c>
      <c r="G8" s="51" t="n">
        <f aca="false">G7*Assumptions!$F$55</f>
        <v>840</v>
      </c>
      <c r="H8" s="51" t="n">
        <f aca="false">H7*Assumptions!$F$55</f>
        <v>840</v>
      </c>
      <c r="I8" s="51" t="n">
        <f aca="false">I7*Assumptions!$F$55</f>
        <v>840</v>
      </c>
      <c r="J8" s="51" t="n">
        <f aca="false">J7*Assumptions!$F$55</f>
        <v>840</v>
      </c>
      <c r="K8" s="51" t="n">
        <f aca="false">K7*Assumptions!$F$55</f>
        <v>840</v>
      </c>
      <c r="L8" s="51" t="n">
        <f aca="false">L7*Assumptions!$F$55</f>
        <v>840</v>
      </c>
      <c r="M8" s="51" t="n">
        <f aca="false">M7*Assumptions!$F$55</f>
        <v>840</v>
      </c>
      <c r="N8" s="51" t="n">
        <f aca="false">N7*Assumptions!$F$55</f>
        <v>840</v>
      </c>
      <c r="O8" s="51" t="n">
        <f aca="false">O7*Assumptions!$F$55</f>
        <v>2520</v>
      </c>
      <c r="P8" s="51" t="n">
        <f aca="false">P7*Assumptions!$F$55</f>
        <v>2520</v>
      </c>
      <c r="Q8" s="51" t="n">
        <f aca="false">Q7*Assumptions!$F$55</f>
        <v>2520</v>
      </c>
      <c r="R8" s="51" t="n">
        <f aca="false">R7*Assumptions!$F$55</f>
        <v>2520</v>
      </c>
      <c r="S8" s="51" t="n">
        <f aca="false">S7*Assumptions!$F$55</f>
        <v>2520</v>
      </c>
      <c r="T8" s="51" t="n">
        <f aca="false">T7*Assumptions!$F$55</f>
        <v>2520</v>
      </c>
      <c r="U8" s="51" t="n">
        <f aca="false">U7*Assumptions!$F$55</f>
        <v>2520</v>
      </c>
      <c r="V8" s="51" t="n">
        <f aca="false">V7*Assumptions!$F$55</f>
        <v>2520</v>
      </c>
      <c r="W8" s="51" t="n">
        <f aca="false">W7*Assumptions!$F$55</f>
        <v>2520</v>
      </c>
      <c r="X8" s="51" t="n">
        <f aca="false">X7*Assumptions!$F$55</f>
        <v>2520</v>
      </c>
      <c r="Y8" s="51" t="n">
        <f aca="false">Y7*Assumptions!$F$55</f>
        <v>2520</v>
      </c>
      <c r="Z8" s="51" t="n">
        <f aca="false">Z7*Assumptions!$F$55</f>
        <v>2520</v>
      </c>
      <c r="AA8" s="51" t="n">
        <f aca="false">AA7*Assumptions!$F$55</f>
        <v>4620</v>
      </c>
      <c r="AB8" s="51" t="n">
        <f aca="false">AB7*Assumptions!$F$55</f>
        <v>4620</v>
      </c>
      <c r="AC8" s="51" t="n">
        <f aca="false">AC7*Assumptions!$F$55</f>
        <v>4620</v>
      </c>
      <c r="AD8" s="51" t="n">
        <f aca="false">AD7*Assumptions!$F$55</f>
        <v>4620</v>
      </c>
      <c r="AE8" s="51" t="n">
        <f aca="false">AE7*Assumptions!$F$55</f>
        <v>4620</v>
      </c>
      <c r="AF8" s="51" t="n">
        <f aca="false">AF7*Assumptions!$F$55</f>
        <v>4620</v>
      </c>
      <c r="AG8" s="51" t="n">
        <f aca="false">AG7*Assumptions!$F$55</f>
        <v>4620</v>
      </c>
      <c r="AH8" s="51" t="n">
        <f aca="false">AH7*Assumptions!$F$55</f>
        <v>4620</v>
      </c>
      <c r="AI8" s="51" t="n">
        <f aca="false">AI7*Assumptions!$F$55</f>
        <v>4620</v>
      </c>
      <c r="AJ8" s="51" t="n">
        <f aca="false">AJ7*Assumptions!$F$55</f>
        <v>4620</v>
      </c>
      <c r="AK8" s="51" t="n">
        <f aca="false">AK7*Assumptions!$F$55</f>
        <v>4620</v>
      </c>
      <c r="AL8" s="51" t="n">
        <f aca="false">AL7*Assumptions!$F$55</f>
        <v>4620</v>
      </c>
      <c r="AN8" s="52" t="n">
        <f aca="false">SUM(C8:N8)</f>
        <v>10080</v>
      </c>
      <c r="AO8" s="52" t="n">
        <f aca="false">SUM(O8:Z8)</f>
        <v>30240</v>
      </c>
      <c r="AP8" s="52" t="n">
        <f aca="false">SUM(AA8:AL8)</f>
        <v>55440</v>
      </c>
    </row>
    <row r="9" customFormat="false" ht="15" hidden="false" customHeight="false" outlineLevel="0" collapsed="false">
      <c r="A9" s="26" t="s">
        <v>453</v>
      </c>
      <c r="B9" s="24"/>
      <c r="C9" s="56" t="n">
        <f aca="false">C7*Assumptions!$G$55</f>
        <v>90</v>
      </c>
      <c r="D9" s="56" t="n">
        <f aca="false">D7*Assumptions!$G$55</f>
        <v>90</v>
      </c>
      <c r="E9" s="56" t="n">
        <f aca="false">E7*Assumptions!$G$55</f>
        <v>90</v>
      </c>
      <c r="F9" s="56" t="n">
        <f aca="false">F7*Assumptions!$G$55</f>
        <v>90</v>
      </c>
      <c r="G9" s="56" t="n">
        <f aca="false">G7*Assumptions!$G$55</f>
        <v>90</v>
      </c>
      <c r="H9" s="56" t="n">
        <f aca="false">H7*Assumptions!$G$55</f>
        <v>90</v>
      </c>
      <c r="I9" s="56" t="n">
        <f aca="false">I7*Assumptions!$G$55</f>
        <v>90</v>
      </c>
      <c r="J9" s="56" t="n">
        <f aca="false">J7*Assumptions!$G$55</f>
        <v>90</v>
      </c>
      <c r="K9" s="56" t="n">
        <f aca="false">K7*Assumptions!$G$55</f>
        <v>90</v>
      </c>
      <c r="L9" s="56" t="n">
        <f aca="false">L7*Assumptions!$G$55</f>
        <v>90</v>
      </c>
      <c r="M9" s="56" t="n">
        <f aca="false">M7*Assumptions!$G$55</f>
        <v>90</v>
      </c>
      <c r="N9" s="56" t="n">
        <f aca="false">N7*Assumptions!$G$55</f>
        <v>90</v>
      </c>
      <c r="O9" s="56" t="n">
        <f aca="false">O7*Assumptions!$G$55</f>
        <v>270</v>
      </c>
      <c r="P9" s="56" t="n">
        <f aca="false">P7*Assumptions!$G$55</f>
        <v>270</v>
      </c>
      <c r="Q9" s="56" t="n">
        <f aca="false">Q7*Assumptions!$G$55</f>
        <v>270</v>
      </c>
      <c r="R9" s="56" t="n">
        <f aca="false">R7*Assumptions!$G$55</f>
        <v>270</v>
      </c>
      <c r="S9" s="56" t="n">
        <f aca="false">S7*Assumptions!$G$55</f>
        <v>270</v>
      </c>
      <c r="T9" s="56" t="n">
        <f aca="false">T7*Assumptions!$G$55</f>
        <v>270</v>
      </c>
      <c r="U9" s="56" t="n">
        <f aca="false">U7*Assumptions!$G$55</f>
        <v>270</v>
      </c>
      <c r="V9" s="56" t="n">
        <f aca="false">V7*Assumptions!$G$55</f>
        <v>270</v>
      </c>
      <c r="W9" s="56" t="n">
        <f aca="false">W7*Assumptions!$G$55</f>
        <v>270</v>
      </c>
      <c r="X9" s="56" t="n">
        <f aca="false">X7*Assumptions!$G$55</f>
        <v>270</v>
      </c>
      <c r="Y9" s="56" t="n">
        <f aca="false">Y7*Assumptions!$G$55</f>
        <v>270</v>
      </c>
      <c r="Z9" s="56" t="n">
        <f aca="false">Z7*Assumptions!$G$55</f>
        <v>270</v>
      </c>
      <c r="AA9" s="56" t="n">
        <f aca="false">AA7*Assumptions!$G$55</f>
        <v>495</v>
      </c>
      <c r="AB9" s="56" t="n">
        <f aca="false">AB7*Assumptions!$G$55</f>
        <v>495</v>
      </c>
      <c r="AC9" s="56" t="n">
        <f aca="false">AC7*Assumptions!$G$55</f>
        <v>495</v>
      </c>
      <c r="AD9" s="56" t="n">
        <f aca="false">AD7*Assumptions!$G$55</f>
        <v>495</v>
      </c>
      <c r="AE9" s="56" t="n">
        <f aca="false">AE7*Assumptions!$G$55</f>
        <v>495</v>
      </c>
      <c r="AF9" s="56" t="n">
        <f aca="false">AF7*Assumptions!$G$55</f>
        <v>495</v>
      </c>
      <c r="AG9" s="56" t="n">
        <f aca="false">AG7*Assumptions!$G$55</f>
        <v>495</v>
      </c>
      <c r="AH9" s="56" t="n">
        <f aca="false">AH7*Assumptions!$G$55</f>
        <v>495</v>
      </c>
      <c r="AI9" s="56" t="n">
        <f aca="false">AI7*Assumptions!$G$55</f>
        <v>495</v>
      </c>
      <c r="AJ9" s="56" t="n">
        <f aca="false">AJ7*Assumptions!$G$55</f>
        <v>495</v>
      </c>
      <c r="AK9" s="56" t="n">
        <f aca="false">AK7*Assumptions!$G$55</f>
        <v>495</v>
      </c>
      <c r="AL9" s="56" t="n">
        <f aca="false">AL7*Assumptions!$G$55</f>
        <v>495</v>
      </c>
      <c r="AN9" s="57" t="n">
        <f aca="false">SUM(C9:N9)</f>
        <v>1080</v>
      </c>
      <c r="AO9" s="57" t="n">
        <f aca="false">SUM(O9:Z9)</f>
        <v>3240</v>
      </c>
      <c r="AP9" s="57" t="n">
        <f aca="false">SUM(AA9:AL9)</f>
        <v>5940</v>
      </c>
    </row>
    <row r="10" customFormat="false" ht="15" hidden="false" customHeight="false" outlineLevel="0" collapsed="false">
      <c r="A10" s="26" t="s">
        <v>454</v>
      </c>
      <c r="B10" s="24"/>
      <c r="C10" s="66" t="n">
        <f aca="false">C7*Assumptions!$H$55</f>
        <v>1.8</v>
      </c>
      <c r="D10" s="66" t="n">
        <f aca="false">D7*Assumptions!$H$55</f>
        <v>1.8</v>
      </c>
      <c r="E10" s="66" t="n">
        <f aca="false">E7*Assumptions!$H$55</f>
        <v>1.8</v>
      </c>
      <c r="F10" s="66" t="n">
        <f aca="false">F7*Assumptions!$H$55</f>
        <v>1.8</v>
      </c>
      <c r="G10" s="66" t="n">
        <f aca="false">G7*Assumptions!$H$55</f>
        <v>1.8</v>
      </c>
      <c r="H10" s="66" t="n">
        <f aca="false">H7*Assumptions!$H$55</f>
        <v>1.8</v>
      </c>
      <c r="I10" s="66" t="n">
        <f aca="false">I7*Assumptions!$H$55</f>
        <v>1.8</v>
      </c>
      <c r="J10" s="66" t="n">
        <f aca="false">J7*Assumptions!$H$55</f>
        <v>1.8</v>
      </c>
      <c r="K10" s="66" t="n">
        <f aca="false">K7*Assumptions!$H$55</f>
        <v>1.8</v>
      </c>
      <c r="L10" s="66" t="n">
        <f aca="false">L7*Assumptions!$H$55</f>
        <v>1.8</v>
      </c>
      <c r="M10" s="66" t="n">
        <f aca="false">M7*Assumptions!$H$55</f>
        <v>1.8</v>
      </c>
      <c r="N10" s="66" t="n">
        <f aca="false">N7*Assumptions!$H$55</f>
        <v>1.8</v>
      </c>
      <c r="O10" s="66" t="n">
        <f aca="false">O7*Assumptions!$H$55</f>
        <v>5.4</v>
      </c>
      <c r="P10" s="66" t="n">
        <f aca="false">P7*Assumptions!$H$55</f>
        <v>5.4</v>
      </c>
      <c r="Q10" s="66" t="n">
        <f aca="false">Q7*Assumptions!$H$55</f>
        <v>5.4</v>
      </c>
      <c r="R10" s="66" t="n">
        <f aca="false">R7*Assumptions!$H$55</f>
        <v>5.4</v>
      </c>
      <c r="S10" s="66" t="n">
        <f aca="false">S7*Assumptions!$H$55</f>
        <v>5.4</v>
      </c>
      <c r="T10" s="66" t="n">
        <f aca="false">T7*Assumptions!$H$55</f>
        <v>5.4</v>
      </c>
      <c r="U10" s="66" t="n">
        <f aca="false">U7*Assumptions!$H$55</f>
        <v>5.4</v>
      </c>
      <c r="V10" s="66" t="n">
        <f aca="false">V7*Assumptions!$H$55</f>
        <v>5.4</v>
      </c>
      <c r="W10" s="66" t="n">
        <f aca="false">W7*Assumptions!$H$55</f>
        <v>5.4</v>
      </c>
      <c r="X10" s="66" t="n">
        <f aca="false">X7*Assumptions!$H$55</f>
        <v>5.4</v>
      </c>
      <c r="Y10" s="66" t="n">
        <f aca="false">Y7*Assumptions!$H$55</f>
        <v>5.4</v>
      </c>
      <c r="Z10" s="66" t="n">
        <f aca="false">Z7*Assumptions!$H$55</f>
        <v>5.4</v>
      </c>
      <c r="AA10" s="66" t="n">
        <f aca="false">AA7*Assumptions!$H$55</f>
        <v>9.9</v>
      </c>
      <c r="AB10" s="66" t="n">
        <f aca="false">AB7*Assumptions!$H$55</f>
        <v>9.9</v>
      </c>
      <c r="AC10" s="66" t="n">
        <f aca="false">AC7*Assumptions!$H$55</f>
        <v>9.9</v>
      </c>
      <c r="AD10" s="66" t="n">
        <f aca="false">AD7*Assumptions!$H$55</f>
        <v>9.9</v>
      </c>
      <c r="AE10" s="66" t="n">
        <f aca="false">AE7*Assumptions!$H$55</f>
        <v>9.9</v>
      </c>
      <c r="AF10" s="66" t="n">
        <f aca="false">AF7*Assumptions!$H$55</f>
        <v>9.9</v>
      </c>
      <c r="AG10" s="66" t="n">
        <f aca="false">AG7*Assumptions!$H$55</f>
        <v>9.9</v>
      </c>
      <c r="AH10" s="66" t="n">
        <f aca="false">AH7*Assumptions!$H$55</f>
        <v>9.9</v>
      </c>
      <c r="AI10" s="66" t="n">
        <f aca="false">AI7*Assumptions!$H$55</f>
        <v>9.9</v>
      </c>
      <c r="AJ10" s="66" t="n">
        <f aca="false">AJ7*Assumptions!$H$55</f>
        <v>9.9</v>
      </c>
      <c r="AK10" s="66" t="n">
        <f aca="false">AK7*Assumptions!$H$55</f>
        <v>9.9</v>
      </c>
      <c r="AL10" s="66" t="n">
        <f aca="false">AL7*Assumptions!$H$55</f>
        <v>9.9</v>
      </c>
      <c r="AN10" s="67" t="n">
        <f aca="false">SUM(C10:N10)</f>
        <v>21.6</v>
      </c>
      <c r="AO10" s="67" t="n">
        <f aca="false">SUM(O10:Z10)</f>
        <v>64.8</v>
      </c>
      <c r="AP10" s="67" t="n">
        <f aca="false">SUM(AA10:AL10)</f>
        <v>118.8</v>
      </c>
    </row>
    <row r="11" customFormat="false" ht="15" hidden="false" customHeight="false" outlineLevel="0" collapsed="false">
      <c r="A11" s="26" t="s">
        <v>170</v>
      </c>
      <c r="B11" s="24" t="s">
        <v>451</v>
      </c>
      <c r="C11" s="66" t="n">
        <f aca="false">Assumptions!$C$56</f>
        <v>3</v>
      </c>
      <c r="D11" s="66" t="n">
        <f aca="false">Assumptions!$C$56</f>
        <v>3</v>
      </c>
      <c r="E11" s="66" t="n">
        <f aca="false">Assumptions!$C$56</f>
        <v>3</v>
      </c>
      <c r="F11" s="66" t="n">
        <f aca="false">Assumptions!$C$56</f>
        <v>3</v>
      </c>
      <c r="G11" s="66" t="n">
        <f aca="false">Assumptions!$C$56</f>
        <v>3</v>
      </c>
      <c r="H11" s="66" t="n">
        <f aca="false">Assumptions!$C$56</f>
        <v>3</v>
      </c>
      <c r="I11" s="66" t="n">
        <f aca="false">Assumptions!$C$56</f>
        <v>3</v>
      </c>
      <c r="J11" s="66" t="n">
        <f aca="false">Assumptions!$C$56</f>
        <v>3</v>
      </c>
      <c r="K11" s="66" t="n">
        <f aca="false">Assumptions!$C$56</f>
        <v>3</v>
      </c>
      <c r="L11" s="66" t="n">
        <f aca="false">Assumptions!$C$56</f>
        <v>3</v>
      </c>
      <c r="M11" s="66" t="n">
        <f aca="false">Assumptions!$C$56</f>
        <v>3</v>
      </c>
      <c r="N11" s="66" t="n">
        <f aca="false">Assumptions!$C$56</f>
        <v>3</v>
      </c>
      <c r="O11" s="66" t="n">
        <f aca="false">Assumptions!$D$56</f>
        <v>8</v>
      </c>
      <c r="P11" s="66" t="n">
        <f aca="false">Assumptions!$D$56</f>
        <v>8</v>
      </c>
      <c r="Q11" s="66" t="n">
        <f aca="false">Assumptions!$D$56</f>
        <v>8</v>
      </c>
      <c r="R11" s="66" t="n">
        <f aca="false">Assumptions!$D$56</f>
        <v>8</v>
      </c>
      <c r="S11" s="66" t="n">
        <f aca="false">Assumptions!$D$56</f>
        <v>8</v>
      </c>
      <c r="T11" s="66" t="n">
        <f aca="false">Assumptions!$D$56</f>
        <v>8</v>
      </c>
      <c r="U11" s="66" t="n">
        <f aca="false">Assumptions!$D$56</f>
        <v>8</v>
      </c>
      <c r="V11" s="66" t="n">
        <f aca="false">Assumptions!$D$56</f>
        <v>8</v>
      </c>
      <c r="W11" s="66" t="n">
        <f aca="false">Assumptions!$D$56</f>
        <v>8</v>
      </c>
      <c r="X11" s="66" t="n">
        <f aca="false">Assumptions!$D$56</f>
        <v>8</v>
      </c>
      <c r="Y11" s="66" t="n">
        <f aca="false">Assumptions!$D$56</f>
        <v>8</v>
      </c>
      <c r="Z11" s="66" t="n">
        <f aca="false">Assumptions!$D$56</f>
        <v>8</v>
      </c>
      <c r="AA11" s="66" t="n">
        <f aca="false">Assumptions!$E$56</f>
        <v>14</v>
      </c>
      <c r="AB11" s="66" t="n">
        <f aca="false">Assumptions!$E$56</f>
        <v>14</v>
      </c>
      <c r="AC11" s="66" t="n">
        <f aca="false">Assumptions!$E$56</f>
        <v>14</v>
      </c>
      <c r="AD11" s="66" t="n">
        <f aca="false">Assumptions!$E$56</f>
        <v>14</v>
      </c>
      <c r="AE11" s="66" t="n">
        <f aca="false">Assumptions!$E$56</f>
        <v>14</v>
      </c>
      <c r="AF11" s="66" t="n">
        <f aca="false">Assumptions!$E$56</f>
        <v>14</v>
      </c>
      <c r="AG11" s="66" t="n">
        <f aca="false">Assumptions!$E$56</f>
        <v>14</v>
      </c>
      <c r="AH11" s="66" t="n">
        <f aca="false">Assumptions!$E$56</f>
        <v>14</v>
      </c>
      <c r="AI11" s="66" t="n">
        <f aca="false">Assumptions!$E$56</f>
        <v>14</v>
      </c>
      <c r="AJ11" s="66" t="n">
        <f aca="false">Assumptions!$E$56</f>
        <v>14</v>
      </c>
      <c r="AK11" s="66" t="n">
        <f aca="false">Assumptions!$E$56</f>
        <v>14</v>
      </c>
      <c r="AL11" s="66" t="n">
        <f aca="false">Assumptions!$E$56</f>
        <v>14</v>
      </c>
      <c r="AN11" s="67" t="n">
        <f aca="false">SUM(C11:N11)</f>
        <v>36</v>
      </c>
      <c r="AO11" s="67" t="n">
        <f aca="false">SUM(O11:Z11)</f>
        <v>96</v>
      </c>
      <c r="AP11" s="67" t="n">
        <f aca="false">SUM(AA11:AL11)</f>
        <v>168</v>
      </c>
    </row>
    <row r="12" customFormat="false" ht="15" hidden="false" customHeight="false" outlineLevel="0" collapsed="false">
      <c r="A12" s="26" t="s">
        <v>452</v>
      </c>
      <c r="B12" s="24"/>
      <c r="C12" s="51" t="n">
        <f aca="false">C11*Assumptions!$F$56</f>
        <v>540</v>
      </c>
      <c r="D12" s="51" t="n">
        <f aca="false">D11*Assumptions!$F$56</f>
        <v>540</v>
      </c>
      <c r="E12" s="51" t="n">
        <f aca="false">E11*Assumptions!$F$56</f>
        <v>540</v>
      </c>
      <c r="F12" s="51" t="n">
        <f aca="false">F11*Assumptions!$F$56</f>
        <v>540</v>
      </c>
      <c r="G12" s="51" t="n">
        <f aca="false">G11*Assumptions!$F$56</f>
        <v>540</v>
      </c>
      <c r="H12" s="51" t="n">
        <f aca="false">H11*Assumptions!$F$56</f>
        <v>540</v>
      </c>
      <c r="I12" s="51" t="n">
        <f aca="false">I11*Assumptions!$F$56</f>
        <v>540</v>
      </c>
      <c r="J12" s="51" t="n">
        <f aca="false">J11*Assumptions!$F$56</f>
        <v>540</v>
      </c>
      <c r="K12" s="51" t="n">
        <f aca="false">K11*Assumptions!$F$56</f>
        <v>540</v>
      </c>
      <c r="L12" s="51" t="n">
        <f aca="false">L11*Assumptions!$F$56</f>
        <v>540</v>
      </c>
      <c r="M12" s="51" t="n">
        <f aca="false">M11*Assumptions!$F$56</f>
        <v>540</v>
      </c>
      <c r="N12" s="51" t="n">
        <f aca="false">N11*Assumptions!$F$56</f>
        <v>540</v>
      </c>
      <c r="O12" s="51" t="n">
        <f aca="false">O11*Assumptions!$F$56</f>
        <v>1440</v>
      </c>
      <c r="P12" s="51" t="n">
        <f aca="false">P11*Assumptions!$F$56</f>
        <v>1440</v>
      </c>
      <c r="Q12" s="51" t="n">
        <f aca="false">Q11*Assumptions!$F$56</f>
        <v>1440</v>
      </c>
      <c r="R12" s="51" t="n">
        <f aca="false">R11*Assumptions!$F$56</f>
        <v>1440</v>
      </c>
      <c r="S12" s="51" t="n">
        <f aca="false">S11*Assumptions!$F$56</f>
        <v>1440</v>
      </c>
      <c r="T12" s="51" t="n">
        <f aca="false">T11*Assumptions!$F$56</f>
        <v>1440</v>
      </c>
      <c r="U12" s="51" t="n">
        <f aca="false">U11*Assumptions!$F$56</f>
        <v>1440</v>
      </c>
      <c r="V12" s="51" t="n">
        <f aca="false">V11*Assumptions!$F$56</f>
        <v>1440</v>
      </c>
      <c r="W12" s="51" t="n">
        <f aca="false">W11*Assumptions!$F$56</f>
        <v>1440</v>
      </c>
      <c r="X12" s="51" t="n">
        <f aca="false">X11*Assumptions!$F$56</f>
        <v>1440</v>
      </c>
      <c r="Y12" s="51" t="n">
        <f aca="false">Y11*Assumptions!$F$56</f>
        <v>1440</v>
      </c>
      <c r="Z12" s="51" t="n">
        <f aca="false">Z11*Assumptions!$F$56</f>
        <v>1440</v>
      </c>
      <c r="AA12" s="51" t="n">
        <f aca="false">AA11*Assumptions!$F$56</f>
        <v>2520</v>
      </c>
      <c r="AB12" s="51" t="n">
        <f aca="false">AB11*Assumptions!$F$56</f>
        <v>2520</v>
      </c>
      <c r="AC12" s="51" t="n">
        <f aca="false">AC11*Assumptions!$F$56</f>
        <v>2520</v>
      </c>
      <c r="AD12" s="51" t="n">
        <f aca="false">AD11*Assumptions!$F$56</f>
        <v>2520</v>
      </c>
      <c r="AE12" s="51" t="n">
        <f aca="false">AE11*Assumptions!$F$56</f>
        <v>2520</v>
      </c>
      <c r="AF12" s="51" t="n">
        <f aca="false">AF11*Assumptions!$F$56</f>
        <v>2520</v>
      </c>
      <c r="AG12" s="51" t="n">
        <f aca="false">AG11*Assumptions!$F$56</f>
        <v>2520</v>
      </c>
      <c r="AH12" s="51" t="n">
        <f aca="false">AH11*Assumptions!$F$56</f>
        <v>2520</v>
      </c>
      <c r="AI12" s="51" t="n">
        <f aca="false">AI11*Assumptions!$F$56</f>
        <v>2520</v>
      </c>
      <c r="AJ12" s="51" t="n">
        <f aca="false">AJ11*Assumptions!$F$56</f>
        <v>2520</v>
      </c>
      <c r="AK12" s="51" t="n">
        <f aca="false">AK11*Assumptions!$F$56</f>
        <v>2520</v>
      </c>
      <c r="AL12" s="51" t="n">
        <f aca="false">AL11*Assumptions!$F$56</f>
        <v>2520</v>
      </c>
      <c r="AN12" s="52" t="n">
        <f aca="false">SUM(C12:N12)</f>
        <v>6480</v>
      </c>
      <c r="AO12" s="52" t="n">
        <f aca="false">SUM(O12:Z12)</f>
        <v>17280</v>
      </c>
      <c r="AP12" s="52" t="n">
        <f aca="false">SUM(AA12:AL12)</f>
        <v>30240</v>
      </c>
    </row>
    <row r="13" customFormat="false" ht="15" hidden="false" customHeight="false" outlineLevel="0" collapsed="false">
      <c r="A13" s="26" t="s">
        <v>453</v>
      </c>
      <c r="B13" s="24"/>
      <c r="C13" s="56" t="n">
        <f aca="false">C11*Assumptions!$G$56</f>
        <v>114</v>
      </c>
      <c r="D13" s="56" t="n">
        <f aca="false">D11*Assumptions!$G$56</f>
        <v>114</v>
      </c>
      <c r="E13" s="56" t="n">
        <f aca="false">E11*Assumptions!$G$56</f>
        <v>114</v>
      </c>
      <c r="F13" s="56" t="n">
        <f aca="false">F11*Assumptions!$G$56</f>
        <v>114</v>
      </c>
      <c r="G13" s="56" t="n">
        <f aca="false">G11*Assumptions!$G$56</f>
        <v>114</v>
      </c>
      <c r="H13" s="56" t="n">
        <f aca="false">H11*Assumptions!$G$56</f>
        <v>114</v>
      </c>
      <c r="I13" s="56" t="n">
        <f aca="false">I11*Assumptions!$G$56</f>
        <v>114</v>
      </c>
      <c r="J13" s="56" t="n">
        <f aca="false">J11*Assumptions!$G$56</f>
        <v>114</v>
      </c>
      <c r="K13" s="56" t="n">
        <f aca="false">K11*Assumptions!$G$56</f>
        <v>114</v>
      </c>
      <c r="L13" s="56" t="n">
        <f aca="false">L11*Assumptions!$G$56</f>
        <v>114</v>
      </c>
      <c r="M13" s="56" t="n">
        <f aca="false">M11*Assumptions!$G$56</f>
        <v>114</v>
      </c>
      <c r="N13" s="56" t="n">
        <f aca="false">N11*Assumptions!$G$56</f>
        <v>114</v>
      </c>
      <c r="O13" s="56" t="n">
        <f aca="false">O11*Assumptions!$G$56</f>
        <v>304</v>
      </c>
      <c r="P13" s="56" t="n">
        <f aca="false">P11*Assumptions!$G$56</f>
        <v>304</v>
      </c>
      <c r="Q13" s="56" t="n">
        <f aca="false">Q11*Assumptions!$G$56</f>
        <v>304</v>
      </c>
      <c r="R13" s="56" t="n">
        <f aca="false">R11*Assumptions!$G$56</f>
        <v>304</v>
      </c>
      <c r="S13" s="56" t="n">
        <f aca="false">S11*Assumptions!$G$56</f>
        <v>304</v>
      </c>
      <c r="T13" s="56" t="n">
        <f aca="false">T11*Assumptions!$G$56</f>
        <v>304</v>
      </c>
      <c r="U13" s="56" t="n">
        <f aca="false">U11*Assumptions!$G$56</f>
        <v>304</v>
      </c>
      <c r="V13" s="56" t="n">
        <f aca="false">V11*Assumptions!$G$56</f>
        <v>304</v>
      </c>
      <c r="W13" s="56" t="n">
        <f aca="false">W11*Assumptions!$G$56</f>
        <v>304</v>
      </c>
      <c r="X13" s="56" t="n">
        <f aca="false">X11*Assumptions!$G$56</f>
        <v>304</v>
      </c>
      <c r="Y13" s="56" t="n">
        <f aca="false">Y11*Assumptions!$G$56</f>
        <v>304</v>
      </c>
      <c r="Z13" s="56" t="n">
        <f aca="false">Z11*Assumptions!$G$56</f>
        <v>304</v>
      </c>
      <c r="AA13" s="56" t="n">
        <f aca="false">AA11*Assumptions!$G$56</f>
        <v>532</v>
      </c>
      <c r="AB13" s="56" t="n">
        <f aca="false">AB11*Assumptions!$G$56</f>
        <v>532</v>
      </c>
      <c r="AC13" s="56" t="n">
        <f aca="false">AC11*Assumptions!$G$56</f>
        <v>532</v>
      </c>
      <c r="AD13" s="56" t="n">
        <f aca="false">AD11*Assumptions!$G$56</f>
        <v>532</v>
      </c>
      <c r="AE13" s="56" t="n">
        <f aca="false">AE11*Assumptions!$G$56</f>
        <v>532</v>
      </c>
      <c r="AF13" s="56" t="n">
        <f aca="false">AF11*Assumptions!$G$56</f>
        <v>532</v>
      </c>
      <c r="AG13" s="56" t="n">
        <f aca="false">AG11*Assumptions!$G$56</f>
        <v>532</v>
      </c>
      <c r="AH13" s="56" t="n">
        <f aca="false">AH11*Assumptions!$G$56</f>
        <v>532</v>
      </c>
      <c r="AI13" s="56" t="n">
        <f aca="false">AI11*Assumptions!$G$56</f>
        <v>532</v>
      </c>
      <c r="AJ13" s="56" t="n">
        <f aca="false">AJ11*Assumptions!$G$56</f>
        <v>532</v>
      </c>
      <c r="AK13" s="56" t="n">
        <f aca="false">AK11*Assumptions!$G$56</f>
        <v>532</v>
      </c>
      <c r="AL13" s="56" t="n">
        <f aca="false">AL11*Assumptions!$G$56</f>
        <v>532</v>
      </c>
      <c r="AN13" s="57" t="n">
        <f aca="false">SUM(C13:N13)</f>
        <v>1368</v>
      </c>
      <c r="AO13" s="57" t="n">
        <f aca="false">SUM(O13:Z13)</f>
        <v>3648</v>
      </c>
      <c r="AP13" s="57" t="n">
        <f aca="false">SUM(AA13:AL13)</f>
        <v>6384</v>
      </c>
    </row>
    <row r="14" customFormat="false" ht="15" hidden="false" customHeight="false" outlineLevel="0" collapsed="false">
      <c r="A14" s="26" t="s">
        <v>454</v>
      </c>
      <c r="B14" s="24"/>
      <c r="C14" s="66" t="n">
        <f aca="false">C11*Assumptions!$H$56</f>
        <v>1.8</v>
      </c>
      <c r="D14" s="66" t="n">
        <f aca="false">D11*Assumptions!$H$56</f>
        <v>1.8</v>
      </c>
      <c r="E14" s="66" t="n">
        <f aca="false">E11*Assumptions!$H$56</f>
        <v>1.8</v>
      </c>
      <c r="F14" s="66" t="n">
        <f aca="false">F11*Assumptions!$H$56</f>
        <v>1.8</v>
      </c>
      <c r="G14" s="66" t="n">
        <f aca="false">G11*Assumptions!$H$56</f>
        <v>1.8</v>
      </c>
      <c r="H14" s="66" t="n">
        <f aca="false">H11*Assumptions!$H$56</f>
        <v>1.8</v>
      </c>
      <c r="I14" s="66" t="n">
        <f aca="false">I11*Assumptions!$H$56</f>
        <v>1.8</v>
      </c>
      <c r="J14" s="66" t="n">
        <f aca="false">J11*Assumptions!$H$56</f>
        <v>1.8</v>
      </c>
      <c r="K14" s="66" t="n">
        <f aca="false">K11*Assumptions!$H$56</f>
        <v>1.8</v>
      </c>
      <c r="L14" s="66" t="n">
        <f aca="false">L11*Assumptions!$H$56</f>
        <v>1.8</v>
      </c>
      <c r="M14" s="66" t="n">
        <f aca="false">M11*Assumptions!$H$56</f>
        <v>1.8</v>
      </c>
      <c r="N14" s="66" t="n">
        <f aca="false">N11*Assumptions!$H$56</f>
        <v>1.8</v>
      </c>
      <c r="O14" s="66" t="n">
        <f aca="false">O11*Assumptions!$H$56</f>
        <v>4.8</v>
      </c>
      <c r="P14" s="66" t="n">
        <f aca="false">P11*Assumptions!$H$56</f>
        <v>4.8</v>
      </c>
      <c r="Q14" s="66" t="n">
        <f aca="false">Q11*Assumptions!$H$56</f>
        <v>4.8</v>
      </c>
      <c r="R14" s="66" t="n">
        <f aca="false">R11*Assumptions!$H$56</f>
        <v>4.8</v>
      </c>
      <c r="S14" s="66" t="n">
        <f aca="false">S11*Assumptions!$H$56</f>
        <v>4.8</v>
      </c>
      <c r="T14" s="66" t="n">
        <f aca="false">T11*Assumptions!$H$56</f>
        <v>4.8</v>
      </c>
      <c r="U14" s="66" t="n">
        <f aca="false">U11*Assumptions!$H$56</f>
        <v>4.8</v>
      </c>
      <c r="V14" s="66" t="n">
        <f aca="false">V11*Assumptions!$H$56</f>
        <v>4.8</v>
      </c>
      <c r="W14" s="66" t="n">
        <f aca="false">W11*Assumptions!$H$56</f>
        <v>4.8</v>
      </c>
      <c r="X14" s="66" t="n">
        <f aca="false">X11*Assumptions!$H$56</f>
        <v>4.8</v>
      </c>
      <c r="Y14" s="66" t="n">
        <f aca="false">Y11*Assumptions!$H$56</f>
        <v>4.8</v>
      </c>
      <c r="Z14" s="66" t="n">
        <f aca="false">Z11*Assumptions!$H$56</f>
        <v>4.8</v>
      </c>
      <c r="AA14" s="66" t="n">
        <f aca="false">AA11*Assumptions!$H$56</f>
        <v>8.4</v>
      </c>
      <c r="AB14" s="66" t="n">
        <f aca="false">AB11*Assumptions!$H$56</f>
        <v>8.4</v>
      </c>
      <c r="AC14" s="66" t="n">
        <f aca="false">AC11*Assumptions!$H$56</f>
        <v>8.4</v>
      </c>
      <c r="AD14" s="66" t="n">
        <f aca="false">AD11*Assumptions!$H$56</f>
        <v>8.4</v>
      </c>
      <c r="AE14" s="66" t="n">
        <f aca="false">AE11*Assumptions!$H$56</f>
        <v>8.4</v>
      </c>
      <c r="AF14" s="66" t="n">
        <f aca="false">AF11*Assumptions!$H$56</f>
        <v>8.4</v>
      </c>
      <c r="AG14" s="66" t="n">
        <f aca="false">AG11*Assumptions!$H$56</f>
        <v>8.4</v>
      </c>
      <c r="AH14" s="66" t="n">
        <f aca="false">AH11*Assumptions!$H$56</f>
        <v>8.4</v>
      </c>
      <c r="AI14" s="66" t="n">
        <f aca="false">AI11*Assumptions!$H$56</f>
        <v>8.4</v>
      </c>
      <c r="AJ14" s="66" t="n">
        <f aca="false">AJ11*Assumptions!$H$56</f>
        <v>8.4</v>
      </c>
      <c r="AK14" s="66" t="n">
        <f aca="false">AK11*Assumptions!$H$56</f>
        <v>8.4</v>
      </c>
      <c r="AL14" s="66" t="n">
        <f aca="false">AL11*Assumptions!$H$56</f>
        <v>8.4</v>
      </c>
      <c r="AN14" s="67" t="n">
        <f aca="false">SUM(C14:N14)</f>
        <v>21.6</v>
      </c>
      <c r="AO14" s="67" t="n">
        <f aca="false">SUM(O14:Z14)</f>
        <v>57.6</v>
      </c>
      <c r="AP14" s="67" t="n">
        <f aca="false">SUM(AA14:AL14)</f>
        <v>100.8</v>
      </c>
    </row>
    <row r="15" customFormat="false" ht="15" hidden="false" customHeight="false" outlineLevel="0" collapsed="false">
      <c r="A15" s="26" t="s">
        <v>172</v>
      </c>
      <c r="B15" s="24" t="s">
        <v>451</v>
      </c>
      <c r="C15" s="66" t="n">
        <f aca="false">Assumptions!$C$57</f>
        <v>0.5</v>
      </c>
      <c r="D15" s="66" t="n">
        <f aca="false">Assumptions!$C$57</f>
        <v>0.5</v>
      </c>
      <c r="E15" s="66" t="n">
        <f aca="false">Assumptions!$C$57</f>
        <v>0.5</v>
      </c>
      <c r="F15" s="66" t="n">
        <f aca="false">Assumptions!$C$57</f>
        <v>0.5</v>
      </c>
      <c r="G15" s="66" t="n">
        <f aca="false">Assumptions!$C$57</f>
        <v>0.5</v>
      </c>
      <c r="H15" s="66" t="n">
        <f aca="false">Assumptions!$C$57</f>
        <v>0.5</v>
      </c>
      <c r="I15" s="66" t="n">
        <f aca="false">Assumptions!$C$57</f>
        <v>0.5</v>
      </c>
      <c r="J15" s="66" t="n">
        <f aca="false">Assumptions!$C$57</f>
        <v>0.5</v>
      </c>
      <c r="K15" s="66" t="n">
        <f aca="false">Assumptions!$C$57</f>
        <v>0.5</v>
      </c>
      <c r="L15" s="66" t="n">
        <f aca="false">Assumptions!$C$57</f>
        <v>0.5</v>
      </c>
      <c r="M15" s="66" t="n">
        <f aca="false">Assumptions!$C$57</f>
        <v>0.5</v>
      </c>
      <c r="N15" s="66" t="n">
        <f aca="false">Assumptions!$C$57</f>
        <v>0.5</v>
      </c>
      <c r="O15" s="66" t="n">
        <f aca="false">Assumptions!$D$57</f>
        <v>1.2</v>
      </c>
      <c r="P15" s="66" t="n">
        <f aca="false">Assumptions!$D$57</f>
        <v>1.2</v>
      </c>
      <c r="Q15" s="66" t="n">
        <f aca="false">Assumptions!$D$57</f>
        <v>1.2</v>
      </c>
      <c r="R15" s="66" t="n">
        <f aca="false">Assumptions!$D$57</f>
        <v>1.2</v>
      </c>
      <c r="S15" s="66" t="n">
        <f aca="false">Assumptions!$D$57</f>
        <v>1.2</v>
      </c>
      <c r="T15" s="66" t="n">
        <f aca="false">Assumptions!$D$57</f>
        <v>1.2</v>
      </c>
      <c r="U15" s="66" t="n">
        <f aca="false">Assumptions!$D$57</f>
        <v>1.2</v>
      </c>
      <c r="V15" s="66" t="n">
        <f aca="false">Assumptions!$D$57</f>
        <v>1.2</v>
      </c>
      <c r="W15" s="66" t="n">
        <f aca="false">Assumptions!$D$57</f>
        <v>1.2</v>
      </c>
      <c r="X15" s="66" t="n">
        <f aca="false">Assumptions!$D$57</f>
        <v>1.2</v>
      </c>
      <c r="Y15" s="66" t="n">
        <f aca="false">Assumptions!$D$57</f>
        <v>1.2</v>
      </c>
      <c r="Z15" s="66" t="n">
        <f aca="false">Assumptions!$D$57</f>
        <v>1.2</v>
      </c>
      <c r="AA15" s="66" t="n">
        <f aca="false">Assumptions!$E$57</f>
        <v>2</v>
      </c>
      <c r="AB15" s="66" t="n">
        <f aca="false">Assumptions!$E$57</f>
        <v>2</v>
      </c>
      <c r="AC15" s="66" t="n">
        <f aca="false">Assumptions!$E$57</f>
        <v>2</v>
      </c>
      <c r="AD15" s="66" t="n">
        <f aca="false">Assumptions!$E$57</f>
        <v>2</v>
      </c>
      <c r="AE15" s="66" t="n">
        <f aca="false">Assumptions!$E$57</f>
        <v>2</v>
      </c>
      <c r="AF15" s="66" t="n">
        <f aca="false">Assumptions!$E$57</f>
        <v>2</v>
      </c>
      <c r="AG15" s="66" t="n">
        <f aca="false">Assumptions!$E$57</f>
        <v>2</v>
      </c>
      <c r="AH15" s="66" t="n">
        <f aca="false">Assumptions!$E$57</f>
        <v>2</v>
      </c>
      <c r="AI15" s="66" t="n">
        <f aca="false">Assumptions!$E$57</f>
        <v>2</v>
      </c>
      <c r="AJ15" s="66" t="n">
        <f aca="false">Assumptions!$E$57</f>
        <v>2</v>
      </c>
      <c r="AK15" s="66" t="n">
        <f aca="false">Assumptions!$E$57</f>
        <v>2</v>
      </c>
      <c r="AL15" s="66" t="n">
        <f aca="false">Assumptions!$E$57</f>
        <v>2</v>
      </c>
      <c r="AN15" s="67" t="n">
        <f aca="false">SUM(C15:N15)</f>
        <v>6</v>
      </c>
      <c r="AO15" s="67" t="n">
        <f aca="false">SUM(O15:Z15)</f>
        <v>14.4</v>
      </c>
      <c r="AP15" s="67" t="n">
        <f aca="false">SUM(AA15:AL15)</f>
        <v>24</v>
      </c>
    </row>
    <row r="16" customFormat="false" ht="15" hidden="false" customHeight="false" outlineLevel="0" collapsed="false">
      <c r="A16" s="26" t="s">
        <v>452</v>
      </c>
      <c r="B16" s="24"/>
      <c r="C16" s="51" t="n">
        <f aca="false">C15*Assumptions!$F$57</f>
        <v>1300</v>
      </c>
      <c r="D16" s="51" t="n">
        <f aca="false">D15*Assumptions!$F$57</f>
        <v>1300</v>
      </c>
      <c r="E16" s="51" t="n">
        <f aca="false">E15*Assumptions!$F$57</f>
        <v>1300</v>
      </c>
      <c r="F16" s="51" t="n">
        <f aca="false">F15*Assumptions!$F$57</f>
        <v>1300</v>
      </c>
      <c r="G16" s="51" t="n">
        <f aca="false">G15*Assumptions!$F$57</f>
        <v>1300</v>
      </c>
      <c r="H16" s="51" t="n">
        <f aca="false">H15*Assumptions!$F$57</f>
        <v>1300</v>
      </c>
      <c r="I16" s="51" t="n">
        <f aca="false">I15*Assumptions!$F$57</f>
        <v>1300</v>
      </c>
      <c r="J16" s="51" t="n">
        <f aca="false">J15*Assumptions!$F$57</f>
        <v>1300</v>
      </c>
      <c r="K16" s="51" t="n">
        <f aca="false">K15*Assumptions!$F$57</f>
        <v>1300</v>
      </c>
      <c r="L16" s="51" t="n">
        <f aca="false">L15*Assumptions!$F$57</f>
        <v>1300</v>
      </c>
      <c r="M16" s="51" t="n">
        <f aca="false">M15*Assumptions!$F$57</f>
        <v>1300</v>
      </c>
      <c r="N16" s="51" t="n">
        <f aca="false">N15*Assumptions!$F$57</f>
        <v>1300</v>
      </c>
      <c r="O16" s="51" t="n">
        <f aca="false">O15*Assumptions!$F$57</f>
        <v>3120</v>
      </c>
      <c r="P16" s="51" t="n">
        <f aca="false">P15*Assumptions!$F$57</f>
        <v>3120</v>
      </c>
      <c r="Q16" s="51" t="n">
        <f aca="false">Q15*Assumptions!$F$57</f>
        <v>3120</v>
      </c>
      <c r="R16" s="51" t="n">
        <f aca="false">R15*Assumptions!$F$57</f>
        <v>3120</v>
      </c>
      <c r="S16" s="51" t="n">
        <f aca="false">S15*Assumptions!$F$57</f>
        <v>3120</v>
      </c>
      <c r="T16" s="51" t="n">
        <f aca="false">T15*Assumptions!$F$57</f>
        <v>3120</v>
      </c>
      <c r="U16" s="51" t="n">
        <f aca="false">U15*Assumptions!$F$57</f>
        <v>3120</v>
      </c>
      <c r="V16" s="51" t="n">
        <f aca="false">V15*Assumptions!$F$57</f>
        <v>3120</v>
      </c>
      <c r="W16" s="51" t="n">
        <f aca="false">W15*Assumptions!$F$57</f>
        <v>3120</v>
      </c>
      <c r="X16" s="51" t="n">
        <f aca="false">X15*Assumptions!$F$57</f>
        <v>3120</v>
      </c>
      <c r="Y16" s="51" t="n">
        <f aca="false">Y15*Assumptions!$F$57</f>
        <v>3120</v>
      </c>
      <c r="Z16" s="51" t="n">
        <f aca="false">Z15*Assumptions!$F$57</f>
        <v>3120</v>
      </c>
      <c r="AA16" s="51" t="n">
        <f aca="false">AA15*Assumptions!$F$57</f>
        <v>5200</v>
      </c>
      <c r="AB16" s="51" t="n">
        <f aca="false">AB15*Assumptions!$F$57</f>
        <v>5200</v>
      </c>
      <c r="AC16" s="51" t="n">
        <f aca="false">AC15*Assumptions!$F$57</f>
        <v>5200</v>
      </c>
      <c r="AD16" s="51" t="n">
        <f aca="false">AD15*Assumptions!$F$57</f>
        <v>5200</v>
      </c>
      <c r="AE16" s="51" t="n">
        <f aca="false">AE15*Assumptions!$F$57</f>
        <v>5200</v>
      </c>
      <c r="AF16" s="51" t="n">
        <f aca="false">AF15*Assumptions!$F$57</f>
        <v>5200</v>
      </c>
      <c r="AG16" s="51" t="n">
        <f aca="false">AG15*Assumptions!$F$57</f>
        <v>5200</v>
      </c>
      <c r="AH16" s="51" t="n">
        <f aca="false">AH15*Assumptions!$F$57</f>
        <v>5200</v>
      </c>
      <c r="AI16" s="51" t="n">
        <f aca="false">AI15*Assumptions!$F$57</f>
        <v>5200</v>
      </c>
      <c r="AJ16" s="51" t="n">
        <f aca="false">AJ15*Assumptions!$F$57</f>
        <v>5200</v>
      </c>
      <c r="AK16" s="51" t="n">
        <f aca="false">AK15*Assumptions!$F$57</f>
        <v>5200</v>
      </c>
      <c r="AL16" s="51" t="n">
        <f aca="false">AL15*Assumptions!$F$57</f>
        <v>5200</v>
      </c>
      <c r="AN16" s="52" t="n">
        <f aca="false">SUM(C16:N16)</f>
        <v>15600</v>
      </c>
      <c r="AO16" s="52" t="n">
        <f aca="false">SUM(O16:Z16)</f>
        <v>37440</v>
      </c>
      <c r="AP16" s="52" t="n">
        <f aca="false">SUM(AA16:AL16)</f>
        <v>62400</v>
      </c>
    </row>
    <row r="17" customFormat="false" ht="15" hidden="false" customHeight="false" outlineLevel="0" collapsed="false">
      <c r="A17" s="26" t="s">
        <v>453</v>
      </c>
      <c r="B17" s="24"/>
      <c r="C17" s="56" t="n">
        <f aca="false">C15*Assumptions!$G$57</f>
        <v>160</v>
      </c>
      <c r="D17" s="56" t="n">
        <f aca="false">D15*Assumptions!$G$57</f>
        <v>160</v>
      </c>
      <c r="E17" s="56" t="n">
        <f aca="false">E15*Assumptions!$G$57</f>
        <v>160</v>
      </c>
      <c r="F17" s="56" t="n">
        <f aca="false">F15*Assumptions!$G$57</f>
        <v>160</v>
      </c>
      <c r="G17" s="56" t="n">
        <f aca="false">G15*Assumptions!$G$57</f>
        <v>160</v>
      </c>
      <c r="H17" s="56" t="n">
        <f aca="false">H15*Assumptions!$G$57</f>
        <v>160</v>
      </c>
      <c r="I17" s="56" t="n">
        <f aca="false">I15*Assumptions!$G$57</f>
        <v>160</v>
      </c>
      <c r="J17" s="56" t="n">
        <f aca="false">J15*Assumptions!$G$57</f>
        <v>160</v>
      </c>
      <c r="K17" s="56" t="n">
        <f aca="false">K15*Assumptions!$G$57</f>
        <v>160</v>
      </c>
      <c r="L17" s="56" t="n">
        <f aca="false">L15*Assumptions!$G$57</f>
        <v>160</v>
      </c>
      <c r="M17" s="56" t="n">
        <f aca="false">M15*Assumptions!$G$57</f>
        <v>160</v>
      </c>
      <c r="N17" s="56" t="n">
        <f aca="false">N15*Assumptions!$G$57</f>
        <v>160</v>
      </c>
      <c r="O17" s="56" t="n">
        <f aca="false">O15*Assumptions!$G$57</f>
        <v>384</v>
      </c>
      <c r="P17" s="56" t="n">
        <f aca="false">P15*Assumptions!$G$57</f>
        <v>384</v>
      </c>
      <c r="Q17" s="56" t="n">
        <f aca="false">Q15*Assumptions!$G$57</f>
        <v>384</v>
      </c>
      <c r="R17" s="56" t="n">
        <f aca="false">R15*Assumptions!$G$57</f>
        <v>384</v>
      </c>
      <c r="S17" s="56" t="n">
        <f aca="false">S15*Assumptions!$G$57</f>
        <v>384</v>
      </c>
      <c r="T17" s="56" t="n">
        <f aca="false">T15*Assumptions!$G$57</f>
        <v>384</v>
      </c>
      <c r="U17" s="56" t="n">
        <f aca="false">U15*Assumptions!$G$57</f>
        <v>384</v>
      </c>
      <c r="V17" s="56" t="n">
        <f aca="false">V15*Assumptions!$G$57</f>
        <v>384</v>
      </c>
      <c r="W17" s="56" t="n">
        <f aca="false">W15*Assumptions!$G$57</f>
        <v>384</v>
      </c>
      <c r="X17" s="56" t="n">
        <f aca="false">X15*Assumptions!$G$57</f>
        <v>384</v>
      </c>
      <c r="Y17" s="56" t="n">
        <f aca="false">Y15*Assumptions!$G$57</f>
        <v>384</v>
      </c>
      <c r="Z17" s="56" t="n">
        <f aca="false">Z15*Assumptions!$G$57</f>
        <v>384</v>
      </c>
      <c r="AA17" s="56" t="n">
        <f aca="false">AA15*Assumptions!$G$57</f>
        <v>640</v>
      </c>
      <c r="AB17" s="56" t="n">
        <f aca="false">AB15*Assumptions!$G$57</f>
        <v>640</v>
      </c>
      <c r="AC17" s="56" t="n">
        <f aca="false">AC15*Assumptions!$G$57</f>
        <v>640</v>
      </c>
      <c r="AD17" s="56" t="n">
        <f aca="false">AD15*Assumptions!$G$57</f>
        <v>640</v>
      </c>
      <c r="AE17" s="56" t="n">
        <f aca="false">AE15*Assumptions!$G$57</f>
        <v>640</v>
      </c>
      <c r="AF17" s="56" t="n">
        <f aca="false">AF15*Assumptions!$G$57</f>
        <v>640</v>
      </c>
      <c r="AG17" s="56" t="n">
        <f aca="false">AG15*Assumptions!$G$57</f>
        <v>640</v>
      </c>
      <c r="AH17" s="56" t="n">
        <f aca="false">AH15*Assumptions!$G$57</f>
        <v>640</v>
      </c>
      <c r="AI17" s="56" t="n">
        <f aca="false">AI15*Assumptions!$G$57</f>
        <v>640</v>
      </c>
      <c r="AJ17" s="56" t="n">
        <f aca="false">AJ15*Assumptions!$G$57</f>
        <v>640</v>
      </c>
      <c r="AK17" s="56" t="n">
        <f aca="false">AK15*Assumptions!$G$57</f>
        <v>640</v>
      </c>
      <c r="AL17" s="56" t="n">
        <f aca="false">AL15*Assumptions!$G$57</f>
        <v>640</v>
      </c>
      <c r="AN17" s="57" t="n">
        <f aca="false">SUM(C17:N17)</f>
        <v>1920</v>
      </c>
      <c r="AO17" s="57" t="n">
        <f aca="false">SUM(O17:Z17)</f>
        <v>4608</v>
      </c>
      <c r="AP17" s="57" t="n">
        <f aca="false">SUM(AA17:AL17)</f>
        <v>7680</v>
      </c>
    </row>
    <row r="18" customFormat="false" ht="15" hidden="false" customHeight="false" outlineLevel="0" collapsed="false">
      <c r="A18" s="26" t="s">
        <v>454</v>
      </c>
      <c r="B18" s="24"/>
      <c r="C18" s="66" t="n">
        <f aca="false">C15*Assumptions!$H$57</f>
        <v>1.2</v>
      </c>
      <c r="D18" s="66" t="n">
        <f aca="false">D15*Assumptions!$H$57</f>
        <v>1.2</v>
      </c>
      <c r="E18" s="66" t="n">
        <f aca="false">E15*Assumptions!$H$57</f>
        <v>1.2</v>
      </c>
      <c r="F18" s="66" t="n">
        <f aca="false">F15*Assumptions!$H$57</f>
        <v>1.2</v>
      </c>
      <c r="G18" s="66" t="n">
        <f aca="false">G15*Assumptions!$H$57</f>
        <v>1.2</v>
      </c>
      <c r="H18" s="66" t="n">
        <f aca="false">H15*Assumptions!$H$57</f>
        <v>1.2</v>
      </c>
      <c r="I18" s="66" t="n">
        <f aca="false">I15*Assumptions!$H$57</f>
        <v>1.2</v>
      </c>
      <c r="J18" s="66" t="n">
        <f aca="false">J15*Assumptions!$H$57</f>
        <v>1.2</v>
      </c>
      <c r="K18" s="66" t="n">
        <f aca="false">K15*Assumptions!$H$57</f>
        <v>1.2</v>
      </c>
      <c r="L18" s="66" t="n">
        <f aca="false">L15*Assumptions!$H$57</f>
        <v>1.2</v>
      </c>
      <c r="M18" s="66" t="n">
        <f aca="false">M15*Assumptions!$H$57</f>
        <v>1.2</v>
      </c>
      <c r="N18" s="66" t="n">
        <f aca="false">N15*Assumptions!$H$57</f>
        <v>1.2</v>
      </c>
      <c r="O18" s="66" t="n">
        <f aca="false">O15*Assumptions!$H$57</f>
        <v>2.88</v>
      </c>
      <c r="P18" s="66" t="n">
        <f aca="false">P15*Assumptions!$H$57</f>
        <v>2.88</v>
      </c>
      <c r="Q18" s="66" t="n">
        <f aca="false">Q15*Assumptions!$H$57</f>
        <v>2.88</v>
      </c>
      <c r="R18" s="66" t="n">
        <f aca="false">R15*Assumptions!$H$57</f>
        <v>2.88</v>
      </c>
      <c r="S18" s="66" t="n">
        <f aca="false">S15*Assumptions!$H$57</f>
        <v>2.88</v>
      </c>
      <c r="T18" s="66" t="n">
        <f aca="false">T15*Assumptions!$H$57</f>
        <v>2.88</v>
      </c>
      <c r="U18" s="66" t="n">
        <f aca="false">U15*Assumptions!$H$57</f>
        <v>2.88</v>
      </c>
      <c r="V18" s="66" t="n">
        <f aca="false">V15*Assumptions!$H$57</f>
        <v>2.88</v>
      </c>
      <c r="W18" s="66" t="n">
        <f aca="false">W15*Assumptions!$H$57</f>
        <v>2.88</v>
      </c>
      <c r="X18" s="66" t="n">
        <f aca="false">X15*Assumptions!$H$57</f>
        <v>2.88</v>
      </c>
      <c r="Y18" s="66" t="n">
        <f aca="false">Y15*Assumptions!$H$57</f>
        <v>2.88</v>
      </c>
      <c r="Z18" s="66" t="n">
        <f aca="false">Z15*Assumptions!$H$57</f>
        <v>2.88</v>
      </c>
      <c r="AA18" s="66" t="n">
        <f aca="false">AA15*Assumptions!$H$57</f>
        <v>4.8</v>
      </c>
      <c r="AB18" s="66" t="n">
        <f aca="false">AB15*Assumptions!$H$57</f>
        <v>4.8</v>
      </c>
      <c r="AC18" s="66" t="n">
        <f aca="false">AC15*Assumptions!$H$57</f>
        <v>4.8</v>
      </c>
      <c r="AD18" s="66" t="n">
        <f aca="false">AD15*Assumptions!$H$57</f>
        <v>4.8</v>
      </c>
      <c r="AE18" s="66" t="n">
        <f aca="false">AE15*Assumptions!$H$57</f>
        <v>4.8</v>
      </c>
      <c r="AF18" s="66" t="n">
        <f aca="false">AF15*Assumptions!$H$57</f>
        <v>4.8</v>
      </c>
      <c r="AG18" s="66" t="n">
        <f aca="false">AG15*Assumptions!$H$57</f>
        <v>4.8</v>
      </c>
      <c r="AH18" s="66" t="n">
        <f aca="false">AH15*Assumptions!$H$57</f>
        <v>4.8</v>
      </c>
      <c r="AI18" s="66" t="n">
        <f aca="false">AI15*Assumptions!$H$57</f>
        <v>4.8</v>
      </c>
      <c r="AJ18" s="66" t="n">
        <f aca="false">AJ15*Assumptions!$H$57</f>
        <v>4.8</v>
      </c>
      <c r="AK18" s="66" t="n">
        <f aca="false">AK15*Assumptions!$H$57</f>
        <v>4.8</v>
      </c>
      <c r="AL18" s="66" t="n">
        <f aca="false">AL15*Assumptions!$H$57</f>
        <v>4.8</v>
      </c>
      <c r="AN18" s="67" t="n">
        <f aca="false">SUM(C18:N18)</f>
        <v>14.4</v>
      </c>
      <c r="AO18" s="67" t="n">
        <f aca="false">SUM(O18:Z18)</f>
        <v>34.56</v>
      </c>
      <c r="AP18" s="67" t="n">
        <f aca="false">SUM(AA18:AL18)</f>
        <v>57.6</v>
      </c>
    </row>
    <row r="19" customFormat="false" ht="15" hidden="false" customHeight="false" outlineLevel="0" collapsed="false">
      <c r="A19" s="26" t="s">
        <v>174</v>
      </c>
      <c r="B19" s="24" t="s">
        <v>451</v>
      </c>
      <c r="C19" s="66" t="n">
        <f aca="false">Assumptions!$C$58</f>
        <v>1</v>
      </c>
      <c r="D19" s="66" t="n">
        <f aca="false">Assumptions!$C$58</f>
        <v>1</v>
      </c>
      <c r="E19" s="66" t="n">
        <f aca="false">Assumptions!$C$58</f>
        <v>1</v>
      </c>
      <c r="F19" s="66" t="n">
        <f aca="false">Assumptions!$C$58</f>
        <v>1</v>
      </c>
      <c r="G19" s="66" t="n">
        <f aca="false">Assumptions!$C$58</f>
        <v>1</v>
      </c>
      <c r="H19" s="66" t="n">
        <f aca="false">Assumptions!$C$58</f>
        <v>1</v>
      </c>
      <c r="I19" s="66" t="n">
        <f aca="false">Assumptions!$C$58</f>
        <v>1</v>
      </c>
      <c r="J19" s="66" t="n">
        <f aca="false">Assumptions!$C$58</f>
        <v>1</v>
      </c>
      <c r="K19" s="66" t="n">
        <f aca="false">Assumptions!$C$58</f>
        <v>1</v>
      </c>
      <c r="L19" s="66" t="n">
        <f aca="false">Assumptions!$C$58</f>
        <v>1</v>
      </c>
      <c r="M19" s="66" t="n">
        <f aca="false">Assumptions!$C$58</f>
        <v>1</v>
      </c>
      <c r="N19" s="66" t="n">
        <f aca="false">Assumptions!$C$58</f>
        <v>1</v>
      </c>
      <c r="O19" s="66" t="n">
        <f aca="false">Assumptions!$D$58</f>
        <v>2</v>
      </c>
      <c r="P19" s="66" t="n">
        <f aca="false">Assumptions!$D$58</f>
        <v>2</v>
      </c>
      <c r="Q19" s="66" t="n">
        <f aca="false">Assumptions!$D$58</f>
        <v>2</v>
      </c>
      <c r="R19" s="66" t="n">
        <f aca="false">Assumptions!$D$58</f>
        <v>2</v>
      </c>
      <c r="S19" s="66" t="n">
        <f aca="false">Assumptions!$D$58</f>
        <v>2</v>
      </c>
      <c r="T19" s="66" t="n">
        <f aca="false">Assumptions!$D$58</f>
        <v>2</v>
      </c>
      <c r="U19" s="66" t="n">
        <f aca="false">Assumptions!$D$58</f>
        <v>2</v>
      </c>
      <c r="V19" s="66" t="n">
        <f aca="false">Assumptions!$D$58</f>
        <v>2</v>
      </c>
      <c r="W19" s="66" t="n">
        <f aca="false">Assumptions!$D$58</f>
        <v>2</v>
      </c>
      <c r="X19" s="66" t="n">
        <f aca="false">Assumptions!$D$58</f>
        <v>2</v>
      </c>
      <c r="Y19" s="66" t="n">
        <f aca="false">Assumptions!$D$58</f>
        <v>2</v>
      </c>
      <c r="Z19" s="66" t="n">
        <f aca="false">Assumptions!$D$58</f>
        <v>2</v>
      </c>
      <c r="AA19" s="66" t="n">
        <f aca="false">Assumptions!$E$58</f>
        <v>3.5</v>
      </c>
      <c r="AB19" s="66" t="n">
        <f aca="false">Assumptions!$E$58</f>
        <v>3.5</v>
      </c>
      <c r="AC19" s="66" t="n">
        <f aca="false">Assumptions!$E$58</f>
        <v>3.5</v>
      </c>
      <c r="AD19" s="66" t="n">
        <f aca="false">Assumptions!$E$58</f>
        <v>3.5</v>
      </c>
      <c r="AE19" s="66" t="n">
        <f aca="false">Assumptions!$E$58</f>
        <v>3.5</v>
      </c>
      <c r="AF19" s="66" t="n">
        <f aca="false">Assumptions!$E$58</f>
        <v>3.5</v>
      </c>
      <c r="AG19" s="66" t="n">
        <f aca="false">Assumptions!$E$58</f>
        <v>3.5</v>
      </c>
      <c r="AH19" s="66" t="n">
        <f aca="false">Assumptions!$E$58</f>
        <v>3.5</v>
      </c>
      <c r="AI19" s="66" t="n">
        <f aca="false">Assumptions!$E$58</f>
        <v>3.5</v>
      </c>
      <c r="AJ19" s="66" t="n">
        <f aca="false">Assumptions!$E$58</f>
        <v>3.5</v>
      </c>
      <c r="AK19" s="66" t="n">
        <f aca="false">Assumptions!$E$58</f>
        <v>3.5</v>
      </c>
      <c r="AL19" s="66" t="n">
        <f aca="false">Assumptions!$E$58</f>
        <v>3.5</v>
      </c>
      <c r="AN19" s="67" t="n">
        <f aca="false">SUM(C19:N19)</f>
        <v>12</v>
      </c>
      <c r="AO19" s="67" t="n">
        <f aca="false">SUM(O19:Z19)</f>
        <v>24</v>
      </c>
      <c r="AP19" s="67" t="n">
        <f aca="false">SUM(AA19:AL19)</f>
        <v>42</v>
      </c>
    </row>
    <row r="20" customFormat="false" ht="15" hidden="false" customHeight="false" outlineLevel="0" collapsed="false">
      <c r="A20" s="26" t="s">
        <v>452</v>
      </c>
      <c r="B20" s="24"/>
      <c r="C20" s="51" t="n">
        <f aca="false">C19*Assumptions!$F$58</f>
        <v>1900</v>
      </c>
      <c r="D20" s="51" t="n">
        <f aca="false">D19*Assumptions!$F$58</f>
        <v>1900</v>
      </c>
      <c r="E20" s="51" t="n">
        <f aca="false">E19*Assumptions!$F$58</f>
        <v>1900</v>
      </c>
      <c r="F20" s="51" t="n">
        <f aca="false">F19*Assumptions!$F$58</f>
        <v>1900</v>
      </c>
      <c r="G20" s="51" t="n">
        <f aca="false">G19*Assumptions!$F$58</f>
        <v>1900</v>
      </c>
      <c r="H20" s="51" t="n">
        <f aca="false">H19*Assumptions!$F$58</f>
        <v>1900</v>
      </c>
      <c r="I20" s="51" t="n">
        <f aca="false">I19*Assumptions!$F$58</f>
        <v>1900</v>
      </c>
      <c r="J20" s="51" t="n">
        <f aca="false">J19*Assumptions!$F$58</f>
        <v>1900</v>
      </c>
      <c r="K20" s="51" t="n">
        <f aca="false">K19*Assumptions!$F$58</f>
        <v>1900</v>
      </c>
      <c r="L20" s="51" t="n">
        <f aca="false">L19*Assumptions!$F$58</f>
        <v>1900</v>
      </c>
      <c r="M20" s="51" t="n">
        <f aca="false">M19*Assumptions!$F$58</f>
        <v>1900</v>
      </c>
      <c r="N20" s="51" t="n">
        <f aca="false">N19*Assumptions!$F$58</f>
        <v>1900</v>
      </c>
      <c r="O20" s="51" t="n">
        <f aca="false">O19*Assumptions!$F$58</f>
        <v>3800</v>
      </c>
      <c r="P20" s="51" t="n">
        <f aca="false">P19*Assumptions!$F$58</f>
        <v>3800</v>
      </c>
      <c r="Q20" s="51" t="n">
        <f aca="false">Q19*Assumptions!$F$58</f>
        <v>3800</v>
      </c>
      <c r="R20" s="51" t="n">
        <f aca="false">R19*Assumptions!$F$58</f>
        <v>3800</v>
      </c>
      <c r="S20" s="51" t="n">
        <f aca="false">S19*Assumptions!$F$58</f>
        <v>3800</v>
      </c>
      <c r="T20" s="51" t="n">
        <f aca="false">T19*Assumptions!$F$58</f>
        <v>3800</v>
      </c>
      <c r="U20" s="51" t="n">
        <f aca="false">U19*Assumptions!$F$58</f>
        <v>3800</v>
      </c>
      <c r="V20" s="51" t="n">
        <f aca="false">V19*Assumptions!$F$58</f>
        <v>3800</v>
      </c>
      <c r="W20" s="51" t="n">
        <f aca="false">W19*Assumptions!$F$58</f>
        <v>3800</v>
      </c>
      <c r="X20" s="51" t="n">
        <f aca="false">X19*Assumptions!$F$58</f>
        <v>3800</v>
      </c>
      <c r="Y20" s="51" t="n">
        <f aca="false">Y19*Assumptions!$F$58</f>
        <v>3800</v>
      </c>
      <c r="Z20" s="51" t="n">
        <f aca="false">Z19*Assumptions!$F$58</f>
        <v>3800</v>
      </c>
      <c r="AA20" s="51" t="n">
        <f aca="false">AA19*Assumptions!$F$58</f>
        <v>6650</v>
      </c>
      <c r="AB20" s="51" t="n">
        <f aca="false">AB19*Assumptions!$F$58</f>
        <v>6650</v>
      </c>
      <c r="AC20" s="51" t="n">
        <f aca="false">AC19*Assumptions!$F$58</f>
        <v>6650</v>
      </c>
      <c r="AD20" s="51" t="n">
        <f aca="false">AD19*Assumptions!$F$58</f>
        <v>6650</v>
      </c>
      <c r="AE20" s="51" t="n">
        <f aca="false">AE19*Assumptions!$F$58</f>
        <v>6650</v>
      </c>
      <c r="AF20" s="51" t="n">
        <f aca="false">AF19*Assumptions!$F$58</f>
        <v>6650</v>
      </c>
      <c r="AG20" s="51" t="n">
        <f aca="false">AG19*Assumptions!$F$58</f>
        <v>6650</v>
      </c>
      <c r="AH20" s="51" t="n">
        <f aca="false">AH19*Assumptions!$F$58</f>
        <v>6650</v>
      </c>
      <c r="AI20" s="51" t="n">
        <f aca="false">AI19*Assumptions!$F$58</f>
        <v>6650</v>
      </c>
      <c r="AJ20" s="51" t="n">
        <f aca="false">AJ19*Assumptions!$F$58</f>
        <v>6650</v>
      </c>
      <c r="AK20" s="51" t="n">
        <f aca="false">AK19*Assumptions!$F$58</f>
        <v>6650</v>
      </c>
      <c r="AL20" s="51" t="n">
        <f aca="false">AL19*Assumptions!$F$58</f>
        <v>6650</v>
      </c>
      <c r="AN20" s="52" t="n">
        <f aca="false">SUM(C20:N20)</f>
        <v>22800</v>
      </c>
      <c r="AO20" s="52" t="n">
        <f aca="false">SUM(O20:Z20)</f>
        <v>45600</v>
      </c>
      <c r="AP20" s="52" t="n">
        <f aca="false">SUM(AA20:AL20)</f>
        <v>79800</v>
      </c>
    </row>
    <row r="21" customFormat="false" ht="15" hidden="false" customHeight="false" outlineLevel="0" collapsed="false">
      <c r="A21" s="26" t="s">
        <v>453</v>
      </c>
      <c r="B21" s="24"/>
      <c r="C21" s="56" t="n">
        <f aca="false">C19*Assumptions!$G$58</f>
        <v>150</v>
      </c>
      <c r="D21" s="56" t="n">
        <f aca="false">D19*Assumptions!$G$58</f>
        <v>150</v>
      </c>
      <c r="E21" s="56" t="n">
        <f aca="false">E19*Assumptions!$G$58</f>
        <v>150</v>
      </c>
      <c r="F21" s="56" t="n">
        <f aca="false">F19*Assumptions!$G$58</f>
        <v>150</v>
      </c>
      <c r="G21" s="56" t="n">
        <f aca="false">G19*Assumptions!$G$58</f>
        <v>150</v>
      </c>
      <c r="H21" s="56" t="n">
        <f aca="false">H19*Assumptions!$G$58</f>
        <v>150</v>
      </c>
      <c r="I21" s="56" t="n">
        <f aca="false">I19*Assumptions!$G$58</f>
        <v>150</v>
      </c>
      <c r="J21" s="56" t="n">
        <f aca="false">J19*Assumptions!$G$58</f>
        <v>150</v>
      </c>
      <c r="K21" s="56" t="n">
        <f aca="false">K19*Assumptions!$G$58</f>
        <v>150</v>
      </c>
      <c r="L21" s="56" t="n">
        <f aca="false">L19*Assumptions!$G$58</f>
        <v>150</v>
      </c>
      <c r="M21" s="56" t="n">
        <f aca="false">M19*Assumptions!$G$58</f>
        <v>150</v>
      </c>
      <c r="N21" s="56" t="n">
        <f aca="false">N19*Assumptions!$G$58</f>
        <v>150</v>
      </c>
      <c r="O21" s="56" t="n">
        <f aca="false">O19*Assumptions!$G$58</f>
        <v>300</v>
      </c>
      <c r="P21" s="56" t="n">
        <f aca="false">P19*Assumptions!$G$58</f>
        <v>300</v>
      </c>
      <c r="Q21" s="56" t="n">
        <f aca="false">Q19*Assumptions!$G$58</f>
        <v>300</v>
      </c>
      <c r="R21" s="56" t="n">
        <f aca="false">R19*Assumptions!$G$58</f>
        <v>300</v>
      </c>
      <c r="S21" s="56" t="n">
        <f aca="false">S19*Assumptions!$G$58</f>
        <v>300</v>
      </c>
      <c r="T21" s="56" t="n">
        <f aca="false">T19*Assumptions!$G$58</f>
        <v>300</v>
      </c>
      <c r="U21" s="56" t="n">
        <f aca="false">U19*Assumptions!$G$58</f>
        <v>300</v>
      </c>
      <c r="V21" s="56" t="n">
        <f aca="false">V19*Assumptions!$G$58</f>
        <v>300</v>
      </c>
      <c r="W21" s="56" t="n">
        <f aca="false">W19*Assumptions!$G$58</f>
        <v>300</v>
      </c>
      <c r="X21" s="56" t="n">
        <f aca="false">X19*Assumptions!$G$58</f>
        <v>300</v>
      </c>
      <c r="Y21" s="56" t="n">
        <f aca="false">Y19*Assumptions!$G$58</f>
        <v>300</v>
      </c>
      <c r="Z21" s="56" t="n">
        <f aca="false">Z19*Assumptions!$G$58</f>
        <v>300</v>
      </c>
      <c r="AA21" s="56" t="n">
        <f aca="false">AA19*Assumptions!$G$58</f>
        <v>525</v>
      </c>
      <c r="AB21" s="56" t="n">
        <f aca="false">AB19*Assumptions!$G$58</f>
        <v>525</v>
      </c>
      <c r="AC21" s="56" t="n">
        <f aca="false">AC19*Assumptions!$G$58</f>
        <v>525</v>
      </c>
      <c r="AD21" s="56" t="n">
        <f aca="false">AD19*Assumptions!$G$58</f>
        <v>525</v>
      </c>
      <c r="AE21" s="56" t="n">
        <f aca="false">AE19*Assumptions!$G$58</f>
        <v>525</v>
      </c>
      <c r="AF21" s="56" t="n">
        <f aca="false">AF19*Assumptions!$G$58</f>
        <v>525</v>
      </c>
      <c r="AG21" s="56" t="n">
        <f aca="false">AG19*Assumptions!$G$58</f>
        <v>525</v>
      </c>
      <c r="AH21" s="56" t="n">
        <f aca="false">AH19*Assumptions!$G$58</f>
        <v>525</v>
      </c>
      <c r="AI21" s="56" t="n">
        <f aca="false">AI19*Assumptions!$G$58</f>
        <v>525</v>
      </c>
      <c r="AJ21" s="56" t="n">
        <f aca="false">AJ19*Assumptions!$G$58</f>
        <v>525</v>
      </c>
      <c r="AK21" s="56" t="n">
        <f aca="false">AK19*Assumptions!$G$58</f>
        <v>525</v>
      </c>
      <c r="AL21" s="56" t="n">
        <f aca="false">AL19*Assumptions!$G$58</f>
        <v>525</v>
      </c>
      <c r="AN21" s="57" t="n">
        <f aca="false">SUM(C21:N21)</f>
        <v>1800</v>
      </c>
      <c r="AO21" s="57" t="n">
        <f aca="false">SUM(O21:Z21)</f>
        <v>3600</v>
      </c>
      <c r="AP21" s="57" t="n">
        <f aca="false">SUM(AA21:AL21)</f>
        <v>6300</v>
      </c>
    </row>
    <row r="22" customFormat="false" ht="15" hidden="false" customHeight="false" outlineLevel="0" collapsed="false">
      <c r="A22" s="26" t="s">
        <v>454</v>
      </c>
      <c r="B22" s="24"/>
      <c r="C22" s="66" t="n">
        <f aca="false">C19*Assumptions!$H$58</f>
        <v>3.2</v>
      </c>
      <c r="D22" s="66" t="n">
        <f aca="false">D19*Assumptions!$H$58</f>
        <v>3.2</v>
      </c>
      <c r="E22" s="66" t="n">
        <f aca="false">E19*Assumptions!$H$58</f>
        <v>3.2</v>
      </c>
      <c r="F22" s="66" t="n">
        <f aca="false">F19*Assumptions!$H$58</f>
        <v>3.2</v>
      </c>
      <c r="G22" s="66" t="n">
        <f aca="false">G19*Assumptions!$H$58</f>
        <v>3.2</v>
      </c>
      <c r="H22" s="66" t="n">
        <f aca="false">H19*Assumptions!$H$58</f>
        <v>3.2</v>
      </c>
      <c r="I22" s="66" t="n">
        <f aca="false">I19*Assumptions!$H$58</f>
        <v>3.2</v>
      </c>
      <c r="J22" s="66" t="n">
        <f aca="false">J19*Assumptions!$H$58</f>
        <v>3.2</v>
      </c>
      <c r="K22" s="66" t="n">
        <f aca="false">K19*Assumptions!$H$58</f>
        <v>3.2</v>
      </c>
      <c r="L22" s="66" t="n">
        <f aca="false">L19*Assumptions!$H$58</f>
        <v>3.2</v>
      </c>
      <c r="M22" s="66" t="n">
        <f aca="false">M19*Assumptions!$H$58</f>
        <v>3.2</v>
      </c>
      <c r="N22" s="66" t="n">
        <f aca="false">N19*Assumptions!$H$58</f>
        <v>3.2</v>
      </c>
      <c r="O22" s="66" t="n">
        <f aca="false">O19*Assumptions!$H$58</f>
        <v>6.4</v>
      </c>
      <c r="P22" s="66" t="n">
        <f aca="false">P19*Assumptions!$H$58</f>
        <v>6.4</v>
      </c>
      <c r="Q22" s="66" t="n">
        <f aca="false">Q19*Assumptions!$H$58</f>
        <v>6.4</v>
      </c>
      <c r="R22" s="66" t="n">
        <f aca="false">R19*Assumptions!$H$58</f>
        <v>6.4</v>
      </c>
      <c r="S22" s="66" t="n">
        <f aca="false">S19*Assumptions!$H$58</f>
        <v>6.4</v>
      </c>
      <c r="T22" s="66" t="n">
        <f aca="false">T19*Assumptions!$H$58</f>
        <v>6.4</v>
      </c>
      <c r="U22" s="66" t="n">
        <f aca="false">U19*Assumptions!$H$58</f>
        <v>6.4</v>
      </c>
      <c r="V22" s="66" t="n">
        <f aca="false">V19*Assumptions!$H$58</f>
        <v>6.4</v>
      </c>
      <c r="W22" s="66" t="n">
        <f aca="false">W19*Assumptions!$H$58</f>
        <v>6.4</v>
      </c>
      <c r="X22" s="66" t="n">
        <f aca="false">X19*Assumptions!$H$58</f>
        <v>6.4</v>
      </c>
      <c r="Y22" s="66" t="n">
        <f aca="false">Y19*Assumptions!$H$58</f>
        <v>6.4</v>
      </c>
      <c r="Z22" s="66" t="n">
        <f aca="false">Z19*Assumptions!$H$58</f>
        <v>6.4</v>
      </c>
      <c r="AA22" s="66" t="n">
        <f aca="false">AA19*Assumptions!$H$58</f>
        <v>11.2</v>
      </c>
      <c r="AB22" s="66" t="n">
        <f aca="false">AB19*Assumptions!$H$58</f>
        <v>11.2</v>
      </c>
      <c r="AC22" s="66" t="n">
        <f aca="false">AC19*Assumptions!$H$58</f>
        <v>11.2</v>
      </c>
      <c r="AD22" s="66" t="n">
        <f aca="false">AD19*Assumptions!$H$58</f>
        <v>11.2</v>
      </c>
      <c r="AE22" s="66" t="n">
        <f aca="false">AE19*Assumptions!$H$58</f>
        <v>11.2</v>
      </c>
      <c r="AF22" s="66" t="n">
        <f aca="false">AF19*Assumptions!$H$58</f>
        <v>11.2</v>
      </c>
      <c r="AG22" s="66" t="n">
        <f aca="false">AG19*Assumptions!$H$58</f>
        <v>11.2</v>
      </c>
      <c r="AH22" s="66" t="n">
        <f aca="false">AH19*Assumptions!$H$58</f>
        <v>11.2</v>
      </c>
      <c r="AI22" s="66" t="n">
        <f aca="false">AI19*Assumptions!$H$58</f>
        <v>11.2</v>
      </c>
      <c r="AJ22" s="66" t="n">
        <f aca="false">AJ19*Assumptions!$H$58</f>
        <v>11.2</v>
      </c>
      <c r="AK22" s="66" t="n">
        <f aca="false">AK19*Assumptions!$H$58</f>
        <v>11.2</v>
      </c>
      <c r="AL22" s="66" t="n">
        <f aca="false">AL19*Assumptions!$H$58</f>
        <v>11.2</v>
      </c>
      <c r="AN22" s="67" t="n">
        <f aca="false">SUM(C22:N22)</f>
        <v>38.4</v>
      </c>
      <c r="AO22" s="67" t="n">
        <f aca="false">SUM(O22:Z22)</f>
        <v>76.8</v>
      </c>
      <c r="AP22" s="67" t="n">
        <f aca="false">SUM(AA22:AL22)</f>
        <v>134.4</v>
      </c>
    </row>
    <row r="23" customFormat="false" ht="15" hidden="false" customHeight="false" outlineLevel="0" collapsed="false">
      <c r="A23" s="26" t="s">
        <v>176</v>
      </c>
      <c r="B23" s="24" t="s">
        <v>451</v>
      </c>
      <c r="C23" s="66" t="n">
        <f aca="false">Assumptions!$C$59</f>
        <v>1</v>
      </c>
      <c r="D23" s="66" t="n">
        <f aca="false">Assumptions!$C$59</f>
        <v>1</v>
      </c>
      <c r="E23" s="66" t="n">
        <f aca="false">Assumptions!$C$59</f>
        <v>1</v>
      </c>
      <c r="F23" s="66" t="n">
        <f aca="false">Assumptions!$C$59</f>
        <v>1</v>
      </c>
      <c r="G23" s="66" t="n">
        <f aca="false">Assumptions!$C$59</f>
        <v>1</v>
      </c>
      <c r="H23" s="66" t="n">
        <f aca="false">Assumptions!$C$59</f>
        <v>1</v>
      </c>
      <c r="I23" s="66" t="n">
        <f aca="false">Assumptions!$C$59</f>
        <v>1</v>
      </c>
      <c r="J23" s="66" t="n">
        <f aca="false">Assumptions!$C$59</f>
        <v>1</v>
      </c>
      <c r="K23" s="66" t="n">
        <f aca="false">Assumptions!$C$59</f>
        <v>1</v>
      </c>
      <c r="L23" s="66" t="n">
        <f aca="false">Assumptions!$C$59</f>
        <v>1</v>
      </c>
      <c r="M23" s="66" t="n">
        <f aca="false">Assumptions!$C$59</f>
        <v>1</v>
      </c>
      <c r="N23" s="66" t="n">
        <f aca="false">Assumptions!$C$59</f>
        <v>1</v>
      </c>
      <c r="O23" s="66" t="n">
        <f aca="false">Assumptions!$D$59</f>
        <v>3</v>
      </c>
      <c r="P23" s="66" t="n">
        <f aca="false">Assumptions!$D$59</f>
        <v>3</v>
      </c>
      <c r="Q23" s="66" t="n">
        <f aca="false">Assumptions!$D$59</f>
        <v>3</v>
      </c>
      <c r="R23" s="66" t="n">
        <f aca="false">Assumptions!$D$59</f>
        <v>3</v>
      </c>
      <c r="S23" s="66" t="n">
        <f aca="false">Assumptions!$D$59</f>
        <v>3</v>
      </c>
      <c r="T23" s="66" t="n">
        <f aca="false">Assumptions!$D$59</f>
        <v>3</v>
      </c>
      <c r="U23" s="66" t="n">
        <f aca="false">Assumptions!$D$59</f>
        <v>3</v>
      </c>
      <c r="V23" s="66" t="n">
        <f aca="false">Assumptions!$D$59</f>
        <v>3</v>
      </c>
      <c r="W23" s="66" t="n">
        <f aca="false">Assumptions!$D$59</f>
        <v>3</v>
      </c>
      <c r="X23" s="66" t="n">
        <f aca="false">Assumptions!$D$59</f>
        <v>3</v>
      </c>
      <c r="Y23" s="66" t="n">
        <f aca="false">Assumptions!$D$59</f>
        <v>3</v>
      </c>
      <c r="Z23" s="66" t="n">
        <f aca="false">Assumptions!$D$59</f>
        <v>3</v>
      </c>
      <c r="AA23" s="66" t="n">
        <f aca="false">Assumptions!$E$59</f>
        <v>5</v>
      </c>
      <c r="AB23" s="66" t="n">
        <f aca="false">Assumptions!$E$59</f>
        <v>5</v>
      </c>
      <c r="AC23" s="66" t="n">
        <f aca="false">Assumptions!$E$59</f>
        <v>5</v>
      </c>
      <c r="AD23" s="66" t="n">
        <f aca="false">Assumptions!$E$59</f>
        <v>5</v>
      </c>
      <c r="AE23" s="66" t="n">
        <f aca="false">Assumptions!$E$59</f>
        <v>5</v>
      </c>
      <c r="AF23" s="66" t="n">
        <f aca="false">Assumptions!$E$59</f>
        <v>5</v>
      </c>
      <c r="AG23" s="66" t="n">
        <f aca="false">Assumptions!$E$59</f>
        <v>5</v>
      </c>
      <c r="AH23" s="66" t="n">
        <f aca="false">Assumptions!$E$59</f>
        <v>5</v>
      </c>
      <c r="AI23" s="66" t="n">
        <f aca="false">Assumptions!$E$59</f>
        <v>5</v>
      </c>
      <c r="AJ23" s="66" t="n">
        <f aca="false">Assumptions!$E$59</f>
        <v>5</v>
      </c>
      <c r="AK23" s="66" t="n">
        <f aca="false">Assumptions!$E$59</f>
        <v>5</v>
      </c>
      <c r="AL23" s="66" t="n">
        <f aca="false">Assumptions!$E$59</f>
        <v>5</v>
      </c>
      <c r="AN23" s="67" t="n">
        <f aca="false">SUM(C23:N23)</f>
        <v>12</v>
      </c>
      <c r="AO23" s="67" t="n">
        <f aca="false">SUM(O23:Z23)</f>
        <v>36</v>
      </c>
      <c r="AP23" s="67" t="n">
        <f aca="false">SUM(AA23:AL23)</f>
        <v>60</v>
      </c>
    </row>
    <row r="24" customFormat="false" ht="15" hidden="false" customHeight="false" outlineLevel="0" collapsed="false">
      <c r="A24" s="26" t="s">
        <v>452</v>
      </c>
      <c r="B24" s="24"/>
      <c r="C24" s="51" t="n">
        <f aca="false">C23*Assumptions!$F$59</f>
        <v>350</v>
      </c>
      <c r="D24" s="51" t="n">
        <f aca="false">D23*Assumptions!$F$59</f>
        <v>350</v>
      </c>
      <c r="E24" s="51" t="n">
        <f aca="false">E23*Assumptions!$F$59</f>
        <v>350</v>
      </c>
      <c r="F24" s="51" t="n">
        <f aca="false">F23*Assumptions!$F$59</f>
        <v>350</v>
      </c>
      <c r="G24" s="51" t="n">
        <f aca="false">G23*Assumptions!$F$59</f>
        <v>350</v>
      </c>
      <c r="H24" s="51" t="n">
        <f aca="false">H23*Assumptions!$F$59</f>
        <v>350</v>
      </c>
      <c r="I24" s="51" t="n">
        <f aca="false">I23*Assumptions!$F$59</f>
        <v>350</v>
      </c>
      <c r="J24" s="51" t="n">
        <f aca="false">J23*Assumptions!$F$59</f>
        <v>350</v>
      </c>
      <c r="K24" s="51" t="n">
        <f aca="false">K23*Assumptions!$F$59</f>
        <v>350</v>
      </c>
      <c r="L24" s="51" t="n">
        <f aca="false">L23*Assumptions!$F$59</f>
        <v>350</v>
      </c>
      <c r="M24" s="51" t="n">
        <f aca="false">M23*Assumptions!$F$59</f>
        <v>350</v>
      </c>
      <c r="N24" s="51" t="n">
        <f aca="false">N23*Assumptions!$F$59</f>
        <v>350</v>
      </c>
      <c r="O24" s="51" t="n">
        <f aca="false">O23*Assumptions!$F$59</f>
        <v>1050</v>
      </c>
      <c r="P24" s="51" t="n">
        <f aca="false">P23*Assumptions!$F$59</f>
        <v>1050</v>
      </c>
      <c r="Q24" s="51" t="n">
        <f aca="false">Q23*Assumptions!$F$59</f>
        <v>1050</v>
      </c>
      <c r="R24" s="51" t="n">
        <f aca="false">R23*Assumptions!$F$59</f>
        <v>1050</v>
      </c>
      <c r="S24" s="51" t="n">
        <f aca="false">S23*Assumptions!$F$59</f>
        <v>1050</v>
      </c>
      <c r="T24" s="51" t="n">
        <f aca="false">T23*Assumptions!$F$59</f>
        <v>1050</v>
      </c>
      <c r="U24" s="51" t="n">
        <f aca="false">U23*Assumptions!$F$59</f>
        <v>1050</v>
      </c>
      <c r="V24" s="51" t="n">
        <f aca="false">V23*Assumptions!$F$59</f>
        <v>1050</v>
      </c>
      <c r="W24" s="51" t="n">
        <f aca="false">W23*Assumptions!$F$59</f>
        <v>1050</v>
      </c>
      <c r="X24" s="51" t="n">
        <f aca="false">X23*Assumptions!$F$59</f>
        <v>1050</v>
      </c>
      <c r="Y24" s="51" t="n">
        <f aca="false">Y23*Assumptions!$F$59</f>
        <v>1050</v>
      </c>
      <c r="Z24" s="51" t="n">
        <f aca="false">Z23*Assumptions!$F$59</f>
        <v>1050</v>
      </c>
      <c r="AA24" s="51" t="n">
        <f aca="false">AA23*Assumptions!$F$59</f>
        <v>1750</v>
      </c>
      <c r="AB24" s="51" t="n">
        <f aca="false">AB23*Assumptions!$F$59</f>
        <v>1750</v>
      </c>
      <c r="AC24" s="51" t="n">
        <f aca="false">AC23*Assumptions!$F$59</f>
        <v>1750</v>
      </c>
      <c r="AD24" s="51" t="n">
        <f aca="false">AD23*Assumptions!$F$59</f>
        <v>1750</v>
      </c>
      <c r="AE24" s="51" t="n">
        <f aca="false">AE23*Assumptions!$F$59</f>
        <v>1750</v>
      </c>
      <c r="AF24" s="51" t="n">
        <f aca="false">AF23*Assumptions!$F$59</f>
        <v>1750</v>
      </c>
      <c r="AG24" s="51" t="n">
        <f aca="false">AG23*Assumptions!$F$59</f>
        <v>1750</v>
      </c>
      <c r="AH24" s="51" t="n">
        <f aca="false">AH23*Assumptions!$F$59</f>
        <v>1750</v>
      </c>
      <c r="AI24" s="51" t="n">
        <f aca="false">AI23*Assumptions!$F$59</f>
        <v>1750</v>
      </c>
      <c r="AJ24" s="51" t="n">
        <f aca="false">AJ23*Assumptions!$F$59</f>
        <v>1750</v>
      </c>
      <c r="AK24" s="51" t="n">
        <f aca="false">AK23*Assumptions!$F$59</f>
        <v>1750</v>
      </c>
      <c r="AL24" s="51" t="n">
        <f aca="false">AL23*Assumptions!$F$59</f>
        <v>1750</v>
      </c>
      <c r="AN24" s="52" t="n">
        <f aca="false">SUM(C24:N24)</f>
        <v>4200</v>
      </c>
      <c r="AO24" s="52" t="n">
        <f aca="false">SUM(O24:Z24)</f>
        <v>12600</v>
      </c>
      <c r="AP24" s="52" t="n">
        <f aca="false">SUM(AA24:AL24)</f>
        <v>21000</v>
      </c>
    </row>
    <row r="25" customFormat="false" ht="15" hidden="false" customHeight="false" outlineLevel="0" collapsed="false">
      <c r="A25" s="26" t="s">
        <v>453</v>
      </c>
      <c r="B25" s="24"/>
      <c r="C25" s="56" t="n">
        <f aca="false">C23*Assumptions!$G$59</f>
        <v>60</v>
      </c>
      <c r="D25" s="56" t="n">
        <f aca="false">D23*Assumptions!$G$59</f>
        <v>60</v>
      </c>
      <c r="E25" s="56" t="n">
        <f aca="false">E23*Assumptions!$G$59</f>
        <v>60</v>
      </c>
      <c r="F25" s="56" t="n">
        <f aca="false">F23*Assumptions!$G$59</f>
        <v>60</v>
      </c>
      <c r="G25" s="56" t="n">
        <f aca="false">G23*Assumptions!$G$59</f>
        <v>60</v>
      </c>
      <c r="H25" s="56" t="n">
        <f aca="false">H23*Assumptions!$G$59</f>
        <v>60</v>
      </c>
      <c r="I25" s="56" t="n">
        <f aca="false">I23*Assumptions!$G$59</f>
        <v>60</v>
      </c>
      <c r="J25" s="56" t="n">
        <f aca="false">J23*Assumptions!$G$59</f>
        <v>60</v>
      </c>
      <c r="K25" s="56" t="n">
        <f aca="false">K23*Assumptions!$G$59</f>
        <v>60</v>
      </c>
      <c r="L25" s="56" t="n">
        <f aca="false">L23*Assumptions!$G$59</f>
        <v>60</v>
      </c>
      <c r="M25" s="56" t="n">
        <f aca="false">M23*Assumptions!$G$59</f>
        <v>60</v>
      </c>
      <c r="N25" s="56" t="n">
        <f aca="false">N23*Assumptions!$G$59</f>
        <v>60</v>
      </c>
      <c r="O25" s="56" t="n">
        <f aca="false">O23*Assumptions!$G$59</f>
        <v>180</v>
      </c>
      <c r="P25" s="56" t="n">
        <f aca="false">P23*Assumptions!$G$59</f>
        <v>180</v>
      </c>
      <c r="Q25" s="56" t="n">
        <f aca="false">Q23*Assumptions!$G$59</f>
        <v>180</v>
      </c>
      <c r="R25" s="56" t="n">
        <f aca="false">R23*Assumptions!$G$59</f>
        <v>180</v>
      </c>
      <c r="S25" s="56" t="n">
        <f aca="false">S23*Assumptions!$G$59</f>
        <v>180</v>
      </c>
      <c r="T25" s="56" t="n">
        <f aca="false">T23*Assumptions!$G$59</f>
        <v>180</v>
      </c>
      <c r="U25" s="56" t="n">
        <f aca="false">U23*Assumptions!$G$59</f>
        <v>180</v>
      </c>
      <c r="V25" s="56" t="n">
        <f aca="false">V23*Assumptions!$G$59</f>
        <v>180</v>
      </c>
      <c r="W25" s="56" t="n">
        <f aca="false">W23*Assumptions!$G$59</f>
        <v>180</v>
      </c>
      <c r="X25" s="56" t="n">
        <f aca="false">X23*Assumptions!$G$59</f>
        <v>180</v>
      </c>
      <c r="Y25" s="56" t="n">
        <f aca="false">Y23*Assumptions!$G$59</f>
        <v>180</v>
      </c>
      <c r="Z25" s="56" t="n">
        <f aca="false">Z23*Assumptions!$G$59</f>
        <v>180</v>
      </c>
      <c r="AA25" s="56" t="n">
        <f aca="false">AA23*Assumptions!$G$59</f>
        <v>300</v>
      </c>
      <c r="AB25" s="56" t="n">
        <f aca="false">AB23*Assumptions!$G$59</f>
        <v>300</v>
      </c>
      <c r="AC25" s="56" t="n">
        <f aca="false">AC23*Assumptions!$G$59</f>
        <v>300</v>
      </c>
      <c r="AD25" s="56" t="n">
        <f aca="false">AD23*Assumptions!$G$59</f>
        <v>300</v>
      </c>
      <c r="AE25" s="56" t="n">
        <f aca="false">AE23*Assumptions!$G$59</f>
        <v>300</v>
      </c>
      <c r="AF25" s="56" t="n">
        <f aca="false">AF23*Assumptions!$G$59</f>
        <v>300</v>
      </c>
      <c r="AG25" s="56" t="n">
        <f aca="false">AG23*Assumptions!$G$59</f>
        <v>300</v>
      </c>
      <c r="AH25" s="56" t="n">
        <f aca="false">AH23*Assumptions!$G$59</f>
        <v>300</v>
      </c>
      <c r="AI25" s="56" t="n">
        <f aca="false">AI23*Assumptions!$G$59</f>
        <v>300</v>
      </c>
      <c r="AJ25" s="56" t="n">
        <f aca="false">AJ23*Assumptions!$G$59</f>
        <v>300</v>
      </c>
      <c r="AK25" s="56" t="n">
        <f aca="false">AK23*Assumptions!$G$59</f>
        <v>300</v>
      </c>
      <c r="AL25" s="56" t="n">
        <f aca="false">AL23*Assumptions!$G$59</f>
        <v>300</v>
      </c>
      <c r="AN25" s="57" t="n">
        <f aca="false">SUM(C25:N25)</f>
        <v>720</v>
      </c>
      <c r="AO25" s="57" t="n">
        <f aca="false">SUM(O25:Z25)</f>
        <v>2160</v>
      </c>
      <c r="AP25" s="57" t="n">
        <f aca="false">SUM(AA25:AL25)</f>
        <v>3600</v>
      </c>
    </row>
    <row r="26" customFormat="false" ht="15" hidden="false" customHeight="false" outlineLevel="0" collapsed="false">
      <c r="A26" s="26" t="s">
        <v>454</v>
      </c>
      <c r="B26" s="24"/>
      <c r="C26" s="66" t="n">
        <f aca="false">C23*Assumptions!$H$59</f>
        <v>1.4</v>
      </c>
      <c r="D26" s="66" t="n">
        <f aca="false">D23*Assumptions!$H$59</f>
        <v>1.4</v>
      </c>
      <c r="E26" s="66" t="n">
        <f aca="false">E23*Assumptions!$H$59</f>
        <v>1.4</v>
      </c>
      <c r="F26" s="66" t="n">
        <f aca="false">F23*Assumptions!$H$59</f>
        <v>1.4</v>
      </c>
      <c r="G26" s="66" t="n">
        <f aca="false">G23*Assumptions!$H$59</f>
        <v>1.4</v>
      </c>
      <c r="H26" s="66" t="n">
        <f aca="false">H23*Assumptions!$H$59</f>
        <v>1.4</v>
      </c>
      <c r="I26" s="66" t="n">
        <f aca="false">I23*Assumptions!$H$59</f>
        <v>1.4</v>
      </c>
      <c r="J26" s="66" t="n">
        <f aca="false">J23*Assumptions!$H$59</f>
        <v>1.4</v>
      </c>
      <c r="K26" s="66" t="n">
        <f aca="false">K23*Assumptions!$H$59</f>
        <v>1.4</v>
      </c>
      <c r="L26" s="66" t="n">
        <f aca="false">L23*Assumptions!$H$59</f>
        <v>1.4</v>
      </c>
      <c r="M26" s="66" t="n">
        <f aca="false">M23*Assumptions!$H$59</f>
        <v>1.4</v>
      </c>
      <c r="N26" s="66" t="n">
        <f aca="false">N23*Assumptions!$H$59</f>
        <v>1.4</v>
      </c>
      <c r="O26" s="66" t="n">
        <f aca="false">O23*Assumptions!$H$59</f>
        <v>4.2</v>
      </c>
      <c r="P26" s="66" t="n">
        <f aca="false">P23*Assumptions!$H$59</f>
        <v>4.2</v>
      </c>
      <c r="Q26" s="66" t="n">
        <f aca="false">Q23*Assumptions!$H$59</f>
        <v>4.2</v>
      </c>
      <c r="R26" s="66" t="n">
        <f aca="false">R23*Assumptions!$H$59</f>
        <v>4.2</v>
      </c>
      <c r="S26" s="66" t="n">
        <f aca="false">S23*Assumptions!$H$59</f>
        <v>4.2</v>
      </c>
      <c r="T26" s="66" t="n">
        <f aca="false">T23*Assumptions!$H$59</f>
        <v>4.2</v>
      </c>
      <c r="U26" s="66" t="n">
        <f aca="false">U23*Assumptions!$H$59</f>
        <v>4.2</v>
      </c>
      <c r="V26" s="66" t="n">
        <f aca="false">V23*Assumptions!$H$59</f>
        <v>4.2</v>
      </c>
      <c r="W26" s="66" t="n">
        <f aca="false">W23*Assumptions!$H$59</f>
        <v>4.2</v>
      </c>
      <c r="X26" s="66" t="n">
        <f aca="false">X23*Assumptions!$H$59</f>
        <v>4.2</v>
      </c>
      <c r="Y26" s="66" t="n">
        <f aca="false">Y23*Assumptions!$H$59</f>
        <v>4.2</v>
      </c>
      <c r="Z26" s="66" t="n">
        <f aca="false">Z23*Assumptions!$H$59</f>
        <v>4.2</v>
      </c>
      <c r="AA26" s="66" t="n">
        <f aca="false">AA23*Assumptions!$H$59</f>
        <v>7</v>
      </c>
      <c r="AB26" s="66" t="n">
        <f aca="false">AB23*Assumptions!$H$59</f>
        <v>7</v>
      </c>
      <c r="AC26" s="66" t="n">
        <f aca="false">AC23*Assumptions!$H$59</f>
        <v>7</v>
      </c>
      <c r="AD26" s="66" t="n">
        <f aca="false">AD23*Assumptions!$H$59</f>
        <v>7</v>
      </c>
      <c r="AE26" s="66" t="n">
        <f aca="false">AE23*Assumptions!$H$59</f>
        <v>7</v>
      </c>
      <c r="AF26" s="66" t="n">
        <f aca="false">AF23*Assumptions!$H$59</f>
        <v>7</v>
      </c>
      <c r="AG26" s="66" t="n">
        <f aca="false">AG23*Assumptions!$H$59</f>
        <v>7</v>
      </c>
      <c r="AH26" s="66" t="n">
        <f aca="false">AH23*Assumptions!$H$59</f>
        <v>7</v>
      </c>
      <c r="AI26" s="66" t="n">
        <f aca="false">AI23*Assumptions!$H$59</f>
        <v>7</v>
      </c>
      <c r="AJ26" s="66" t="n">
        <f aca="false">AJ23*Assumptions!$H$59</f>
        <v>7</v>
      </c>
      <c r="AK26" s="66" t="n">
        <f aca="false">AK23*Assumptions!$H$59</f>
        <v>7</v>
      </c>
      <c r="AL26" s="66" t="n">
        <f aca="false">AL23*Assumptions!$H$59</f>
        <v>7</v>
      </c>
      <c r="AN26" s="67" t="n">
        <f aca="false">SUM(C26:N26)</f>
        <v>16.8</v>
      </c>
      <c r="AO26" s="67" t="n">
        <f aca="false">SUM(O26:Z26)</f>
        <v>50.4</v>
      </c>
      <c r="AP26" s="67" t="n">
        <f aca="false">SUM(AA26:AL26)</f>
        <v>84</v>
      </c>
    </row>
    <row r="27" customFormat="false" ht="15" hidden="false" customHeight="false" outlineLevel="0" collapsed="false">
      <c r="A27" s="26" t="s">
        <v>178</v>
      </c>
      <c r="B27" s="24" t="s">
        <v>451</v>
      </c>
      <c r="C27" s="66" t="n">
        <f aca="false">Assumptions!$C$60</f>
        <v>4</v>
      </c>
      <c r="D27" s="66" t="n">
        <f aca="false">Assumptions!$C$60</f>
        <v>4</v>
      </c>
      <c r="E27" s="66" t="n">
        <f aca="false">Assumptions!$C$60</f>
        <v>4</v>
      </c>
      <c r="F27" s="66" t="n">
        <f aca="false">Assumptions!$C$60</f>
        <v>4</v>
      </c>
      <c r="G27" s="66" t="n">
        <f aca="false">Assumptions!$C$60</f>
        <v>4</v>
      </c>
      <c r="H27" s="66" t="n">
        <f aca="false">Assumptions!$C$60</f>
        <v>4</v>
      </c>
      <c r="I27" s="66" t="n">
        <f aca="false">Assumptions!$C$60</f>
        <v>4</v>
      </c>
      <c r="J27" s="66" t="n">
        <f aca="false">Assumptions!$C$60</f>
        <v>4</v>
      </c>
      <c r="K27" s="66" t="n">
        <f aca="false">Assumptions!$C$60</f>
        <v>4</v>
      </c>
      <c r="L27" s="66" t="n">
        <f aca="false">Assumptions!$C$60</f>
        <v>4</v>
      </c>
      <c r="M27" s="66" t="n">
        <f aca="false">Assumptions!$C$60</f>
        <v>4</v>
      </c>
      <c r="N27" s="66" t="n">
        <f aca="false">Assumptions!$C$60</f>
        <v>4</v>
      </c>
      <c r="O27" s="66" t="n">
        <f aca="false">Assumptions!$D$60</f>
        <v>7</v>
      </c>
      <c r="P27" s="66" t="n">
        <f aca="false">Assumptions!$D$60</f>
        <v>7</v>
      </c>
      <c r="Q27" s="66" t="n">
        <f aca="false">Assumptions!$D$60</f>
        <v>7</v>
      </c>
      <c r="R27" s="66" t="n">
        <f aca="false">Assumptions!$D$60</f>
        <v>7</v>
      </c>
      <c r="S27" s="66" t="n">
        <f aca="false">Assumptions!$D$60</f>
        <v>7</v>
      </c>
      <c r="T27" s="66" t="n">
        <f aca="false">Assumptions!$D$60</f>
        <v>7</v>
      </c>
      <c r="U27" s="66" t="n">
        <f aca="false">Assumptions!$D$60</f>
        <v>7</v>
      </c>
      <c r="V27" s="66" t="n">
        <f aca="false">Assumptions!$D$60</f>
        <v>7</v>
      </c>
      <c r="W27" s="66" t="n">
        <f aca="false">Assumptions!$D$60</f>
        <v>7</v>
      </c>
      <c r="X27" s="66" t="n">
        <f aca="false">Assumptions!$D$60</f>
        <v>7</v>
      </c>
      <c r="Y27" s="66" t="n">
        <f aca="false">Assumptions!$D$60</f>
        <v>7</v>
      </c>
      <c r="Z27" s="66" t="n">
        <f aca="false">Assumptions!$D$60</f>
        <v>7</v>
      </c>
      <c r="AA27" s="66" t="n">
        <f aca="false">Assumptions!$E$60</f>
        <v>9</v>
      </c>
      <c r="AB27" s="66" t="n">
        <f aca="false">Assumptions!$E$60</f>
        <v>9</v>
      </c>
      <c r="AC27" s="66" t="n">
        <f aca="false">Assumptions!$E$60</f>
        <v>9</v>
      </c>
      <c r="AD27" s="66" t="n">
        <f aca="false">Assumptions!$E$60</f>
        <v>9</v>
      </c>
      <c r="AE27" s="66" t="n">
        <f aca="false">Assumptions!$E$60</f>
        <v>9</v>
      </c>
      <c r="AF27" s="66" t="n">
        <f aca="false">Assumptions!$E$60</f>
        <v>9</v>
      </c>
      <c r="AG27" s="66" t="n">
        <f aca="false">Assumptions!$E$60</f>
        <v>9</v>
      </c>
      <c r="AH27" s="66" t="n">
        <f aca="false">Assumptions!$E$60</f>
        <v>9</v>
      </c>
      <c r="AI27" s="66" t="n">
        <f aca="false">Assumptions!$E$60</f>
        <v>9</v>
      </c>
      <c r="AJ27" s="66" t="n">
        <f aca="false">Assumptions!$E$60</f>
        <v>9</v>
      </c>
      <c r="AK27" s="66" t="n">
        <f aca="false">Assumptions!$E$60</f>
        <v>9</v>
      </c>
      <c r="AL27" s="66" t="n">
        <f aca="false">Assumptions!$E$60</f>
        <v>9</v>
      </c>
      <c r="AN27" s="67" t="n">
        <f aca="false">SUM(C27:N27)</f>
        <v>48</v>
      </c>
      <c r="AO27" s="67" t="n">
        <f aca="false">SUM(O27:Z27)</f>
        <v>84</v>
      </c>
      <c r="AP27" s="67" t="n">
        <f aca="false">SUM(AA27:AL27)</f>
        <v>108</v>
      </c>
    </row>
    <row r="28" customFormat="false" ht="15" hidden="false" customHeight="false" outlineLevel="0" collapsed="false">
      <c r="A28" s="26" t="s">
        <v>452</v>
      </c>
      <c r="B28" s="24"/>
      <c r="C28" s="51" t="n">
        <f aca="false">C27*Assumptions!$F$60</f>
        <v>0</v>
      </c>
      <c r="D28" s="51" t="n">
        <f aca="false">D27*Assumptions!$F$60</f>
        <v>0</v>
      </c>
      <c r="E28" s="51" t="n">
        <f aca="false">E27*Assumptions!$F$60</f>
        <v>0</v>
      </c>
      <c r="F28" s="51" t="n">
        <f aca="false">F27*Assumptions!$F$60</f>
        <v>0</v>
      </c>
      <c r="G28" s="51" t="n">
        <f aca="false">G27*Assumptions!$F$60</f>
        <v>0</v>
      </c>
      <c r="H28" s="51" t="n">
        <f aca="false">H27*Assumptions!$F$60</f>
        <v>0</v>
      </c>
      <c r="I28" s="51" t="n">
        <f aca="false">I27*Assumptions!$F$60</f>
        <v>0</v>
      </c>
      <c r="J28" s="51" t="n">
        <f aca="false">J27*Assumptions!$F$60</f>
        <v>0</v>
      </c>
      <c r="K28" s="51" t="n">
        <f aca="false">K27*Assumptions!$F$60</f>
        <v>0</v>
      </c>
      <c r="L28" s="51" t="n">
        <f aca="false">L27*Assumptions!$F$60</f>
        <v>0</v>
      </c>
      <c r="M28" s="51" t="n">
        <f aca="false">M27*Assumptions!$F$60</f>
        <v>0</v>
      </c>
      <c r="N28" s="51" t="n">
        <f aca="false">N27*Assumptions!$F$60</f>
        <v>0</v>
      </c>
      <c r="O28" s="51" t="n">
        <f aca="false">O27*Assumptions!$F$60</f>
        <v>0</v>
      </c>
      <c r="P28" s="51" t="n">
        <f aca="false">P27*Assumptions!$F$60</f>
        <v>0</v>
      </c>
      <c r="Q28" s="51" t="n">
        <f aca="false">Q27*Assumptions!$F$60</f>
        <v>0</v>
      </c>
      <c r="R28" s="51" t="n">
        <f aca="false">R27*Assumptions!$F$60</f>
        <v>0</v>
      </c>
      <c r="S28" s="51" t="n">
        <f aca="false">S27*Assumptions!$F$60</f>
        <v>0</v>
      </c>
      <c r="T28" s="51" t="n">
        <f aca="false">T27*Assumptions!$F$60</f>
        <v>0</v>
      </c>
      <c r="U28" s="51" t="n">
        <f aca="false">U27*Assumptions!$F$60</f>
        <v>0</v>
      </c>
      <c r="V28" s="51" t="n">
        <f aca="false">V27*Assumptions!$F$60</f>
        <v>0</v>
      </c>
      <c r="W28" s="51" t="n">
        <f aca="false">W27*Assumptions!$F$60</f>
        <v>0</v>
      </c>
      <c r="X28" s="51" t="n">
        <f aca="false">X27*Assumptions!$F$60</f>
        <v>0</v>
      </c>
      <c r="Y28" s="51" t="n">
        <f aca="false">Y27*Assumptions!$F$60</f>
        <v>0</v>
      </c>
      <c r="Z28" s="51" t="n">
        <f aca="false">Z27*Assumptions!$F$60</f>
        <v>0</v>
      </c>
      <c r="AA28" s="51" t="n">
        <f aca="false">AA27*Assumptions!$F$60</f>
        <v>0</v>
      </c>
      <c r="AB28" s="51" t="n">
        <f aca="false">AB27*Assumptions!$F$60</f>
        <v>0</v>
      </c>
      <c r="AC28" s="51" t="n">
        <f aca="false">AC27*Assumptions!$F$60</f>
        <v>0</v>
      </c>
      <c r="AD28" s="51" t="n">
        <f aca="false">AD27*Assumptions!$F$60</f>
        <v>0</v>
      </c>
      <c r="AE28" s="51" t="n">
        <f aca="false">AE27*Assumptions!$F$60</f>
        <v>0</v>
      </c>
      <c r="AF28" s="51" t="n">
        <f aca="false">AF27*Assumptions!$F$60</f>
        <v>0</v>
      </c>
      <c r="AG28" s="51" t="n">
        <f aca="false">AG27*Assumptions!$F$60</f>
        <v>0</v>
      </c>
      <c r="AH28" s="51" t="n">
        <f aca="false">AH27*Assumptions!$F$60</f>
        <v>0</v>
      </c>
      <c r="AI28" s="51" t="n">
        <f aca="false">AI27*Assumptions!$F$60</f>
        <v>0</v>
      </c>
      <c r="AJ28" s="51" t="n">
        <f aca="false">AJ27*Assumptions!$F$60</f>
        <v>0</v>
      </c>
      <c r="AK28" s="51" t="n">
        <f aca="false">AK27*Assumptions!$F$60</f>
        <v>0</v>
      </c>
      <c r="AL28" s="51" t="n">
        <f aca="false">AL27*Assumptions!$F$60</f>
        <v>0</v>
      </c>
      <c r="AN28" s="52" t="n">
        <f aca="false">SUM(C28:N28)</f>
        <v>0</v>
      </c>
      <c r="AO28" s="52" t="n">
        <f aca="false">SUM(O28:Z28)</f>
        <v>0</v>
      </c>
      <c r="AP28" s="52" t="n">
        <f aca="false">SUM(AA28:AL28)</f>
        <v>0</v>
      </c>
    </row>
    <row r="29" customFormat="false" ht="15" hidden="false" customHeight="false" outlineLevel="0" collapsed="false">
      <c r="A29" s="26" t="s">
        <v>453</v>
      </c>
      <c r="B29" s="24"/>
      <c r="C29" s="56" t="n">
        <f aca="false">C27*Assumptions!$G$60</f>
        <v>0</v>
      </c>
      <c r="D29" s="56" t="n">
        <f aca="false">D27*Assumptions!$G$60</f>
        <v>0</v>
      </c>
      <c r="E29" s="56" t="n">
        <f aca="false">E27*Assumptions!$G$60</f>
        <v>0</v>
      </c>
      <c r="F29" s="56" t="n">
        <f aca="false">F27*Assumptions!$G$60</f>
        <v>0</v>
      </c>
      <c r="G29" s="56" t="n">
        <f aca="false">G27*Assumptions!$G$60</f>
        <v>0</v>
      </c>
      <c r="H29" s="56" t="n">
        <f aca="false">H27*Assumptions!$G$60</f>
        <v>0</v>
      </c>
      <c r="I29" s="56" t="n">
        <f aca="false">I27*Assumptions!$G$60</f>
        <v>0</v>
      </c>
      <c r="J29" s="56" t="n">
        <f aca="false">J27*Assumptions!$G$60</f>
        <v>0</v>
      </c>
      <c r="K29" s="56" t="n">
        <f aca="false">K27*Assumptions!$G$60</f>
        <v>0</v>
      </c>
      <c r="L29" s="56" t="n">
        <f aca="false">L27*Assumptions!$G$60</f>
        <v>0</v>
      </c>
      <c r="M29" s="56" t="n">
        <f aca="false">M27*Assumptions!$G$60</f>
        <v>0</v>
      </c>
      <c r="N29" s="56" t="n">
        <f aca="false">N27*Assumptions!$G$60</f>
        <v>0</v>
      </c>
      <c r="O29" s="56" t="n">
        <f aca="false">O27*Assumptions!$G$60</f>
        <v>0</v>
      </c>
      <c r="P29" s="56" t="n">
        <f aca="false">P27*Assumptions!$G$60</f>
        <v>0</v>
      </c>
      <c r="Q29" s="56" t="n">
        <f aca="false">Q27*Assumptions!$G$60</f>
        <v>0</v>
      </c>
      <c r="R29" s="56" t="n">
        <f aca="false">R27*Assumptions!$G$60</f>
        <v>0</v>
      </c>
      <c r="S29" s="56" t="n">
        <f aca="false">S27*Assumptions!$G$60</f>
        <v>0</v>
      </c>
      <c r="T29" s="56" t="n">
        <f aca="false">T27*Assumptions!$G$60</f>
        <v>0</v>
      </c>
      <c r="U29" s="56" t="n">
        <f aca="false">U27*Assumptions!$G$60</f>
        <v>0</v>
      </c>
      <c r="V29" s="56" t="n">
        <f aca="false">V27*Assumptions!$G$60</f>
        <v>0</v>
      </c>
      <c r="W29" s="56" t="n">
        <f aca="false">W27*Assumptions!$G$60</f>
        <v>0</v>
      </c>
      <c r="X29" s="56" t="n">
        <f aca="false">X27*Assumptions!$G$60</f>
        <v>0</v>
      </c>
      <c r="Y29" s="56" t="n">
        <f aca="false">Y27*Assumptions!$G$60</f>
        <v>0</v>
      </c>
      <c r="Z29" s="56" t="n">
        <f aca="false">Z27*Assumptions!$G$60</f>
        <v>0</v>
      </c>
      <c r="AA29" s="56" t="n">
        <f aca="false">AA27*Assumptions!$G$60</f>
        <v>0</v>
      </c>
      <c r="AB29" s="56" t="n">
        <f aca="false">AB27*Assumptions!$G$60</f>
        <v>0</v>
      </c>
      <c r="AC29" s="56" t="n">
        <f aca="false">AC27*Assumptions!$G$60</f>
        <v>0</v>
      </c>
      <c r="AD29" s="56" t="n">
        <f aca="false">AD27*Assumptions!$G$60</f>
        <v>0</v>
      </c>
      <c r="AE29" s="56" t="n">
        <f aca="false">AE27*Assumptions!$G$60</f>
        <v>0</v>
      </c>
      <c r="AF29" s="56" t="n">
        <f aca="false">AF27*Assumptions!$G$60</f>
        <v>0</v>
      </c>
      <c r="AG29" s="56" t="n">
        <f aca="false">AG27*Assumptions!$G$60</f>
        <v>0</v>
      </c>
      <c r="AH29" s="56" t="n">
        <f aca="false">AH27*Assumptions!$G$60</f>
        <v>0</v>
      </c>
      <c r="AI29" s="56" t="n">
        <f aca="false">AI27*Assumptions!$G$60</f>
        <v>0</v>
      </c>
      <c r="AJ29" s="56" t="n">
        <f aca="false">AJ27*Assumptions!$G$60</f>
        <v>0</v>
      </c>
      <c r="AK29" s="56" t="n">
        <f aca="false">AK27*Assumptions!$G$60</f>
        <v>0</v>
      </c>
      <c r="AL29" s="56" t="n">
        <f aca="false">AL27*Assumptions!$G$60</f>
        <v>0</v>
      </c>
      <c r="AN29" s="57" t="n">
        <f aca="false">SUM(C29:N29)</f>
        <v>0</v>
      </c>
      <c r="AO29" s="57" t="n">
        <f aca="false">SUM(O29:Z29)</f>
        <v>0</v>
      </c>
      <c r="AP29" s="57" t="n">
        <f aca="false">SUM(AA29:AL29)</f>
        <v>0</v>
      </c>
    </row>
    <row r="30" customFormat="false" ht="15" hidden="false" customHeight="false" outlineLevel="0" collapsed="false">
      <c r="A30" s="26" t="s">
        <v>454</v>
      </c>
      <c r="B30" s="24"/>
      <c r="C30" s="66" t="n">
        <f aca="false">C27*Assumptions!$H$60</f>
        <v>24</v>
      </c>
      <c r="D30" s="66" t="n">
        <f aca="false">D27*Assumptions!$H$60</f>
        <v>24</v>
      </c>
      <c r="E30" s="66" t="n">
        <f aca="false">E27*Assumptions!$H$60</f>
        <v>24</v>
      </c>
      <c r="F30" s="66" t="n">
        <f aca="false">F27*Assumptions!$H$60</f>
        <v>24</v>
      </c>
      <c r="G30" s="66" t="n">
        <f aca="false">G27*Assumptions!$H$60</f>
        <v>24</v>
      </c>
      <c r="H30" s="66" t="n">
        <f aca="false">H27*Assumptions!$H$60</f>
        <v>24</v>
      </c>
      <c r="I30" s="66" t="n">
        <f aca="false">I27*Assumptions!$H$60</f>
        <v>24</v>
      </c>
      <c r="J30" s="66" t="n">
        <f aca="false">J27*Assumptions!$H$60</f>
        <v>24</v>
      </c>
      <c r="K30" s="66" t="n">
        <f aca="false">K27*Assumptions!$H$60</f>
        <v>24</v>
      </c>
      <c r="L30" s="66" t="n">
        <f aca="false">L27*Assumptions!$H$60</f>
        <v>24</v>
      </c>
      <c r="M30" s="66" t="n">
        <f aca="false">M27*Assumptions!$H$60</f>
        <v>24</v>
      </c>
      <c r="N30" s="66" t="n">
        <f aca="false">N27*Assumptions!$H$60</f>
        <v>24</v>
      </c>
      <c r="O30" s="66" t="n">
        <f aca="false">O27*Assumptions!$H$60</f>
        <v>42</v>
      </c>
      <c r="P30" s="66" t="n">
        <f aca="false">P27*Assumptions!$H$60</f>
        <v>42</v>
      </c>
      <c r="Q30" s="66" t="n">
        <f aca="false">Q27*Assumptions!$H$60</f>
        <v>42</v>
      </c>
      <c r="R30" s="66" t="n">
        <f aca="false">R27*Assumptions!$H$60</f>
        <v>42</v>
      </c>
      <c r="S30" s="66" t="n">
        <f aca="false">S27*Assumptions!$H$60</f>
        <v>42</v>
      </c>
      <c r="T30" s="66" t="n">
        <f aca="false">T27*Assumptions!$H$60</f>
        <v>42</v>
      </c>
      <c r="U30" s="66" t="n">
        <f aca="false">U27*Assumptions!$H$60</f>
        <v>42</v>
      </c>
      <c r="V30" s="66" t="n">
        <f aca="false">V27*Assumptions!$H$60</f>
        <v>42</v>
      </c>
      <c r="W30" s="66" t="n">
        <f aca="false">W27*Assumptions!$H$60</f>
        <v>42</v>
      </c>
      <c r="X30" s="66" t="n">
        <f aca="false">X27*Assumptions!$H$60</f>
        <v>42</v>
      </c>
      <c r="Y30" s="66" t="n">
        <f aca="false">Y27*Assumptions!$H$60</f>
        <v>42</v>
      </c>
      <c r="Z30" s="66" t="n">
        <f aca="false">Z27*Assumptions!$H$60</f>
        <v>42</v>
      </c>
      <c r="AA30" s="66" t="n">
        <f aca="false">AA27*Assumptions!$H$60</f>
        <v>54</v>
      </c>
      <c r="AB30" s="66" t="n">
        <f aca="false">AB27*Assumptions!$H$60</f>
        <v>54</v>
      </c>
      <c r="AC30" s="66" t="n">
        <f aca="false">AC27*Assumptions!$H$60</f>
        <v>54</v>
      </c>
      <c r="AD30" s="66" t="n">
        <f aca="false">AD27*Assumptions!$H$60</f>
        <v>54</v>
      </c>
      <c r="AE30" s="66" t="n">
        <f aca="false">AE27*Assumptions!$H$60</f>
        <v>54</v>
      </c>
      <c r="AF30" s="66" t="n">
        <f aca="false">AF27*Assumptions!$H$60</f>
        <v>54</v>
      </c>
      <c r="AG30" s="66" t="n">
        <f aca="false">AG27*Assumptions!$H$60</f>
        <v>54</v>
      </c>
      <c r="AH30" s="66" t="n">
        <f aca="false">AH27*Assumptions!$H$60</f>
        <v>54</v>
      </c>
      <c r="AI30" s="66" t="n">
        <f aca="false">AI27*Assumptions!$H$60</f>
        <v>54</v>
      </c>
      <c r="AJ30" s="66" t="n">
        <f aca="false">AJ27*Assumptions!$H$60</f>
        <v>54</v>
      </c>
      <c r="AK30" s="66" t="n">
        <f aca="false">AK27*Assumptions!$H$60</f>
        <v>54</v>
      </c>
      <c r="AL30" s="66" t="n">
        <f aca="false">AL27*Assumptions!$H$60</f>
        <v>54</v>
      </c>
      <c r="AN30" s="67" t="n">
        <f aca="false">SUM(C30:N30)</f>
        <v>288</v>
      </c>
      <c r="AO30" s="67" t="n">
        <f aca="false">SUM(O30:Z30)</f>
        <v>504</v>
      </c>
      <c r="AP30" s="67" t="n">
        <f aca="false">SUM(AA30:AL30)</f>
        <v>648</v>
      </c>
    </row>
    <row r="31" customFormat="false" ht="15" hidden="false" customHeight="false" outlineLevel="0" collapsed="false">
      <c r="A31" s="53" t="s">
        <v>455</v>
      </c>
      <c r="B31" s="54"/>
      <c r="C31" s="55" t="n">
        <f aca="false">C8+C12+C16+C20+C24+C28</f>
        <v>4930</v>
      </c>
      <c r="D31" s="55" t="n">
        <f aca="false">D8+D12+D16+D20+D24+D28</f>
        <v>4930</v>
      </c>
      <c r="E31" s="55" t="n">
        <f aca="false">E8+E12+E16+E20+E24+E28</f>
        <v>4930</v>
      </c>
      <c r="F31" s="55" t="n">
        <f aca="false">F8+F12+F16+F20+F24+F28</f>
        <v>4930</v>
      </c>
      <c r="G31" s="55" t="n">
        <f aca="false">G8+G12+G16+G20+G24+G28</f>
        <v>4930</v>
      </c>
      <c r="H31" s="55" t="n">
        <f aca="false">H8+H12+H16+H20+H24+H28</f>
        <v>4930</v>
      </c>
      <c r="I31" s="55" t="n">
        <f aca="false">I8+I12+I16+I20+I24+I28</f>
        <v>4930</v>
      </c>
      <c r="J31" s="55" t="n">
        <f aca="false">J8+J12+J16+J20+J24+J28</f>
        <v>4930</v>
      </c>
      <c r="K31" s="55" t="n">
        <f aca="false">K8+K12+K16+K20+K24+K28</f>
        <v>4930</v>
      </c>
      <c r="L31" s="55" t="n">
        <f aca="false">L8+L12+L16+L20+L24+L28</f>
        <v>4930</v>
      </c>
      <c r="M31" s="55" t="n">
        <f aca="false">M8+M12+M16+M20+M24+M28</f>
        <v>4930</v>
      </c>
      <c r="N31" s="55" t="n">
        <f aca="false">N8+N12+N16+N20+N24+N28</f>
        <v>4930</v>
      </c>
      <c r="O31" s="55" t="n">
        <f aca="false">O8+O12+O16+O20+O24+O28</f>
        <v>11930</v>
      </c>
      <c r="P31" s="55" t="n">
        <f aca="false">P8+P12+P16+P20+P24+P28</f>
        <v>11930</v>
      </c>
      <c r="Q31" s="55" t="n">
        <f aca="false">Q8+Q12+Q16+Q20+Q24+Q28</f>
        <v>11930</v>
      </c>
      <c r="R31" s="55" t="n">
        <f aca="false">R8+R12+R16+R20+R24+R28</f>
        <v>11930</v>
      </c>
      <c r="S31" s="55" t="n">
        <f aca="false">S8+S12+S16+S20+S24+S28</f>
        <v>11930</v>
      </c>
      <c r="T31" s="55" t="n">
        <f aca="false">T8+T12+T16+T20+T24+T28</f>
        <v>11930</v>
      </c>
      <c r="U31" s="55" t="n">
        <f aca="false">U8+U12+U16+U20+U24+U28</f>
        <v>11930</v>
      </c>
      <c r="V31" s="55" t="n">
        <f aca="false">V8+V12+V16+V20+V24+V28</f>
        <v>11930</v>
      </c>
      <c r="W31" s="55" t="n">
        <f aca="false">W8+W12+W16+W20+W24+W28</f>
        <v>11930</v>
      </c>
      <c r="X31" s="55" t="n">
        <f aca="false">X8+X12+X16+X20+X24+X28</f>
        <v>11930</v>
      </c>
      <c r="Y31" s="55" t="n">
        <f aca="false">Y8+Y12+Y16+Y20+Y24+Y28</f>
        <v>11930</v>
      </c>
      <c r="Z31" s="55" t="n">
        <f aca="false">Z8+Z12+Z16+Z20+Z24+Z28</f>
        <v>11930</v>
      </c>
      <c r="AA31" s="55" t="n">
        <f aca="false">AA8+AA12+AA16+AA20+AA24+AA28</f>
        <v>20740</v>
      </c>
      <c r="AB31" s="55" t="n">
        <f aca="false">AB8+AB12+AB16+AB20+AB24+AB28</f>
        <v>20740</v>
      </c>
      <c r="AC31" s="55" t="n">
        <f aca="false">AC8+AC12+AC16+AC20+AC24+AC28</f>
        <v>20740</v>
      </c>
      <c r="AD31" s="55" t="n">
        <f aca="false">AD8+AD12+AD16+AD20+AD24+AD28</f>
        <v>20740</v>
      </c>
      <c r="AE31" s="55" t="n">
        <f aca="false">AE8+AE12+AE16+AE20+AE24+AE28</f>
        <v>20740</v>
      </c>
      <c r="AF31" s="55" t="n">
        <f aca="false">AF8+AF12+AF16+AF20+AF24+AF28</f>
        <v>20740</v>
      </c>
      <c r="AG31" s="55" t="n">
        <f aca="false">AG8+AG12+AG16+AG20+AG24+AG28</f>
        <v>20740</v>
      </c>
      <c r="AH31" s="55" t="n">
        <f aca="false">AH8+AH12+AH16+AH20+AH24+AH28</f>
        <v>20740</v>
      </c>
      <c r="AI31" s="55" t="n">
        <f aca="false">AI8+AI12+AI16+AI20+AI24+AI28</f>
        <v>20740</v>
      </c>
      <c r="AJ31" s="55" t="n">
        <f aca="false">AJ8+AJ12+AJ16+AJ20+AJ24+AJ28</f>
        <v>20740</v>
      </c>
      <c r="AK31" s="55" t="n">
        <f aca="false">AK8+AK12+AK16+AK20+AK24+AK28</f>
        <v>20740</v>
      </c>
      <c r="AL31" s="55" t="n">
        <f aca="false">AL8+AL12+AL16+AL20+AL24+AL28</f>
        <v>20740</v>
      </c>
      <c r="AN31" s="52" t="n">
        <f aca="false">SUM(C31:N31)</f>
        <v>59160</v>
      </c>
      <c r="AO31" s="52" t="n">
        <f aca="false">SUM(O31:Z31)</f>
        <v>143160</v>
      </c>
      <c r="AP31" s="52" t="n">
        <f aca="false">SUM(AA31:AL31)</f>
        <v>248880</v>
      </c>
    </row>
    <row r="32" customFormat="false" ht="15" hidden="false" customHeight="false" outlineLevel="0" collapsed="false">
      <c r="A32" s="10" t="s">
        <v>456</v>
      </c>
      <c r="B32" s="24"/>
      <c r="C32" s="59" t="n">
        <f aca="false">C9+C13+C17+C21+C25+C29</f>
        <v>574</v>
      </c>
      <c r="D32" s="59" t="n">
        <f aca="false">D9+D13+D17+D21+D25+D29</f>
        <v>574</v>
      </c>
      <c r="E32" s="59" t="n">
        <f aca="false">E9+E13+E17+E21+E25+E29</f>
        <v>574</v>
      </c>
      <c r="F32" s="59" t="n">
        <f aca="false">F9+F13+F17+F21+F25+F29</f>
        <v>574</v>
      </c>
      <c r="G32" s="59" t="n">
        <f aca="false">G9+G13+G17+G21+G25+G29</f>
        <v>574</v>
      </c>
      <c r="H32" s="59" t="n">
        <f aca="false">H9+H13+H17+H21+H25+H29</f>
        <v>574</v>
      </c>
      <c r="I32" s="59" t="n">
        <f aca="false">I9+I13+I17+I21+I25+I29</f>
        <v>574</v>
      </c>
      <c r="J32" s="59" t="n">
        <f aca="false">J9+J13+J17+J21+J25+J29</f>
        <v>574</v>
      </c>
      <c r="K32" s="59" t="n">
        <f aca="false">K9+K13+K17+K21+K25+K29</f>
        <v>574</v>
      </c>
      <c r="L32" s="59" t="n">
        <f aca="false">L9+L13+L17+L21+L25+L29</f>
        <v>574</v>
      </c>
      <c r="M32" s="59" t="n">
        <f aca="false">M9+M13+M17+M21+M25+M29</f>
        <v>574</v>
      </c>
      <c r="N32" s="59" t="n">
        <f aca="false">N9+N13+N17+N21+N25+N29</f>
        <v>574</v>
      </c>
      <c r="O32" s="59" t="n">
        <f aca="false">O9+O13+O17+O21+O25+O29</f>
        <v>1438</v>
      </c>
      <c r="P32" s="59" t="n">
        <f aca="false">P9+P13+P17+P21+P25+P29</f>
        <v>1438</v>
      </c>
      <c r="Q32" s="59" t="n">
        <f aca="false">Q9+Q13+Q17+Q21+Q25+Q29</f>
        <v>1438</v>
      </c>
      <c r="R32" s="59" t="n">
        <f aca="false">R9+R13+R17+R21+R25+R29</f>
        <v>1438</v>
      </c>
      <c r="S32" s="59" t="n">
        <f aca="false">S9+S13+S17+S21+S25+S29</f>
        <v>1438</v>
      </c>
      <c r="T32" s="59" t="n">
        <f aca="false">T9+T13+T17+T21+T25+T29</f>
        <v>1438</v>
      </c>
      <c r="U32" s="59" t="n">
        <f aca="false">U9+U13+U17+U21+U25+U29</f>
        <v>1438</v>
      </c>
      <c r="V32" s="59" t="n">
        <f aca="false">V9+V13+V17+V21+V25+V29</f>
        <v>1438</v>
      </c>
      <c r="W32" s="59" t="n">
        <f aca="false">W9+W13+W17+W21+W25+W29</f>
        <v>1438</v>
      </c>
      <c r="X32" s="59" t="n">
        <f aca="false">X9+X13+X17+X21+X25+X29</f>
        <v>1438</v>
      </c>
      <c r="Y32" s="59" t="n">
        <f aca="false">Y9+Y13+Y17+Y21+Y25+Y29</f>
        <v>1438</v>
      </c>
      <c r="Z32" s="59" t="n">
        <f aca="false">Z9+Z13+Z17+Z21+Z25+Z29</f>
        <v>1438</v>
      </c>
      <c r="AA32" s="59" t="n">
        <f aca="false">AA9+AA13+AA17+AA21+AA25+AA29</f>
        <v>2492</v>
      </c>
      <c r="AB32" s="59" t="n">
        <f aca="false">AB9+AB13+AB17+AB21+AB25+AB29</f>
        <v>2492</v>
      </c>
      <c r="AC32" s="59" t="n">
        <f aca="false">AC9+AC13+AC17+AC21+AC25+AC29</f>
        <v>2492</v>
      </c>
      <c r="AD32" s="59" t="n">
        <f aca="false">AD9+AD13+AD17+AD21+AD25+AD29</f>
        <v>2492</v>
      </c>
      <c r="AE32" s="59" t="n">
        <f aca="false">AE9+AE13+AE17+AE21+AE25+AE29</f>
        <v>2492</v>
      </c>
      <c r="AF32" s="59" t="n">
        <f aca="false">AF9+AF13+AF17+AF21+AF25+AF29</f>
        <v>2492</v>
      </c>
      <c r="AG32" s="59" t="n">
        <f aca="false">AG9+AG13+AG17+AG21+AG25+AG29</f>
        <v>2492</v>
      </c>
      <c r="AH32" s="59" t="n">
        <f aca="false">AH9+AH13+AH17+AH21+AH25+AH29</f>
        <v>2492</v>
      </c>
      <c r="AI32" s="59" t="n">
        <f aca="false">AI9+AI13+AI17+AI21+AI25+AI29</f>
        <v>2492</v>
      </c>
      <c r="AJ32" s="59" t="n">
        <f aca="false">AJ9+AJ13+AJ17+AJ21+AJ25+AJ29</f>
        <v>2492</v>
      </c>
      <c r="AK32" s="59" t="n">
        <f aca="false">AK9+AK13+AK17+AK21+AK25+AK29</f>
        <v>2492</v>
      </c>
      <c r="AL32" s="59" t="n">
        <f aca="false">AL9+AL13+AL17+AL21+AL25+AL29</f>
        <v>2492</v>
      </c>
      <c r="AN32" s="57" t="n">
        <f aca="false">SUM(C32:N32)</f>
        <v>6888</v>
      </c>
      <c r="AO32" s="57" t="n">
        <f aca="false">SUM(O32:Z32)</f>
        <v>17256</v>
      </c>
      <c r="AP32" s="57" t="n">
        <f aca="false">SUM(AA32:AL32)</f>
        <v>29904</v>
      </c>
    </row>
    <row r="33" customFormat="false" ht="15" hidden="false" customHeight="false" outlineLevel="0" collapsed="false">
      <c r="A33" s="10" t="s">
        <v>457</v>
      </c>
      <c r="B33" s="24"/>
      <c r="C33" s="68" t="n">
        <f aca="false">C10+C14+C18+C22+C26+C30</f>
        <v>33.4</v>
      </c>
      <c r="D33" s="68" t="n">
        <f aca="false">D10+D14+D18+D22+D26+D30</f>
        <v>33.4</v>
      </c>
      <c r="E33" s="68" t="n">
        <f aca="false">E10+E14+E18+E22+E26+E30</f>
        <v>33.4</v>
      </c>
      <c r="F33" s="68" t="n">
        <f aca="false">F10+F14+F18+F22+F26+F30</f>
        <v>33.4</v>
      </c>
      <c r="G33" s="68" t="n">
        <f aca="false">G10+G14+G18+G22+G26+G30</f>
        <v>33.4</v>
      </c>
      <c r="H33" s="68" t="n">
        <f aca="false">H10+H14+H18+H22+H26+H30</f>
        <v>33.4</v>
      </c>
      <c r="I33" s="68" t="n">
        <f aca="false">I10+I14+I18+I22+I26+I30</f>
        <v>33.4</v>
      </c>
      <c r="J33" s="68" t="n">
        <f aca="false">J10+J14+J18+J22+J26+J30</f>
        <v>33.4</v>
      </c>
      <c r="K33" s="68" t="n">
        <f aca="false">K10+K14+K18+K22+K26+K30</f>
        <v>33.4</v>
      </c>
      <c r="L33" s="68" t="n">
        <f aca="false">L10+L14+L18+L22+L26+L30</f>
        <v>33.4</v>
      </c>
      <c r="M33" s="68" t="n">
        <f aca="false">M10+M14+M18+M22+M26+M30</f>
        <v>33.4</v>
      </c>
      <c r="N33" s="68" t="n">
        <f aca="false">N10+N14+N18+N22+N26+N30</f>
        <v>33.4</v>
      </c>
      <c r="O33" s="68" t="n">
        <f aca="false">O10+O14+O18+O22+O26+O30</f>
        <v>65.68</v>
      </c>
      <c r="P33" s="68" t="n">
        <f aca="false">P10+P14+P18+P22+P26+P30</f>
        <v>65.68</v>
      </c>
      <c r="Q33" s="68" t="n">
        <f aca="false">Q10+Q14+Q18+Q22+Q26+Q30</f>
        <v>65.68</v>
      </c>
      <c r="R33" s="68" t="n">
        <f aca="false">R10+R14+R18+R22+R26+R30</f>
        <v>65.68</v>
      </c>
      <c r="S33" s="68" t="n">
        <f aca="false">S10+S14+S18+S22+S26+S30</f>
        <v>65.68</v>
      </c>
      <c r="T33" s="68" t="n">
        <f aca="false">T10+T14+T18+T22+T26+T30</f>
        <v>65.68</v>
      </c>
      <c r="U33" s="68" t="n">
        <f aca="false">U10+U14+U18+U22+U26+U30</f>
        <v>65.68</v>
      </c>
      <c r="V33" s="68" t="n">
        <f aca="false">V10+V14+V18+V22+V26+V30</f>
        <v>65.68</v>
      </c>
      <c r="W33" s="68" t="n">
        <f aca="false">W10+W14+W18+W22+W26+W30</f>
        <v>65.68</v>
      </c>
      <c r="X33" s="68" t="n">
        <f aca="false">X10+X14+X18+X22+X26+X30</f>
        <v>65.68</v>
      </c>
      <c r="Y33" s="68" t="n">
        <f aca="false">Y10+Y14+Y18+Y22+Y26+Y30</f>
        <v>65.68</v>
      </c>
      <c r="Z33" s="68" t="n">
        <f aca="false">Z10+Z14+Z18+Z22+Z26+Z30</f>
        <v>65.68</v>
      </c>
      <c r="AA33" s="68" t="n">
        <f aca="false">AA10+AA14+AA18+AA22+AA26+AA30</f>
        <v>95.3</v>
      </c>
      <c r="AB33" s="68" t="n">
        <f aca="false">AB10+AB14+AB18+AB22+AB26+AB30</f>
        <v>95.3</v>
      </c>
      <c r="AC33" s="68" t="n">
        <f aca="false">AC10+AC14+AC18+AC22+AC26+AC30</f>
        <v>95.3</v>
      </c>
      <c r="AD33" s="68" t="n">
        <f aca="false">AD10+AD14+AD18+AD22+AD26+AD30</f>
        <v>95.3</v>
      </c>
      <c r="AE33" s="68" t="n">
        <f aca="false">AE10+AE14+AE18+AE22+AE26+AE30</f>
        <v>95.3</v>
      </c>
      <c r="AF33" s="68" t="n">
        <f aca="false">AF10+AF14+AF18+AF22+AF26+AF30</f>
        <v>95.3</v>
      </c>
      <c r="AG33" s="68" t="n">
        <f aca="false">AG10+AG14+AG18+AG22+AG26+AG30</f>
        <v>95.3</v>
      </c>
      <c r="AH33" s="68" t="n">
        <f aca="false">AH10+AH14+AH18+AH22+AH26+AH30</f>
        <v>95.3</v>
      </c>
      <c r="AI33" s="68" t="n">
        <f aca="false">AI10+AI14+AI18+AI22+AI26+AI30</f>
        <v>95.3</v>
      </c>
      <c r="AJ33" s="68" t="n">
        <f aca="false">AJ10+AJ14+AJ18+AJ22+AJ26+AJ30</f>
        <v>95.3</v>
      </c>
      <c r="AK33" s="68" t="n">
        <f aca="false">AK10+AK14+AK18+AK22+AK26+AK30</f>
        <v>95.3</v>
      </c>
      <c r="AL33" s="68" t="n">
        <f aca="false">AL10+AL14+AL18+AL22+AL26+AL30</f>
        <v>95.3</v>
      </c>
      <c r="AN33" s="67" t="n">
        <f aca="false">SUM(C33:N33)</f>
        <v>400.8</v>
      </c>
      <c r="AO33" s="67" t="n">
        <f aca="false">SUM(O33:Z33)</f>
        <v>788.16</v>
      </c>
      <c r="AP33" s="67" t="n">
        <f aca="false">SUM(AA33:AL33)</f>
        <v>1143.6</v>
      </c>
    </row>
    <row r="35" customFormat="false" ht="16.5" hidden="false" customHeight="true" outlineLevel="0" collapsed="false">
      <c r="A35" s="21" t="s">
        <v>458</v>
      </c>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row>
    <row r="36" customFormat="false" ht="15.75" hidden="false" customHeight="true" outlineLevel="0" collapsed="false">
      <c r="A36" s="36" t="s">
        <v>345</v>
      </c>
      <c r="B36" s="36" t="s">
        <v>346</v>
      </c>
      <c r="C36" s="47" t="s">
        <v>347</v>
      </c>
      <c r="D36" s="47" t="s">
        <v>348</v>
      </c>
      <c r="E36" s="47" t="s">
        <v>349</v>
      </c>
      <c r="F36" s="47" t="s">
        <v>350</v>
      </c>
      <c r="G36" s="47" t="s">
        <v>351</v>
      </c>
      <c r="H36" s="47" t="s">
        <v>352</v>
      </c>
      <c r="I36" s="47" t="s">
        <v>353</v>
      </c>
      <c r="J36" s="47" t="s">
        <v>354</v>
      </c>
      <c r="K36" s="47" t="s">
        <v>355</v>
      </c>
      <c r="L36" s="47" t="s">
        <v>356</v>
      </c>
      <c r="M36" s="47" t="s">
        <v>357</v>
      </c>
      <c r="N36" s="47" t="s">
        <v>358</v>
      </c>
      <c r="O36" s="48" t="s">
        <v>359</v>
      </c>
      <c r="P36" s="48" t="s">
        <v>360</v>
      </c>
      <c r="Q36" s="48" t="s">
        <v>361</v>
      </c>
      <c r="R36" s="48" t="s">
        <v>362</v>
      </c>
      <c r="S36" s="48" t="s">
        <v>363</v>
      </c>
      <c r="T36" s="48" t="s">
        <v>364</v>
      </c>
      <c r="U36" s="48" t="s">
        <v>365</v>
      </c>
      <c r="V36" s="48" t="s">
        <v>366</v>
      </c>
      <c r="W36" s="48" t="s">
        <v>367</v>
      </c>
      <c r="X36" s="48" t="s">
        <v>368</v>
      </c>
      <c r="Y36" s="48" t="s">
        <v>369</v>
      </c>
      <c r="Z36" s="48" t="s">
        <v>370</v>
      </c>
      <c r="AA36" s="47" t="s">
        <v>371</v>
      </c>
      <c r="AB36" s="47" t="s">
        <v>372</v>
      </c>
      <c r="AC36" s="47" t="s">
        <v>373</v>
      </c>
      <c r="AD36" s="47" t="s">
        <v>374</v>
      </c>
      <c r="AE36" s="47" t="s">
        <v>375</v>
      </c>
      <c r="AF36" s="47" t="s">
        <v>376</v>
      </c>
      <c r="AG36" s="47" t="s">
        <v>377</v>
      </c>
      <c r="AH36" s="47" t="s">
        <v>378</v>
      </c>
      <c r="AI36" s="47" t="s">
        <v>379</v>
      </c>
      <c r="AJ36" s="47" t="s">
        <v>380</v>
      </c>
      <c r="AK36" s="47" t="s">
        <v>381</v>
      </c>
      <c r="AL36" s="47" t="s">
        <v>382</v>
      </c>
      <c r="AM36" s="49"/>
      <c r="AN36" s="50" t="s">
        <v>383</v>
      </c>
      <c r="AO36" s="50" t="s">
        <v>384</v>
      </c>
      <c r="AP36" s="50" t="s">
        <v>385</v>
      </c>
    </row>
    <row r="37" customFormat="false" ht="15" hidden="false" customHeight="false" outlineLevel="0" collapsed="false">
      <c r="A37" s="26" t="s">
        <v>187</v>
      </c>
      <c r="B37" s="24" t="s">
        <v>459</v>
      </c>
      <c r="C37" s="51" t="n">
        <f aca="false">Assumptions!$C$65</f>
        <v>900</v>
      </c>
      <c r="D37" s="51" t="n">
        <f aca="false">Assumptions!$C$65</f>
        <v>900</v>
      </c>
      <c r="E37" s="51" t="n">
        <f aca="false">Assumptions!$C$65</f>
        <v>900</v>
      </c>
      <c r="F37" s="51" t="n">
        <f aca="false">Assumptions!$C$65</f>
        <v>900</v>
      </c>
      <c r="G37" s="51" t="n">
        <f aca="false">Assumptions!$C$65</f>
        <v>900</v>
      </c>
      <c r="H37" s="51" t="n">
        <f aca="false">Assumptions!$C$65</f>
        <v>900</v>
      </c>
      <c r="I37" s="51" t="n">
        <f aca="false">Assumptions!$C$65</f>
        <v>900</v>
      </c>
      <c r="J37" s="51" t="n">
        <f aca="false">Assumptions!$C$65</f>
        <v>900</v>
      </c>
      <c r="K37" s="51" t="n">
        <f aca="false">Assumptions!$C$65</f>
        <v>900</v>
      </c>
      <c r="L37" s="51" t="n">
        <f aca="false">Assumptions!$C$65</f>
        <v>900</v>
      </c>
      <c r="M37" s="51" t="n">
        <f aca="false">Assumptions!$C$65</f>
        <v>900</v>
      </c>
      <c r="N37" s="51" t="n">
        <f aca="false">Assumptions!$C$65</f>
        <v>900</v>
      </c>
      <c r="O37" s="51" t="n">
        <f aca="false">Assumptions!$D$65</f>
        <v>2200</v>
      </c>
      <c r="P37" s="51" t="n">
        <f aca="false">Assumptions!$D$65</f>
        <v>2200</v>
      </c>
      <c r="Q37" s="51" t="n">
        <f aca="false">Assumptions!$D$65</f>
        <v>2200</v>
      </c>
      <c r="R37" s="51" t="n">
        <f aca="false">Assumptions!$D$65</f>
        <v>2200</v>
      </c>
      <c r="S37" s="51" t="n">
        <f aca="false">Assumptions!$D$65</f>
        <v>2200</v>
      </c>
      <c r="T37" s="51" t="n">
        <f aca="false">Assumptions!$D$65</f>
        <v>2200</v>
      </c>
      <c r="U37" s="51" t="n">
        <f aca="false">Assumptions!$D$65</f>
        <v>2200</v>
      </c>
      <c r="V37" s="51" t="n">
        <f aca="false">Assumptions!$D$65</f>
        <v>2200</v>
      </c>
      <c r="W37" s="51" t="n">
        <f aca="false">Assumptions!$D$65</f>
        <v>2200</v>
      </c>
      <c r="X37" s="51" t="n">
        <f aca="false">Assumptions!$D$65</f>
        <v>2200</v>
      </c>
      <c r="Y37" s="51" t="n">
        <f aca="false">Assumptions!$D$65</f>
        <v>2200</v>
      </c>
      <c r="Z37" s="51" t="n">
        <f aca="false">Assumptions!$D$65</f>
        <v>2200</v>
      </c>
      <c r="AA37" s="51" t="n">
        <f aca="false">Assumptions!$E$65</f>
        <v>4200</v>
      </c>
      <c r="AB37" s="51" t="n">
        <f aca="false">Assumptions!$E$65</f>
        <v>4200</v>
      </c>
      <c r="AC37" s="51" t="n">
        <f aca="false">Assumptions!$E$65</f>
        <v>4200</v>
      </c>
      <c r="AD37" s="51" t="n">
        <f aca="false">Assumptions!$E$65</f>
        <v>4200</v>
      </c>
      <c r="AE37" s="51" t="n">
        <f aca="false">Assumptions!$E$65</f>
        <v>4200</v>
      </c>
      <c r="AF37" s="51" t="n">
        <f aca="false">Assumptions!$E$65</f>
        <v>4200</v>
      </c>
      <c r="AG37" s="51" t="n">
        <f aca="false">Assumptions!$E$65</f>
        <v>4200</v>
      </c>
      <c r="AH37" s="51" t="n">
        <f aca="false">Assumptions!$E$65</f>
        <v>4200</v>
      </c>
      <c r="AI37" s="51" t="n">
        <f aca="false">Assumptions!$E$65</f>
        <v>4200</v>
      </c>
      <c r="AJ37" s="51" t="n">
        <f aca="false">Assumptions!$E$65</f>
        <v>4200</v>
      </c>
      <c r="AK37" s="51" t="n">
        <f aca="false">Assumptions!$E$65</f>
        <v>4200</v>
      </c>
      <c r="AL37" s="51" t="n">
        <f aca="false">Assumptions!$E$65</f>
        <v>4200</v>
      </c>
      <c r="AN37" s="52" t="n">
        <f aca="false">SUM(C37:N37)</f>
        <v>10800</v>
      </c>
      <c r="AO37" s="52" t="n">
        <f aca="false">SUM(O37:Z37)</f>
        <v>26400</v>
      </c>
      <c r="AP37" s="52" t="n">
        <f aca="false">SUM(AA37:AL37)</f>
        <v>50400</v>
      </c>
    </row>
    <row r="38" customFormat="false" ht="15" hidden="false" customHeight="false" outlineLevel="0" collapsed="false">
      <c r="A38" s="26" t="s">
        <v>460</v>
      </c>
      <c r="B38" s="24"/>
      <c r="C38" s="56" t="n">
        <f aca="false">IFERROR(C37/Assumptions!$F$65*1000,0)</f>
        <v>257142.857142857</v>
      </c>
      <c r="D38" s="56" t="n">
        <f aca="false">IFERROR(D37/Assumptions!$F$65*1000,0)</f>
        <v>257142.857142857</v>
      </c>
      <c r="E38" s="56" t="n">
        <f aca="false">IFERROR(E37/Assumptions!$F$65*1000,0)</f>
        <v>257142.857142857</v>
      </c>
      <c r="F38" s="56" t="n">
        <f aca="false">IFERROR(F37/Assumptions!$F$65*1000,0)</f>
        <v>257142.857142857</v>
      </c>
      <c r="G38" s="56" t="n">
        <f aca="false">IFERROR(G37/Assumptions!$F$65*1000,0)</f>
        <v>257142.857142857</v>
      </c>
      <c r="H38" s="56" t="n">
        <f aca="false">IFERROR(H37/Assumptions!$F$65*1000,0)</f>
        <v>257142.857142857</v>
      </c>
      <c r="I38" s="56" t="n">
        <f aca="false">IFERROR(I37/Assumptions!$F$65*1000,0)</f>
        <v>257142.857142857</v>
      </c>
      <c r="J38" s="56" t="n">
        <f aca="false">IFERROR(J37/Assumptions!$F$65*1000,0)</f>
        <v>257142.857142857</v>
      </c>
      <c r="K38" s="56" t="n">
        <f aca="false">IFERROR(K37/Assumptions!$F$65*1000,0)</f>
        <v>257142.857142857</v>
      </c>
      <c r="L38" s="56" t="n">
        <f aca="false">IFERROR(L37/Assumptions!$F$65*1000,0)</f>
        <v>257142.857142857</v>
      </c>
      <c r="M38" s="56" t="n">
        <f aca="false">IFERROR(M37/Assumptions!$F$65*1000,0)</f>
        <v>257142.857142857</v>
      </c>
      <c r="N38" s="56" t="n">
        <f aca="false">IFERROR(N37/Assumptions!$F$65*1000,0)</f>
        <v>257142.857142857</v>
      </c>
      <c r="O38" s="56" t="n">
        <f aca="false">IFERROR(O37/Assumptions!$F$65*1000,0)</f>
        <v>628571.428571429</v>
      </c>
      <c r="P38" s="56" t="n">
        <f aca="false">IFERROR(P37/Assumptions!$F$65*1000,0)</f>
        <v>628571.428571429</v>
      </c>
      <c r="Q38" s="56" t="n">
        <f aca="false">IFERROR(Q37/Assumptions!$F$65*1000,0)</f>
        <v>628571.428571429</v>
      </c>
      <c r="R38" s="56" t="n">
        <f aca="false">IFERROR(R37/Assumptions!$F$65*1000,0)</f>
        <v>628571.428571429</v>
      </c>
      <c r="S38" s="56" t="n">
        <f aca="false">IFERROR(S37/Assumptions!$F$65*1000,0)</f>
        <v>628571.428571429</v>
      </c>
      <c r="T38" s="56" t="n">
        <f aca="false">IFERROR(T37/Assumptions!$F$65*1000,0)</f>
        <v>628571.428571429</v>
      </c>
      <c r="U38" s="56" t="n">
        <f aca="false">IFERROR(U37/Assumptions!$F$65*1000,0)</f>
        <v>628571.428571429</v>
      </c>
      <c r="V38" s="56" t="n">
        <f aca="false">IFERROR(V37/Assumptions!$F$65*1000,0)</f>
        <v>628571.428571429</v>
      </c>
      <c r="W38" s="56" t="n">
        <f aca="false">IFERROR(W37/Assumptions!$F$65*1000,0)</f>
        <v>628571.428571429</v>
      </c>
      <c r="X38" s="56" t="n">
        <f aca="false">IFERROR(X37/Assumptions!$F$65*1000,0)</f>
        <v>628571.428571429</v>
      </c>
      <c r="Y38" s="56" t="n">
        <f aca="false">IFERROR(Y37/Assumptions!$F$65*1000,0)</f>
        <v>628571.428571429</v>
      </c>
      <c r="Z38" s="56" t="n">
        <f aca="false">IFERROR(Z37/Assumptions!$F$65*1000,0)</f>
        <v>628571.428571429</v>
      </c>
      <c r="AA38" s="56" t="n">
        <f aca="false">IFERROR(AA37/Assumptions!$F$65*1000,0)</f>
        <v>1200000</v>
      </c>
      <c r="AB38" s="56" t="n">
        <f aca="false">IFERROR(AB37/Assumptions!$F$65*1000,0)</f>
        <v>1200000</v>
      </c>
      <c r="AC38" s="56" t="n">
        <f aca="false">IFERROR(AC37/Assumptions!$F$65*1000,0)</f>
        <v>1200000</v>
      </c>
      <c r="AD38" s="56" t="n">
        <f aca="false">IFERROR(AD37/Assumptions!$F$65*1000,0)</f>
        <v>1200000</v>
      </c>
      <c r="AE38" s="56" t="n">
        <f aca="false">IFERROR(AE37/Assumptions!$F$65*1000,0)</f>
        <v>1200000</v>
      </c>
      <c r="AF38" s="56" t="n">
        <f aca="false">IFERROR(AF37/Assumptions!$F$65*1000,0)</f>
        <v>1200000</v>
      </c>
      <c r="AG38" s="56" t="n">
        <f aca="false">IFERROR(AG37/Assumptions!$F$65*1000,0)</f>
        <v>1200000</v>
      </c>
      <c r="AH38" s="56" t="n">
        <f aca="false">IFERROR(AH37/Assumptions!$F$65*1000,0)</f>
        <v>1200000</v>
      </c>
      <c r="AI38" s="56" t="n">
        <f aca="false">IFERROR(AI37/Assumptions!$F$65*1000,0)</f>
        <v>1200000</v>
      </c>
      <c r="AJ38" s="56" t="n">
        <f aca="false">IFERROR(AJ37/Assumptions!$F$65*1000,0)</f>
        <v>1200000</v>
      </c>
      <c r="AK38" s="56" t="n">
        <f aca="false">IFERROR(AK37/Assumptions!$F$65*1000,0)</f>
        <v>1200000</v>
      </c>
      <c r="AL38" s="56" t="n">
        <f aca="false">IFERROR(AL37/Assumptions!$F$65*1000,0)</f>
        <v>1200000</v>
      </c>
      <c r="AN38" s="57" t="n">
        <f aca="false">SUM(C38:N38)</f>
        <v>3085714.28571429</v>
      </c>
      <c r="AO38" s="57" t="n">
        <f aca="false">SUM(O38:Z38)</f>
        <v>7542857.14285714</v>
      </c>
      <c r="AP38" s="57" t="n">
        <f aca="false">SUM(AA38:AL38)</f>
        <v>14400000</v>
      </c>
    </row>
    <row r="39" customFormat="false" ht="15" hidden="false" customHeight="false" outlineLevel="0" collapsed="false">
      <c r="A39" s="26" t="s">
        <v>453</v>
      </c>
      <c r="B39" s="24" t="s">
        <v>461</v>
      </c>
      <c r="C39" s="56" t="n">
        <f aca="false">C38*Assumptions!$G$65*Assumptions!$H$65</f>
        <v>277.714285714286</v>
      </c>
      <c r="D39" s="56" t="n">
        <f aca="false">D38*Assumptions!$G$65*Assumptions!$H$65</f>
        <v>277.714285714286</v>
      </c>
      <c r="E39" s="56" t="n">
        <f aca="false">E38*Assumptions!$G$65*Assumptions!$H$65</f>
        <v>277.714285714286</v>
      </c>
      <c r="F39" s="56" t="n">
        <f aca="false">F38*Assumptions!$G$65*Assumptions!$H$65</f>
        <v>277.714285714286</v>
      </c>
      <c r="G39" s="56" t="n">
        <f aca="false">G38*Assumptions!$G$65*Assumptions!$H$65</f>
        <v>277.714285714286</v>
      </c>
      <c r="H39" s="56" t="n">
        <f aca="false">H38*Assumptions!$G$65*Assumptions!$H$65</f>
        <v>277.714285714286</v>
      </c>
      <c r="I39" s="56" t="n">
        <f aca="false">I38*Assumptions!$G$65*Assumptions!$H$65</f>
        <v>277.714285714286</v>
      </c>
      <c r="J39" s="56" t="n">
        <f aca="false">J38*Assumptions!$G$65*Assumptions!$H$65</f>
        <v>277.714285714286</v>
      </c>
      <c r="K39" s="56" t="n">
        <f aca="false">K38*Assumptions!$G$65*Assumptions!$H$65</f>
        <v>277.714285714286</v>
      </c>
      <c r="L39" s="56" t="n">
        <f aca="false">L38*Assumptions!$G$65*Assumptions!$H$65</f>
        <v>277.714285714286</v>
      </c>
      <c r="M39" s="56" t="n">
        <f aca="false">M38*Assumptions!$G$65*Assumptions!$H$65</f>
        <v>277.714285714286</v>
      </c>
      <c r="N39" s="56" t="n">
        <f aca="false">N38*Assumptions!$G$65*Assumptions!$H$65</f>
        <v>277.714285714286</v>
      </c>
      <c r="O39" s="56" t="n">
        <f aca="false">O38*Assumptions!$G$65*Assumptions!$H$65</f>
        <v>678.857142857143</v>
      </c>
      <c r="P39" s="56" t="n">
        <f aca="false">P38*Assumptions!$G$65*Assumptions!$H$65</f>
        <v>678.857142857143</v>
      </c>
      <c r="Q39" s="56" t="n">
        <f aca="false">Q38*Assumptions!$G$65*Assumptions!$H$65</f>
        <v>678.857142857143</v>
      </c>
      <c r="R39" s="56" t="n">
        <f aca="false">R38*Assumptions!$G$65*Assumptions!$H$65</f>
        <v>678.857142857143</v>
      </c>
      <c r="S39" s="56" t="n">
        <f aca="false">S38*Assumptions!$G$65*Assumptions!$H$65</f>
        <v>678.857142857143</v>
      </c>
      <c r="T39" s="56" t="n">
        <f aca="false">T38*Assumptions!$G$65*Assumptions!$H$65</f>
        <v>678.857142857143</v>
      </c>
      <c r="U39" s="56" t="n">
        <f aca="false">U38*Assumptions!$G$65*Assumptions!$H$65</f>
        <v>678.857142857143</v>
      </c>
      <c r="V39" s="56" t="n">
        <f aca="false">V38*Assumptions!$G$65*Assumptions!$H$65</f>
        <v>678.857142857143</v>
      </c>
      <c r="W39" s="56" t="n">
        <f aca="false">W38*Assumptions!$G$65*Assumptions!$H$65</f>
        <v>678.857142857143</v>
      </c>
      <c r="X39" s="56" t="n">
        <f aca="false">X38*Assumptions!$G$65*Assumptions!$H$65</f>
        <v>678.857142857143</v>
      </c>
      <c r="Y39" s="56" t="n">
        <f aca="false">Y38*Assumptions!$G$65*Assumptions!$H$65</f>
        <v>678.857142857143</v>
      </c>
      <c r="Z39" s="56" t="n">
        <f aca="false">Z38*Assumptions!$G$65*Assumptions!$H$65</f>
        <v>678.857142857143</v>
      </c>
      <c r="AA39" s="56" t="n">
        <f aca="false">AA38*Assumptions!$G$65*Assumptions!$H$65</f>
        <v>1296</v>
      </c>
      <c r="AB39" s="56" t="n">
        <f aca="false">AB38*Assumptions!$G$65*Assumptions!$H$65</f>
        <v>1296</v>
      </c>
      <c r="AC39" s="56" t="n">
        <f aca="false">AC38*Assumptions!$G$65*Assumptions!$H$65</f>
        <v>1296</v>
      </c>
      <c r="AD39" s="56" t="n">
        <f aca="false">AD38*Assumptions!$G$65*Assumptions!$H$65</f>
        <v>1296</v>
      </c>
      <c r="AE39" s="56" t="n">
        <f aca="false">AE38*Assumptions!$G$65*Assumptions!$H$65</f>
        <v>1296</v>
      </c>
      <c r="AF39" s="56" t="n">
        <f aca="false">AF38*Assumptions!$G$65*Assumptions!$H$65</f>
        <v>1296</v>
      </c>
      <c r="AG39" s="56" t="n">
        <f aca="false">AG38*Assumptions!$G$65*Assumptions!$H$65</f>
        <v>1296</v>
      </c>
      <c r="AH39" s="56" t="n">
        <f aca="false">AH38*Assumptions!$G$65*Assumptions!$H$65</f>
        <v>1296</v>
      </c>
      <c r="AI39" s="56" t="n">
        <f aca="false">AI38*Assumptions!$G$65*Assumptions!$H$65</f>
        <v>1296</v>
      </c>
      <c r="AJ39" s="56" t="n">
        <f aca="false">AJ38*Assumptions!$G$65*Assumptions!$H$65</f>
        <v>1296</v>
      </c>
      <c r="AK39" s="56" t="n">
        <f aca="false">AK38*Assumptions!$G$65*Assumptions!$H$65</f>
        <v>1296</v>
      </c>
      <c r="AL39" s="56" t="n">
        <f aca="false">AL38*Assumptions!$G$65*Assumptions!$H$65</f>
        <v>1296</v>
      </c>
      <c r="AN39" s="57" t="n">
        <f aca="false">SUM(C39:N39)</f>
        <v>3332.57142857143</v>
      </c>
      <c r="AO39" s="57" t="n">
        <f aca="false">SUM(O39:Z39)</f>
        <v>8146.28571428571</v>
      </c>
      <c r="AP39" s="57" t="n">
        <f aca="false">SUM(AA39:AL39)</f>
        <v>15552</v>
      </c>
    </row>
    <row r="40" customFormat="false" ht="15" hidden="false" customHeight="false" outlineLevel="0" collapsed="false">
      <c r="A40" s="26" t="s">
        <v>189</v>
      </c>
      <c r="B40" s="24" t="s">
        <v>459</v>
      </c>
      <c r="C40" s="51" t="n">
        <f aca="false">Assumptions!$C$66</f>
        <v>850</v>
      </c>
      <c r="D40" s="51" t="n">
        <f aca="false">Assumptions!$C$66</f>
        <v>850</v>
      </c>
      <c r="E40" s="51" t="n">
        <f aca="false">Assumptions!$C$66</f>
        <v>850</v>
      </c>
      <c r="F40" s="51" t="n">
        <f aca="false">Assumptions!$C$66</f>
        <v>850</v>
      </c>
      <c r="G40" s="51" t="n">
        <f aca="false">Assumptions!$C$66</f>
        <v>850</v>
      </c>
      <c r="H40" s="51" t="n">
        <f aca="false">Assumptions!$C$66</f>
        <v>850</v>
      </c>
      <c r="I40" s="51" t="n">
        <f aca="false">Assumptions!$C$66</f>
        <v>850</v>
      </c>
      <c r="J40" s="51" t="n">
        <f aca="false">Assumptions!$C$66</f>
        <v>850</v>
      </c>
      <c r="K40" s="51" t="n">
        <f aca="false">Assumptions!$C$66</f>
        <v>850</v>
      </c>
      <c r="L40" s="51" t="n">
        <f aca="false">Assumptions!$C$66</f>
        <v>850</v>
      </c>
      <c r="M40" s="51" t="n">
        <f aca="false">Assumptions!$C$66</f>
        <v>850</v>
      </c>
      <c r="N40" s="51" t="n">
        <f aca="false">Assumptions!$C$66</f>
        <v>850</v>
      </c>
      <c r="O40" s="51" t="n">
        <f aca="false">Assumptions!$D$66</f>
        <v>2000</v>
      </c>
      <c r="P40" s="51" t="n">
        <f aca="false">Assumptions!$D$66</f>
        <v>2000</v>
      </c>
      <c r="Q40" s="51" t="n">
        <f aca="false">Assumptions!$D$66</f>
        <v>2000</v>
      </c>
      <c r="R40" s="51" t="n">
        <f aca="false">Assumptions!$D$66</f>
        <v>2000</v>
      </c>
      <c r="S40" s="51" t="n">
        <f aca="false">Assumptions!$D$66</f>
        <v>2000</v>
      </c>
      <c r="T40" s="51" t="n">
        <f aca="false">Assumptions!$D$66</f>
        <v>2000</v>
      </c>
      <c r="U40" s="51" t="n">
        <f aca="false">Assumptions!$D$66</f>
        <v>2000</v>
      </c>
      <c r="V40" s="51" t="n">
        <f aca="false">Assumptions!$D$66</f>
        <v>2000</v>
      </c>
      <c r="W40" s="51" t="n">
        <f aca="false">Assumptions!$D$66</f>
        <v>2000</v>
      </c>
      <c r="X40" s="51" t="n">
        <f aca="false">Assumptions!$D$66</f>
        <v>2000</v>
      </c>
      <c r="Y40" s="51" t="n">
        <f aca="false">Assumptions!$D$66</f>
        <v>2000</v>
      </c>
      <c r="Z40" s="51" t="n">
        <f aca="false">Assumptions!$D$66</f>
        <v>2000</v>
      </c>
      <c r="AA40" s="51" t="n">
        <f aca="false">Assumptions!$E$66</f>
        <v>4000</v>
      </c>
      <c r="AB40" s="51" t="n">
        <f aca="false">Assumptions!$E$66</f>
        <v>4000</v>
      </c>
      <c r="AC40" s="51" t="n">
        <f aca="false">Assumptions!$E$66</f>
        <v>4000</v>
      </c>
      <c r="AD40" s="51" t="n">
        <f aca="false">Assumptions!$E$66</f>
        <v>4000</v>
      </c>
      <c r="AE40" s="51" t="n">
        <f aca="false">Assumptions!$E$66</f>
        <v>4000</v>
      </c>
      <c r="AF40" s="51" t="n">
        <f aca="false">Assumptions!$E$66</f>
        <v>4000</v>
      </c>
      <c r="AG40" s="51" t="n">
        <f aca="false">Assumptions!$E$66</f>
        <v>4000</v>
      </c>
      <c r="AH40" s="51" t="n">
        <f aca="false">Assumptions!$E$66</f>
        <v>4000</v>
      </c>
      <c r="AI40" s="51" t="n">
        <f aca="false">Assumptions!$E$66</f>
        <v>4000</v>
      </c>
      <c r="AJ40" s="51" t="n">
        <f aca="false">Assumptions!$E$66</f>
        <v>4000</v>
      </c>
      <c r="AK40" s="51" t="n">
        <f aca="false">Assumptions!$E$66</f>
        <v>4000</v>
      </c>
      <c r="AL40" s="51" t="n">
        <f aca="false">Assumptions!$E$66</f>
        <v>4000</v>
      </c>
      <c r="AN40" s="52" t="n">
        <f aca="false">SUM(C40:N40)</f>
        <v>10200</v>
      </c>
      <c r="AO40" s="52" t="n">
        <f aca="false">SUM(O40:Z40)</f>
        <v>24000</v>
      </c>
      <c r="AP40" s="52" t="n">
        <f aca="false">SUM(AA40:AL40)</f>
        <v>48000</v>
      </c>
    </row>
    <row r="41" customFormat="false" ht="15" hidden="false" customHeight="false" outlineLevel="0" collapsed="false">
      <c r="A41" s="26" t="s">
        <v>460</v>
      </c>
      <c r="B41" s="24"/>
      <c r="C41" s="56" t="n">
        <f aca="false">IFERROR(C40/Assumptions!$F$66*1000,0)</f>
        <v>130769.230769231</v>
      </c>
      <c r="D41" s="56" t="n">
        <f aca="false">IFERROR(D40/Assumptions!$F$66*1000,0)</f>
        <v>130769.230769231</v>
      </c>
      <c r="E41" s="56" t="n">
        <f aca="false">IFERROR(E40/Assumptions!$F$66*1000,0)</f>
        <v>130769.230769231</v>
      </c>
      <c r="F41" s="56" t="n">
        <f aca="false">IFERROR(F40/Assumptions!$F$66*1000,0)</f>
        <v>130769.230769231</v>
      </c>
      <c r="G41" s="56" t="n">
        <f aca="false">IFERROR(G40/Assumptions!$F$66*1000,0)</f>
        <v>130769.230769231</v>
      </c>
      <c r="H41" s="56" t="n">
        <f aca="false">IFERROR(H40/Assumptions!$F$66*1000,0)</f>
        <v>130769.230769231</v>
      </c>
      <c r="I41" s="56" t="n">
        <f aca="false">IFERROR(I40/Assumptions!$F$66*1000,0)</f>
        <v>130769.230769231</v>
      </c>
      <c r="J41" s="56" t="n">
        <f aca="false">IFERROR(J40/Assumptions!$F$66*1000,0)</f>
        <v>130769.230769231</v>
      </c>
      <c r="K41" s="56" t="n">
        <f aca="false">IFERROR(K40/Assumptions!$F$66*1000,0)</f>
        <v>130769.230769231</v>
      </c>
      <c r="L41" s="56" t="n">
        <f aca="false">IFERROR(L40/Assumptions!$F$66*1000,0)</f>
        <v>130769.230769231</v>
      </c>
      <c r="M41" s="56" t="n">
        <f aca="false">IFERROR(M40/Assumptions!$F$66*1000,0)</f>
        <v>130769.230769231</v>
      </c>
      <c r="N41" s="56" t="n">
        <f aca="false">IFERROR(N40/Assumptions!$F$66*1000,0)</f>
        <v>130769.230769231</v>
      </c>
      <c r="O41" s="56" t="n">
        <f aca="false">IFERROR(O40/Assumptions!$F$66*1000,0)</f>
        <v>307692.307692308</v>
      </c>
      <c r="P41" s="56" t="n">
        <f aca="false">IFERROR(P40/Assumptions!$F$66*1000,0)</f>
        <v>307692.307692308</v>
      </c>
      <c r="Q41" s="56" t="n">
        <f aca="false">IFERROR(Q40/Assumptions!$F$66*1000,0)</f>
        <v>307692.307692308</v>
      </c>
      <c r="R41" s="56" t="n">
        <f aca="false">IFERROR(R40/Assumptions!$F$66*1000,0)</f>
        <v>307692.307692308</v>
      </c>
      <c r="S41" s="56" t="n">
        <f aca="false">IFERROR(S40/Assumptions!$F$66*1000,0)</f>
        <v>307692.307692308</v>
      </c>
      <c r="T41" s="56" t="n">
        <f aca="false">IFERROR(T40/Assumptions!$F$66*1000,0)</f>
        <v>307692.307692308</v>
      </c>
      <c r="U41" s="56" t="n">
        <f aca="false">IFERROR(U40/Assumptions!$F$66*1000,0)</f>
        <v>307692.307692308</v>
      </c>
      <c r="V41" s="56" t="n">
        <f aca="false">IFERROR(V40/Assumptions!$F$66*1000,0)</f>
        <v>307692.307692308</v>
      </c>
      <c r="W41" s="56" t="n">
        <f aca="false">IFERROR(W40/Assumptions!$F$66*1000,0)</f>
        <v>307692.307692308</v>
      </c>
      <c r="X41" s="56" t="n">
        <f aca="false">IFERROR(X40/Assumptions!$F$66*1000,0)</f>
        <v>307692.307692308</v>
      </c>
      <c r="Y41" s="56" t="n">
        <f aca="false">IFERROR(Y40/Assumptions!$F$66*1000,0)</f>
        <v>307692.307692308</v>
      </c>
      <c r="Z41" s="56" t="n">
        <f aca="false">IFERROR(Z40/Assumptions!$F$66*1000,0)</f>
        <v>307692.307692308</v>
      </c>
      <c r="AA41" s="56" t="n">
        <f aca="false">IFERROR(AA40/Assumptions!$F$66*1000,0)</f>
        <v>615384.615384615</v>
      </c>
      <c r="AB41" s="56" t="n">
        <f aca="false">IFERROR(AB40/Assumptions!$F$66*1000,0)</f>
        <v>615384.615384615</v>
      </c>
      <c r="AC41" s="56" t="n">
        <f aca="false">IFERROR(AC40/Assumptions!$F$66*1000,0)</f>
        <v>615384.615384615</v>
      </c>
      <c r="AD41" s="56" t="n">
        <f aca="false">IFERROR(AD40/Assumptions!$F$66*1000,0)</f>
        <v>615384.615384615</v>
      </c>
      <c r="AE41" s="56" t="n">
        <f aca="false">IFERROR(AE40/Assumptions!$F$66*1000,0)</f>
        <v>615384.615384615</v>
      </c>
      <c r="AF41" s="56" t="n">
        <f aca="false">IFERROR(AF40/Assumptions!$F$66*1000,0)</f>
        <v>615384.615384615</v>
      </c>
      <c r="AG41" s="56" t="n">
        <f aca="false">IFERROR(AG40/Assumptions!$F$66*1000,0)</f>
        <v>615384.615384615</v>
      </c>
      <c r="AH41" s="56" t="n">
        <f aca="false">IFERROR(AH40/Assumptions!$F$66*1000,0)</f>
        <v>615384.615384615</v>
      </c>
      <c r="AI41" s="56" t="n">
        <f aca="false">IFERROR(AI40/Assumptions!$F$66*1000,0)</f>
        <v>615384.615384615</v>
      </c>
      <c r="AJ41" s="56" t="n">
        <f aca="false">IFERROR(AJ40/Assumptions!$F$66*1000,0)</f>
        <v>615384.615384615</v>
      </c>
      <c r="AK41" s="56" t="n">
        <f aca="false">IFERROR(AK40/Assumptions!$F$66*1000,0)</f>
        <v>615384.615384615</v>
      </c>
      <c r="AL41" s="56" t="n">
        <f aca="false">IFERROR(AL40/Assumptions!$F$66*1000,0)</f>
        <v>615384.615384615</v>
      </c>
      <c r="AN41" s="57" t="n">
        <f aca="false">SUM(C41:N41)</f>
        <v>1569230.76923077</v>
      </c>
      <c r="AO41" s="57" t="n">
        <f aca="false">SUM(O41:Z41)</f>
        <v>3692307.69230769</v>
      </c>
      <c r="AP41" s="57" t="n">
        <f aca="false">SUM(AA41:AL41)</f>
        <v>7384615.38461538</v>
      </c>
    </row>
    <row r="42" customFormat="false" ht="15" hidden="false" customHeight="false" outlineLevel="0" collapsed="false">
      <c r="A42" s="26" t="s">
        <v>453</v>
      </c>
      <c r="B42" s="24" t="s">
        <v>461</v>
      </c>
      <c r="C42" s="56" t="n">
        <f aca="false">C41*Assumptions!$G$66*Assumptions!$H$66</f>
        <v>129.461538461538</v>
      </c>
      <c r="D42" s="56" t="n">
        <f aca="false">D41*Assumptions!$G$66*Assumptions!$H$66</f>
        <v>129.461538461538</v>
      </c>
      <c r="E42" s="56" t="n">
        <f aca="false">E41*Assumptions!$G$66*Assumptions!$H$66</f>
        <v>129.461538461538</v>
      </c>
      <c r="F42" s="56" t="n">
        <f aca="false">F41*Assumptions!$G$66*Assumptions!$H$66</f>
        <v>129.461538461538</v>
      </c>
      <c r="G42" s="56" t="n">
        <f aca="false">G41*Assumptions!$G$66*Assumptions!$H$66</f>
        <v>129.461538461538</v>
      </c>
      <c r="H42" s="56" t="n">
        <f aca="false">H41*Assumptions!$G$66*Assumptions!$H$66</f>
        <v>129.461538461538</v>
      </c>
      <c r="I42" s="56" t="n">
        <f aca="false">I41*Assumptions!$G$66*Assumptions!$H$66</f>
        <v>129.461538461538</v>
      </c>
      <c r="J42" s="56" t="n">
        <f aca="false">J41*Assumptions!$G$66*Assumptions!$H$66</f>
        <v>129.461538461538</v>
      </c>
      <c r="K42" s="56" t="n">
        <f aca="false">K41*Assumptions!$G$66*Assumptions!$H$66</f>
        <v>129.461538461538</v>
      </c>
      <c r="L42" s="56" t="n">
        <f aca="false">L41*Assumptions!$G$66*Assumptions!$H$66</f>
        <v>129.461538461538</v>
      </c>
      <c r="M42" s="56" t="n">
        <f aca="false">M41*Assumptions!$G$66*Assumptions!$H$66</f>
        <v>129.461538461538</v>
      </c>
      <c r="N42" s="56" t="n">
        <f aca="false">N41*Assumptions!$G$66*Assumptions!$H$66</f>
        <v>129.461538461538</v>
      </c>
      <c r="O42" s="56" t="n">
        <f aca="false">O41*Assumptions!$G$66*Assumptions!$H$66</f>
        <v>304.615384615385</v>
      </c>
      <c r="P42" s="56" t="n">
        <f aca="false">P41*Assumptions!$G$66*Assumptions!$H$66</f>
        <v>304.615384615385</v>
      </c>
      <c r="Q42" s="56" t="n">
        <f aca="false">Q41*Assumptions!$G$66*Assumptions!$H$66</f>
        <v>304.615384615385</v>
      </c>
      <c r="R42" s="56" t="n">
        <f aca="false">R41*Assumptions!$G$66*Assumptions!$H$66</f>
        <v>304.615384615385</v>
      </c>
      <c r="S42" s="56" t="n">
        <f aca="false">S41*Assumptions!$G$66*Assumptions!$H$66</f>
        <v>304.615384615385</v>
      </c>
      <c r="T42" s="56" t="n">
        <f aca="false">T41*Assumptions!$G$66*Assumptions!$H$66</f>
        <v>304.615384615385</v>
      </c>
      <c r="U42" s="56" t="n">
        <f aca="false">U41*Assumptions!$G$66*Assumptions!$H$66</f>
        <v>304.615384615385</v>
      </c>
      <c r="V42" s="56" t="n">
        <f aca="false">V41*Assumptions!$G$66*Assumptions!$H$66</f>
        <v>304.615384615385</v>
      </c>
      <c r="W42" s="56" t="n">
        <f aca="false">W41*Assumptions!$G$66*Assumptions!$H$66</f>
        <v>304.615384615385</v>
      </c>
      <c r="X42" s="56" t="n">
        <f aca="false">X41*Assumptions!$G$66*Assumptions!$H$66</f>
        <v>304.615384615385</v>
      </c>
      <c r="Y42" s="56" t="n">
        <f aca="false">Y41*Assumptions!$G$66*Assumptions!$H$66</f>
        <v>304.615384615385</v>
      </c>
      <c r="Z42" s="56" t="n">
        <f aca="false">Z41*Assumptions!$G$66*Assumptions!$H$66</f>
        <v>304.615384615385</v>
      </c>
      <c r="AA42" s="56" t="n">
        <f aca="false">AA41*Assumptions!$G$66*Assumptions!$H$66</f>
        <v>609.230769230769</v>
      </c>
      <c r="AB42" s="56" t="n">
        <f aca="false">AB41*Assumptions!$G$66*Assumptions!$H$66</f>
        <v>609.230769230769</v>
      </c>
      <c r="AC42" s="56" t="n">
        <f aca="false">AC41*Assumptions!$G$66*Assumptions!$H$66</f>
        <v>609.230769230769</v>
      </c>
      <c r="AD42" s="56" t="n">
        <f aca="false">AD41*Assumptions!$G$66*Assumptions!$H$66</f>
        <v>609.230769230769</v>
      </c>
      <c r="AE42" s="56" t="n">
        <f aca="false">AE41*Assumptions!$G$66*Assumptions!$H$66</f>
        <v>609.230769230769</v>
      </c>
      <c r="AF42" s="56" t="n">
        <f aca="false">AF41*Assumptions!$G$66*Assumptions!$H$66</f>
        <v>609.230769230769</v>
      </c>
      <c r="AG42" s="56" t="n">
        <f aca="false">AG41*Assumptions!$G$66*Assumptions!$H$66</f>
        <v>609.230769230769</v>
      </c>
      <c r="AH42" s="56" t="n">
        <f aca="false">AH41*Assumptions!$G$66*Assumptions!$H$66</f>
        <v>609.230769230769</v>
      </c>
      <c r="AI42" s="56" t="n">
        <f aca="false">AI41*Assumptions!$G$66*Assumptions!$H$66</f>
        <v>609.230769230769</v>
      </c>
      <c r="AJ42" s="56" t="n">
        <f aca="false">AJ41*Assumptions!$G$66*Assumptions!$H$66</f>
        <v>609.230769230769</v>
      </c>
      <c r="AK42" s="56" t="n">
        <f aca="false">AK41*Assumptions!$G$66*Assumptions!$H$66</f>
        <v>609.230769230769</v>
      </c>
      <c r="AL42" s="56" t="n">
        <f aca="false">AL41*Assumptions!$G$66*Assumptions!$H$66</f>
        <v>609.230769230769</v>
      </c>
      <c r="AN42" s="57" t="n">
        <f aca="false">SUM(C42:N42)</f>
        <v>1553.53846153846</v>
      </c>
      <c r="AO42" s="57" t="n">
        <f aca="false">SUM(O42:Z42)</f>
        <v>3655.38461538462</v>
      </c>
      <c r="AP42" s="57" t="n">
        <f aca="false">SUM(AA42:AL42)</f>
        <v>7310.76923076923</v>
      </c>
    </row>
    <row r="43" customFormat="false" ht="15" hidden="false" customHeight="false" outlineLevel="0" collapsed="false">
      <c r="A43" s="26" t="s">
        <v>191</v>
      </c>
      <c r="B43" s="24" t="s">
        <v>459</v>
      </c>
      <c r="C43" s="51" t="n">
        <f aca="false">Assumptions!$C$67</f>
        <v>700</v>
      </c>
      <c r="D43" s="51" t="n">
        <f aca="false">Assumptions!$C$67</f>
        <v>700</v>
      </c>
      <c r="E43" s="51" t="n">
        <f aca="false">Assumptions!$C$67</f>
        <v>700</v>
      </c>
      <c r="F43" s="51" t="n">
        <f aca="false">Assumptions!$C$67</f>
        <v>700</v>
      </c>
      <c r="G43" s="51" t="n">
        <f aca="false">Assumptions!$C$67</f>
        <v>700</v>
      </c>
      <c r="H43" s="51" t="n">
        <f aca="false">Assumptions!$C$67</f>
        <v>700</v>
      </c>
      <c r="I43" s="51" t="n">
        <f aca="false">Assumptions!$C$67</f>
        <v>700</v>
      </c>
      <c r="J43" s="51" t="n">
        <f aca="false">Assumptions!$C$67</f>
        <v>700</v>
      </c>
      <c r="K43" s="51" t="n">
        <f aca="false">Assumptions!$C$67</f>
        <v>700</v>
      </c>
      <c r="L43" s="51" t="n">
        <f aca="false">Assumptions!$C$67</f>
        <v>700</v>
      </c>
      <c r="M43" s="51" t="n">
        <f aca="false">Assumptions!$C$67</f>
        <v>700</v>
      </c>
      <c r="N43" s="51" t="n">
        <f aca="false">Assumptions!$C$67</f>
        <v>700</v>
      </c>
      <c r="O43" s="51" t="n">
        <f aca="false">Assumptions!$D$67</f>
        <v>1700</v>
      </c>
      <c r="P43" s="51" t="n">
        <f aca="false">Assumptions!$D$67</f>
        <v>1700</v>
      </c>
      <c r="Q43" s="51" t="n">
        <f aca="false">Assumptions!$D$67</f>
        <v>1700</v>
      </c>
      <c r="R43" s="51" t="n">
        <f aca="false">Assumptions!$D$67</f>
        <v>1700</v>
      </c>
      <c r="S43" s="51" t="n">
        <f aca="false">Assumptions!$D$67</f>
        <v>1700</v>
      </c>
      <c r="T43" s="51" t="n">
        <f aca="false">Assumptions!$D$67</f>
        <v>1700</v>
      </c>
      <c r="U43" s="51" t="n">
        <f aca="false">Assumptions!$D$67</f>
        <v>1700</v>
      </c>
      <c r="V43" s="51" t="n">
        <f aca="false">Assumptions!$D$67</f>
        <v>1700</v>
      </c>
      <c r="W43" s="51" t="n">
        <f aca="false">Assumptions!$D$67</f>
        <v>1700</v>
      </c>
      <c r="X43" s="51" t="n">
        <f aca="false">Assumptions!$D$67</f>
        <v>1700</v>
      </c>
      <c r="Y43" s="51" t="n">
        <f aca="false">Assumptions!$D$67</f>
        <v>1700</v>
      </c>
      <c r="Z43" s="51" t="n">
        <f aca="false">Assumptions!$D$67</f>
        <v>1700</v>
      </c>
      <c r="AA43" s="51" t="n">
        <f aca="false">Assumptions!$E$67</f>
        <v>3200</v>
      </c>
      <c r="AB43" s="51" t="n">
        <f aca="false">Assumptions!$E$67</f>
        <v>3200</v>
      </c>
      <c r="AC43" s="51" t="n">
        <f aca="false">Assumptions!$E$67</f>
        <v>3200</v>
      </c>
      <c r="AD43" s="51" t="n">
        <f aca="false">Assumptions!$E$67</f>
        <v>3200</v>
      </c>
      <c r="AE43" s="51" t="n">
        <f aca="false">Assumptions!$E$67</f>
        <v>3200</v>
      </c>
      <c r="AF43" s="51" t="n">
        <f aca="false">Assumptions!$E$67</f>
        <v>3200</v>
      </c>
      <c r="AG43" s="51" t="n">
        <f aca="false">Assumptions!$E$67</f>
        <v>3200</v>
      </c>
      <c r="AH43" s="51" t="n">
        <f aca="false">Assumptions!$E$67</f>
        <v>3200</v>
      </c>
      <c r="AI43" s="51" t="n">
        <f aca="false">Assumptions!$E$67</f>
        <v>3200</v>
      </c>
      <c r="AJ43" s="51" t="n">
        <f aca="false">Assumptions!$E$67</f>
        <v>3200</v>
      </c>
      <c r="AK43" s="51" t="n">
        <f aca="false">Assumptions!$E$67</f>
        <v>3200</v>
      </c>
      <c r="AL43" s="51" t="n">
        <f aca="false">Assumptions!$E$67</f>
        <v>3200</v>
      </c>
      <c r="AN43" s="52" t="n">
        <f aca="false">SUM(C43:N43)</f>
        <v>8400</v>
      </c>
      <c r="AO43" s="52" t="n">
        <f aca="false">SUM(O43:Z43)</f>
        <v>20400</v>
      </c>
      <c r="AP43" s="52" t="n">
        <f aca="false">SUM(AA43:AL43)</f>
        <v>38400</v>
      </c>
    </row>
    <row r="44" customFormat="false" ht="15" hidden="false" customHeight="false" outlineLevel="0" collapsed="false">
      <c r="A44" s="26" t="s">
        <v>460</v>
      </c>
      <c r="B44" s="24"/>
      <c r="C44" s="56" t="n">
        <f aca="false">IFERROR(C43/Assumptions!$F$67*1000,0)</f>
        <v>127272.727272727</v>
      </c>
      <c r="D44" s="56" t="n">
        <f aca="false">IFERROR(D43/Assumptions!$F$67*1000,0)</f>
        <v>127272.727272727</v>
      </c>
      <c r="E44" s="56" t="n">
        <f aca="false">IFERROR(E43/Assumptions!$F$67*1000,0)</f>
        <v>127272.727272727</v>
      </c>
      <c r="F44" s="56" t="n">
        <f aca="false">IFERROR(F43/Assumptions!$F$67*1000,0)</f>
        <v>127272.727272727</v>
      </c>
      <c r="G44" s="56" t="n">
        <f aca="false">IFERROR(G43/Assumptions!$F$67*1000,0)</f>
        <v>127272.727272727</v>
      </c>
      <c r="H44" s="56" t="n">
        <f aca="false">IFERROR(H43/Assumptions!$F$67*1000,0)</f>
        <v>127272.727272727</v>
      </c>
      <c r="I44" s="56" t="n">
        <f aca="false">IFERROR(I43/Assumptions!$F$67*1000,0)</f>
        <v>127272.727272727</v>
      </c>
      <c r="J44" s="56" t="n">
        <f aca="false">IFERROR(J43/Assumptions!$F$67*1000,0)</f>
        <v>127272.727272727</v>
      </c>
      <c r="K44" s="56" t="n">
        <f aca="false">IFERROR(K43/Assumptions!$F$67*1000,0)</f>
        <v>127272.727272727</v>
      </c>
      <c r="L44" s="56" t="n">
        <f aca="false">IFERROR(L43/Assumptions!$F$67*1000,0)</f>
        <v>127272.727272727</v>
      </c>
      <c r="M44" s="56" t="n">
        <f aca="false">IFERROR(M43/Assumptions!$F$67*1000,0)</f>
        <v>127272.727272727</v>
      </c>
      <c r="N44" s="56" t="n">
        <f aca="false">IFERROR(N43/Assumptions!$F$67*1000,0)</f>
        <v>127272.727272727</v>
      </c>
      <c r="O44" s="56" t="n">
        <f aca="false">IFERROR(O43/Assumptions!$F$67*1000,0)</f>
        <v>309090.909090909</v>
      </c>
      <c r="P44" s="56" t="n">
        <f aca="false">IFERROR(P43/Assumptions!$F$67*1000,0)</f>
        <v>309090.909090909</v>
      </c>
      <c r="Q44" s="56" t="n">
        <f aca="false">IFERROR(Q43/Assumptions!$F$67*1000,0)</f>
        <v>309090.909090909</v>
      </c>
      <c r="R44" s="56" t="n">
        <f aca="false">IFERROR(R43/Assumptions!$F$67*1000,0)</f>
        <v>309090.909090909</v>
      </c>
      <c r="S44" s="56" t="n">
        <f aca="false">IFERROR(S43/Assumptions!$F$67*1000,0)</f>
        <v>309090.909090909</v>
      </c>
      <c r="T44" s="56" t="n">
        <f aca="false">IFERROR(T43/Assumptions!$F$67*1000,0)</f>
        <v>309090.909090909</v>
      </c>
      <c r="U44" s="56" t="n">
        <f aca="false">IFERROR(U43/Assumptions!$F$67*1000,0)</f>
        <v>309090.909090909</v>
      </c>
      <c r="V44" s="56" t="n">
        <f aca="false">IFERROR(V43/Assumptions!$F$67*1000,0)</f>
        <v>309090.909090909</v>
      </c>
      <c r="W44" s="56" t="n">
        <f aca="false">IFERROR(W43/Assumptions!$F$67*1000,0)</f>
        <v>309090.909090909</v>
      </c>
      <c r="X44" s="56" t="n">
        <f aca="false">IFERROR(X43/Assumptions!$F$67*1000,0)</f>
        <v>309090.909090909</v>
      </c>
      <c r="Y44" s="56" t="n">
        <f aca="false">IFERROR(Y43/Assumptions!$F$67*1000,0)</f>
        <v>309090.909090909</v>
      </c>
      <c r="Z44" s="56" t="n">
        <f aca="false">IFERROR(Z43/Assumptions!$F$67*1000,0)</f>
        <v>309090.909090909</v>
      </c>
      <c r="AA44" s="56" t="n">
        <f aca="false">IFERROR(AA43/Assumptions!$F$67*1000,0)</f>
        <v>581818.181818182</v>
      </c>
      <c r="AB44" s="56" t="n">
        <f aca="false">IFERROR(AB43/Assumptions!$F$67*1000,0)</f>
        <v>581818.181818182</v>
      </c>
      <c r="AC44" s="56" t="n">
        <f aca="false">IFERROR(AC43/Assumptions!$F$67*1000,0)</f>
        <v>581818.181818182</v>
      </c>
      <c r="AD44" s="56" t="n">
        <f aca="false">IFERROR(AD43/Assumptions!$F$67*1000,0)</f>
        <v>581818.181818182</v>
      </c>
      <c r="AE44" s="56" t="n">
        <f aca="false">IFERROR(AE43/Assumptions!$F$67*1000,0)</f>
        <v>581818.181818182</v>
      </c>
      <c r="AF44" s="56" t="n">
        <f aca="false">IFERROR(AF43/Assumptions!$F$67*1000,0)</f>
        <v>581818.181818182</v>
      </c>
      <c r="AG44" s="56" t="n">
        <f aca="false">IFERROR(AG43/Assumptions!$F$67*1000,0)</f>
        <v>581818.181818182</v>
      </c>
      <c r="AH44" s="56" t="n">
        <f aca="false">IFERROR(AH43/Assumptions!$F$67*1000,0)</f>
        <v>581818.181818182</v>
      </c>
      <c r="AI44" s="56" t="n">
        <f aca="false">IFERROR(AI43/Assumptions!$F$67*1000,0)</f>
        <v>581818.181818182</v>
      </c>
      <c r="AJ44" s="56" t="n">
        <f aca="false">IFERROR(AJ43/Assumptions!$F$67*1000,0)</f>
        <v>581818.181818182</v>
      </c>
      <c r="AK44" s="56" t="n">
        <f aca="false">IFERROR(AK43/Assumptions!$F$67*1000,0)</f>
        <v>581818.181818182</v>
      </c>
      <c r="AL44" s="56" t="n">
        <f aca="false">IFERROR(AL43/Assumptions!$F$67*1000,0)</f>
        <v>581818.181818182</v>
      </c>
      <c r="AN44" s="57" t="n">
        <f aca="false">SUM(C44:N44)</f>
        <v>1527272.72727273</v>
      </c>
      <c r="AO44" s="57" t="n">
        <f aca="false">SUM(O44:Z44)</f>
        <v>3709090.90909091</v>
      </c>
      <c r="AP44" s="57" t="n">
        <f aca="false">SUM(AA44:AL44)</f>
        <v>6981818.18181818</v>
      </c>
    </row>
    <row r="45" customFormat="false" ht="15" hidden="false" customHeight="false" outlineLevel="0" collapsed="false">
      <c r="A45" s="26" t="s">
        <v>453</v>
      </c>
      <c r="B45" s="24" t="s">
        <v>461</v>
      </c>
      <c r="C45" s="56" t="n">
        <f aca="false">C44*Assumptions!$G$67*Assumptions!$H$67</f>
        <v>140</v>
      </c>
      <c r="D45" s="56" t="n">
        <f aca="false">D44*Assumptions!$G$67*Assumptions!$H$67</f>
        <v>140</v>
      </c>
      <c r="E45" s="56" t="n">
        <f aca="false">E44*Assumptions!$G$67*Assumptions!$H$67</f>
        <v>140</v>
      </c>
      <c r="F45" s="56" t="n">
        <f aca="false">F44*Assumptions!$G$67*Assumptions!$H$67</f>
        <v>140</v>
      </c>
      <c r="G45" s="56" t="n">
        <f aca="false">G44*Assumptions!$G$67*Assumptions!$H$67</f>
        <v>140</v>
      </c>
      <c r="H45" s="56" t="n">
        <f aca="false">H44*Assumptions!$G$67*Assumptions!$H$67</f>
        <v>140</v>
      </c>
      <c r="I45" s="56" t="n">
        <f aca="false">I44*Assumptions!$G$67*Assumptions!$H$67</f>
        <v>140</v>
      </c>
      <c r="J45" s="56" t="n">
        <f aca="false">J44*Assumptions!$G$67*Assumptions!$H$67</f>
        <v>140</v>
      </c>
      <c r="K45" s="56" t="n">
        <f aca="false">K44*Assumptions!$G$67*Assumptions!$H$67</f>
        <v>140</v>
      </c>
      <c r="L45" s="56" t="n">
        <f aca="false">L44*Assumptions!$G$67*Assumptions!$H$67</f>
        <v>140</v>
      </c>
      <c r="M45" s="56" t="n">
        <f aca="false">M44*Assumptions!$G$67*Assumptions!$H$67</f>
        <v>140</v>
      </c>
      <c r="N45" s="56" t="n">
        <f aca="false">N44*Assumptions!$G$67*Assumptions!$H$67</f>
        <v>140</v>
      </c>
      <c r="O45" s="56" t="n">
        <f aca="false">O44*Assumptions!$G$67*Assumptions!$H$67</f>
        <v>340</v>
      </c>
      <c r="P45" s="56" t="n">
        <f aca="false">P44*Assumptions!$G$67*Assumptions!$H$67</f>
        <v>340</v>
      </c>
      <c r="Q45" s="56" t="n">
        <f aca="false">Q44*Assumptions!$G$67*Assumptions!$H$67</f>
        <v>340</v>
      </c>
      <c r="R45" s="56" t="n">
        <f aca="false">R44*Assumptions!$G$67*Assumptions!$H$67</f>
        <v>340</v>
      </c>
      <c r="S45" s="56" t="n">
        <f aca="false">S44*Assumptions!$G$67*Assumptions!$H$67</f>
        <v>340</v>
      </c>
      <c r="T45" s="56" t="n">
        <f aca="false">T44*Assumptions!$G$67*Assumptions!$H$67</f>
        <v>340</v>
      </c>
      <c r="U45" s="56" t="n">
        <f aca="false">U44*Assumptions!$G$67*Assumptions!$H$67</f>
        <v>340</v>
      </c>
      <c r="V45" s="56" t="n">
        <f aca="false">V44*Assumptions!$G$67*Assumptions!$H$67</f>
        <v>340</v>
      </c>
      <c r="W45" s="56" t="n">
        <f aca="false">W44*Assumptions!$G$67*Assumptions!$H$67</f>
        <v>340</v>
      </c>
      <c r="X45" s="56" t="n">
        <f aca="false">X44*Assumptions!$G$67*Assumptions!$H$67</f>
        <v>340</v>
      </c>
      <c r="Y45" s="56" t="n">
        <f aca="false">Y44*Assumptions!$G$67*Assumptions!$H$67</f>
        <v>340</v>
      </c>
      <c r="Z45" s="56" t="n">
        <f aca="false">Z44*Assumptions!$G$67*Assumptions!$H$67</f>
        <v>340</v>
      </c>
      <c r="AA45" s="56" t="n">
        <f aca="false">AA44*Assumptions!$G$67*Assumptions!$H$67</f>
        <v>640</v>
      </c>
      <c r="AB45" s="56" t="n">
        <f aca="false">AB44*Assumptions!$G$67*Assumptions!$H$67</f>
        <v>640</v>
      </c>
      <c r="AC45" s="56" t="n">
        <f aca="false">AC44*Assumptions!$G$67*Assumptions!$H$67</f>
        <v>640</v>
      </c>
      <c r="AD45" s="56" t="n">
        <f aca="false">AD44*Assumptions!$G$67*Assumptions!$H$67</f>
        <v>640</v>
      </c>
      <c r="AE45" s="56" t="n">
        <f aca="false">AE44*Assumptions!$G$67*Assumptions!$H$67</f>
        <v>640</v>
      </c>
      <c r="AF45" s="56" t="n">
        <f aca="false">AF44*Assumptions!$G$67*Assumptions!$H$67</f>
        <v>640</v>
      </c>
      <c r="AG45" s="56" t="n">
        <f aca="false">AG44*Assumptions!$G$67*Assumptions!$H$67</f>
        <v>640</v>
      </c>
      <c r="AH45" s="56" t="n">
        <f aca="false">AH44*Assumptions!$G$67*Assumptions!$H$67</f>
        <v>640</v>
      </c>
      <c r="AI45" s="56" t="n">
        <f aca="false">AI44*Assumptions!$G$67*Assumptions!$H$67</f>
        <v>640</v>
      </c>
      <c r="AJ45" s="56" t="n">
        <f aca="false">AJ44*Assumptions!$G$67*Assumptions!$H$67</f>
        <v>640</v>
      </c>
      <c r="AK45" s="56" t="n">
        <f aca="false">AK44*Assumptions!$G$67*Assumptions!$H$67</f>
        <v>640</v>
      </c>
      <c r="AL45" s="56" t="n">
        <f aca="false">AL44*Assumptions!$G$67*Assumptions!$H$67</f>
        <v>640</v>
      </c>
      <c r="AN45" s="57" t="n">
        <f aca="false">SUM(C45:N45)</f>
        <v>1680</v>
      </c>
      <c r="AO45" s="57" t="n">
        <f aca="false">SUM(O45:Z45)</f>
        <v>4080</v>
      </c>
      <c r="AP45" s="57" t="n">
        <f aca="false">SUM(AA45:AL45)</f>
        <v>7680</v>
      </c>
    </row>
    <row r="46" customFormat="false" ht="15" hidden="false" customHeight="false" outlineLevel="0" collapsed="false">
      <c r="A46" s="26" t="s">
        <v>193</v>
      </c>
      <c r="B46" s="24" t="s">
        <v>459</v>
      </c>
      <c r="C46" s="51" t="n">
        <f aca="false">Assumptions!$C$68</f>
        <v>2100</v>
      </c>
      <c r="D46" s="51" t="n">
        <f aca="false">Assumptions!$C$68</f>
        <v>2100</v>
      </c>
      <c r="E46" s="51" t="n">
        <f aca="false">Assumptions!$C$68</f>
        <v>2100</v>
      </c>
      <c r="F46" s="51" t="n">
        <f aca="false">Assumptions!$C$68</f>
        <v>2100</v>
      </c>
      <c r="G46" s="51" t="n">
        <f aca="false">Assumptions!$C$68</f>
        <v>2100</v>
      </c>
      <c r="H46" s="51" t="n">
        <f aca="false">Assumptions!$C$68</f>
        <v>2100</v>
      </c>
      <c r="I46" s="51" t="n">
        <f aca="false">Assumptions!$C$68</f>
        <v>2100</v>
      </c>
      <c r="J46" s="51" t="n">
        <f aca="false">Assumptions!$C$68</f>
        <v>2100</v>
      </c>
      <c r="K46" s="51" t="n">
        <f aca="false">Assumptions!$C$68</f>
        <v>2100</v>
      </c>
      <c r="L46" s="51" t="n">
        <f aca="false">Assumptions!$C$68</f>
        <v>2100</v>
      </c>
      <c r="M46" s="51" t="n">
        <f aca="false">Assumptions!$C$68</f>
        <v>2100</v>
      </c>
      <c r="N46" s="51" t="n">
        <f aca="false">Assumptions!$C$68</f>
        <v>2100</v>
      </c>
      <c r="O46" s="51" t="n">
        <f aca="false">Assumptions!$D$68</f>
        <v>4000</v>
      </c>
      <c r="P46" s="51" t="n">
        <f aca="false">Assumptions!$D$68</f>
        <v>4000</v>
      </c>
      <c r="Q46" s="51" t="n">
        <f aca="false">Assumptions!$D$68</f>
        <v>4000</v>
      </c>
      <c r="R46" s="51" t="n">
        <f aca="false">Assumptions!$D$68</f>
        <v>4000</v>
      </c>
      <c r="S46" s="51" t="n">
        <f aca="false">Assumptions!$D$68</f>
        <v>4000</v>
      </c>
      <c r="T46" s="51" t="n">
        <f aca="false">Assumptions!$D$68</f>
        <v>4000</v>
      </c>
      <c r="U46" s="51" t="n">
        <f aca="false">Assumptions!$D$68</f>
        <v>4000</v>
      </c>
      <c r="V46" s="51" t="n">
        <f aca="false">Assumptions!$D$68</f>
        <v>4000</v>
      </c>
      <c r="W46" s="51" t="n">
        <f aca="false">Assumptions!$D$68</f>
        <v>4000</v>
      </c>
      <c r="X46" s="51" t="n">
        <f aca="false">Assumptions!$D$68</f>
        <v>4000</v>
      </c>
      <c r="Y46" s="51" t="n">
        <f aca="false">Assumptions!$D$68</f>
        <v>4000</v>
      </c>
      <c r="Z46" s="51" t="n">
        <f aca="false">Assumptions!$D$68</f>
        <v>4000</v>
      </c>
      <c r="AA46" s="51" t="n">
        <f aca="false">Assumptions!$E$68</f>
        <v>8000</v>
      </c>
      <c r="AB46" s="51" t="n">
        <f aca="false">Assumptions!$E$68</f>
        <v>8000</v>
      </c>
      <c r="AC46" s="51" t="n">
        <f aca="false">Assumptions!$E$68</f>
        <v>8000</v>
      </c>
      <c r="AD46" s="51" t="n">
        <f aca="false">Assumptions!$E$68</f>
        <v>8000</v>
      </c>
      <c r="AE46" s="51" t="n">
        <f aca="false">Assumptions!$E$68</f>
        <v>8000</v>
      </c>
      <c r="AF46" s="51" t="n">
        <f aca="false">Assumptions!$E$68</f>
        <v>8000</v>
      </c>
      <c r="AG46" s="51" t="n">
        <f aca="false">Assumptions!$E$68</f>
        <v>8000</v>
      </c>
      <c r="AH46" s="51" t="n">
        <f aca="false">Assumptions!$E$68</f>
        <v>8000</v>
      </c>
      <c r="AI46" s="51" t="n">
        <f aca="false">Assumptions!$E$68</f>
        <v>8000</v>
      </c>
      <c r="AJ46" s="51" t="n">
        <f aca="false">Assumptions!$E$68</f>
        <v>8000</v>
      </c>
      <c r="AK46" s="51" t="n">
        <f aca="false">Assumptions!$E$68</f>
        <v>8000</v>
      </c>
      <c r="AL46" s="51" t="n">
        <f aca="false">Assumptions!$E$68</f>
        <v>8000</v>
      </c>
      <c r="AN46" s="52" t="n">
        <f aca="false">SUM(C46:N46)</f>
        <v>25200</v>
      </c>
      <c r="AO46" s="52" t="n">
        <f aca="false">SUM(O46:Z46)</f>
        <v>48000</v>
      </c>
      <c r="AP46" s="52" t="n">
        <f aca="false">SUM(AA46:AL46)</f>
        <v>96000</v>
      </c>
    </row>
    <row r="47" customFormat="false" ht="15" hidden="false" customHeight="false" outlineLevel="0" collapsed="false">
      <c r="A47" s="26" t="s">
        <v>460</v>
      </c>
      <c r="B47" s="24"/>
      <c r="C47" s="56" t="n">
        <f aca="false">IFERROR(C46/Assumptions!$F$68*1000,0)</f>
        <v>150000</v>
      </c>
      <c r="D47" s="56" t="n">
        <f aca="false">IFERROR(D46/Assumptions!$F$68*1000,0)</f>
        <v>150000</v>
      </c>
      <c r="E47" s="56" t="n">
        <f aca="false">IFERROR(E46/Assumptions!$F$68*1000,0)</f>
        <v>150000</v>
      </c>
      <c r="F47" s="56" t="n">
        <f aca="false">IFERROR(F46/Assumptions!$F$68*1000,0)</f>
        <v>150000</v>
      </c>
      <c r="G47" s="56" t="n">
        <f aca="false">IFERROR(G46/Assumptions!$F$68*1000,0)</f>
        <v>150000</v>
      </c>
      <c r="H47" s="56" t="n">
        <f aca="false">IFERROR(H46/Assumptions!$F$68*1000,0)</f>
        <v>150000</v>
      </c>
      <c r="I47" s="56" t="n">
        <f aca="false">IFERROR(I46/Assumptions!$F$68*1000,0)</f>
        <v>150000</v>
      </c>
      <c r="J47" s="56" t="n">
        <f aca="false">IFERROR(J46/Assumptions!$F$68*1000,0)</f>
        <v>150000</v>
      </c>
      <c r="K47" s="56" t="n">
        <f aca="false">IFERROR(K46/Assumptions!$F$68*1000,0)</f>
        <v>150000</v>
      </c>
      <c r="L47" s="56" t="n">
        <f aca="false">IFERROR(L46/Assumptions!$F$68*1000,0)</f>
        <v>150000</v>
      </c>
      <c r="M47" s="56" t="n">
        <f aca="false">IFERROR(M46/Assumptions!$F$68*1000,0)</f>
        <v>150000</v>
      </c>
      <c r="N47" s="56" t="n">
        <f aca="false">IFERROR(N46/Assumptions!$F$68*1000,0)</f>
        <v>150000</v>
      </c>
      <c r="O47" s="56" t="n">
        <f aca="false">IFERROR(O46/Assumptions!$F$68*1000,0)</f>
        <v>285714.285714286</v>
      </c>
      <c r="P47" s="56" t="n">
        <f aca="false">IFERROR(P46/Assumptions!$F$68*1000,0)</f>
        <v>285714.285714286</v>
      </c>
      <c r="Q47" s="56" t="n">
        <f aca="false">IFERROR(Q46/Assumptions!$F$68*1000,0)</f>
        <v>285714.285714286</v>
      </c>
      <c r="R47" s="56" t="n">
        <f aca="false">IFERROR(R46/Assumptions!$F$68*1000,0)</f>
        <v>285714.285714286</v>
      </c>
      <c r="S47" s="56" t="n">
        <f aca="false">IFERROR(S46/Assumptions!$F$68*1000,0)</f>
        <v>285714.285714286</v>
      </c>
      <c r="T47" s="56" t="n">
        <f aca="false">IFERROR(T46/Assumptions!$F$68*1000,0)</f>
        <v>285714.285714286</v>
      </c>
      <c r="U47" s="56" t="n">
        <f aca="false">IFERROR(U46/Assumptions!$F$68*1000,0)</f>
        <v>285714.285714286</v>
      </c>
      <c r="V47" s="56" t="n">
        <f aca="false">IFERROR(V46/Assumptions!$F$68*1000,0)</f>
        <v>285714.285714286</v>
      </c>
      <c r="W47" s="56" t="n">
        <f aca="false">IFERROR(W46/Assumptions!$F$68*1000,0)</f>
        <v>285714.285714286</v>
      </c>
      <c r="X47" s="56" t="n">
        <f aca="false">IFERROR(X46/Assumptions!$F$68*1000,0)</f>
        <v>285714.285714286</v>
      </c>
      <c r="Y47" s="56" t="n">
        <f aca="false">IFERROR(Y46/Assumptions!$F$68*1000,0)</f>
        <v>285714.285714286</v>
      </c>
      <c r="Z47" s="56" t="n">
        <f aca="false">IFERROR(Z46/Assumptions!$F$68*1000,0)</f>
        <v>285714.285714286</v>
      </c>
      <c r="AA47" s="56" t="n">
        <f aca="false">IFERROR(AA46/Assumptions!$F$68*1000,0)</f>
        <v>571428.571428572</v>
      </c>
      <c r="AB47" s="56" t="n">
        <f aca="false">IFERROR(AB46/Assumptions!$F$68*1000,0)</f>
        <v>571428.571428572</v>
      </c>
      <c r="AC47" s="56" t="n">
        <f aca="false">IFERROR(AC46/Assumptions!$F$68*1000,0)</f>
        <v>571428.571428572</v>
      </c>
      <c r="AD47" s="56" t="n">
        <f aca="false">IFERROR(AD46/Assumptions!$F$68*1000,0)</f>
        <v>571428.571428572</v>
      </c>
      <c r="AE47" s="56" t="n">
        <f aca="false">IFERROR(AE46/Assumptions!$F$68*1000,0)</f>
        <v>571428.571428572</v>
      </c>
      <c r="AF47" s="56" t="n">
        <f aca="false">IFERROR(AF46/Assumptions!$F$68*1000,0)</f>
        <v>571428.571428572</v>
      </c>
      <c r="AG47" s="56" t="n">
        <f aca="false">IFERROR(AG46/Assumptions!$F$68*1000,0)</f>
        <v>571428.571428572</v>
      </c>
      <c r="AH47" s="56" t="n">
        <f aca="false">IFERROR(AH46/Assumptions!$F$68*1000,0)</f>
        <v>571428.571428572</v>
      </c>
      <c r="AI47" s="56" t="n">
        <f aca="false">IFERROR(AI46/Assumptions!$F$68*1000,0)</f>
        <v>571428.571428572</v>
      </c>
      <c r="AJ47" s="56" t="n">
        <f aca="false">IFERROR(AJ46/Assumptions!$F$68*1000,0)</f>
        <v>571428.571428572</v>
      </c>
      <c r="AK47" s="56" t="n">
        <f aca="false">IFERROR(AK46/Assumptions!$F$68*1000,0)</f>
        <v>571428.571428572</v>
      </c>
      <c r="AL47" s="56" t="n">
        <f aca="false">IFERROR(AL46/Assumptions!$F$68*1000,0)</f>
        <v>571428.571428572</v>
      </c>
      <c r="AN47" s="57" t="n">
        <f aca="false">SUM(C47:N47)</f>
        <v>1800000</v>
      </c>
      <c r="AO47" s="57" t="n">
        <f aca="false">SUM(O47:Z47)</f>
        <v>3428571.42857143</v>
      </c>
      <c r="AP47" s="57" t="n">
        <f aca="false">SUM(AA47:AL47)</f>
        <v>6857142.85714286</v>
      </c>
    </row>
    <row r="48" customFormat="false" ht="15" hidden="false" customHeight="false" outlineLevel="0" collapsed="false">
      <c r="A48" s="26" t="s">
        <v>453</v>
      </c>
      <c r="B48" s="24" t="s">
        <v>461</v>
      </c>
      <c r="C48" s="56" t="n">
        <f aca="false">C47*Assumptions!$G$68*Assumptions!$H$68</f>
        <v>180</v>
      </c>
      <c r="D48" s="56" t="n">
        <f aca="false">D47*Assumptions!$G$68*Assumptions!$H$68</f>
        <v>180</v>
      </c>
      <c r="E48" s="56" t="n">
        <f aca="false">E47*Assumptions!$G$68*Assumptions!$H$68</f>
        <v>180</v>
      </c>
      <c r="F48" s="56" t="n">
        <f aca="false">F47*Assumptions!$G$68*Assumptions!$H$68</f>
        <v>180</v>
      </c>
      <c r="G48" s="56" t="n">
        <f aca="false">G47*Assumptions!$G$68*Assumptions!$H$68</f>
        <v>180</v>
      </c>
      <c r="H48" s="56" t="n">
        <f aca="false">H47*Assumptions!$G$68*Assumptions!$H$68</f>
        <v>180</v>
      </c>
      <c r="I48" s="56" t="n">
        <f aca="false">I47*Assumptions!$G$68*Assumptions!$H$68</f>
        <v>180</v>
      </c>
      <c r="J48" s="56" t="n">
        <f aca="false">J47*Assumptions!$G$68*Assumptions!$H$68</f>
        <v>180</v>
      </c>
      <c r="K48" s="56" t="n">
        <f aca="false">K47*Assumptions!$G$68*Assumptions!$H$68</f>
        <v>180</v>
      </c>
      <c r="L48" s="56" t="n">
        <f aca="false">L47*Assumptions!$G$68*Assumptions!$H$68</f>
        <v>180</v>
      </c>
      <c r="M48" s="56" t="n">
        <f aca="false">M47*Assumptions!$G$68*Assumptions!$H$68</f>
        <v>180</v>
      </c>
      <c r="N48" s="56" t="n">
        <f aca="false">N47*Assumptions!$G$68*Assumptions!$H$68</f>
        <v>180</v>
      </c>
      <c r="O48" s="56" t="n">
        <f aca="false">O47*Assumptions!$G$68*Assumptions!$H$68</f>
        <v>342.857142857143</v>
      </c>
      <c r="P48" s="56" t="n">
        <f aca="false">P47*Assumptions!$G$68*Assumptions!$H$68</f>
        <v>342.857142857143</v>
      </c>
      <c r="Q48" s="56" t="n">
        <f aca="false">Q47*Assumptions!$G$68*Assumptions!$H$68</f>
        <v>342.857142857143</v>
      </c>
      <c r="R48" s="56" t="n">
        <f aca="false">R47*Assumptions!$G$68*Assumptions!$H$68</f>
        <v>342.857142857143</v>
      </c>
      <c r="S48" s="56" t="n">
        <f aca="false">S47*Assumptions!$G$68*Assumptions!$H$68</f>
        <v>342.857142857143</v>
      </c>
      <c r="T48" s="56" t="n">
        <f aca="false">T47*Assumptions!$G$68*Assumptions!$H$68</f>
        <v>342.857142857143</v>
      </c>
      <c r="U48" s="56" t="n">
        <f aca="false">U47*Assumptions!$G$68*Assumptions!$H$68</f>
        <v>342.857142857143</v>
      </c>
      <c r="V48" s="56" t="n">
        <f aca="false">V47*Assumptions!$G$68*Assumptions!$H$68</f>
        <v>342.857142857143</v>
      </c>
      <c r="W48" s="56" t="n">
        <f aca="false">W47*Assumptions!$G$68*Assumptions!$H$68</f>
        <v>342.857142857143</v>
      </c>
      <c r="X48" s="56" t="n">
        <f aca="false">X47*Assumptions!$G$68*Assumptions!$H$68</f>
        <v>342.857142857143</v>
      </c>
      <c r="Y48" s="56" t="n">
        <f aca="false">Y47*Assumptions!$G$68*Assumptions!$H$68</f>
        <v>342.857142857143</v>
      </c>
      <c r="Z48" s="56" t="n">
        <f aca="false">Z47*Assumptions!$G$68*Assumptions!$H$68</f>
        <v>342.857142857143</v>
      </c>
      <c r="AA48" s="56" t="n">
        <f aca="false">AA47*Assumptions!$G$68*Assumptions!$H$68</f>
        <v>685.714285714286</v>
      </c>
      <c r="AB48" s="56" t="n">
        <f aca="false">AB47*Assumptions!$G$68*Assumptions!$H$68</f>
        <v>685.714285714286</v>
      </c>
      <c r="AC48" s="56" t="n">
        <f aca="false">AC47*Assumptions!$G$68*Assumptions!$H$68</f>
        <v>685.714285714286</v>
      </c>
      <c r="AD48" s="56" t="n">
        <f aca="false">AD47*Assumptions!$G$68*Assumptions!$H$68</f>
        <v>685.714285714286</v>
      </c>
      <c r="AE48" s="56" t="n">
        <f aca="false">AE47*Assumptions!$G$68*Assumptions!$H$68</f>
        <v>685.714285714286</v>
      </c>
      <c r="AF48" s="56" t="n">
        <f aca="false">AF47*Assumptions!$G$68*Assumptions!$H$68</f>
        <v>685.714285714286</v>
      </c>
      <c r="AG48" s="56" t="n">
        <f aca="false">AG47*Assumptions!$G$68*Assumptions!$H$68</f>
        <v>685.714285714286</v>
      </c>
      <c r="AH48" s="56" t="n">
        <f aca="false">AH47*Assumptions!$G$68*Assumptions!$H$68</f>
        <v>685.714285714286</v>
      </c>
      <c r="AI48" s="56" t="n">
        <f aca="false">AI47*Assumptions!$G$68*Assumptions!$H$68</f>
        <v>685.714285714286</v>
      </c>
      <c r="AJ48" s="56" t="n">
        <f aca="false">AJ47*Assumptions!$G$68*Assumptions!$H$68</f>
        <v>685.714285714286</v>
      </c>
      <c r="AK48" s="56" t="n">
        <f aca="false">AK47*Assumptions!$G$68*Assumptions!$H$68</f>
        <v>685.714285714286</v>
      </c>
      <c r="AL48" s="56" t="n">
        <f aca="false">AL47*Assumptions!$G$68*Assumptions!$H$68</f>
        <v>685.714285714286</v>
      </c>
      <c r="AN48" s="57" t="n">
        <f aca="false">SUM(C48:N48)</f>
        <v>2160</v>
      </c>
      <c r="AO48" s="57" t="n">
        <f aca="false">SUM(O48:Z48)</f>
        <v>4114.28571428572</v>
      </c>
      <c r="AP48" s="57" t="n">
        <f aca="false">SUM(AA48:AL48)</f>
        <v>8228.57142857143</v>
      </c>
    </row>
    <row r="49" customFormat="false" ht="15" hidden="false" customHeight="false" outlineLevel="0" collapsed="false">
      <c r="A49" s="26" t="s">
        <v>195</v>
      </c>
      <c r="B49" s="24" t="s">
        <v>459</v>
      </c>
      <c r="C49" s="51" t="n">
        <f aca="false">Assumptions!$C$69</f>
        <v>260</v>
      </c>
      <c r="D49" s="51" t="n">
        <f aca="false">Assumptions!$C$69</f>
        <v>260</v>
      </c>
      <c r="E49" s="51" t="n">
        <f aca="false">Assumptions!$C$69</f>
        <v>260</v>
      </c>
      <c r="F49" s="51" t="n">
        <f aca="false">Assumptions!$C$69</f>
        <v>260</v>
      </c>
      <c r="G49" s="51" t="n">
        <f aca="false">Assumptions!$C$69</f>
        <v>260</v>
      </c>
      <c r="H49" s="51" t="n">
        <f aca="false">Assumptions!$C$69</f>
        <v>260</v>
      </c>
      <c r="I49" s="51" t="n">
        <f aca="false">Assumptions!$C$69</f>
        <v>260</v>
      </c>
      <c r="J49" s="51" t="n">
        <f aca="false">Assumptions!$C$69</f>
        <v>260</v>
      </c>
      <c r="K49" s="51" t="n">
        <f aca="false">Assumptions!$C$69</f>
        <v>260</v>
      </c>
      <c r="L49" s="51" t="n">
        <f aca="false">Assumptions!$C$69</f>
        <v>260</v>
      </c>
      <c r="M49" s="51" t="n">
        <f aca="false">Assumptions!$C$69</f>
        <v>260</v>
      </c>
      <c r="N49" s="51" t="n">
        <f aca="false">Assumptions!$C$69</f>
        <v>260</v>
      </c>
      <c r="O49" s="51" t="n">
        <f aca="false">Assumptions!$D$69</f>
        <v>600</v>
      </c>
      <c r="P49" s="51" t="n">
        <f aca="false">Assumptions!$D$69</f>
        <v>600</v>
      </c>
      <c r="Q49" s="51" t="n">
        <f aca="false">Assumptions!$D$69</f>
        <v>600</v>
      </c>
      <c r="R49" s="51" t="n">
        <f aca="false">Assumptions!$D$69</f>
        <v>600</v>
      </c>
      <c r="S49" s="51" t="n">
        <f aca="false">Assumptions!$D$69</f>
        <v>600</v>
      </c>
      <c r="T49" s="51" t="n">
        <f aca="false">Assumptions!$D$69</f>
        <v>600</v>
      </c>
      <c r="U49" s="51" t="n">
        <f aca="false">Assumptions!$D$69</f>
        <v>600</v>
      </c>
      <c r="V49" s="51" t="n">
        <f aca="false">Assumptions!$D$69</f>
        <v>600</v>
      </c>
      <c r="W49" s="51" t="n">
        <f aca="false">Assumptions!$D$69</f>
        <v>600</v>
      </c>
      <c r="X49" s="51" t="n">
        <f aca="false">Assumptions!$D$69</f>
        <v>600</v>
      </c>
      <c r="Y49" s="51" t="n">
        <f aca="false">Assumptions!$D$69</f>
        <v>600</v>
      </c>
      <c r="Z49" s="51" t="n">
        <f aca="false">Assumptions!$D$69</f>
        <v>600</v>
      </c>
      <c r="AA49" s="51" t="n">
        <f aca="false">Assumptions!$E$69</f>
        <v>1150</v>
      </c>
      <c r="AB49" s="51" t="n">
        <f aca="false">Assumptions!$E$69</f>
        <v>1150</v>
      </c>
      <c r="AC49" s="51" t="n">
        <f aca="false">Assumptions!$E$69</f>
        <v>1150</v>
      </c>
      <c r="AD49" s="51" t="n">
        <f aca="false">Assumptions!$E$69</f>
        <v>1150</v>
      </c>
      <c r="AE49" s="51" t="n">
        <f aca="false">Assumptions!$E$69</f>
        <v>1150</v>
      </c>
      <c r="AF49" s="51" t="n">
        <f aca="false">Assumptions!$E$69</f>
        <v>1150</v>
      </c>
      <c r="AG49" s="51" t="n">
        <f aca="false">Assumptions!$E$69</f>
        <v>1150</v>
      </c>
      <c r="AH49" s="51" t="n">
        <f aca="false">Assumptions!$E$69</f>
        <v>1150</v>
      </c>
      <c r="AI49" s="51" t="n">
        <f aca="false">Assumptions!$E$69</f>
        <v>1150</v>
      </c>
      <c r="AJ49" s="51" t="n">
        <f aca="false">Assumptions!$E$69</f>
        <v>1150</v>
      </c>
      <c r="AK49" s="51" t="n">
        <f aca="false">Assumptions!$E$69</f>
        <v>1150</v>
      </c>
      <c r="AL49" s="51" t="n">
        <f aca="false">Assumptions!$E$69</f>
        <v>1150</v>
      </c>
      <c r="AN49" s="52" t="n">
        <f aca="false">SUM(C49:N49)</f>
        <v>3120</v>
      </c>
      <c r="AO49" s="52" t="n">
        <f aca="false">SUM(O49:Z49)</f>
        <v>7200</v>
      </c>
      <c r="AP49" s="52" t="n">
        <f aca="false">SUM(AA49:AL49)</f>
        <v>13800</v>
      </c>
    </row>
    <row r="50" customFormat="false" ht="15" hidden="false" customHeight="false" outlineLevel="0" collapsed="false">
      <c r="A50" s="26" t="s">
        <v>460</v>
      </c>
      <c r="B50" s="24"/>
      <c r="C50" s="56" t="n">
        <f aca="false">IFERROR(C49/Assumptions!$F$69*1000,0)</f>
        <v>10400</v>
      </c>
      <c r="D50" s="56" t="n">
        <f aca="false">IFERROR(D49/Assumptions!$F$69*1000,0)</f>
        <v>10400</v>
      </c>
      <c r="E50" s="56" t="n">
        <f aca="false">IFERROR(E49/Assumptions!$F$69*1000,0)</f>
        <v>10400</v>
      </c>
      <c r="F50" s="56" t="n">
        <f aca="false">IFERROR(F49/Assumptions!$F$69*1000,0)</f>
        <v>10400</v>
      </c>
      <c r="G50" s="56" t="n">
        <f aca="false">IFERROR(G49/Assumptions!$F$69*1000,0)</f>
        <v>10400</v>
      </c>
      <c r="H50" s="56" t="n">
        <f aca="false">IFERROR(H49/Assumptions!$F$69*1000,0)</f>
        <v>10400</v>
      </c>
      <c r="I50" s="56" t="n">
        <f aca="false">IFERROR(I49/Assumptions!$F$69*1000,0)</f>
        <v>10400</v>
      </c>
      <c r="J50" s="56" t="n">
        <f aca="false">IFERROR(J49/Assumptions!$F$69*1000,0)</f>
        <v>10400</v>
      </c>
      <c r="K50" s="56" t="n">
        <f aca="false">IFERROR(K49/Assumptions!$F$69*1000,0)</f>
        <v>10400</v>
      </c>
      <c r="L50" s="56" t="n">
        <f aca="false">IFERROR(L49/Assumptions!$F$69*1000,0)</f>
        <v>10400</v>
      </c>
      <c r="M50" s="56" t="n">
        <f aca="false">IFERROR(M49/Assumptions!$F$69*1000,0)</f>
        <v>10400</v>
      </c>
      <c r="N50" s="56" t="n">
        <f aca="false">IFERROR(N49/Assumptions!$F$69*1000,0)</f>
        <v>10400</v>
      </c>
      <c r="O50" s="56" t="n">
        <f aca="false">IFERROR(O49/Assumptions!$F$69*1000,0)</f>
        <v>24000</v>
      </c>
      <c r="P50" s="56" t="n">
        <f aca="false">IFERROR(P49/Assumptions!$F$69*1000,0)</f>
        <v>24000</v>
      </c>
      <c r="Q50" s="56" t="n">
        <f aca="false">IFERROR(Q49/Assumptions!$F$69*1000,0)</f>
        <v>24000</v>
      </c>
      <c r="R50" s="56" t="n">
        <f aca="false">IFERROR(R49/Assumptions!$F$69*1000,0)</f>
        <v>24000</v>
      </c>
      <c r="S50" s="56" t="n">
        <f aca="false">IFERROR(S49/Assumptions!$F$69*1000,0)</f>
        <v>24000</v>
      </c>
      <c r="T50" s="56" t="n">
        <f aca="false">IFERROR(T49/Assumptions!$F$69*1000,0)</f>
        <v>24000</v>
      </c>
      <c r="U50" s="56" t="n">
        <f aca="false">IFERROR(U49/Assumptions!$F$69*1000,0)</f>
        <v>24000</v>
      </c>
      <c r="V50" s="56" t="n">
        <f aca="false">IFERROR(V49/Assumptions!$F$69*1000,0)</f>
        <v>24000</v>
      </c>
      <c r="W50" s="56" t="n">
        <f aca="false">IFERROR(W49/Assumptions!$F$69*1000,0)</f>
        <v>24000</v>
      </c>
      <c r="X50" s="56" t="n">
        <f aca="false">IFERROR(X49/Assumptions!$F$69*1000,0)</f>
        <v>24000</v>
      </c>
      <c r="Y50" s="56" t="n">
        <f aca="false">IFERROR(Y49/Assumptions!$F$69*1000,0)</f>
        <v>24000</v>
      </c>
      <c r="Z50" s="56" t="n">
        <f aca="false">IFERROR(Z49/Assumptions!$F$69*1000,0)</f>
        <v>24000</v>
      </c>
      <c r="AA50" s="56" t="n">
        <f aca="false">IFERROR(AA49/Assumptions!$F$69*1000,0)</f>
        <v>46000</v>
      </c>
      <c r="AB50" s="56" t="n">
        <f aca="false">IFERROR(AB49/Assumptions!$F$69*1000,0)</f>
        <v>46000</v>
      </c>
      <c r="AC50" s="56" t="n">
        <f aca="false">IFERROR(AC49/Assumptions!$F$69*1000,0)</f>
        <v>46000</v>
      </c>
      <c r="AD50" s="56" t="n">
        <f aca="false">IFERROR(AD49/Assumptions!$F$69*1000,0)</f>
        <v>46000</v>
      </c>
      <c r="AE50" s="56" t="n">
        <f aca="false">IFERROR(AE49/Assumptions!$F$69*1000,0)</f>
        <v>46000</v>
      </c>
      <c r="AF50" s="56" t="n">
        <f aca="false">IFERROR(AF49/Assumptions!$F$69*1000,0)</f>
        <v>46000</v>
      </c>
      <c r="AG50" s="56" t="n">
        <f aca="false">IFERROR(AG49/Assumptions!$F$69*1000,0)</f>
        <v>46000</v>
      </c>
      <c r="AH50" s="56" t="n">
        <f aca="false">IFERROR(AH49/Assumptions!$F$69*1000,0)</f>
        <v>46000</v>
      </c>
      <c r="AI50" s="56" t="n">
        <f aca="false">IFERROR(AI49/Assumptions!$F$69*1000,0)</f>
        <v>46000</v>
      </c>
      <c r="AJ50" s="56" t="n">
        <f aca="false">IFERROR(AJ49/Assumptions!$F$69*1000,0)</f>
        <v>46000</v>
      </c>
      <c r="AK50" s="56" t="n">
        <f aca="false">IFERROR(AK49/Assumptions!$F$69*1000,0)</f>
        <v>46000</v>
      </c>
      <c r="AL50" s="56" t="n">
        <f aca="false">IFERROR(AL49/Assumptions!$F$69*1000,0)</f>
        <v>46000</v>
      </c>
      <c r="AN50" s="57" t="n">
        <f aca="false">SUM(C50:N50)</f>
        <v>124800</v>
      </c>
      <c r="AO50" s="57" t="n">
        <f aca="false">SUM(O50:Z50)</f>
        <v>288000</v>
      </c>
      <c r="AP50" s="57" t="n">
        <f aca="false">SUM(AA50:AL50)</f>
        <v>552000</v>
      </c>
    </row>
    <row r="51" customFormat="false" ht="15" hidden="false" customHeight="false" outlineLevel="0" collapsed="false">
      <c r="A51" s="26" t="s">
        <v>453</v>
      </c>
      <c r="B51" s="24" t="s">
        <v>461</v>
      </c>
      <c r="C51" s="56" t="n">
        <f aca="false">C50*Assumptions!$G$69*Assumptions!$H$69</f>
        <v>130</v>
      </c>
      <c r="D51" s="56" t="n">
        <f aca="false">D50*Assumptions!$G$69*Assumptions!$H$69</f>
        <v>130</v>
      </c>
      <c r="E51" s="56" t="n">
        <f aca="false">E50*Assumptions!$G$69*Assumptions!$H$69</f>
        <v>130</v>
      </c>
      <c r="F51" s="56" t="n">
        <f aca="false">F50*Assumptions!$G$69*Assumptions!$H$69</f>
        <v>130</v>
      </c>
      <c r="G51" s="56" t="n">
        <f aca="false">G50*Assumptions!$G$69*Assumptions!$H$69</f>
        <v>130</v>
      </c>
      <c r="H51" s="56" t="n">
        <f aca="false">H50*Assumptions!$G$69*Assumptions!$H$69</f>
        <v>130</v>
      </c>
      <c r="I51" s="56" t="n">
        <f aca="false">I50*Assumptions!$G$69*Assumptions!$H$69</f>
        <v>130</v>
      </c>
      <c r="J51" s="56" t="n">
        <f aca="false">J50*Assumptions!$G$69*Assumptions!$H$69</f>
        <v>130</v>
      </c>
      <c r="K51" s="56" t="n">
        <f aca="false">K50*Assumptions!$G$69*Assumptions!$H$69</f>
        <v>130</v>
      </c>
      <c r="L51" s="56" t="n">
        <f aca="false">L50*Assumptions!$G$69*Assumptions!$H$69</f>
        <v>130</v>
      </c>
      <c r="M51" s="56" t="n">
        <f aca="false">M50*Assumptions!$G$69*Assumptions!$H$69</f>
        <v>130</v>
      </c>
      <c r="N51" s="56" t="n">
        <f aca="false">N50*Assumptions!$G$69*Assumptions!$H$69</f>
        <v>130</v>
      </c>
      <c r="O51" s="56" t="n">
        <f aca="false">O50*Assumptions!$G$69*Assumptions!$H$69</f>
        <v>300</v>
      </c>
      <c r="P51" s="56" t="n">
        <f aca="false">P50*Assumptions!$G$69*Assumptions!$H$69</f>
        <v>300</v>
      </c>
      <c r="Q51" s="56" t="n">
        <f aca="false">Q50*Assumptions!$G$69*Assumptions!$H$69</f>
        <v>300</v>
      </c>
      <c r="R51" s="56" t="n">
        <f aca="false">R50*Assumptions!$G$69*Assumptions!$H$69</f>
        <v>300</v>
      </c>
      <c r="S51" s="56" t="n">
        <f aca="false">S50*Assumptions!$G$69*Assumptions!$H$69</f>
        <v>300</v>
      </c>
      <c r="T51" s="56" t="n">
        <f aca="false">T50*Assumptions!$G$69*Assumptions!$H$69</f>
        <v>300</v>
      </c>
      <c r="U51" s="56" t="n">
        <f aca="false">U50*Assumptions!$G$69*Assumptions!$H$69</f>
        <v>300</v>
      </c>
      <c r="V51" s="56" t="n">
        <f aca="false">V50*Assumptions!$G$69*Assumptions!$H$69</f>
        <v>300</v>
      </c>
      <c r="W51" s="56" t="n">
        <f aca="false">W50*Assumptions!$G$69*Assumptions!$H$69</f>
        <v>300</v>
      </c>
      <c r="X51" s="56" t="n">
        <f aca="false">X50*Assumptions!$G$69*Assumptions!$H$69</f>
        <v>300</v>
      </c>
      <c r="Y51" s="56" t="n">
        <f aca="false">Y50*Assumptions!$G$69*Assumptions!$H$69</f>
        <v>300</v>
      </c>
      <c r="Z51" s="56" t="n">
        <f aca="false">Z50*Assumptions!$G$69*Assumptions!$H$69</f>
        <v>300</v>
      </c>
      <c r="AA51" s="56" t="n">
        <f aca="false">AA50*Assumptions!$G$69*Assumptions!$H$69</f>
        <v>575</v>
      </c>
      <c r="AB51" s="56" t="n">
        <f aca="false">AB50*Assumptions!$G$69*Assumptions!$H$69</f>
        <v>575</v>
      </c>
      <c r="AC51" s="56" t="n">
        <f aca="false">AC50*Assumptions!$G$69*Assumptions!$H$69</f>
        <v>575</v>
      </c>
      <c r="AD51" s="56" t="n">
        <f aca="false">AD50*Assumptions!$G$69*Assumptions!$H$69</f>
        <v>575</v>
      </c>
      <c r="AE51" s="56" t="n">
        <f aca="false">AE50*Assumptions!$G$69*Assumptions!$H$69</f>
        <v>575</v>
      </c>
      <c r="AF51" s="56" t="n">
        <f aca="false">AF50*Assumptions!$G$69*Assumptions!$H$69</f>
        <v>575</v>
      </c>
      <c r="AG51" s="56" t="n">
        <f aca="false">AG50*Assumptions!$G$69*Assumptions!$H$69</f>
        <v>575</v>
      </c>
      <c r="AH51" s="56" t="n">
        <f aca="false">AH50*Assumptions!$G$69*Assumptions!$H$69</f>
        <v>575</v>
      </c>
      <c r="AI51" s="56" t="n">
        <f aca="false">AI50*Assumptions!$G$69*Assumptions!$H$69</f>
        <v>575</v>
      </c>
      <c r="AJ51" s="56" t="n">
        <f aca="false">AJ50*Assumptions!$G$69*Assumptions!$H$69</f>
        <v>575</v>
      </c>
      <c r="AK51" s="56" t="n">
        <f aca="false">AK50*Assumptions!$G$69*Assumptions!$H$69</f>
        <v>575</v>
      </c>
      <c r="AL51" s="56" t="n">
        <f aca="false">AL50*Assumptions!$G$69*Assumptions!$H$69</f>
        <v>575</v>
      </c>
      <c r="AN51" s="57" t="n">
        <f aca="false">SUM(C51:N51)</f>
        <v>1560</v>
      </c>
      <c r="AO51" s="57" t="n">
        <f aca="false">SUM(O51:Z51)</f>
        <v>3600</v>
      </c>
      <c r="AP51" s="57" t="n">
        <f aca="false">SUM(AA51:AL51)</f>
        <v>6900</v>
      </c>
    </row>
    <row r="52" customFormat="false" ht="15" hidden="false" customHeight="false" outlineLevel="0" collapsed="false">
      <c r="A52" s="26" t="s">
        <v>197</v>
      </c>
      <c r="B52" s="24" t="s">
        <v>459</v>
      </c>
      <c r="C52" s="51" t="n">
        <f aca="false">Assumptions!$C$70</f>
        <v>500</v>
      </c>
      <c r="D52" s="51" t="n">
        <f aca="false">Assumptions!$C$70</f>
        <v>500</v>
      </c>
      <c r="E52" s="51" t="n">
        <f aca="false">Assumptions!$C$70</f>
        <v>500</v>
      </c>
      <c r="F52" s="51" t="n">
        <f aca="false">Assumptions!$C$70</f>
        <v>500</v>
      </c>
      <c r="G52" s="51" t="n">
        <f aca="false">Assumptions!$C$70</f>
        <v>500</v>
      </c>
      <c r="H52" s="51" t="n">
        <f aca="false">Assumptions!$C$70</f>
        <v>500</v>
      </c>
      <c r="I52" s="51" t="n">
        <f aca="false">Assumptions!$C$70</f>
        <v>500</v>
      </c>
      <c r="J52" s="51" t="n">
        <f aca="false">Assumptions!$C$70</f>
        <v>500</v>
      </c>
      <c r="K52" s="51" t="n">
        <f aca="false">Assumptions!$C$70</f>
        <v>500</v>
      </c>
      <c r="L52" s="51" t="n">
        <f aca="false">Assumptions!$C$70</f>
        <v>500</v>
      </c>
      <c r="M52" s="51" t="n">
        <f aca="false">Assumptions!$C$70</f>
        <v>500</v>
      </c>
      <c r="N52" s="51" t="n">
        <f aca="false">Assumptions!$C$70</f>
        <v>500</v>
      </c>
      <c r="O52" s="51" t="n">
        <f aca="false">Assumptions!$D$70</f>
        <v>1150</v>
      </c>
      <c r="P52" s="51" t="n">
        <f aca="false">Assumptions!$D$70</f>
        <v>1150</v>
      </c>
      <c r="Q52" s="51" t="n">
        <f aca="false">Assumptions!$D$70</f>
        <v>1150</v>
      </c>
      <c r="R52" s="51" t="n">
        <f aca="false">Assumptions!$D$70</f>
        <v>1150</v>
      </c>
      <c r="S52" s="51" t="n">
        <f aca="false">Assumptions!$D$70</f>
        <v>1150</v>
      </c>
      <c r="T52" s="51" t="n">
        <f aca="false">Assumptions!$D$70</f>
        <v>1150</v>
      </c>
      <c r="U52" s="51" t="n">
        <f aca="false">Assumptions!$D$70</f>
        <v>1150</v>
      </c>
      <c r="V52" s="51" t="n">
        <f aca="false">Assumptions!$D$70</f>
        <v>1150</v>
      </c>
      <c r="W52" s="51" t="n">
        <f aca="false">Assumptions!$D$70</f>
        <v>1150</v>
      </c>
      <c r="X52" s="51" t="n">
        <f aca="false">Assumptions!$D$70</f>
        <v>1150</v>
      </c>
      <c r="Y52" s="51" t="n">
        <f aca="false">Assumptions!$D$70</f>
        <v>1150</v>
      </c>
      <c r="Z52" s="51" t="n">
        <f aca="false">Assumptions!$D$70</f>
        <v>1150</v>
      </c>
      <c r="AA52" s="51" t="n">
        <f aca="false">Assumptions!$E$70</f>
        <v>2100</v>
      </c>
      <c r="AB52" s="51" t="n">
        <f aca="false">Assumptions!$E$70</f>
        <v>2100</v>
      </c>
      <c r="AC52" s="51" t="n">
        <f aca="false">Assumptions!$E$70</f>
        <v>2100</v>
      </c>
      <c r="AD52" s="51" t="n">
        <f aca="false">Assumptions!$E$70</f>
        <v>2100</v>
      </c>
      <c r="AE52" s="51" t="n">
        <f aca="false">Assumptions!$E$70</f>
        <v>2100</v>
      </c>
      <c r="AF52" s="51" t="n">
        <f aca="false">Assumptions!$E$70</f>
        <v>2100</v>
      </c>
      <c r="AG52" s="51" t="n">
        <f aca="false">Assumptions!$E$70</f>
        <v>2100</v>
      </c>
      <c r="AH52" s="51" t="n">
        <f aca="false">Assumptions!$E$70</f>
        <v>2100</v>
      </c>
      <c r="AI52" s="51" t="n">
        <f aca="false">Assumptions!$E$70</f>
        <v>2100</v>
      </c>
      <c r="AJ52" s="51" t="n">
        <f aca="false">Assumptions!$E$70</f>
        <v>2100</v>
      </c>
      <c r="AK52" s="51" t="n">
        <f aca="false">Assumptions!$E$70</f>
        <v>2100</v>
      </c>
      <c r="AL52" s="51" t="n">
        <f aca="false">Assumptions!$E$70</f>
        <v>2100</v>
      </c>
      <c r="AN52" s="52" t="n">
        <f aca="false">SUM(C52:N52)</f>
        <v>6000</v>
      </c>
      <c r="AO52" s="52" t="n">
        <f aca="false">SUM(O52:Z52)</f>
        <v>13800</v>
      </c>
      <c r="AP52" s="52" t="n">
        <f aca="false">SUM(AA52:AL52)</f>
        <v>25200</v>
      </c>
    </row>
    <row r="53" customFormat="false" ht="15" hidden="false" customHeight="false" outlineLevel="0" collapsed="false">
      <c r="A53" s="26" t="s">
        <v>460</v>
      </c>
      <c r="B53" s="24"/>
      <c r="C53" s="56" t="n">
        <f aca="false">IFERROR(C52/Assumptions!$F$70*1000,0)</f>
        <v>166666.666666667</v>
      </c>
      <c r="D53" s="56" t="n">
        <f aca="false">IFERROR(D52/Assumptions!$F$70*1000,0)</f>
        <v>166666.666666667</v>
      </c>
      <c r="E53" s="56" t="n">
        <f aca="false">IFERROR(E52/Assumptions!$F$70*1000,0)</f>
        <v>166666.666666667</v>
      </c>
      <c r="F53" s="56" t="n">
        <f aca="false">IFERROR(F52/Assumptions!$F$70*1000,0)</f>
        <v>166666.666666667</v>
      </c>
      <c r="G53" s="56" t="n">
        <f aca="false">IFERROR(G52/Assumptions!$F$70*1000,0)</f>
        <v>166666.666666667</v>
      </c>
      <c r="H53" s="56" t="n">
        <f aca="false">IFERROR(H52/Assumptions!$F$70*1000,0)</f>
        <v>166666.666666667</v>
      </c>
      <c r="I53" s="56" t="n">
        <f aca="false">IFERROR(I52/Assumptions!$F$70*1000,0)</f>
        <v>166666.666666667</v>
      </c>
      <c r="J53" s="56" t="n">
        <f aca="false">IFERROR(J52/Assumptions!$F$70*1000,0)</f>
        <v>166666.666666667</v>
      </c>
      <c r="K53" s="56" t="n">
        <f aca="false">IFERROR(K52/Assumptions!$F$70*1000,0)</f>
        <v>166666.666666667</v>
      </c>
      <c r="L53" s="56" t="n">
        <f aca="false">IFERROR(L52/Assumptions!$F$70*1000,0)</f>
        <v>166666.666666667</v>
      </c>
      <c r="M53" s="56" t="n">
        <f aca="false">IFERROR(M52/Assumptions!$F$70*1000,0)</f>
        <v>166666.666666667</v>
      </c>
      <c r="N53" s="56" t="n">
        <f aca="false">IFERROR(N52/Assumptions!$F$70*1000,0)</f>
        <v>166666.666666667</v>
      </c>
      <c r="O53" s="56" t="n">
        <f aca="false">IFERROR(O52/Assumptions!$F$70*1000,0)</f>
        <v>383333.333333333</v>
      </c>
      <c r="P53" s="56" t="n">
        <f aca="false">IFERROR(P52/Assumptions!$F$70*1000,0)</f>
        <v>383333.333333333</v>
      </c>
      <c r="Q53" s="56" t="n">
        <f aca="false">IFERROR(Q52/Assumptions!$F$70*1000,0)</f>
        <v>383333.333333333</v>
      </c>
      <c r="R53" s="56" t="n">
        <f aca="false">IFERROR(R52/Assumptions!$F$70*1000,0)</f>
        <v>383333.333333333</v>
      </c>
      <c r="S53" s="56" t="n">
        <f aca="false">IFERROR(S52/Assumptions!$F$70*1000,0)</f>
        <v>383333.333333333</v>
      </c>
      <c r="T53" s="56" t="n">
        <f aca="false">IFERROR(T52/Assumptions!$F$70*1000,0)</f>
        <v>383333.333333333</v>
      </c>
      <c r="U53" s="56" t="n">
        <f aca="false">IFERROR(U52/Assumptions!$F$70*1000,0)</f>
        <v>383333.333333333</v>
      </c>
      <c r="V53" s="56" t="n">
        <f aca="false">IFERROR(V52/Assumptions!$F$70*1000,0)</f>
        <v>383333.333333333</v>
      </c>
      <c r="W53" s="56" t="n">
        <f aca="false">IFERROR(W52/Assumptions!$F$70*1000,0)</f>
        <v>383333.333333333</v>
      </c>
      <c r="X53" s="56" t="n">
        <f aca="false">IFERROR(X52/Assumptions!$F$70*1000,0)</f>
        <v>383333.333333333</v>
      </c>
      <c r="Y53" s="56" t="n">
        <f aca="false">IFERROR(Y52/Assumptions!$F$70*1000,0)</f>
        <v>383333.333333333</v>
      </c>
      <c r="Z53" s="56" t="n">
        <f aca="false">IFERROR(Z52/Assumptions!$F$70*1000,0)</f>
        <v>383333.333333333</v>
      </c>
      <c r="AA53" s="56" t="n">
        <f aca="false">IFERROR(AA52/Assumptions!$F$70*1000,0)</f>
        <v>700000</v>
      </c>
      <c r="AB53" s="56" t="n">
        <f aca="false">IFERROR(AB52/Assumptions!$F$70*1000,0)</f>
        <v>700000</v>
      </c>
      <c r="AC53" s="56" t="n">
        <f aca="false">IFERROR(AC52/Assumptions!$F$70*1000,0)</f>
        <v>700000</v>
      </c>
      <c r="AD53" s="56" t="n">
        <f aca="false">IFERROR(AD52/Assumptions!$F$70*1000,0)</f>
        <v>700000</v>
      </c>
      <c r="AE53" s="56" t="n">
        <f aca="false">IFERROR(AE52/Assumptions!$F$70*1000,0)</f>
        <v>700000</v>
      </c>
      <c r="AF53" s="56" t="n">
        <f aca="false">IFERROR(AF52/Assumptions!$F$70*1000,0)</f>
        <v>700000</v>
      </c>
      <c r="AG53" s="56" t="n">
        <f aca="false">IFERROR(AG52/Assumptions!$F$70*1000,0)</f>
        <v>700000</v>
      </c>
      <c r="AH53" s="56" t="n">
        <f aca="false">IFERROR(AH52/Assumptions!$F$70*1000,0)</f>
        <v>700000</v>
      </c>
      <c r="AI53" s="56" t="n">
        <f aca="false">IFERROR(AI52/Assumptions!$F$70*1000,0)</f>
        <v>700000</v>
      </c>
      <c r="AJ53" s="56" t="n">
        <f aca="false">IFERROR(AJ52/Assumptions!$F$70*1000,0)</f>
        <v>700000</v>
      </c>
      <c r="AK53" s="56" t="n">
        <f aca="false">IFERROR(AK52/Assumptions!$F$70*1000,0)</f>
        <v>700000</v>
      </c>
      <c r="AL53" s="56" t="n">
        <f aca="false">IFERROR(AL52/Assumptions!$F$70*1000,0)</f>
        <v>700000</v>
      </c>
      <c r="AN53" s="57" t="n">
        <f aca="false">SUM(C53:N53)</f>
        <v>2000000</v>
      </c>
      <c r="AO53" s="57" t="n">
        <f aca="false">SUM(O53:Z53)</f>
        <v>4600000</v>
      </c>
      <c r="AP53" s="57" t="n">
        <f aca="false">SUM(AA53:AL53)</f>
        <v>8400000</v>
      </c>
    </row>
    <row r="54" customFormat="false" ht="15" hidden="false" customHeight="false" outlineLevel="0" collapsed="false">
      <c r="A54" s="26" t="s">
        <v>453</v>
      </c>
      <c r="B54" s="24" t="s">
        <v>461</v>
      </c>
      <c r="C54" s="56" t="n">
        <f aca="false">C53*Assumptions!$G$70*Assumptions!$H$70</f>
        <v>240</v>
      </c>
      <c r="D54" s="56" t="n">
        <f aca="false">D53*Assumptions!$G$70*Assumptions!$H$70</f>
        <v>240</v>
      </c>
      <c r="E54" s="56" t="n">
        <f aca="false">E53*Assumptions!$G$70*Assumptions!$H$70</f>
        <v>240</v>
      </c>
      <c r="F54" s="56" t="n">
        <f aca="false">F53*Assumptions!$G$70*Assumptions!$H$70</f>
        <v>240</v>
      </c>
      <c r="G54" s="56" t="n">
        <f aca="false">G53*Assumptions!$G$70*Assumptions!$H$70</f>
        <v>240</v>
      </c>
      <c r="H54" s="56" t="n">
        <f aca="false">H53*Assumptions!$G$70*Assumptions!$H$70</f>
        <v>240</v>
      </c>
      <c r="I54" s="56" t="n">
        <f aca="false">I53*Assumptions!$G$70*Assumptions!$H$70</f>
        <v>240</v>
      </c>
      <c r="J54" s="56" t="n">
        <f aca="false">J53*Assumptions!$G$70*Assumptions!$H$70</f>
        <v>240</v>
      </c>
      <c r="K54" s="56" t="n">
        <f aca="false">K53*Assumptions!$G$70*Assumptions!$H$70</f>
        <v>240</v>
      </c>
      <c r="L54" s="56" t="n">
        <f aca="false">L53*Assumptions!$G$70*Assumptions!$H$70</f>
        <v>240</v>
      </c>
      <c r="M54" s="56" t="n">
        <f aca="false">M53*Assumptions!$G$70*Assumptions!$H$70</f>
        <v>240</v>
      </c>
      <c r="N54" s="56" t="n">
        <f aca="false">N53*Assumptions!$G$70*Assumptions!$H$70</f>
        <v>240</v>
      </c>
      <c r="O54" s="56" t="n">
        <f aca="false">O53*Assumptions!$G$70*Assumptions!$H$70</f>
        <v>552</v>
      </c>
      <c r="P54" s="56" t="n">
        <f aca="false">P53*Assumptions!$G$70*Assumptions!$H$70</f>
        <v>552</v>
      </c>
      <c r="Q54" s="56" t="n">
        <f aca="false">Q53*Assumptions!$G$70*Assumptions!$H$70</f>
        <v>552</v>
      </c>
      <c r="R54" s="56" t="n">
        <f aca="false">R53*Assumptions!$G$70*Assumptions!$H$70</f>
        <v>552</v>
      </c>
      <c r="S54" s="56" t="n">
        <f aca="false">S53*Assumptions!$G$70*Assumptions!$H$70</f>
        <v>552</v>
      </c>
      <c r="T54" s="56" t="n">
        <f aca="false">T53*Assumptions!$G$70*Assumptions!$H$70</f>
        <v>552</v>
      </c>
      <c r="U54" s="56" t="n">
        <f aca="false">U53*Assumptions!$G$70*Assumptions!$H$70</f>
        <v>552</v>
      </c>
      <c r="V54" s="56" t="n">
        <f aca="false">V53*Assumptions!$G$70*Assumptions!$H$70</f>
        <v>552</v>
      </c>
      <c r="W54" s="56" t="n">
        <f aca="false">W53*Assumptions!$G$70*Assumptions!$H$70</f>
        <v>552</v>
      </c>
      <c r="X54" s="56" t="n">
        <f aca="false">X53*Assumptions!$G$70*Assumptions!$H$70</f>
        <v>552</v>
      </c>
      <c r="Y54" s="56" t="n">
        <f aca="false">Y53*Assumptions!$G$70*Assumptions!$H$70</f>
        <v>552</v>
      </c>
      <c r="Z54" s="56" t="n">
        <f aca="false">Z53*Assumptions!$G$70*Assumptions!$H$70</f>
        <v>552</v>
      </c>
      <c r="AA54" s="56" t="n">
        <f aca="false">AA53*Assumptions!$G$70*Assumptions!$H$70</f>
        <v>1008</v>
      </c>
      <c r="AB54" s="56" t="n">
        <f aca="false">AB53*Assumptions!$G$70*Assumptions!$H$70</f>
        <v>1008</v>
      </c>
      <c r="AC54" s="56" t="n">
        <f aca="false">AC53*Assumptions!$G$70*Assumptions!$H$70</f>
        <v>1008</v>
      </c>
      <c r="AD54" s="56" t="n">
        <f aca="false">AD53*Assumptions!$G$70*Assumptions!$H$70</f>
        <v>1008</v>
      </c>
      <c r="AE54" s="56" t="n">
        <f aca="false">AE53*Assumptions!$G$70*Assumptions!$H$70</f>
        <v>1008</v>
      </c>
      <c r="AF54" s="56" t="n">
        <f aca="false">AF53*Assumptions!$G$70*Assumptions!$H$70</f>
        <v>1008</v>
      </c>
      <c r="AG54" s="56" t="n">
        <f aca="false">AG53*Assumptions!$G$70*Assumptions!$H$70</f>
        <v>1008</v>
      </c>
      <c r="AH54" s="56" t="n">
        <f aca="false">AH53*Assumptions!$G$70*Assumptions!$H$70</f>
        <v>1008</v>
      </c>
      <c r="AI54" s="56" t="n">
        <f aca="false">AI53*Assumptions!$G$70*Assumptions!$H$70</f>
        <v>1008</v>
      </c>
      <c r="AJ54" s="56" t="n">
        <f aca="false">AJ53*Assumptions!$G$70*Assumptions!$H$70</f>
        <v>1008</v>
      </c>
      <c r="AK54" s="56" t="n">
        <f aca="false">AK53*Assumptions!$G$70*Assumptions!$H$70</f>
        <v>1008</v>
      </c>
      <c r="AL54" s="56" t="n">
        <f aca="false">AL53*Assumptions!$G$70*Assumptions!$H$70</f>
        <v>1008</v>
      </c>
      <c r="AN54" s="57" t="n">
        <f aca="false">SUM(C54:N54)</f>
        <v>2880</v>
      </c>
      <c r="AO54" s="57" t="n">
        <f aca="false">SUM(O54:Z54)</f>
        <v>6624</v>
      </c>
      <c r="AP54" s="57" t="n">
        <f aca="false">SUM(AA54:AL54)</f>
        <v>12096</v>
      </c>
    </row>
    <row r="55" customFormat="false" ht="15" hidden="false" customHeight="false" outlineLevel="0" collapsed="false">
      <c r="A55" s="53" t="s">
        <v>462</v>
      </c>
      <c r="B55" s="54"/>
      <c r="C55" s="55" t="n">
        <f aca="false">C37+C40+C43+C46+C49+C52</f>
        <v>5310</v>
      </c>
      <c r="D55" s="55" t="n">
        <f aca="false">D37+D40+D43+D46+D49+D52</f>
        <v>5310</v>
      </c>
      <c r="E55" s="55" t="n">
        <f aca="false">E37+E40+E43+E46+E49+E52</f>
        <v>5310</v>
      </c>
      <c r="F55" s="55" t="n">
        <f aca="false">F37+F40+F43+F46+F49+F52</f>
        <v>5310</v>
      </c>
      <c r="G55" s="55" t="n">
        <f aca="false">G37+G40+G43+G46+G49+G52</f>
        <v>5310</v>
      </c>
      <c r="H55" s="55" t="n">
        <f aca="false">H37+H40+H43+H46+H49+H52</f>
        <v>5310</v>
      </c>
      <c r="I55" s="55" t="n">
        <f aca="false">I37+I40+I43+I46+I49+I52</f>
        <v>5310</v>
      </c>
      <c r="J55" s="55" t="n">
        <f aca="false">J37+J40+J43+J46+J49+J52</f>
        <v>5310</v>
      </c>
      <c r="K55" s="55" t="n">
        <f aca="false">K37+K40+K43+K46+K49+K52</f>
        <v>5310</v>
      </c>
      <c r="L55" s="55" t="n">
        <f aca="false">L37+L40+L43+L46+L49+L52</f>
        <v>5310</v>
      </c>
      <c r="M55" s="55" t="n">
        <f aca="false">M37+M40+M43+M46+M49+M52</f>
        <v>5310</v>
      </c>
      <c r="N55" s="55" t="n">
        <f aca="false">N37+N40+N43+N46+N49+N52</f>
        <v>5310</v>
      </c>
      <c r="O55" s="55" t="n">
        <f aca="false">O37+O40+O43+O46+O49+O52</f>
        <v>11650</v>
      </c>
      <c r="P55" s="55" t="n">
        <f aca="false">P37+P40+P43+P46+P49+P52</f>
        <v>11650</v>
      </c>
      <c r="Q55" s="55" t="n">
        <f aca="false">Q37+Q40+Q43+Q46+Q49+Q52</f>
        <v>11650</v>
      </c>
      <c r="R55" s="55" t="n">
        <f aca="false">R37+R40+R43+R46+R49+R52</f>
        <v>11650</v>
      </c>
      <c r="S55" s="55" t="n">
        <f aca="false">S37+S40+S43+S46+S49+S52</f>
        <v>11650</v>
      </c>
      <c r="T55" s="55" t="n">
        <f aca="false">T37+T40+T43+T46+T49+T52</f>
        <v>11650</v>
      </c>
      <c r="U55" s="55" t="n">
        <f aca="false">U37+U40+U43+U46+U49+U52</f>
        <v>11650</v>
      </c>
      <c r="V55" s="55" t="n">
        <f aca="false">V37+V40+V43+V46+V49+V52</f>
        <v>11650</v>
      </c>
      <c r="W55" s="55" t="n">
        <f aca="false">W37+W40+W43+W46+W49+W52</f>
        <v>11650</v>
      </c>
      <c r="X55" s="55" t="n">
        <f aca="false">X37+X40+X43+X46+X49+X52</f>
        <v>11650</v>
      </c>
      <c r="Y55" s="55" t="n">
        <f aca="false">Y37+Y40+Y43+Y46+Y49+Y52</f>
        <v>11650</v>
      </c>
      <c r="Z55" s="55" t="n">
        <f aca="false">Z37+Z40+Z43+Z46+Z49+Z52</f>
        <v>11650</v>
      </c>
      <c r="AA55" s="55" t="n">
        <f aca="false">AA37+AA40+AA43+AA46+AA49+AA52</f>
        <v>22650</v>
      </c>
      <c r="AB55" s="55" t="n">
        <f aca="false">AB37+AB40+AB43+AB46+AB49+AB52</f>
        <v>22650</v>
      </c>
      <c r="AC55" s="55" t="n">
        <f aca="false">AC37+AC40+AC43+AC46+AC49+AC52</f>
        <v>22650</v>
      </c>
      <c r="AD55" s="55" t="n">
        <f aca="false">AD37+AD40+AD43+AD46+AD49+AD52</f>
        <v>22650</v>
      </c>
      <c r="AE55" s="55" t="n">
        <f aca="false">AE37+AE40+AE43+AE46+AE49+AE52</f>
        <v>22650</v>
      </c>
      <c r="AF55" s="55" t="n">
        <f aca="false">AF37+AF40+AF43+AF46+AF49+AF52</f>
        <v>22650</v>
      </c>
      <c r="AG55" s="55" t="n">
        <f aca="false">AG37+AG40+AG43+AG46+AG49+AG52</f>
        <v>22650</v>
      </c>
      <c r="AH55" s="55" t="n">
        <f aca="false">AH37+AH40+AH43+AH46+AH49+AH52</f>
        <v>22650</v>
      </c>
      <c r="AI55" s="55" t="n">
        <f aca="false">AI37+AI40+AI43+AI46+AI49+AI52</f>
        <v>22650</v>
      </c>
      <c r="AJ55" s="55" t="n">
        <f aca="false">AJ37+AJ40+AJ43+AJ46+AJ49+AJ52</f>
        <v>22650</v>
      </c>
      <c r="AK55" s="55" t="n">
        <f aca="false">AK37+AK40+AK43+AK46+AK49+AK52</f>
        <v>22650</v>
      </c>
      <c r="AL55" s="55" t="n">
        <f aca="false">AL37+AL40+AL43+AL46+AL49+AL52</f>
        <v>22650</v>
      </c>
      <c r="AN55" s="52" t="n">
        <f aca="false">SUM(C55:N55)</f>
        <v>63720</v>
      </c>
      <c r="AO55" s="52" t="n">
        <f aca="false">SUM(O55:Z55)</f>
        <v>139800</v>
      </c>
      <c r="AP55" s="52" t="n">
        <f aca="false">SUM(AA55:AL55)</f>
        <v>271800</v>
      </c>
    </row>
    <row r="56" customFormat="false" ht="15" hidden="false" customHeight="false" outlineLevel="0" collapsed="false">
      <c r="A56" s="10" t="s">
        <v>463</v>
      </c>
      <c r="B56" s="24"/>
      <c r="C56" s="59" t="n">
        <f aca="false">C38+C41+C44+C47+C50+C53</f>
        <v>842251.481851482</v>
      </c>
      <c r="D56" s="59" t="n">
        <f aca="false">D38+D41+D44+D47+D50+D53</f>
        <v>842251.481851482</v>
      </c>
      <c r="E56" s="59" t="n">
        <f aca="false">E38+E41+E44+E47+E50+E53</f>
        <v>842251.481851482</v>
      </c>
      <c r="F56" s="59" t="n">
        <f aca="false">F38+F41+F44+F47+F50+F53</f>
        <v>842251.481851482</v>
      </c>
      <c r="G56" s="59" t="n">
        <f aca="false">G38+G41+G44+G47+G50+G53</f>
        <v>842251.481851482</v>
      </c>
      <c r="H56" s="59" t="n">
        <f aca="false">H38+H41+H44+H47+H50+H53</f>
        <v>842251.481851482</v>
      </c>
      <c r="I56" s="59" t="n">
        <f aca="false">I38+I41+I44+I47+I50+I53</f>
        <v>842251.481851482</v>
      </c>
      <c r="J56" s="59" t="n">
        <f aca="false">J38+J41+J44+J47+J50+J53</f>
        <v>842251.481851482</v>
      </c>
      <c r="K56" s="59" t="n">
        <f aca="false">K38+K41+K44+K47+K50+K53</f>
        <v>842251.481851482</v>
      </c>
      <c r="L56" s="59" t="n">
        <f aca="false">L38+L41+L44+L47+L50+L53</f>
        <v>842251.481851482</v>
      </c>
      <c r="M56" s="59" t="n">
        <f aca="false">M38+M41+M44+M47+M50+M53</f>
        <v>842251.481851482</v>
      </c>
      <c r="N56" s="59" t="n">
        <f aca="false">N38+N41+N44+N47+N50+N53</f>
        <v>842251.481851482</v>
      </c>
      <c r="O56" s="59" t="n">
        <f aca="false">O38+O41+O44+O47+O50+O53</f>
        <v>1938402.26440226</v>
      </c>
      <c r="P56" s="59" t="n">
        <f aca="false">P38+P41+P44+P47+P50+P53</f>
        <v>1938402.26440226</v>
      </c>
      <c r="Q56" s="59" t="n">
        <f aca="false">Q38+Q41+Q44+Q47+Q50+Q53</f>
        <v>1938402.26440226</v>
      </c>
      <c r="R56" s="59" t="n">
        <f aca="false">R38+R41+R44+R47+R50+R53</f>
        <v>1938402.26440226</v>
      </c>
      <c r="S56" s="59" t="n">
        <f aca="false">S38+S41+S44+S47+S50+S53</f>
        <v>1938402.26440226</v>
      </c>
      <c r="T56" s="59" t="n">
        <f aca="false">T38+T41+T44+T47+T50+T53</f>
        <v>1938402.26440226</v>
      </c>
      <c r="U56" s="59" t="n">
        <f aca="false">U38+U41+U44+U47+U50+U53</f>
        <v>1938402.26440226</v>
      </c>
      <c r="V56" s="59" t="n">
        <f aca="false">V38+V41+V44+V47+V50+V53</f>
        <v>1938402.26440226</v>
      </c>
      <c r="W56" s="59" t="n">
        <f aca="false">W38+W41+W44+W47+W50+W53</f>
        <v>1938402.26440226</v>
      </c>
      <c r="X56" s="59" t="n">
        <f aca="false">X38+X41+X44+X47+X50+X53</f>
        <v>1938402.26440226</v>
      </c>
      <c r="Y56" s="59" t="n">
        <f aca="false">Y38+Y41+Y44+Y47+Y50+Y53</f>
        <v>1938402.26440226</v>
      </c>
      <c r="Z56" s="59" t="n">
        <f aca="false">Z38+Z41+Z44+Z47+Z50+Z53</f>
        <v>1938402.26440226</v>
      </c>
      <c r="AA56" s="59" t="n">
        <f aca="false">AA38+AA41+AA44+AA47+AA50+AA53</f>
        <v>3714631.36863137</v>
      </c>
      <c r="AB56" s="59" t="n">
        <f aca="false">AB38+AB41+AB44+AB47+AB50+AB53</f>
        <v>3714631.36863137</v>
      </c>
      <c r="AC56" s="59" t="n">
        <f aca="false">AC38+AC41+AC44+AC47+AC50+AC53</f>
        <v>3714631.36863137</v>
      </c>
      <c r="AD56" s="59" t="n">
        <f aca="false">AD38+AD41+AD44+AD47+AD50+AD53</f>
        <v>3714631.36863137</v>
      </c>
      <c r="AE56" s="59" t="n">
        <f aca="false">AE38+AE41+AE44+AE47+AE50+AE53</f>
        <v>3714631.36863137</v>
      </c>
      <c r="AF56" s="59" t="n">
        <f aca="false">AF38+AF41+AF44+AF47+AF50+AF53</f>
        <v>3714631.36863137</v>
      </c>
      <c r="AG56" s="59" t="n">
        <f aca="false">AG38+AG41+AG44+AG47+AG50+AG53</f>
        <v>3714631.36863137</v>
      </c>
      <c r="AH56" s="59" t="n">
        <f aca="false">AH38+AH41+AH44+AH47+AH50+AH53</f>
        <v>3714631.36863137</v>
      </c>
      <c r="AI56" s="59" t="n">
        <f aca="false">AI38+AI41+AI44+AI47+AI50+AI53</f>
        <v>3714631.36863137</v>
      </c>
      <c r="AJ56" s="59" t="n">
        <f aca="false">AJ38+AJ41+AJ44+AJ47+AJ50+AJ53</f>
        <v>3714631.36863137</v>
      </c>
      <c r="AK56" s="59" t="n">
        <f aca="false">AK38+AK41+AK44+AK47+AK50+AK53</f>
        <v>3714631.36863137</v>
      </c>
      <c r="AL56" s="59" t="n">
        <f aca="false">AL38+AL41+AL44+AL47+AL50+AL53</f>
        <v>3714631.36863137</v>
      </c>
      <c r="AN56" s="57" t="n">
        <f aca="false">SUM(C56:N56)</f>
        <v>10107017.7822178</v>
      </c>
      <c r="AO56" s="57" t="n">
        <f aca="false">SUM(O56:Z56)</f>
        <v>23260827.1728272</v>
      </c>
      <c r="AP56" s="57" t="n">
        <f aca="false">SUM(AA56:AL56)</f>
        <v>44575576.4235764</v>
      </c>
    </row>
    <row r="57" customFormat="false" ht="15" hidden="false" customHeight="false" outlineLevel="0" collapsed="false">
      <c r="A57" s="10" t="s">
        <v>464</v>
      </c>
      <c r="B57" s="24"/>
      <c r="C57" s="59" t="n">
        <f aca="false">C39+C42+C45+C48+C51+C54</f>
        <v>1097.17582417582</v>
      </c>
      <c r="D57" s="59" t="n">
        <f aca="false">D39+D42+D45+D48+D51+D54</f>
        <v>1097.17582417582</v>
      </c>
      <c r="E57" s="59" t="n">
        <f aca="false">E39+E42+E45+E48+E51+E54</f>
        <v>1097.17582417582</v>
      </c>
      <c r="F57" s="59" t="n">
        <f aca="false">F39+F42+F45+F48+F51+F54</f>
        <v>1097.17582417582</v>
      </c>
      <c r="G57" s="59" t="n">
        <f aca="false">G39+G42+G45+G48+G51+G54</f>
        <v>1097.17582417582</v>
      </c>
      <c r="H57" s="59" t="n">
        <f aca="false">H39+H42+H45+H48+H51+H54</f>
        <v>1097.17582417582</v>
      </c>
      <c r="I57" s="59" t="n">
        <f aca="false">I39+I42+I45+I48+I51+I54</f>
        <v>1097.17582417582</v>
      </c>
      <c r="J57" s="59" t="n">
        <f aca="false">J39+J42+J45+J48+J51+J54</f>
        <v>1097.17582417582</v>
      </c>
      <c r="K57" s="59" t="n">
        <f aca="false">K39+K42+K45+K48+K51+K54</f>
        <v>1097.17582417582</v>
      </c>
      <c r="L57" s="59" t="n">
        <f aca="false">L39+L42+L45+L48+L51+L54</f>
        <v>1097.17582417582</v>
      </c>
      <c r="M57" s="59" t="n">
        <f aca="false">M39+M42+M45+M48+M51+M54</f>
        <v>1097.17582417582</v>
      </c>
      <c r="N57" s="59" t="n">
        <f aca="false">N39+N42+N45+N48+N51+N54</f>
        <v>1097.17582417582</v>
      </c>
      <c r="O57" s="59" t="n">
        <f aca="false">O39+O42+O45+O48+O51+O54</f>
        <v>2518.32967032967</v>
      </c>
      <c r="P57" s="59" t="n">
        <f aca="false">P39+P42+P45+P48+P51+P54</f>
        <v>2518.32967032967</v>
      </c>
      <c r="Q57" s="59" t="n">
        <f aca="false">Q39+Q42+Q45+Q48+Q51+Q54</f>
        <v>2518.32967032967</v>
      </c>
      <c r="R57" s="59" t="n">
        <f aca="false">R39+R42+R45+R48+R51+R54</f>
        <v>2518.32967032967</v>
      </c>
      <c r="S57" s="59" t="n">
        <f aca="false">S39+S42+S45+S48+S51+S54</f>
        <v>2518.32967032967</v>
      </c>
      <c r="T57" s="59" t="n">
        <f aca="false">T39+T42+T45+T48+T51+T54</f>
        <v>2518.32967032967</v>
      </c>
      <c r="U57" s="59" t="n">
        <f aca="false">U39+U42+U45+U48+U51+U54</f>
        <v>2518.32967032967</v>
      </c>
      <c r="V57" s="59" t="n">
        <f aca="false">V39+V42+V45+V48+V51+V54</f>
        <v>2518.32967032967</v>
      </c>
      <c r="W57" s="59" t="n">
        <f aca="false">W39+W42+W45+W48+W51+W54</f>
        <v>2518.32967032967</v>
      </c>
      <c r="X57" s="59" t="n">
        <f aca="false">X39+X42+X45+X48+X51+X54</f>
        <v>2518.32967032967</v>
      </c>
      <c r="Y57" s="59" t="n">
        <f aca="false">Y39+Y42+Y45+Y48+Y51+Y54</f>
        <v>2518.32967032967</v>
      </c>
      <c r="Z57" s="59" t="n">
        <f aca="false">Z39+Z42+Z45+Z48+Z51+Z54</f>
        <v>2518.32967032967</v>
      </c>
      <c r="AA57" s="59" t="n">
        <f aca="false">AA39+AA42+AA45+AA48+AA51+AA54</f>
        <v>4813.94505494506</v>
      </c>
      <c r="AB57" s="59" t="n">
        <f aca="false">AB39+AB42+AB45+AB48+AB51+AB54</f>
        <v>4813.94505494506</v>
      </c>
      <c r="AC57" s="59" t="n">
        <f aca="false">AC39+AC42+AC45+AC48+AC51+AC54</f>
        <v>4813.94505494506</v>
      </c>
      <c r="AD57" s="59" t="n">
        <f aca="false">AD39+AD42+AD45+AD48+AD51+AD54</f>
        <v>4813.94505494506</v>
      </c>
      <c r="AE57" s="59" t="n">
        <f aca="false">AE39+AE42+AE45+AE48+AE51+AE54</f>
        <v>4813.94505494506</v>
      </c>
      <c r="AF57" s="59" t="n">
        <f aca="false">AF39+AF42+AF45+AF48+AF51+AF54</f>
        <v>4813.94505494506</v>
      </c>
      <c r="AG57" s="59" t="n">
        <f aca="false">AG39+AG42+AG45+AG48+AG51+AG54</f>
        <v>4813.94505494506</v>
      </c>
      <c r="AH57" s="59" t="n">
        <f aca="false">AH39+AH42+AH45+AH48+AH51+AH54</f>
        <v>4813.94505494506</v>
      </c>
      <c r="AI57" s="59" t="n">
        <f aca="false">AI39+AI42+AI45+AI48+AI51+AI54</f>
        <v>4813.94505494506</v>
      </c>
      <c r="AJ57" s="59" t="n">
        <f aca="false">AJ39+AJ42+AJ45+AJ48+AJ51+AJ54</f>
        <v>4813.94505494506</v>
      </c>
      <c r="AK57" s="59" t="n">
        <f aca="false">AK39+AK42+AK45+AK48+AK51+AK54</f>
        <v>4813.94505494506</v>
      </c>
      <c r="AL57" s="59" t="n">
        <f aca="false">AL39+AL42+AL45+AL48+AL51+AL54</f>
        <v>4813.94505494506</v>
      </c>
      <c r="AN57" s="57" t="n">
        <f aca="false">SUM(C57:N57)</f>
        <v>13166.1098901099</v>
      </c>
      <c r="AO57" s="57" t="n">
        <f aca="false">SUM(O57:Z57)</f>
        <v>30219.956043956</v>
      </c>
      <c r="AP57" s="57" t="n">
        <f aca="false">SUM(AA57:AL57)</f>
        <v>57767.3406593407</v>
      </c>
    </row>
    <row r="58" customFormat="false" ht="15" hidden="false" customHeight="false" outlineLevel="0" collapsed="false">
      <c r="A58" s="13" t="s">
        <v>465</v>
      </c>
      <c r="B58" s="69" t="s">
        <v>466</v>
      </c>
      <c r="C58" s="70" t="n">
        <f aca="false">C31+C55</f>
        <v>10240</v>
      </c>
      <c r="D58" s="70" t="n">
        <f aca="false">D31+D55</f>
        <v>10240</v>
      </c>
      <c r="E58" s="70" t="n">
        <f aca="false">E31+E55</f>
        <v>10240</v>
      </c>
      <c r="F58" s="70" t="n">
        <f aca="false">F31+F55</f>
        <v>10240</v>
      </c>
      <c r="G58" s="70" t="n">
        <f aca="false">G31+G55</f>
        <v>10240</v>
      </c>
      <c r="H58" s="70" t="n">
        <f aca="false">H31+H55</f>
        <v>10240</v>
      </c>
      <c r="I58" s="70" t="n">
        <f aca="false">I31+I55</f>
        <v>10240</v>
      </c>
      <c r="J58" s="70" t="n">
        <f aca="false">J31+J55</f>
        <v>10240</v>
      </c>
      <c r="K58" s="70" t="n">
        <f aca="false">K31+K55</f>
        <v>10240</v>
      </c>
      <c r="L58" s="70" t="n">
        <f aca="false">L31+L55</f>
        <v>10240</v>
      </c>
      <c r="M58" s="70" t="n">
        <f aca="false">M31+M55</f>
        <v>10240</v>
      </c>
      <c r="N58" s="70" t="n">
        <f aca="false">N31+N55</f>
        <v>10240</v>
      </c>
      <c r="O58" s="70" t="n">
        <f aca="false">O31+O55</f>
        <v>23580</v>
      </c>
      <c r="P58" s="70" t="n">
        <f aca="false">P31+P55</f>
        <v>23580</v>
      </c>
      <c r="Q58" s="70" t="n">
        <f aca="false">Q31+Q55</f>
        <v>23580</v>
      </c>
      <c r="R58" s="70" t="n">
        <f aca="false">R31+R55</f>
        <v>23580</v>
      </c>
      <c r="S58" s="70" t="n">
        <f aca="false">S31+S55</f>
        <v>23580</v>
      </c>
      <c r="T58" s="70" t="n">
        <f aca="false">T31+T55</f>
        <v>23580</v>
      </c>
      <c r="U58" s="70" t="n">
        <f aca="false">U31+U55</f>
        <v>23580</v>
      </c>
      <c r="V58" s="70" t="n">
        <f aca="false">V31+V55</f>
        <v>23580</v>
      </c>
      <c r="W58" s="70" t="n">
        <f aca="false">W31+W55</f>
        <v>23580</v>
      </c>
      <c r="X58" s="70" t="n">
        <f aca="false">X31+X55</f>
        <v>23580</v>
      </c>
      <c r="Y58" s="70" t="n">
        <f aca="false">Y31+Y55</f>
        <v>23580</v>
      </c>
      <c r="Z58" s="70" t="n">
        <f aca="false">Z31+Z55</f>
        <v>23580</v>
      </c>
      <c r="AA58" s="70" t="n">
        <f aca="false">AA31+AA55</f>
        <v>43390</v>
      </c>
      <c r="AB58" s="70" t="n">
        <f aca="false">AB31+AB55</f>
        <v>43390</v>
      </c>
      <c r="AC58" s="70" t="n">
        <f aca="false">AC31+AC55</f>
        <v>43390</v>
      </c>
      <c r="AD58" s="70" t="n">
        <f aca="false">AD31+AD55</f>
        <v>43390</v>
      </c>
      <c r="AE58" s="70" t="n">
        <f aca="false">AE31+AE55</f>
        <v>43390</v>
      </c>
      <c r="AF58" s="70" t="n">
        <f aca="false">AF31+AF55</f>
        <v>43390</v>
      </c>
      <c r="AG58" s="70" t="n">
        <f aca="false">AG31+AG55</f>
        <v>43390</v>
      </c>
      <c r="AH58" s="70" t="n">
        <f aca="false">AH31+AH55</f>
        <v>43390</v>
      </c>
      <c r="AI58" s="70" t="n">
        <f aca="false">AI31+AI55</f>
        <v>43390</v>
      </c>
      <c r="AJ58" s="70" t="n">
        <f aca="false">AJ31+AJ55</f>
        <v>43390</v>
      </c>
      <c r="AK58" s="70" t="n">
        <f aca="false">AK31+AK55</f>
        <v>43390</v>
      </c>
      <c r="AL58" s="70" t="n">
        <f aca="false">AL31+AL55</f>
        <v>43390</v>
      </c>
      <c r="AN58" s="52" t="n">
        <f aca="false">SUM(C58:N58)</f>
        <v>122880</v>
      </c>
      <c r="AO58" s="52" t="n">
        <f aca="false">SUM(O58:Z58)</f>
        <v>282960</v>
      </c>
      <c r="AP58" s="52" t="n">
        <f aca="false">SUM(AA58:AL58)</f>
        <v>520680</v>
      </c>
    </row>
    <row r="60" customFormat="false" ht="16.5" hidden="false" customHeight="true" outlineLevel="0" collapsed="false">
      <c r="A60" s="21" t="s">
        <v>467</v>
      </c>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row>
    <row r="61" customFormat="false" ht="15.75" hidden="false" customHeight="true" outlineLevel="0" collapsed="false">
      <c r="A61" s="36" t="s">
        <v>345</v>
      </c>
      <c r="B61" s="36" t="s">
        <v>346</v>
      </c>
      <c r="C61" s="47" t="s">
        <v>347</v>
      </c>
      <c r="D61" s="47" t="s">
        <v>348</v>
      </c>
      <c r="E61" s="47" t="s">
        <v>349</v>
      </c>
      <c r="F61" s="47" t="s">
        <v>350</v>
      </c>
      <c r="G61" s="47" t="s">
        <v>351</v>
      </c>
      <c r="H61" s="47" t="s">
        <v>352</v>
      </c>
      <c r="I61" s="47" t="s">
        <v>353</v>
      </c>
      <c r="J61" s="47" t="s">
        <v>354</v>
      </c>
      <c r="K61" s="47" t="s">
        <v>355</v>
      </c>
      <c r="L61" s="47" t="s">
        <v>356</v>
      </c>
      <c r="M61" s="47" t="s">
        <v>357</v>
      </c>
      <c r="N61" s="47" t="s">
        <v>358</v>
      </c>
      <c r="O61" s="48" t="s">
        <v>359</v>
      </c>
      <c r="P61" s="48" t="s">
        <v>360</v>
      </c>
      <c r="Q61" s="48" t="s">
        <v>361</v>
      </c>
      <c r="R61" s="48" t="s">
        <v>362</v>
      </c>
      <c r="S61" s="48" t="s">
        <v>363</v>
      </c>
      <c r="T61" s="48" t="s">
        <v>364</v>
      </c>
      <c r="U61" s="48" t="s">
        <v>365</v>
      </c>
      <c r="V61" s="48" t="s">
        <v>366</v>
      </c>
      <c r="W61" s="48" t="s">
        <v>367</v>
      </c>
      <c r="X61" s="48" t="s">
        <v>368</v>
      </c>
      <c r="Y61" s="48" t="s">
        <v>369</v>
      </c>
      <c r="Z61" s="48" t="s">
        <v>370</v>
      </c>
      <c r="AA61" s="47" t="s">
        <v>371</v>
      </c>
      <c r="AB61" s="47" t="s">
        <v>372</v>
      </c>
      <c r="AC61" s="47" t="s">
        <v>373</v>
      </c>
      <c r="AD61" s="47" t="s">
        <v>374</v>
      </c>
      <c r="AE61" s="47" t="s">
        <v>375</v>
      </c>
      <c r="AF61" s="47" t="s">
        <v>376</v>
      </c>
      <c r="AG61" s="47" t="s">
        <v>377</v>
      </c>
      <c r="AH61" s="47" t="s">
        <v>378</v>
      </c>
      <c r="AI61" s="47" t="s">
        <v>379</v>
      </c>
      <c r="AJ61" s="47" t="s">
        <v>380</v>
      </c>
      <c r="AK61" s="47" t="s">
        <v>381</v>
      </c>
      <c r="AL61" s="47" t="s">
        <v>382</v>
      </c>
      <c r="AM61" s="49"/>
      <c r="AN61" s="50" t="s">
        <v>383</v>
      </c>
      <c r="AO61" s="50" t="s">
        <v>384</v>
      </c>
      <c r="AP61" s="50" t="s">
        <v>385</v>
      </c>
    </row>
    <row r="62" customFormat="false" ht="15" hidden="false" customHeight="false" outlineLevel="0" collapsed="false">
      <c r="A62" s="26" t="s">
        <v>468</v>
      </c>
      <c r="B62" s="24" t="s">
        <v>469</v>
      </c>
      <c r="C62" s="66" t="n">
        <f aca="false">C57/1000*Assumptions!$C$82</f>
        <v>15.3604615384615</v>
      </c>
      <c r="D62" s="66" t="n">
        <f aca="false">D57/1000*Assumptions!$C$82</f>
        <v>15.3604615384615</v>
      </c>
      <c r="E62" s="66" t="n">
        <f aca="false">E57/1000*Assumptions!$C$82</f>
        <v>15.3604615384615</v>
      </c>
      <c r="F62" s="66" t="n">
        <f aca="false">F57/1000*Assumptions!$C$82</f>
        <v>15.3604615384615</v>
      </c>
      <c r="G62" s="66" t="n">
        <f aca="false">G57/1000*Assumptions!$C$82</f>
        <v>15.3604615384615</v>
      </c>
      <c r="H62" s="66" t="n">
        <f aca="false">H57/1000*Assumptions!$C$82</f>
        <v>15.3604615384615</v>
      </c>
      <c r="I62" s="66" t="n">
        <f aca="false">I57/1000*Assumptions!$C$82</f>
        <v>15.3604615384615</v>
      </c>
      <c r="J62" s="66" t="n">
        <f aca="false">J57/1000*Assumptions!$C$82</f>
        <v>15.3604615384615</v>
      </c>
      <c r="K62" s="66" t="n">
        <f aca="false">K57/1000*Assumptions!$C$82</f>
        <v>15.3604615384615</v>
      </c>
      <c r="L62" s="66" t="n">
        <f aca="false">L57/1000*Assumptions!$C$82</f>
        <v>15.3604615384615</v>
      </c>
      <c r="M62" s="66" t="n">
        <f aca="false">M57/1000*Assumptions!$C$82</f>
        <v>15.3604615384615</v>
      </c>
      <c r="N62" s="66" t="n">
        <f aca="false">N57/1000*Assumptions!$C$82</f>
        <v>15.3604615384615</v>
      </c>
      <c r="O62" s="66" t="n">
        <f aca="false">O57/1000*Assumptions!$C$82</f>
        <v>35.2566153846154</v>
      </c>
      <c r="P62" s="66" t="n">
        <f aca="false">P57/1000*Assumptions!$C$82</f>
        <v>35.2566153846154</v>
      </c>
      <c r="Q62" s="66" t="n">
        <f aca="false">Q57/1000*Assumptions!$C$82</f>
        <v>35.2566153846154</v>
      </c>
      <c r="R62" s="66" t="n">
        <f aca="false">R57/1000*Assumptions!$C$82</f>
        <v>35.2566153846154</v>
      </c>
      <c r="S62" s="66" t="n">
        <f aca="false">S57/1000*Assumptions!$C$82</f>
        <v>35.2566153846154</v>
      </c>
      <c r="T62" s="66" t="n">
        <f aca="false">T57/1000*Assumptions!$C$82</f>
        <v>35.2566153846154</v>
      </c>
      <c r="U62" s="66" t="n">
        <f aca="false">U57/1000*Assumptions!$C$82</f>
        <v>35.2566153846154</v>
      </c>
      <c r="V62" s="66" t="n">
        <f aca="false">V57/1000*Assumptions!$C$82</f>
        <v>35.2566153846154</v>
      </c>
      <c r="W62" s="66" t="n">
        <f aca="false">W57/1000*Assumptions!$C$82</f>
        <v>35.2566153846154</v>
      </c>
      <c r="X62" s="66" t="n">
        <f aca="false">X57/1000*Assumptions!$C$82</f>
        <v>35.2566153846154</v>
      </c>
      <c r="Y62" s="66" t="n">
        <f aca="false">Y57/1000*Assumptions!$C$82</f>
        <v>35.2566153846154</v>
      </c>
      <c r="Z62" s="66" t="n">
        <f aca="false">Z57/1000*Assumptions!$C$82</f>
        <v>35.2566153846154</v>
      </c>
      <c r="AA62" s="66" t="n">
        <f aca="false">AA57/1000*Assumptions!$C$82</f>
        <v>67.3952307692308</v>
      </c>
      <c r="AB62" s="66" t="n">
        <f aca="false">AB57/1000*Assumptions!$C$82</f>
        <v>67.3952307692308</v>
      </c>
      <c r="AC62" s="66" t="n">
        <f aca="false">AC57/1000*Assumptions!$C$82</f>
        <v>67.3952307692308</v>
      </c>
      <c r="AD62" s="66" t="n">
        <f aca="false">AD57/1000*Assumptions!$C$82</f>
        <v>67.3952307692308</v>
      </c>
      <c r="AE62" s="66" t="n">
        <f aca="false">AE57/1000*Assumptions!$C$82</f>
        <v>67.3952307692308</v>
      </c>
      <c r="AF62" s="66" t="n">
        <f aca="false">AF57/1000*Assumptions!$C$82</f>
        <v>67.3952307692308</v>
      </c>
      <c r="AG62" s="66" t="n">
        <f aca="false">AG57/1000*Assumptions!$C$82</f>
        <v>67.3952307692308</v>
      </c>
      <c r="AH62" s="66" t="n">
        <f aca="false">AH57/1000*Assumptions!$C$82</f>
        <v>67.3952307692308</v>
      </c>
      <c r="AI62" s="66" t="n">
        <f aca="false">AI57/1000*Assumptions!$C$82</f>
        <v>67.3952307692308</v>
      </c>
      <c r="AJ62" s="66" t="n">
        <f aca="false">AJ57/1000*Assumptions!$C$82</f>
        <v>67.3952307692308</v>
      </c>
      <c r="AK62" s="66" t="n">
        <f aca="false">AK57/1000*Assumptions!$C$82</f>
        <v>67.3952307692308</v>
      </c>
      <c r="AL62" s="66" t="n">
        <f aca="false">AL57/1000*Assumptions!$C$82</f>
        <v>67.3952307692308</v>
      </c>
      <c r="AN62" s="67" t="n">
        <f aca="false">SUM(C62:N62)</f>
        <v>184.325538461538</v>
      </c>
      <c r="AO62" s="67" t="n">
        <f aca="false">SUM(O62:Z62)</f>
        <v>423.079384615385</v>
      </c>
      <c r="AP62" s="67" t="n">
        <f aca="false">SUM(AA62:AL62)</f>
        <v>808.742769230769</v>
      </c>
    </row>
    <row r="63" customFormat="false" ht="15" hidden="false" customHeight="false" outlineLevel="0" collapsed="false">
      <c r="A63" s="10" t="s">
        <v>470</v>
      </c>
      <c r="B63" s="24"/>
      <c r="C63" s="68" t="n">
        <f aca="false">C33+C62</f>
        <v>48.7604615384615</v>
      </c>
      <c r="D63" s="68" t="n">
        <f aca="false">D33+D62</f>
        <v>48.7604615384615</v>
      </c>
      <c r="E63" s="68" t="n">
        <f aca="false">E33+E62</f>
        <v>48.7604615384615</v>
      </c>
      <c r="F63" s="68" t="n">
        <f aca="false">F33+F62</f>
        <v>48.7604615384615</v>
      </c>
      <c r="G63" s="68" t="n">
        <f aca="false">G33+G62</f>
        <v>48.7604615384615</v>
      </c>
      <c r="H63" s="68" t="n">
        <f aca="false">H33+H62</f>
        <v>48.7604615384615</v>
      </c>
      <c r="I63" s="68" t="n">
        <f aca="false">I33+I62</f>
        <v>48.7604615384615</v>
      </c>
      <c r="J63" s="68" t="n">
        <f aca="false">J33+J62</f>
        <v>48.7604615384615</v>
      </c>
      <c r="K63" s="68" t="n">
        <f aca="false">K33+K62</f>
        <v>48.7604615384615</v>
      </c>
      <c r="L63" s="68" t="n">
        <f aca="false">L33+L62</f>
        <v>48.7604615384615</v>
      </c>
      <c r="M63" s="68" t="n">
        <f aca="false">M33+M62</f>
        <v>48.7604615384615</v>
      </c>
      <c r="N63" s="68" t="n">
        <f aca="false">N33+N62</f>
        <v>48.7604615384615</v>
      </c>
      <c r="O63" s="68" t="n">
        <f aca="false">O33+O62</f>
        <v>100.936615384615</v>
      </c>
      <c r="P63" s="68" t="n">
        <f aca="false">P33+P62</f>
        <v>100.936615384615</v>
      </c>
      <c r="Q63" s="68" t="n">
        <f aca="false">Q33+Q62</f>
        <v>100.936615384615</v>
      </c>
      <c r="R63" s="68" t="n">
        <f aca="false">R33+R62</f>
        <v>100.936615384615</v>
      </c>
      <c r="S63" s="68" t="n">
        <f aca="false">S33+S62</f>
        <v>100.936615384615</v>
      </c>
      <c r="T63" s="68" t="n">
        <f aca="false">T33+T62</f>
        <v>100.936615384615</v>
      </c>
      <c r="U63" s="68" t="n">
        <f aca="false">U33+U62</f>
        <v>100.936615384615</v>
      </c>
      <c r="V63" s="68" t="n">
        <f aca="false">V33+V62</f>
        <v>100.936615384615</v>
      </c>
      <c r="W63" s="68" t="n">
        <f aca="false">W33+W62</f>
        <v>100.936615384615</v>
      </c>
      <c r="X63" s="68" t="n">
        <f aca="false">X33+X62</f>
        <v>100.936615384615</v>
      </c>
      <c r="Y63" s="68" t="n">
        <f aca="false">Y33+Y62</f>
        <v>100.936615384615</v>
      </c>
      <c r="Z63" s="68" t="n">
        <f aca="false">Z33+Z62</f>
        <v>100.936615384615</v>
      </c>
      <c r="AA63" s="68" t="n">
        <f aca="false">AA33+AA62</f>
        <v>162.695230769231</v>
      </c>
      <c r="AB63" s="68" t="n">
        <f aca="false">AB33+AB62</f>
        <v>162.695230769231</v>
      </c>
      <c r="AC63" s="68" t="n">
        <f aca="false">AC33+AC62</f>
        <v>162.695230769231</v>
      </c>
      <c r="AD63" s="68" t="n">
        <f aca="false">AD33+AD62</f>
        <v>162.695230769231</v>
      </c>
      <c r="AE63" s="68" t="n">
        <f aca="false">AE33+AE62</f>
        <v>162.695230769231</v>
      </c>
      <c r="AF63" s="68" t="n">
        <f aca="false">AF33+AF62</f>
        <v>162.695230769231</v>
      </c>
      <c r="AG63" s="68" t="n">
        <f aca="false">AG33+AG62</f>
        <v>162.695230769231</v>
      </c>
      <c r="AH63" s="68" t="n">
        <f aca="false">AH33+AH62</f>
        <v>162.695230769231</v>
      </c>
      <c r="AI63" s="68" t="n">
        <f aca="false">AI33+AI62</f>
        <v>162.695230769231</v>
      </c>
      <c r="AJ63" s="68" t="n">
        <f aca="false">AJ33+AJ62</f>
        <v>162.695230769231</v>
      </c>
      <c r="AK63" s="68" t="n">
        <f aca="false">AK33+AK62</f>
        <v>162.695230769231</v>
      </c>
      <c r="AL63" s="68" t="n">
        <f aca="false">AL33+AL62</f>
        <v>162.695230769231</v>
      </c>
      <c r="AN63" s="67" t="n">
        <f aca="false">SUM(C63:N63)</f>
        <v>585.125538461538</v>
      </c>
      <c r="AO63" s="67" t="n">
        <f aca="false">SUM(O63:Z63)</f>
        <v>1211.23938461538</v>
      </c>
      <c r="AP63" s="67" t="n">
        <f aca="false">SUM(AA63:AL63)</f>
        <v>1952.34276923077</v>
      </c>
    </row>
    <row r="64" customFormat="false" ht="15" hidden="false" customHeight="false" outlineLevel="0" collapsed="false">
      <c r="A64" s="26" t="s">
        <v>471</v>
      </c>
      <c r="B64" s="24"/>
      <c r="C64" s="66" t="n">
        <f aca="false">C63*Assumptions!$C$74</f>
        <v>19.5041846153846</v>
      </c>
      <c r="D64" s="66" t="n">
        <f aca="false">D63*Assumptions!$C$74</f>
        <v>19.5041846153846</v>
      </c>
      <c r="E64" s="66" t="n">
        <f aca="false">E63*Assumptions!$C$74</f>
        <v>19.5041846153846</v>
      </c>
      <c r="F64" s="66" t="n">
        <f aca="false">F63*Assumptions!$C$74</f>
        <v>19.5041846153846</v>
      </c>
      <c r="G64" s="66" t="n">
        <f aca="false">G63*Assumptions!$C$74</f>
        <v>19.5041846153846</v>
      </c>
      <c r="H64" s="66" t="n">
        <f aca="false">H63*Assumptions!$C$74</f>
        <v>19.5041846153846</v>
      </c>
      <c r="I64" s="66" t="n">
        <f aca="false">I63*Assumptions!$C$74</f>
        <v>19.5041846153846</v>
      </c>
      <c r="J64" s="66" t="n">
        <f aca="false">J63*Assumptions!$C$74</f>
        <v>19.5041846153846</v>
      </c>
      <c r="K64" s="66" t="n">
        <f aca="false">K63*Assumptions!$C$74</f>
        <v>19.5041846153846</v>
      </c>
      <c r="L64" s="66" t="n">
        <f aca="false">L63*Assumptions!$C$74</f>
        <v>19.5041846153846</v>
      </c>
      <c r="M64" s="66" t="n">
        <f aca="false">M63*Assumptions!$C$74</f>
        <v>19.5041846153846</v>
      </c>
      <c r="N64" s="66" t="n">
        <f aca="false">N63*Assumptions!$C$74</f>
        <v>19.5041846153846</v>
      </c>
      <c r="O64" s="66" t="n">
        <f aca="false">O63*Assumptions!$D$74</f>
        <v>44.4121107692308</v>
      </c>
      <c r="P64" s="66" t="n">
        <f aca="false">P63*Assumptions!$D$74</f>
        <v>44.4121107692308</v>
      </c>
      <c r="Q64" s="66" t="n">
        <f aca="false">Q63*Assumptions!$D$74</f>
        <v>44.4121107692308</v>
      </c>
      <c r="R64" s="66" t="n">
        <f aca="false">R63*Assumptions!$D$74</f>
        <v>44.4121107692308</v>
      </c>
      <c r="S64" s="66" t="n">
        <f aca="false">S63*Assumptions!$D$74</f>
        <v>44.4121107692308</v>
      </c>
      <c r="T64" s="66" t="n">
        <f aca="false">T63*Assumptions!$D$74</f>
        <v>44.4121107692308</v>
      </c>
      <c r="U64" s="66" t="n">
        <f aca="false">U63*Assumptions!$D$74</f>
        <v>44.4121107692308</v>
      </c>
      <c r="V64" s="66" t="n">
        <f aca="false">V63*Assumptions!$D$74</f>
        <v>44.4121107692308</v>
      </c>
      <c r="W64" s="66" t="n">
        <f aca="false">W63*Assumptions!$D$74</f>
        <v>44.4121107692308</v>
      </c>
      <c r="X64" s="66" t="n">
        <f aca="false">X63*Assumptions!$D$74</f>
        <v>44.4121107692308</v>
      </c>
      <c r="Y64" s="66" t="n">
        <f aca="false">Y63*Assumptions!$D$74</f>
        <v>44.4121107692308</v>
      </c>
      <c r="Z64" s="66" t="n">
        <f aca="false">Z63*Assumptions!$D$74</f>
        <v>44.4121107692308</v>
      </c>
      <c r="AA64" s="66" t="n">
        <f aca="false">AA63*Assumptions!$E$74</f>
        <v>78.0937107692308</v>
      </c>
      <c r="AB64" s="66" t="n">
        <f aca="false">AB63*Assumptions!$E$74</f>
        <v>78.0937107692308</v>
      </c>
      <c r="AC64" s="66" t="n">
        <f aca="false">AC63*Assumptions!$E$74</f>
        <v>78.0937107692308</v>
      </c>
      <c r="AD64" s="66" t="n">
        <f aca="false">AD63*Assumptions!$E$74</f>
        <v>78.0937107692308</v>
      </c>
      <c r="AE64" s="66" t="n">
        <f aca="false">AE63*Assumptions!$E$74</f>
        <v>78.0937107692308</v>
      </c>
      <c r="AF64" s="66" t="n">
        <f aca="false">AF63*Assumptions!$E$74</f>
        <v>78.0937107692308</v>
      </c>
      <c r="AG64" s="66" t="n">
        <f aca="false">AG63*Assumptions!$E$74</f>
        <v>78.0937107692308</v>
      </c>
      <c r="AH64" s="66" t="n">
        <f aca="false">AH63*Assumptions!$E$74</f>
        <v>78.0937107692308</v>
      </c>
      <c r="AI64" s="66" t="n">
        <f aca="false">AI63*Assumptions!$E$74</f>
        <v>78.0937107692308</v>
      </c>
      <c r="AJ64" s="66" t="n">
        <f aca="false">AJ63*Assumptions!$E$74</f>
        <v>78.0937107692308</v>
      </c>
      <c r="AK64" s="66" t="n">
        <f aca="false">AK63*Assumptions!$E$74</f>
        <v>78.0937107692308</v>
      </c>
      <c r="AL64" s="66" t="n">
        <f aca="false">AL63*Assumptions!$E$74</f>
        <v>78.0937107692308</v>
      </c>
      <c r="AN64" s="67" t="n">
        <f aca="false">SUM(C64:N64)</f>
        <v>234.050215384615</v>
      </c>
      <c r="AO64" s="67" t="n">
        <f aca="false">SUM(O64:Z64)</f>
        <v>532.945329230769</v>
      </c>
      <c r="AP64" s="67" t="n">
        <f aca="false">SUM(AA64:AL64)</f>
        <v>937.124529230769</v>
      </c>
    </row>
    <row r="65" customFormat="false" ht="15" hidden="false" customHeight="false" outlineLevel="0" collapsed="false">
      <c r="A65" s="26" t="s">
        <v>472</v>
      </c>
      <c r="B65" s="24"/>
      <c r="C65" s="66" t="n">
        <f aca="false">C64*Assumptions!$C$75</f>
        <v>9.75209230769231</v>
      </c>
      <c r="D65" s="66" t="n">
        <f aca="false">D64*Assumptions!$C$75</f>
        <v>9.75209230769231</v>
      </c>
      <c r="E65" s="66" t="n">
        <f aca="false">E64*Assumptions!$C$75</f>
        <v>9.75209230769231</v>
      </c>
      <c r="F65" s="66" t="n">
        <f aca="false">F64*Assumptions!$C$75</f>
        <v>9.75209230769231</v>
      </c>
      <c r="G65" s="66" t="n">
        <f aca="false">G64*Assumptions!$C$75</f>
        <v>9.75209230769231</v>
      </c>
      <c r="H65" s="66" t="n">
        <f aca="false">H64*Assumptions!$C$75</f>
        <v>9.75209230769231</v>
      </c>
      <c r="I65" s="66" t="n">
        <f aca="false">I64*Assumptions!$C$75</f>
        <v>9.75209230769231</v>
      </c>
      <c r="J65" s="66" t="n">
        <f aca="false">J64*Assumptions!$C$75</f>
        <v>9.75209230769231</v>
      </c>
      <c r="K65" s="66" t="n">
        <f aca="false">K64*Assumptions!$C$75</f>
        <v>9.75209230769231</v>
      </c>
      <c r="L65" s="66" t="n">
        <f aca="false">L64*Assumptions!$C$75</f>
        <v>9.75209230769231</v>
      </c>
      <c r="M65" s="66" t="n">
        <f aca="false">M64*Assumptions!$C$75</f>
        <v>9.75209230769231</v>
      </c>
      <c r="N65" s="66" t="n">
        <f aca="false">N64*Assumptions!$C$75</f>
        <v>9.75209230769231</v>
      </c>
      <c r="O65" s="66" t="n">
        <f aca="false">O64*Assumptions!$D$75</f>
        <v>23.9825398153846</v>
      </c>
      <c r="P65" s="66" t="n">
        <f aca="false">P64*Assumptions!$D$75</f>
        <v>23.9825398153846</v>
      </c>
      <c r="Q65" s="66" t="n">
        <f aca="false">Q64*Assumptions!$D$75</f>
        <v>23.9825398153846</v>
      </c>
      <c r="R65" s="66" t="n">
        <f aca="false">R64*Assumptions!$D$75</f>
        <v>23.9825398153846</v>
      </c>
      <c r="S65" s="66" t="n">
        <f aca="false">S64*Assumptions!$D$75</f>
        <v>23.9825398153846</v>
      </c>
      <c r="T65" s="66" t="n">
        <f aca="false">T64*Assumptions!$D$75</f>
        <v>23.9825398153846</v>
      </c>
      <c r="U65" s="66" t="n">
        <f aca="false">U64*Assumptions!$D$75</f>
        <v>23.9825398153846</v>
      </c>
      <c r="V65" s="66" t="n">
        <f aca="false">V64*Assumptions!$D$75</f>
        <v>23.9825398153846</v>
      </c>
      <c r="W65" s="66" t="n">
        <f aca="false">W64*Assumptions!$D$75</f>
        <v>23.9825398153846</v>
      </c>
      <c r="X65" s="66" t="n">
        <f aca="false">X64*Assumptions!$D$75</f>
        <v>23.9825398153846</v>
      </c>
      <c r="Y65" s="66" t="n">
        <f aca="false">Y64*Assumptions!$D$75</f>
        <v>23.9825398153846</v>
      </c>
      <c r="Z65" s="66" t="n">
        <f aca="false">Z64*Assumptions!$D$75</f>
        <v>23.9825398153846</v>
      </c>
      <c r="AA65" s="66" t="n">
        <f aca="false">AA64*Assumptions!$E$75</f>
        <v>45.2943522461539</v>
      </c>
      <c r="AB65" s="66" t="n">
        <f aca="false">AB64*Assumptions!$E$75</f>
        <v>45.2943522461539</v>
      </c>
      <c r="AC65" s="66" t="n">
        <f aca="false">AC64*Assumptions!$E$75</f>
        <v>45.2943522461539</v>
      </c>
      <c r="AD65" s="66" t="n">
        <f aca="false">AD64*Assumptions!$E$75</f>
        <v>45.2943522461539</v>
      </c>
      <c r="AE65" s="66" t="n">
        <f aca="false">AE64*Assumptions!$E$75</f>
        <v>45.2943522461539</v>
      </c>
      <c r="AF65" s="66" t="n">
        <f aca="false">AF64*Assumptions!$E$75</f>
        <v>45.2943522461539</v>
      </c>
      <c r="AG65" s="66" t="n">
        <f aca="false">AG64*Assumptions!$E$75</f>
        <v>45.2943522461539</v>
      </c>
      <c r="AH65" s="66" t="n">
        <f aca="false">AH64*Assumptions!$E$75</f>
        <v>45.2943522461539</v>
      </c>
      <c r="AI65" s="66" t="n">
        <f aca="false">AI64*Assumptions!$E$75</f>
        <v>45.2943522461539</v>
      </c>
      <c r="AJ65" s="66" t="n">
        <f aca="false">AJ64*Assumptions!$E$75</f>
        <v>45.2943522461539</v>
      </c>
      <c r="AK65" s="66" t="n">
        <f aca="false">AK64*Assumptions!$E$75</f>
        <v>45.2943522461539</v>
      </c>
      <c r="AL65" s="66" t="n">
        <f aca="false">AL64*Assumptions!$E$75</f>
        <v>45.2943522461539</v>
      </c>
      <c r="AN65" s="67" t="n">
        <f aca="false">SUM(C65:N65)</f>
        <v>117.025107692308</v>
      </c>
      <c r="AO65" s="67" t="n">
        <f aca="false">SUM(O65:Z65)</f>
        <v>287.790477784615</v>
      </c>
      <c r="AP65" s="67" t="n">
        <f aca="false">SUM(AA65:AL65)</f>
        <v>543.532226953846</v>
      </c>
    </row>
    <row r="66" customFormat="false" ht="15" hidden="false" customHeight="false" outlineLevel="0" collapsed="false">
      <c r="A66" s="10" t="s">
        <v>473</v>
      </c>
      <c r="B66" s="24" t="s">
        <v>474</v>
      </c>
      <c r="C66" s="68" t="n">
        <f aca="false">IFERROR(INDEX($C65:$AL65,1,1-Assumptions!$C$77)*Assumptions!$C$76,0)</f>
        <v>0</v>
      </c>
      <c r="D66" s="68" t="n">
        <f aca="false">IFERROR(INDEX($C65:$AL65,1,2-Assumptions!$C$77)*Assumptions!$C$76,0)</f>
        <v>0</v>
      </c>
      <c r="E66" s="68" t="n">
        <f aca="false">IFERROR(INDEX($C65:$AL65,1,3-Assumptions!$C$77)*Assumptions!$C$76,0)</f>
        <v>0</v>
      </c>
      <c r="F66" s="68" t="n">
        <f aca="false">IFERROR(INDEX($C65:$AL65,1,4-Assumptions!$C$77)*Assumptions!$C$76,0)</f>
        <v>3.70579507692308</v>
      </c>
      <c r="G66" s="68" t="n">
        <f aca="false">IFERROR(INDEX($C65:$AL65,1,5-Assumptions!$C$77)*Assumptions!$C$76,0)</f>
        <v>3.70579507692308</v>
      </c>
      <c r="H66" s="68" t="n">
        <f aca="false">IFERROR(INDEX($C65:$AL65,1,6-Assumptions!$C$77)*Assumptions!$C$76,0)</f>
        <v>3.70579507692308</v>
      </c>
      <c r="I66" s="68" t="n">
        <f aca="false">IFERROR(INDEX($C65:$AL65,1,7-Assumptions!$C$77)*Assumptions!$C$76,0)</f>
        <v>3.70579507692308</v>
      </c>
      <c r="J66" s="68" t="n">
        <f aca="false">IFERROR(INDEX($C65:$AL65,1,8-Assumptions!$C$77)*Assumptions!$C$76,0)</f>
        <v>3.70579507692308</v>
      </c>
      <c r="K66" s="68" t="n">
        <f aca="false">IFERROR(INDEX($C65:$AL65,1,9-Assumptions!$C$77)*Assumptions!$C$76,0)</f>
        <v>3.70579507692308</v>
      </c>
      <c r="L66" s="68" t="n">
        <f aca="false">IFERROR(INDEX($C65:$AL65,1,10-Assumptions!$C$77)*Assumptions!$C$76,0)</f>
        <v>3.70579507692308</v>
      </c>
      <c r="M66" s="68" t="n">
        <f aca="false">IFERROR(INDEX($C65:$AL65,1,11-Assumptions!$C$77)*Assumptions!$C$76,0)</f>
        <v>3.70579507692308</v>
      </c>
      <c r="N66" s="68" t="n">
        <f aca="false">IFERROR(INDEX($C65:$AL65,1,12-Assumptions!$C$77)*Assumptions!$C$76,0)</f>
        <v>3.70579507692308</v>
      </c>
      <c r="O66" s="68" t="n">
        <f aca="false">IFERROR(INDEX($C65:$AL65,1,13-Assumptions!$C$77)*Assumptions!$D$76,0)</f>
        <v>4.29092061538462</v>
      </c>
      <c r="P66" s="68" t="n">
        <f aca="false">IFERROR(INDEX($C65:$AL65,1,14-Assumptions!$C$77)*Assumptions!$D$76,0)</f>
        <v>4.29092061538462</v>
      </c>
      <c r="Q66" s="68" t="n">
        <f aca="false">IFERROR(INDEX($C65:$AL65,1,15-Assumptions!$C$77)*Assumptions!$D$76,0)</f>
        <v>4.29092061538462</v>
      </c>
      <c r="R66" s="68" t="n">
        <f aca="false">IFERROR(INDEX($C65:$AL65,1,16-Assumptions!$C$77)*Assumptions!$D$76,0)</f>
        <v>4.29092061538462</v>
      </c>
      <c r="S66" s="68" t="n">
        <f aca="false">IFERROR(INDEX($C65:$AL65,1,17-Assumptions!$C$77)*Assumptions!$D$76,0)</f>
        <v>10.5523175187692</v>
      </c>
      <c r="T66" s="68" t="n">
        <f aca="false">IFERROR(INDEX($C65:$AL65,1,18-Assumptions!$C$77)*Assumptions!$D$76,0)</f>
        <v>10.5523175187692</v>
      </c>
      <c r="U66" s="68" t="n">
        <f aca="false">IFERROR(INDEX($C65:$AL65,1,19-Assumptions!$C$77)*Assumptions!$D$76,0)</f>
        <v>10.5523175187692</v>
      </c>
      <c r="V66" s="68" t="n">
        <f aca="false">IFERROR(INDEX($C65:$AL65,1,20-Assumptions!$C$77)*Assumptions!$D$76,0)</f>
        <v>10.5523175187692</v>
      </c>
      <c r="W66" s="68" t="n">
        <f aca="false">IFERROR(INDEX($C65:$AL65,1,21-Assumptions!$C$77)*Assumptions!$D$76,0)</f>
        <v>10.5523175187692</v>
      </c>
      <c r="X66" s="68" t="n">
        <f aca="false">IFERROR(INDEX($C65:$AL65,1,22-Assumptions!$C$77)*Assumptions!$D$76,0)</f>
        <v>10.5523175187692</v>
      </c>
      <c r="Y66" s="68" t="n">
        <f aca="false">IFERROR(INDEX($C65:$AL65,1,23-Assumptions!$C$77)*Assumptions!$D$76,0)</f>
        <v>10.5523175187692</v>
      </c>
      <c r="Z66" s="68" t="n">
        <f aca="false">IFERROR(INDEX($C65:$AL65,1,24-Assumptions!$C$77)*Assumptions!$D$76,0)</f>
        <v>10.5523175187692</v>
      </c>
      <c r="AA66" s="68" t="n">
        <f aca="false">IFERROR(INDEX($C65:$AL65,1,25-Assumptions!$C$77)*Assumptions!$E$76,0)</f>
        <v>11.9912699076923</v>
      </c>
      <c r="AB66" s="68" t="n">
        <f aca="false">IFERROR(INDEX($C65:$AL65,1,26-Assumptions!$C$77)*Assumptions!$E$76,0)</f>
        <v>11.9912699076923</v>
      </c>
      <c r="AC66" s="68" t="n">
        <f aca="false">IFERROR(INDEX($C65:$AL65,1,27-Assumptions!$C$77)*Assumptions!$E$76,0)</f>
        <v>11.9912699076923</v>
      </c>
      <c r="AD66" s="68" t="n">
        <f aca="false">IFERROR(INDEX($C65:$AL65,1,28-Assumptions!$C$77)*Assumptions!$E$76,0)</f>
        <v>11.9912699076923</v>
      </c>
      <c r="AE66" s="68" t="n">
        <f aca="false">IFERROR(INDEX($C65:$AL65,1,29-Assumptions!$C$77)*Assumptions!$E$76,0)</f>
        <v>22.6471761230769</v>
      </c>
      <c r="AF66" s="68" t="n">
        <f aca="false">IFERROR(INDEX($C65:$AL65,1,30-Assumptions!$C$77)*Assumptions!$E$76,0)</f>
        <v>22.6471761230769</v>
      </c>
      <c r="AG66" s="68" t="n">
        <f aca="false">IFERROR(INDEX($C65:$AL65,1,31-Assumptions!$C$77)*Assumptions!$E$76,0)</f>
        <v>22.6471761230769</v>
      </c>
      <c r="AH66" s="68" t="n">
        <f aca="false">IFERROR(INDEX($C65:$AL65,1,32-Assumptions!$C$77)*Assumptions!$E$76,0)</f>
        <v>22.6471761230769</v>
      </c>
      <c r="AI66" s="68" t="n">
        <f aca="false">IFERROR(INDEX($C65:$AL65,1,33-Assumptions!$C$77)*Assumptions!$E$76,0)</f>
        <v>22.6471761230769</v>
      </c>
      <c r="AJ66" s="68" t="n">
        <f aca="false">IFERROR(INDEX($C65:$AL65,1,34-Assumptions!$C$77)*Assumptions!$E$76,0)</f>
        <v>22.6471761230769</v>
      </c>
      <c r="AK66" s="68" t="n">
        <f aca="false">IFERROR(INDEX($C65:$AL65,1,35-Assumptions!$C$77)*Assumptions!$E$76,0)</f>
        <v>22.6471761230769</v>
      </c>
      <c r="AL66" s="68" t="n">
        <f aca="false">IFERROR(INDEX($C65:$AL65,1,36-Assumptions!$C$77)*Assumptions!$E$76,0)</f>
        <v>22.6471761230769</v>
      </c>
      <c r="AN66" s="67" t="n">
        <f aca="false">SUM(C66:N66)</f>
        <v>33.3521556923077</v>
      </c>
      <c r="AO66" s="67" t="n">
        <f aca="false">SUM(O66:Z66)</f>
        <v>101.582222611692</v>
      </c>
      <c r="AP66" s="67" t="n">
        <f aca="false">SUM(AA66:AL66)</f>
        <v>229.142488615385</v>
      </c>
    </row>
    <row r="67" customFormat="false" ht="15" hidden="false" customHeight="false" outlineLevel="0" collapsed="false">
      <c r="A67" s="26" t="s">
        <v>475</v>
      </c>
      <c r="B67" s="24" t="s">
        <v>476</v>
      </c>
      <c r="C67" s="71" t="n">
        <f aca="false">(Revenue!C$7+Revenue!C$8+Revenue!C$10+Revenue!C$11+Revenue!C$12+Revenue!C$13+Revenue!C$15+Revenue!C$16+Revenue!C$17+Revenue!C$18)/Assumptions!$C$84</f>
        <v>0.166666666666667</v>
      </c>
      <c r="D67" s="71" t="n">
        <f aca="false">(Revenue!D$7+Revenue!D$8+Revenue!D$10+Revenue!D$11+Revenue!D$12+Revenue!D$13+Revenue!D$15+Revenue!D$16+Revenue!D$17+Revenue!D$18)/Assumptions!$C$84</f>
        <v>0.183333333333333</v>
      </c>
      <c r="E67" s="71" t="n">
        <f aca="false">(Revenue!E$7+Revenue!E$8+Revenue!E$10+Revenue!E$11+Revenue!E$12+Revenue!E$13+Revenue!E$15+Revenue!E$16+Revenue!E$17+Revenue!E$18)/Assumptions!$C$84</f>
        <v>0.205555555555556</v>
      </c>
      <c r="F67" s="71" t="n">
        <f aca="false">(Revenue!F$7+Revenue!F$8+Revenue!F$10+Revenue!F$11+Revenue!F$12+Revenue!F$13+Revenue!F$15+Revenue!F$16+Revenue!F$17+Revenue!F$18)/Assumptions!$C$84</f>
        <v>1.16666666666667</v>
      </c>
      <c r="G67" s="71" t="n">
        <f aca="false">(Revenue!G$7+Revenue!G$8+Revenue!G$10+Revenue!G$11+Revenue!G$12+Revenue!G$13+Revenue!G$15+Revenue!G$16+Revenue!G$17+Revenue!G$18)/Assumptions!$C$84</f>
        <v>1.28333333333333</v>
      </c>
      <c r="H67" s="71" t="n">
        <f aca="false">(Revenue!H$7+Revenue!H$8+Revenue!H$10+Revenue!H$11+Revenue!H$12+Revenue!H$13+Revenue!H$15+Revenue!H$16+Revenue!H$17+Revenue!H$18)/Assumptions!$C$84</f>
        <v>1.43888888888889</v>
      </c>
      <c r="I67" s="71" t="n">
        <f aca="false">(Revenue!I$7+Revenue!I$8+Revenue!I$10+Revenue!I$11+Revenue!I$12+Revenue!I$13+Revenue!I$15+Revenue!I$16+Revenue!I$17+Revenue!I$18)/Assumptions!$C$84</f>
        <v>2.5</v>
      </c>
      <c r="J67" s="71" t="n">
        <f aca="false">(Revenue!J$7+Revenue!J$8+Revenue!J$10+Revenue!J$11+Revenue!J$12+Revenue!J$13+Revenue!J$15+Revenue!J$16+Revenue!J$17+Revenue!J$18)/Assumptions!$C$84</f>
        <v>2.75</v>
      </c>
      <c r="K67" s="71" t="n">
        <f aca="false">(Revenue!K$7+Revenue!K$8+Revenue!K$10+Revenue!K$11+Revenue!K$12+Revenue!K$13+Revenue!K$15+Revenue!K$16+Revenue!K$17+Revenue!K$18)/Assumptions!$C$84</f>
        <v>3.08333333333333</v>
      </c>
      <c r="L67" s="71" t="n">
        <f aca="false">(Revenue!L$7+Revenue!L$8+Revenue!L$10+Revenue!L$11+Revenue!L$12+Revenue!L$13+Revenue!L$15+Revenue!L$16+Revenue!L$17+Revenue!L$18)/Assumptions!$C$84</f>
        <v>4.5</v>
      </c>
      <c r="M67" s="71" t="n">
        <f aca="false">(Revenue!M$7+Revenue!M$8+Revenue!M$10+Revenue!M$11+Revenue!M$12+Revenue!M$13+Revenue!M$15+Revenue!M$16+Revenue!M$17+Revenue!M$18)/Assumptions!$C$84</f>
        <v>4.95</v>
      </c>
      <c r="N67" s="71" t="n">
        <f aca="false">(Revenue!N$7+Revenue!N$8+Revenue!N$10+Revenue!N$11+Revenue!N$12+Revenue!N$13+Revenue!N$15+Revenue!N$16+Revenue!N$17+Revenue!N$18)/Assumptions!$C$84</f>
        <v>5.55</v>
      </c>
      <c r="O67" s="71" t="n">
        <f aca="false">(Revenue!O$7+Revenue!O$8+Revenue!O$10+Revenue!O$11+Revenue!O$12+Revenue!O$13+Revenue!O$15+Revenue!O$16+Revenue!O$17+Revenue!O$18)/Assumptions!$D$84</f>
        <v>5.04545454545455</v>
      </c>
      <c r="P67" s="71" t="n">
        <f aca="false">(Revenue!P$7+Revenue!P$8+Revenue!P$10+Revenue!P$11+Revenue!P$12+Revenue!P$13+Revenue!P$15+Revenue!P$16+Revenue!P$17+Revenue!P$18)/Assumptions!$D$84</f>
        <v>5.55</v>
      </c>
      <c r="Q67" s="71" t="n">
        <f aca="false">(Revenue!Q$7+Revenue!Q$8+Revenue!Q$10+Revenue!Q$11+Revenue!Q$12+Revenue!Q$13+Revenue!Q$15+Revenue!Q$16+Revenue!Q$17+Revenue!Q$18)/Assumptions!$D$84</f>
        <v>6.22272727272727</v>
      </c>
      <c r="R67" s="71" t="n">
        <f aca="false">(Revenue!R$7+Revenue!R$8+Revenue!R$10+Revenue!R$11+Revenue!R$12+Revenue!R$13+Revenue!R$15+Revenue!R$16+Revenue!R$17+Revenue!R$18)/Assumptions!$D$84</f>
        <v>6</v>
      </c>
      <c r="S67" s="71" t="n">
        <f aca="false">(Revenue!S$7+Revenue!S$8+Revenue!S$10+Revenue!S$11+Revenue!S$12+Revenue!S$13+Revenue!S$15+Revenue!S$16+Revenue!S$17+Revenue!S$18)/Assumptions!$D$84</f>
        <v>6.6</v>
      </c>
      <c r="T67" s="71" t="n">
        <f aca="false">(Revenue!T$7+Revenue!T$8+Revenue!T$10+Revenue!T$11+Revenue!T$12+Revenue!T$13+Revenue!T$15+Revenue!T$16+Revenue!T$17+Revenue!T$18)/Assumptions!$D$84</f>
        <v>7.4</v>
      </c>
      <c r="U67" s="71" t="n">
        <f aca="false">(Revenue!U$7+Revenue!U$8+Revenue!U$10+Revenue!U$11+Revenue!U$12+Revenue!U$13+Revenue!U$15+Revenue!U$16+Revenue!U$17+Revenue!U$18)/Assumptions!$D$84</f>
        <v>7.5</v>
      </c>
      <c r="V67" s="71" t="n">
        <f aca="false">(Revenue!V$7+Revenue!V$8+Revenue!V$10+Revenue!V$11+Revenue!V$12+Revenue!V$13+Revenue!V$15+Revenue!V$16+Revenue!V$17+Revenue!V$18)/Assumptions!$D$84</f>
        <v>8.25</v>
      </c>
      <c r="W67" s="71" t="n">
        <f aca="false">(Revenue!W$7+Revenue!W$8+Revenue!W$10+Revenue!W$11+Revenue!W$12+Revenue!W$13+Revenue!W$15+Revenue!W$16+Revenue!W$17+Revenue!W$18)/Assumptions!$D$84</f>
        <v>9.25</v>
      </c>
      <c r="X67" s="71" t="n">
        <f aca="false">(Revenue!X$7+Revenue!X$8+Revenue!X$10+Revenue!X$11+Revenue!X$12+Revenue!X$13+Revenue!X$15+Revenue!X$16+Revenue!X$17+Revenue!X$18)/Assumptions!$D$84</f>
        <v>8.31818181818182</v>
      </c>
      <c r="Y67" s="71" t="n">
        <f aca="false">(Revenue!Y$7+Revenue!Y$8+Revenue!Y$10+Revenue!Y$11+Revenue!Y$12+Revenue!Y$13+Revenue!Y$15+Revenue!Y$16+Revenue!Y$17+Revenue!Y$18)/Assumptions!$D$84</f>
        <v>9.15</v>
      </c>
      <c r="Z67" s="71" t="n">
        <f aca="false">(Revenue!Z$7+Revenue!Z$8+Revenue!Z$10+Revenue!Z$11+Revenue!Z$12+Revenue!Z$13+Revenue!Z$15+Revenue!Z$16+Revenue!Z$17+Revenue!Z$18)/Assumptions!$D$84</f>
        <v>10.2590909090909</v>
      </c>
      <c r="AA67" s="71" t="n">
        <f aca="false">(Revenue!AA$7+Revenue!AA$8+Revenue!AA$10+Revenue!AA$11+Revenue!AA$12+Revenue!AA$13+Revenue!AA$15+Revenue!AA$16+Revenue!AA$17+Revenue!AA$18)/Assumptions!$E$84</f>
        <v>9</v>
      </c>
      <c r="AB67" s="71" t="n">
        <f aca="false">(Revenue!AB$7+Revenue!AB$8+Revenue!AB$10+Revenue!AB$11+Revenue!AB$12+Revenue!AB$13+Revenue!AB$15+Revenue!AB$16+Revenue!AB$17+Revenue!AB$18)/Assumptions!$E$84</f>
        <v>9.9</v>
      </c>
      <c r="AC67" s="71" t="n">
        <f aca="false">(Revenue!AC$7+Revenue!AC$8+Revenue!AC$10+Revenue!AC$11+Revenue!AC$12+Revenue!AC$13+Revenue!AC$15+Revenue!AC$16+Revenue!AC$17+Revenue!AC$18)/Assumptions!$E$84</f>
        <v>11.1</v>
      </c>
      <c r="AD67" s="71" t="n">
        <f aca="false">(Revenue!AD$7+Revenue!AD$8+Revenue!AD$10+Revenue!AD$11+Revenue!AD$12+Revenue!AD$13+Revenue!AD$15+Revenue!AD$16+Revenue!AD$17+Revenue!AD$18)/Assumptions!$E$84</f>
        <v>10.2692307692308</v>
      </c>
      <c r="AE67" s="71" t="n">
        <f aca="false">(Revenue!AE$7+Revenue!AE$8+Revenue!AE$10+Revenue!AE$11+Revenue!AE$12+Revenue!AE$13+Revenue!AE$15+Revenue!AE$16+Revenue!AE$17+Revenue!AE$18)/Assumptions!$E$84</f>
        <v>11.2961538461538</v>
      </c>
      <c r="AF67" s="71" t="n">
        <f aca="false">(Revenue!AF$7+Revenue!AF$8+Revenue!AF$10+Revenue!AF$11+Revenue!AF$12+Revenue!AF$13+Revenue!AF$15+Revenue!AF$16+Revenue!AF$17+Revenue!AF$18)/Assumptions!$E$84</f>
        <v>12.6653846153846</v>
      </c>
      <c r="AG67" s="71" t="n">
        <f aca="false">(Revenue!AG$7+Revenue!AG$8+Revenue!AG$10+Revenue!AG$11+Revenue!AG$12+Revenue!AG$13+Revenue!AG$15+Revenue!AG$16+Revenue!AG$17+Revenue!AG$18)/Assumptions!$E$84</f>
        <v>11.4230769230769</v>
      </c>
      <c r="AH67" s="71" t="n">
        <f aca="false">(Revenue!AH$7+Revenue!AH$8+Revenue!AH$10+Revenue!AH$11+Revenue!AH$12+Revenue!AH$13+Revenue!AH$15+Revenue!AH$16+Revenue!AH$17+Revenue!AH$18)/Assumptions!$E$84</f>
        <v>12.5653846153846</v>
      </c>
      <c r="AI67" s="71" t="n">
        <f aca="false">(Revenue!AI$7+Revenue!AI$8+Revenue!AI$10+Revenue!AI$11+Revenue!AI$12+Revenue!AI$13+Revenue!AI$15+Revenue!AI$16+Revenue!AI$17+Revenue!AI$18)/Assumptions!$E$84</f>
        <v>14.0884615384615</v>
      </c>
      <c r="AJ67" s="71" t="n">
        <f aca="false">(Revenue!AJ$7+Revenue!AJ$8+Revenue!AJ$10+Revenue!AJ$11+Revenue!AJ$12+Revenue!AJ$13+Revenue!AJ$15+Revenue!AJ$16+Revenue!AJ$17+Revenue!AJ$18)/Assumptions!$E$84</f>
        <v>12.8076923076923</v>
      </c>
      <c r="AK67" s="71" t="n">
        <f aca="false">(Revenue!AK$7+Revenue!AK$8+Revenue!AK$10+Revenue!AK$11+Revenue!AK$12+Revenue!AK$13+Revenue!AK$15+Revenue!AK$16+Revenue!AK$17+Revenue!AK$18)/Assumptions!$E$84</f>
        <v>14.0884615384615</v>
      </c>
      <c r="AL67" s="71" t="n">
        <f aca="false">(Revenue!AL$7+Revenue!AL$8+Revenue!AL$10+Revenue!AL$11+Revenue!AL$12+Revenue!AL$13+Revenue!AL$15+Revenue!AL$16+Revenue!AL$17+Revenue!AL$18)/Assumptions!$E$84</f>
        <v>15.7961538461538</v>
      </c>
      <c r="AN67" s="67" t="n">
        <f aca="false">SUM(C67:N67)</f>
        <v>27.7777777777778</v>
      </c>
      <c r="AO67" s="67" t="n">
        <f aca="false">SUM(O67:Z67)</f>
        <v>89.5454545454545</v>
      </c>
      <c r="AP67" s="67" t="n">
        <f aca="false">SUM(AA67:AL67)</f>
        <v>145</v>
      </c>
    </row>
    <row r="68" customFormat="false" ht="15" hidden="false" customHeight="false" outlineLevel="0" collapsed="false">
      <c r="A68" s="10" t="s">
        <v>477</v>
      </c>
      <c r="B68" s="24" t="s">
        <v>478</v>
      </c>
      <c r="C68" s="38" t="n">
        <f aca="false">IFERROR(C66/C67,0)</f>
        <v>0</v>
      </c>
      <c r="D68" s="38" t="n">
        <f aca="false">IFERROR(D66/D67,0)</f>
        <v>0</v>
      </c>
      <c r="E68" s="38" t="n">
        <f aca="false">IFERROR(E66/E67,0)</f>
        <v>0</v>
      </c>
      <c r="F68" s="38" t="n">
        <f aca="false">IFERROR(F66/F67,0)</f>
        <v>3.17639578021978</v>
      </c>
      <c r="G68" s="38" t="n">
        <f aca="false">IFERROR(G66/G67,0)</f>
        <v>2.88763252747253</v>
      </c>
      <c r="H68" s="38" t="n">
        <f aca="false">IFERROR(H66/H67,0)</f>
        <v>2.57545603801604</v>
      </c>
      <c r="I68" s="38" t="n">
        <f aca="false">IFERROR(I66/I67,0)</f>
        <v>1.48231803076923</v>
      </c>
      <c r="J68" s="38" t="n">
        <f aca="false">IFERROR(J66/J67,0)</f>
        <v>1.34756184615385</v>
      </c>
      <c r="K68" s="38" t="n">
        <f aca="false">IFERROR(K66/K67,0)</f>
        <v>1.20187948440748</v>
      </c>
      <c r="L68" s="38" t="n">
        <f aca="false">IFERROR(L66/L67,0)</f>
        <v>0.823510017094017</v>
      </c>
      <c r="M68" s="38" t="n">
        <f aca="false">IFERROR(M66/M67,0)</f>
        <v>0.74864547008547</v>
      </c>
      <c r="N68" s="38" t="n">
        <f aca="false">IFERROR(N66/N67,0)</f>
        <v>0.667710824670825</v>
      </c>
      <c r="O68" s="38" t="n">
        <f aca="false">IFERROR(O66/O67,0)</f>
        <v>0.850452734580735</v>
      </c>
      <c r="P68" s="38" t="n">
        <f aca="false">IFERROR(P66/P67,0)</f>
        <v>0.77313884961885</v>
      </c>
      <c r="Q68" s="38" t="n">
        <f aca="false">IFERROR(Q66/Q67,0)</f>
        <v>0.689556271281677</v>
      </c>
      <c r="R68" s="38" t="n">
        <f aca="false">IFERROR(R66/R67,0)</f>
        <v>0.715153435897436</v>
      </c>
      <c r="S68" s="38" t="n">
        <f aca="false">IFERROR(S66/S67,0)</f>
        <v>1.59883598769231</v>
      </c>
      <c r="T68" s="38" t="n">
        <f aca="false">IFERROR(T66/T67,0)</f>
        <v>1.42598885388773</v>
      </c>
      <c r="U68" s="38" t="n">
        <f aca="false">IFERROR(U66/U67,0)</f>
        <v>1.40697566916923</v>
      </c>
      <c r="V68" s="38" t="n">
        <f aca="false">IFERROR(V66/V67,0)</f>
        <v>1.27906879015385</v>
      </c>
      <c r="W68" s="38" t="n">
        <f aca="false">IFERROR(W66/W67,0)</f>
        <v>1.14079108311019</v>
      </c>
      <c r="X68" s="38" t="n">
        <f aca="false">IFERROR(X66/X67,0)</f>
        <v>1.26858461974275</v>
      </c>
      <c r="Y68" s="38" t="n">
        <f aca="false">IFERROR(Y66/Y67,0)</f>
        <v>1.15325874522068</v>
      </c>
      <c r="Z68" s="38" t="n">
        <f aca="false">IFERROR(Z66/Z67,0)</f>
        <v>1.02858212411574</v>
      </c>
      <c r="AA68" s="38" t="n">
        <f aca="false">IFERROR(AA66/AA67,0)</f>
        <v>1.33236332307692</v>
      </c>
      <c r="AB68" s="38" t="n">
        <f aca="false">IFERROR(AB66/AB67,0)</f>
        <v>1.21123938461538</v>
      </c>
      <c r="AC68" s="38" t="n">
        <f aca="false">IFERROR(AC66/AC67,0)</f>
        <v>1.08029458627859</v>
      </c>
      <c r="AD68" s="38" t="n">
        <f aca="false">IFERROR(AD66/AD67,0)</f>
        <v>1.16768920449438</v>
      </c>
      <c r="AE68" s="38" t="n">
        <f aca="false">IFERROR(AE66/AE67,0)</f>
        <v>2.00485726659857</v>
      </c>
      <c r="AF68" s="38" t="n">
        <f aca="false">IFERROR(AF66/AF67,0)</f>
        <v>1.78811594047981</v>
      </c>
      <c r="AG68" s="38" t="n">
        <f aca="false">IFERROR(AG66/AG67,0)</f>
        <v>1.98258107474748</v>
      </c>
      <c r="AH68" s="38" t="n">
        <f aca="false">IFERROR(AH66/AH67,0)</f>
        <v>1.80234643158861</v>
      </c>
      <c r="AI68" s="38" t="n">
        <f aca="false">IFERROR(AI66/AI67,0)</f>
        <v>1.60749816871417</v>
      </c>
      <c r="AJ68" s="38" t="n">
        <f aca="false">IFERROR(AJ66/AJ67,0)</f>
        <v>1.76824798558559</v>
      </c>
      <c r="AK68" s="38" t="n">
        <f aca="false">IFERROR(AK66/AK67,0)</f>
        <v>1.60749816871417</v>
      </c>
      <c r="AL68" s="38" t="n">
        <f aca="false">IFERROR(AL66/AL67,0)</f>
        <v>1.43371458290723</v>
      </c>
      <c r="AN68" s="72" t="n">
        <f aca="false">IFERROR(AVERAGE(C68:N68),0)</f>
        <v>1.2425925015741</v>
      </c>
      <c r="AO68" s="72" t="n">
        <f aca="false">IFERROR(AVERAGE(O68:Z68),0)</f>
        <v>1.11086559703926</v>
      </c>
      <c r="AP68" s="72" t="n">
        <f aca="false">IFERROR(AVERAGE(AA68:AL68),0)</f>
        <v>1.56553717648341</v>
      </c>
    </row>
    <row r="69" customFormat="false" ht="15" hidden="false" customHeight="false" outlineLevel="0" collapsed="false">
      <c r="A69" s="26" t="s">
        <v>479</v>
      </c>
      <c r="B69" s="24" t="s">
        <v>480</v>
      </c>
      <c r="C69" s="51" t="n">
        <f aca="false">IFERROR((C31+C55*Assumptions!$C$83)/C66,0)</f>
        <v>0</v>
      </c>
      <c r="D69" s="51" t="n">
        <f aca="false">IFERROR((D31+D55*Assumptions!$C$83)/D66,0)</f>
        <v>0</v>
      </c>
      <c r="E69" s="51" t="n">
        <f aca="false">IFERROR((E31+E55*Assumptions!$C$83)/E66,0)</f>
        <v>0</v>
      </c>
      <c r="F69" s="51" t="n">
        <f aca="false">IFERROR((F31+F55*Assumptions!$C$83)/F66,0)</f>
        <v>1831.86060186482</v>
      </c>
      <c r="G69" s="51" t="n">
        <f aca="false">IFERROR((G31+G55*Assumptions!$C$83)/G66,0)</f>
        <v>1831.86060186482</v>
      </c>
      <c r="H69" s="51" t="n">
        <f aca="false">IFERROR((H31+H55*Assumptions!$C$83)/H66,0)</f>
        <v>1831.86060186482</v>
      </c>
      <c r="I69" s="51" t="n">
        <f aca="false">IFERROR((I31+I55*Assumptions!$C$83)/I66,0)</f>
        <v>1831.86060186482</v>
      </c>
      <c r="J69" s="51" t="n">
        <f aca="false">IFERROR((J31+J55*Assumptions!$C$83)/J66,0)</f>
        <v>1831.86060186482</v>
      </c>
      <c r="K69" s="51" t="n">
        <f aca="false">IFERROR((K31+K55*Assumptions!$C$83)/K66,0)</f>
        <v>1831.86060186482</v>
      </c>
      <c r="L69" s="51" t="n">
        <f aca="false">IFERROR((L31+L55*Assumptions!$C$83)/L66,0)</f>
        <v>1831.86060186482</v>
      </c>
      <c r="M69" s="51" t="n">
        <f aca="false">IFERROR((M31+M55*Assumptions!$C$83)/M66,0)</f>
        <v>1831.86060186482</v>
      </c>
      <c r="N69" s="51" t="n">
        <f aca="false">IFERROR((N31+N55*Assumptions!$C$83)/N66,0)</f>
        <v>1831.86060186482</v>
      </c>
      <c r="O69" s="51" t="n">
        <f aca="false">IFERROR((O31+O55*Assumptions!$C$83)/O66,0)</f>
        <v>3730.55142120479</v>
      </c>
      <c r="P69" s="51" t="n">
        <f aca="false">IFERROR((P31+P55*Assumptions!$C$83)/P66,0)</f>
        <v>3730.55142120479</v>
      </c>
      <c r="Q69" s="51" t="n">
        <f aca="false">IFERROR((Q31+Q55*Assumptions!$C$83)/Q66,0)</f>
        <v>3730.55142120479</v>
      </c>
      <c r="R69" s="51" t="n">
        <f aca="false">IFERROR((R31+R55*Assumptions!$C$83)/R66,0)</f>
        <v>3730.55142120479</v>
      </c>
      <c r="S69" s="51" t="n">
        <f aca="false">IFERROR((S31+S55*Assumptions!$C$83)/S66,0)</f>
        <v>1516.9653463827</v>
      </c>
      <c r="T69" s="51" t="n">
        <f aca="false">IFERROR((T31+T55*Assumptions!$C$83)/T66,0)</f>
        <v>1516.9653463827</v>
      </c>
      <c r="U69" s="51" t="n">
        <f aca="false">IFERROR((U31+U55*Assumptions!$C$83)/U66,0)</f>
        <v>1516.9653463827</v>
      </c>
      <c r="V69" s="51" t="n">
        <f aca="false">IFERROR((V31+V55*Assumptions!$C$83)/V66,0)</f>
        <v>1516.9653463827</v>
      </c>
      <c r="W69" s="51" t="n">
        <f aca="false">IFERROR((W31+W55*Assumptions!$C$83)/W66,0)</f>
        <v>1516.9653463827</v>
      </c>
      <c r="X69" s="51" t="n">
        <f aca="false">IFERROR((X31+X55*Assumptions!$C$83)/X66,0)</f>
        <v>1516.9653463827</v>
      </c>
      <c r="Y69" s="51" t="n">
        <f aca="false">IFERROR((Y31+Y55*Assumptions!$C$83)/Y66,0)</f>
        <v>1516.9653463827</v>
      </c>
      <c r="Z69" s="51" t="n">
        <f aca="false">IFERROR((Z31+Z55*Assumptions!$C$83)/Z66,0)</f>
        <v>1516.9653463827</v>
      </c>
      <c r="AA69" s="51" t="n">
        <f aca="false">IFERROR((AA31+AA55*Assumptions!$C$83)/AA66,0)</f>
        <v>2390.69758421583</v>
      </c>
      <c r="AB69" s="51" t="n">
        <f aca="false">IFERROR((AB31+AB55*Assumptions!$C$83)/AB66,0)</f>
        <v>2390.69758421583</v>
      </c>
      <c r="AC69" s="51" t="n">
        <f aca="false">IFERROR((AC31+AC55*Assumptions!$C$83)/AC66,0)</f>
        <v>2390.69758421583</v>
      </c>
      <c r="AD69" s="51" t="n">
        <f aca="false">IFERROR((AD31+AD55*Assumptions!$C$83)/AD66,0)</f>
        <v>2390.69758421583</v>
      </c>
      <c r="AE69" s="51" t="n">
        <f aca="false">IFERROR((AE31+AE55*Assumptions!$C$83)/AE66,0)</f>
        <v>1265.8311060154</v>
      </c>
      <c r="AF69" s="51" t="n">
        <f aca="false">IFERROR((AF31+AF55*Assumptions!$C$83)/AF66,0)</f>
        <v>1265.8311060154</v>
      </c>
      <c r="AG69" s="51" t="n">
        <f aca="false">IFERROR((AG31+AG55*Assumptions!$C$83)/AG66,0)</f>
        <v>1265.8311060154</v>
      </c>
      <c r="AH69" s="51" t="n">
        <f aca="false">IFERROR((AH31+AH55*Assumptions!$C$83)/AH66,0)</f>
        <v>1265.8311060154</v>
      </c>
      <c r="AI69" s="51" t="n">
        <f aca="false">IFERROR((AI31+AI55*Assumptions!$C$83)/AI66,0)</f>
        <v>1265.8311060154</v>
      </c>
      <c r="AJ69" s="51" t="n">
        <f aca="false">IFERROR((AJ31+AJ55*Assumptions!$C$83)/AJ66,0)</f>
        <v>1265.8311060154</v>
      </c>
      <c r="AK69" s="51" t="n">
        <f aca="false">IFERROR((AK31+AK55*Assumptions!$C$83)/AK66,0)</f>
        <v>1265.8311060154</v>
      </c>
      <c r="AL69" s="51" t="n">
        <f aca="false">IFERROR((AL31+AL55*Assumptions!$C$83)/AL66,0)</f>
        <v>1265.8311060154</v>
      </c>
      <c r="AN69" s="52" t="n">
        <f aca="false">IFERROR(AVERAGE(C69:N69),0)</f>
        <v>1373.89545139862</v>
      </c>
      <c r="AO69" s="52" t="n">
        <f aca="false">IFERROR(AVERAGE(O69:Z69),0)</f>
        <v>2254.8273713234</v>
      </c>
      <c r="AP69" s="52" t="n">
        <f aca="false">IFERROR(AVERAGE(AA69:AL69),0)</f>
        <v>1640.78659874888</v>
      </c>
    </row>
    <row r="71" customFormat="false" ht="16.5" hidden="false" customHeight="true" outlineLevel="0" collapsed="false">
      <c r="A71" s="21" t="s">
        <v>481</v>
      </c>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row>
    <row r="72" customFormat="false" ht="15.75" hidden="false" customHeight="true" outlineLevel="0" collapsed="false">
      <c r="A72" s="36" t="s">
        <v>345</v>
      </c>
      <c r="B72" s="36" t="s">
        <v>346</v>
      </c>
      <c r="C72" s="47" t="s">
        <v>347</v>
      </c>
      <c r="D72" s="47" t="s">
        <v>348</v>
      </c>
      <c r="E72" s="47" t="s">
        <v>349</v>
      </c>
      <c r="F72" s="47" t="s">
        <v>350</v>
      </c>
      <c r="G72" s="47" t="s">
        <v>351</v>
      </c>
      <c r="H72" s="47" t="s">
        <v>352</v>
      </c>
      <c r="I72" s="47" t="s">
        <v>353</v>
      </c>
      <c r="J72" s="47" t="s">
        <v>354</v>
      </c>
      <c r="K72" s="47" t="s">
        <v>355</v>
      </c>
      <c r="L72" s="47" t="s">
        <v>356</v>
      </c>
      <c r="M72" s="47" t="s">
        <v>357</v>
      </c>
      <c r="N72" s="47" t="s">
        <v>358</v>
      </c>
      <c r="O72" s="48" t="s">
        <v>359</v>
      </c>
      <c r="P72" s="48" t="s">
        <v>360</v>
      </c>
      <c r="Q72" s="48" t="s">
        <v>361</v>
      </c>
      <c r="R72" s="48" t="s">
        <v>362</v>
      </c>
      <c r="S72" s="48" t="s">
        <v>363</v>
      </c>
      <c r="T72" s="48" t="s">
        <v>364</v>
      </c>
      <c r="U72" s="48" t="s">
        <v>365</v>
      </c>
      <c r="V72" s="48" t="s">
        <v>366</v>
      </c>
      <c r="W72" s="48" t="s">
        <v>367</v>
      </c>
      <c r="X72" s="48" t="s">
        <v>368</v>
      </c>
      <c r="Y72" s="48" t="s">
        <v>369</v>
      </c>
      <c r="Z72" s="48" t="s">
        <v>370</v>
      </c>
      <c r="AA72" s="47" t="s">
        <v>371</v>
      </c>
      <c r="AB72" s="47" t="s">
        <v>372</v>
      </c>
      <c r="AC72" s="47" t="s">
        <v>373</v>
      </c>
      <c r="AD72" s="47" t="s">
        <v>374</v>
      </c>
      <c r="AE72" s="47" t="s">
        <v>375</v>
      </c>
      <c r="AF72" s="47" t="s">
        <v>376</v>
      </c>
      <c r="AG72" s="47" t="s">
        <v>377</v>
      </c>
      <c r="AH72" s="47" t="s">
        <v>378</v>
      </c>
      <c r="AI72" s="47" t="s">
        <v>379</v>
      </c>
      <c r="AJ72" s="47" t="s">
        <v>380</v>
      </c>
      <c r="AK72" s="47" t="s">
        <v>381</v>
      </c>
      <c r="AL72" s="47" t="s">
        <v>382</v>
      </c>
      <c r="AM72" s="49"/>
      <c r="AN72" s="50" t="s">
        <v>383</v>
      </c>
      <c r="AO72" s="50" t="s">
        <v>384</v>
      </c>
      <c r="AP72" s="50" t="s">
        <v>385</v>
      </c>
    </row>
    <row r="73" customFormat="false" ht="15" hidden="false" customHeight="false" outlineLevel="0" collapsed="false">
      <c r="A73" s="26" t="s">
        <v>482</v>
      </c>
      <c r="B73" s="24" t="s">
        <v>483</v>
      </c>
      <c r="C73" s="56" t="n">
        <f aca="false">(Revenue!C$7+Revenue!C$8+Revenue!C$9)*Assumptions!$C$49+(Revenue!C$11+Revenue!C$13)*Assumptions!$C$50</f>
        <v>37.5</v>
      </c>
      <c r="D73" s="56" t="n">
        <f aca="false">(Revenue!D$7+Revenue!D$8+Revenue!D$9)*Assumptions!$C$49+(Revenue!D$11+Revenue!D$13)*Assumptions!$C$50</f>
        <v>41.25</v>
      </c>
      <c r="E73" s="56" t="n">
        <f aca="false">(Revenue!E$7+Revenue!E$8+Revenue!E$9)*Assumptions!$C$49+(Revenue!E$11+Revenue!E$13)*Assumptions!$C$50</f>
        <v>46.25</v>
      </c>
      <c r="F73" s="56" t="n">
        <f aca="false">(Revenue!F$7+Revenue!F$8+Revenue!F$9)*Assumptions!$C$49+(Revenue!F$11+Revenue!F$13)*Assumptions!$C$50</f>
        <v>60</v>
      </c>
      <c r="G73" s="56" t="n">
        <f aca="false">(Revenue!G$7+Revenue!G$8+Revenue!G$9)*Assumptions!$C$49+(Revenue!G$11+Revenue!G$13)*Assumptions!$C$50</f>
        <v>66</v>
      </c>
      <c r="H73" s="56" t="n">
        <f aca="false">(Revenue!H$7+Revenue!H$8+Revenue!H$9)*Assumptions!$C$49+(Revenue!H$11+Revenue!H$13)*Assumptions!$C$50</f>
        <v>74</v>
      </c>
      <c r="I73" s="56" t="n">
        <f aca="false">(Revenue!I$7+Revenue!I$8+Revenue!I$9)*Assumptions!$C$49+(Revenue!I$11+Revenue!I$13)*Assumptions!$C$50</f>
        <v>109.5</v>
      </c>
      <c r="J73" s="56" t="n">
        <f aca="false">(Revenue!J$7+Revenue!J$8+Revenue!J$9)*Assumptions!$C$49+(Revenue!J$11+Revenue!J$13)*Assumptions!$C$50</f>
        <v>120.45</v>
      </c>
      <c r="K73" s="56" t="n">
        <f aca="false">(Revenue!K$7+Revenue!K$8+Revenue!K$9)*Assumptions!$C$49+(Revenue!K$11+Revenue!K$13)*Assumptions!$C$50</f>
        <v>135.05</v>
      </c>
      <c r="L73" s="56" t="n">
        <f aca="false">(Revenue!L$7+Revenue!L$8+Revenue!L$9)*Assumptions!$C$49+(Revenue!L$11+Revenue!L$13)*Assumptions!$C$50</f>
        <v>177</v>
      </c>
      <c r="M73" s="56" t="n">
        <f aca="false">(Revenue!M$7+Revenue!M$8+Revenue!M$9)*Assumptions!$C$49+(Revenue!M$11+Revenue!M$13)*Assumptions!$C$50</f>
        <v>194.7</v>
      </c>
      <c r="N73" s="56" t="n">
        <f aca="false">(Revenue!N$7+Revenue!N$8+Revenue!N$9)*Assumptions!$C$49+(Revenue!N$11+Revenue!N$13)*Assumptions!$C$50</f>
        <v>218.3</v>
      </c>
      <c r="O73" s="56" t="n">
        <f aca="false">(Revenue!O$7+Revenue!O$8+Revenue!O$9)*Assumptions!$C$49+(Revenue!O$11+Revenue!O$13)*Assumptions!$C$50</f>
        <v>244.5</v>
      </c>
      <c r="P73" s="56" t="n">
        <f aca="false">(Revenue!P$7+Revenue!P$8+Revenue!P$9)*Assumptions!$C$49+(Revenue!P$11+Revenue!P$13)*Assumptions!$C$50</f>
        <v>268.95</v>
      </c>
      <c r="Q73" s="56" t="n">
        <f aca="false">(Revenue!Q$7+Revenue!Q$8+Revenue!Q$9)*Assumptions!$C$49+(Revenue!Q$11+Revenue!Q$13)*Assumptions!$C$50</f>
        <v>301.55</v>
      </c>
      <c r="R73" s="56" t="n">
        <f aca="false">(Revenue!R$7+Revenue!R$8+Revenue!R$9)*Assumptions!$C$49+(Revenue!R$11+Revenue!R$13)*Assumptions!$C$50</f>
        <v>295.5</v>
      </c>
      <c r="S73" s="56" t="n">
        <f aca="false">(Revenue!S$7+Revenue!S$8+Revenue!S$9)*Assumptions!$C$49+(Revenue!S$11+Revenue!S$13)*Assumptions!$C$50</f>
        <v>325.05</v>
      </c>
      <c r="T73" s="56" t="n">
        <f aca="false">(Revenue!T$7+Revenue!T$8+Revenue!T$9)*Assumptions!$C$49+(Revenue!T$11+Revenue!T$13)*Assumptions!$C$50</f>
        <v>364.45</v>
      </c>
      <c r="U73" s="56" t="n">
        <f aca="false">(Revenue!U$7+Revenue!U$8+Revenue!U$9)*Assumptions!$C$49+(Revenue!U$11+Revenue!U$13)*Assumptions!$C$50</f>
        <v>354</v>
      </c>
      <c r="V73" s="56" t="n">
        <f aca="false">(Revenue!V$7+Revenue!V$8+Revenue!V$9)*Assumptions!$C$49+(Revenue!V$11+Revenue!V$13)*Assumptions!$C$50</f>
        <v>389.4</v>
      </c>
      <c r="W73" s="56" t="n">
        <f aca="false">(Revenue!W$7+Revenue!W$8+Revenue!W$9)*Assumptions!$C$49+(Revenue!W$11+Revenue!W$13)*Assumptions!$C$50</f>
        <v>436.6</v>
      </c>
      <c r="X73" s="56" t="n">
        <f aca="false">(Revenue!X$7+Revenue!X$8+Revenue!X$9)*Assumptions!$C$49+(Revenue!X$11+Revenue!X$13)*Assumptions!$C$50</f>
        <v>396</v>
      </c>
      <c r="Y73" s="56" t="n">
        <f aca="false">(Revenue!Y$7+Revenue!Y$8+Revenue!Y$9)*Assumptions!$C$49+(Revenue!Y$11+Revenue!Y$13)*Assumptions!$C$50</f>
        <v>435.6</v>
      </c>
      <c r="Z73" s="56" t="n">
        <f aca="false">(Revenue!Z$7+Revenue!Z$8+Revenue!Z$9)*Assumptions!$C$49+(Revenue!Z$11+Revenue!Z$13)*Assumptions!$C$50</f>
        <v>488.4</v>
      </c>
      <c r="AA73" s="56" t="n">
        <f aca="false">(Revenue!AA$7+Revenue!AA$8+Revenue!AA$9)*Assumptions!$C$49+(Revenue!AA$11+Revenue!AA$13)*Assumptions!$C$50</f>
        <v>487.5</v>
      </c>
      <c r="AB73" s="56" t="n">
        <f aca="false">(Revenue!AB$7+Revenue!AB$8+Revenue!AB$9)*Assumptions!$C$49+(Revenue!AB$11+Revenue!AB$13)*Assumptions!$C$50</f>
        <v>536.25</v>
      </c>
      <c r="AC73" s="56" t="n">
        <f aca="false">(Revenue!AC$7+Revenue!AC$8+Revenue!AC$9)*Assumptions!$C$49+(Revenue!AC$11+Revenue!AC$13)*Assumptions!$C$50</f>
        <v>601.25</v>
      </c>
      <c r="AD73" s="56" t="n">
        <f aca="false">(Revenue!AD$7+Revenue!AD$8+Revenue!AD$9)*Assumptions!$C$49+(Revenue!AD$11+Revenue!AD$13)*Assumptions!$C$50</f>
        <v>571.5</v>
      </c>
      <c r="AE73" s="56" t="n">
        <f aca="false">(Revenue!AE$7+Revenue!AE$8+Revenue!AE$9)*Assumptions!$C$49+(Revenue!AE$11+Revenue!AE$13)*Assumptions!$C$50</f>
        <v>628.65</v>
      </c>
      <c r="AF73" s="56" t="n">
        <f aca="false">(Revenue!AF$7+Revenue!AF$8+Revenue!AF$9)*Assumptions!$C$49+(Revenue!AF$11+Revenue!AF$13)*Assumptions!$C$50</f>
        <v>704.85</v>
      </c>
      <c r="AG73" s="56" t="n">
        <f aca="false">(Revenue!AG$7+Revenue!AG$8+Revenue!AG$9)*Assumptions!$C$49+(Revenue!AG$11+Revenue!AG$13)*Assumptions!$C$50</f>
        <v>621</v>
      </c>
      <c r="AH73" s="56" t="n">
        <f aca="false">(Revenue!AH$7+Revenue!AH$8+Revenue!AH$9)*Assumptions!$C$49+(Revenue!AH$11+Revenue!AH$13)*Assumptions!$C$50</f>
        <v>683.1</v>
      </c>
      <c r="AI73" s="56" t="n">
        <f aca="false">(Revenue!AI$7+Revenue!AI$8+Revenue!AI$9)*Assumptions!$C$49+(Revenue!AI$11+Revenue!AI$13)*Assumptions!$C$50</f>
        <v>765.9</v>
      </c>
      <c r="AJ73" s="56" t="n">
        <f aca="false">(Revenue!AJ$7+Revenue!AJ$8+Revenue!AJ$9)*Assumptions!$C$49+(Revenue!AJ$11+Revenue!AJ$13)*Assumptions!$C$50</f>
        <v>705</v>
      </c>
      <c r="AK73" s="56" t="n">
        <f aca="false">(Revenue!AK$7+Revenue!AK$8+Revenue!AK$9)*Assumptions!$C$49+(Revenue!AK$11+Revenue!AK$13)*Assumptions!$C$50</f>
        <v>775.5</v>
      </c>
      <c r="AL73" s="56" t="n">
        <f aca="false">(Revenue!AL$7+Revenue!AL$8+Revenue!AL$9)*Assumptions!$C$49+(Revenue!AL$11+Revenue!AL$13)*Assumptions!$C$50</f>
        <v>869.5</v>
      </c>
      <c r="AN73" s="57" t="n">
        <f aca="false">SUM(C73:N73)</f>
        <v>1280</v>
      </c>
      <c r="AO73" s="57" t="n">
        <f aca="false">SUM(O73:Z73)</f>
        <v>4300</v>
      </c>
      <c r="AP73" s="57" t="n">
        <f aca="false">SUM(AA73:AL73)</f>
        <v>7950</v>
      </c>
    </row>
    <row r="74" customFormat="false" ht="15" hidden="false" customHeight="false" outlineLevel="0" collapsed="false">
      <c r="A74" s="26" t="s">
        <v>484</v>
      </c>
      <c r="B74" s="24" t="s">
        <v>485</v>
      </c>
      <c r="C74" s="56" t="n">
        <f aca="false">Revenue!C$17*Assumptions!$C$85</f>
        <v>0</v>
      </c>
      <c r="D74" s="56" t="n">
        <f aca="false">Revenue!D$17*Assumptions!$C$85</f>
        <v>0</v>
      </c>
      <c r="E74" s="56" t="n">
        <f aca="false">Revenue!E$17*Assumptions!$C$85</f>
        <v>0</v>
      </c>
      <c r="F74" s="56" t="n">
        <f aca="false">Revenue!F$17*Assumptions!$C$85</f>
        <v>210</v>
      </c>
      <c r="G74" s="56" t="n">
        <f aca="false">Revenue!G$17*Assumptions!$C$85</f>
        <v>231</v>
      </c>
      <c r="H74" s="56" t="n">
        <f aca="false">Revenue!H$17*Assumptions!$C$85</f>
        <v>259</v>
      </c>
      <c r="I74" s="56" t="n">
        <f aca="false">Revenue!I$17*Assumptions!$C$85</f>
        <v>210</v>
      </c>
      <c r="J74" s="56" t="n">
        <f aca="false">Revenue!J$17*Assumptions!$C$85</f>
        <v>231</v>
      </c>
      <c r="K74" s="56" t="n">
        <f aca="false">Revenue!K$17*Assumptions!$C$85</f>
        <v>259</v>
      </c>
      <c r="L74" s="56" t="n">
        <f aca="false">Revenue!L$17*Assumptions!$C$85</f>
        <v>420</v>
      </c>
      <c r="M74" s="56" t="n">
        <f aca="false">Revenue!M$17*Assumptions!$C$85</f>
        <v>462</v>
      </c>
      <c r="N74" s="56" t="n">
        <f aca="false">Revenue!N$17*Assumptions!$C$85</f>
        <v>518</v>
      </c>
      <c r="O74" s="56" t="n">
        <f aca="false">Revenue!O$17*Assumptions!$C$85</f>
        <v>420</v>
      </c>
      <c r="P74" s="56" t="n">
        <f aca="false">Revenue!P$17*Assumptions!$C$85</f>
        <v>462</v>
      </c>
      <c r="Q74" s="56" t="n">
        <f aca="false">Revenue!Q$17*Assumptions!$C$85</f>
        <v>518</v>
      </c>
      <c r="R74" s="56" t="n">
        <f aca="false">Revenue!R$17*Assumptions!$C$85</f>
        <v>420</v>
      </c>
      <c r="S74" s="56" t="n">
        <f aca="false">Revenue!S$17*Assumptions!$C$85</f>
        <v>462</v>
      </c>
      <c r="T74" s="56" t="n">
        <f aca="false">Revenue!T$17*Assumptions!$C$85</f>
        <v>518</v>
      </c>
      <c r="U74" s="56" t="n">
        <f aca="false">Revenue!U$17*Assumptions!$C$85</f>
        <v>630</v>
      </c>
      <c r="V74" s="56" t="n">
        <f aca="false">Revenue!V$17*Assumptions!$C$85</f>
        <v>693</v>
      </c>
      <c r="W74" s="56" t="n">
        <f aca="false">Revenue!W$17*Assumptions!$C$85</f>
        <v>777</v>
      </c>
      <c r="X74" s="56" t="n">
        <f aca="false">Revenue!X$17*Assumptions!$C$85</f>
        <v>630</v>
      </c>
      <c r="Y74" s="56" t="n">
        <f aca="false">Revenue!Y$17*Assumptions!$C$85</f>
        <v>693</v>
      </c>
      <c r="Z74" s="56" t="n">
        <f aca="false">Revenue!Z$17*Assumptions!$C$85</f>
        <v>777</v>
      </c>
      <c r="AA74" s="56" t="n">
        <f aca="false">Revenue!AA$17*Assumptions!$C$85</f>
        <v>840</v>
      </c>
      <c r="AB74" s="56" t="n">
        <f aca="false">Revenue!AB$17*Assumptions!$C$85</f>
        <v>924</v>
      </c>
      <c r="AC74" s="56" t="n">
        <f aca="false">Revenue!AC$17*Assumptions!$C$85</f>
        <v>1036</v>
      </c>
      <c r="AD74" s="56" t="n">
        <f aca="false">Revenue!AD$17*Assumptions!$C$85</f>
        <v>840</v>
      </c>
      <c r="AE74" s="56" t="n">
        <f aca="false">Revenue!AE$17*Assumptions!$C$85</f>
        <v>924</v>
      </c>
      <c r="AF74" s="56" t="n">
        <f aca="false">Revenue!AF$17*Assumptions!$C$85</f>
        <v>1036</v>
      </c>
      <c r="AG74" s="56" t="n">
        <f aca="false">Revenue!AG$17*Assumptions!$C$85</f>
        <v>1050</v>
      </c>
      <c r="AH74" s="56" t="n">
        <f aca="false">Revenue!AH$17*Assumptions!$C$85</f>
        <v>1155</v>
      </c>
      <c r="AI74" s="56" t="n">
        <f aca="false">Revenue!AI$17*Assumptions!$C$85</f>
        <v>1295</v>
      </c>
      <c r="AJ74" s="56" t="n">
        <f aca="false">Revenue!AJ$17*Assumptions!$C$85</f>
        <v>1050</v>
      </c>
      <c r="AK74" s="56" t="n">
        <f aca="false">Revenue!AK$17*Assumptions!$C$85</f>
        <v>1155</v>
      </c>
      <c r="AL74" s="56" t="n">
        <f aca="false">Revenue!AL$17*Assumptions!$C$85</f>
        <v>1295</v>
      </c>
      <c r="AN74" s="57" t="n">
        <f aca="false">SUM(C74:N74)</f>
        <v>2800</v>
      </c>
      <c r="AO74" s="57" t="n">
        <f aca="false">SUM(O74:Z74)</f>
        <v>7000</v>
      </c>
      <c r="AP74" s="57" t="n">
        <f aca="false">SUM(AA74:AL74)</f>
        <v>12600</v>
      </c>
    </row>
    <row r="75" customFormat="false" ht="15" hidden="false" customHeight="false" outlineLevel="0" collapsed="false">
      <c r="A75" s="26" t="s">
        <v>486</v>
      </c>
      <c r="B75" s="24"/>
      <c r="C75" s="56" t="n">
        <f aca="false">Revenue!C$14+Revenue!C$20</f>
        <v>0</v>
      </c>
      <c r="D75" s="56" t="n">
        <f aca="false">Revenue!D$14+Revenue!D$20</f>
        <v>0</v>
      </c>
      <c r="E75" s="56" t="n">
        <f aca="false">Revenue!E$14+Revenue!E$20</f>
        <v>0</v>
      </c>
      <c r="F75" s="56" t="n">
        <f aca="false">Revenue!F$14+Revenue!F$20</f>
        <v>36</v>
      </c>
      <c r="G75" s="56" t="n">
        <f aca="false">Revenue!G$14+Revenue!G$20</f>
        <v>39.6</v>
      </c>
      <c r="H75" s="56" t="n">
        <f aca="false">Revenue!H$14+Revenue!H$20</f>
        <v>44.4</v>
      </c>
      <c r="I75" s="56" t="n">
        <f aca="false">Revenue!I$14+Revenue!I$20</f>
        <v>54</v>
      </c>
      <c r="J75" s="56" t="n">
        <f aca="false">Revenue!J$14+Revenue!J$20</f>
        <v>59.4</v>
      </c>
      <c r="K75" s="56" t="n">
        <f aca="false">Revenue!K$14+Revenue!K$20</f>
        <v>66.6</v>
      </c>
      <c r="L75" s="56" t="n">
        <f aca="false">Revenue!L$14+Revenue!L$20</f>
        <v>672</v>
      </c>
      <c r="M75" s="56" t="n">
        <f aca="false">Revenue!M$14+Revenue!M$20</f>
        <v>739.2</v>
      </c>
      <c r="N75" s="56" t="n">
        <f aca="false">Revenue!N$14+Revenue!N$20</f>
        <v>828.8</v>
      </c>
      <c r="O75" s="56" t="n">
        <f aca="false">Revenue!O$14+Revenue!O$20</f>
        <v>1005</v>
      </c>
      <c r="P75" s="56" t="n">
        <f aca="false">Revenue!P$14+Revenue!P$20</f>
        <v>1105.5</v>
      </c>
      <c r="Q75" s="56" t="n">
        <f aca="false">Revenue!Q$14+Revenue!Q$20</f>
        <v>1239.5</v>
      </c>
      <c r="R75" s="56" t="n">
        <f aca="false">Revenue!R$14+Revenue!R$20</f>
        <v>1326</v>
      </c>
      <c r="S75" s="56" t="n">
        <f aca="false">Revenue!S$14+Revenue!S$20</f>
        <v>1458.6</v>
      </c>
      <c r="T75" s="56" t="n">
        <f aca="false">Revenue!T$14+Revenue!T$20</f>
        <v>1635.4</v>
      </c>
      <c r="U75" s="56" t="n">
        <f aca="false">Revenue!U$14+Revenue!U$20</f>
        <v>1947</v>
      </c>
      <c r="V75" s="56" t="n">
        <f aca="false">Revenue!V$14+Revenue!V$20</f>
        <v>2141.7</v>
      </c>
      <c r="W75" s="56" t="n">
        <f aca="false">Revenue!W$14+Revenue!W$20</f>
        <v>2401.3</v>
      </c>
      <c r="X75" s="56" t="n">
        <f aca="false">Revenue!X$14+Revenue!X$20</f>
        <v>2568</v>
      </c>
      <c r="Y75" s="56" t="n">
        <f aca="false">Revenue!Y$14+Revenue!Y$20</f>
        <v>2824.8</v>
      </c>
      <c r="Z75" s="56" t="n">
        <f aca="false">Revenue!Z$14+Revenue!Z$20</f>
        <v>3167.2</v>
      </c>
      <c r="AA75" s="56" t="n">
        <f aca="false">Revenue!AA$14+Revenue!AA$20</f>
        <v>3840</v>
      </c>
      <c r="AB75" s="56" t="n">
        <f aca="false">Revenue!AB$14+Revenue!AB$20</f>
        <v>4224</v>
      </c>
      <c r="AC75" s="56" t="n">
        <f aca="false">Revenue!AC$14+Revenue!AC$20</f>
        <v>4736</v>
      </c>
      <c r="AD75" s="56" t="n">
        <f aca="false">Revenue!AD$14+Revenue!AD$20</f>
        <v>4764</v>
      </c>
      <c r="AE75" s="56" t="n">
        <f aca="false">Revenue!AE$14+Revenue!AE$20</f>
        <v>5240.4</v>
      </c>
      <c r="AF75" s="56" t="n">
        <f aca="false">Revenue!AF$14+Revenue!AF$20</f>
        <v>5875.6</v>
      </c>
      <c r="AG75" s="56" t="n">
        <f aca="false">Revenue!AG$14+Revenue!AG$20</f>
        <v>5688</v>
      </c>
      <c r="AH75" s="56" t="n">
        <f aca="false">Revenue!AH$14+Revenue!AH$20</f>
        <v>6256.8</v>
      </c>
      <c r="AI75" s="56" t="n">
        <f aca="false">Revenue!AI$14+Revenue!AI$20</f>
        <v>7015.2</v>
      </c>
      <c r="AJ75" s="56" t="n">
        <f aca="false">Revenue!AJ$14+Revenue!AJ$20</f>
        <v>6312</v>
      </c>
      <c r="AK75" s="56" t="n">
        <f aca="false">Revenue!AK$14+Revenue!AK$20</f>
        <v>6943.2</v>
      </c>
      <c r="AL75" s="56" t="n">
        <f aca="false">Revenue!AL$14+Revenue!AL$20</f>
        <v>7784.8</v>
      </c>
      <c r="AN75" s="57" t="n">
        <f aca="false">SUM(C75:N75)</f>
        <v>2540</v>
      </c>
      <c r="AO75" s="57" t="n">
        <f aca="false">SUM(O75:Z75)</f>
        <v>22820</v>
      </c>
      <c r="AP75" s="57" t="n">
        <f aca="false">SUM(AA75:AL75)</f>
        <v>68680</v>
      </c>
    </row>
    <row r="76" customFormat="false" ht="15" hidden="false" customHeight="false" outlineLevel="0" collapsed="false">
      <c r="A76" s="26" t="s">
        <v>487</v>
      </c>
      <c r="B76" s="24"/>
      <c r="C76" s="56" t="n">
        <f aca="false">Revenue!C$16*Assumptions!$C$86+Revenue!C$18*Assumptions!$C$87</f>
        <v>0</v>
      </c>
      <c r="D76" s="56" t="n">
        <f aca="false">Revenue!D$16*Assumptions!$C$86+Revenue!D$18*Assumptions!$C$87</f>
        <v>0</v>
      </c>
      <c r="E76" s="56" t="n">
        <f aca="false">Revenue!E$16*Assumptions!$C$86+Revenue!E$18*Assumptions!$C$87</f>
        <v>0</v>
      </c>
      <c r="F76" s="56" t="n">
        <f aca="false">Revenue!F$16*Assumptions!$C$86+Revenue!F$18*Assumptions!$C$87</f>
        <v>0</v>
      </c>
      <c r="G76" s="56" t="n">
        <f aca="false">Revenue!G$16*Assumptions!$C$86+Revenue!G$18*Assumptions!$C$87</f>
        <v>0</v>
      </c>
      <c r="H76" s="56" t="n">
        <f aca="false">Revenue!H$16*Assumptions!$C$86+Revenue!H$18*Assumptions!$C$87</f>
        <v>0</v>
      </c>
      <c r="I76" s="56" t="n">
        <f aca="false">Revenue!I$16*Assumptions!$C$86+Revenue!I$18*Assumptions!$C$87</f>
        <v>42</v>
      </c>
      <c r="J76" s="56" t="n">
        <f aca="false">Revenue!J$16*Assumptions!$C$86+Revenue!J$18*Assumptions!$C$87</f>
        <v>46.2</v>
      </c>
      <c r="K76" s="56" t="n">
        <f aca="false">Revenue!K$16*Assumptions!$C$86+Revenue!K$18*Assumptions!$C$87</f>
        <v>51.8</v>
      </c>
      <c r="L76" s="56" t="n">
        <f aca="false">Revenue!L$16*Assumptions!$C$86+Revenue!L$18*Assumptions!$C$87</f>
        <v>60</v>
      </c>
      <c r="M76" s="56" t="n">
        <f aca="false">Revenue!M$16*Assumptions!$C$86+Revenue!M$18*Assumptions!$C$87</f>
        <v>66</v>
      </c>
      <c r="N76" s="56" t="n">
        <f aca="false">Revenue!N$16*Assumptions!$C$86+Revenue!N$18*Assumptions!$C$87</f>
        <v>74</v>
      </c>
      <c r="O76" s="56" t="n">
        <f aca="false">Revenue!O$16*Assumptions!$C$86+Revenue!O$18*Assumptions!$C$87</f>
        <v>102</v>
      </c>
      <c r="P76" s="56" t="n">
        <f aca="false">Revenue!P$16*Assumptions!$C$86+Revenue!P$18*Assumptions!$C$87</f>
        <v>112.2</v>
      </c>
      <c r="Q76" s="56" t="n">
        <f aca="false">Revenue!Q$16*Assumptions!$C$86+Revenue!Q$18*Assumptions!$C$87</f>
        <v>125.8</v>
      </c>
      <c r="R76" s="56" t="n">
        <f aca="false">Revenue!R$16*Assumptions!$C$86+Revenue!R$18*Assumptions!$C$87</f>
        <v>102</v>
      </c>
      <c r="S76" s="56" t="n">
        <f aca="false">Revenue!S$16*Assumptions!$C$86+Revenue!S$18*Assumptions!$C$87</f>
        <v>112.2</v>
      </c>
      <c r="T76" s="56" t="n">
        <f aca="false">Revenue!T$16*Assumptions!$C$86+Revenue!T$18*Assumptions!$C$87</f>
        <v>125.8</v>
      </c>
      <c r="U76" s="56" t="n">
        <f aca="false">Revenue!U$16*Assumptions!$C$86+Revenue!U$18*Assumptions!$C$87</f>
        <v>144</v>
      </c>
      <c r="V76" s="56" t="n">
        <f aca="false">Revenue!V$16*Assumptions!$C$86+Revenue!V$18*Assumptions!$C$87</f>
        <v>158.4</v>
      </c>
      <c r="W76" s="56" t="n">
        <f aca="false">Revenue!W$16*Assumptions!$C$86+Revenue!W$18*Assumptions!$C$87</f>
        <v>177.6</v>
      </c>
      <c r="X76" s="56" t="n">
        <f aca="false">Revenue!X$16*Assumptions!$C$86+Revenue!X$18*Assumptions!$C$87</f>
        <v>144</v>
      </c>
      <c r="Y76" s="56" t="n">
        <f aca="false">Revenue!Y$16*Assumptions!$C$86+Revenue!Y$18*Assumptions!$C$87</f>
        <v>158.4</v>
      </c>
      <c r="Z76" s="56" t="n">
        <f aca="false">Revenue!Z$16*Assumptions!$C$86+Revenue!Z$18*Assumptions!$C$87</f>
        <v>177.6</v>
      </c>
      <c r="AA76" s="56" t="n">
        <f aca="false">Revenue!AA$16*Assumptions!$C$86+Revenue!AA$18*Assumptions!$C$87</f>
        <v>204</v>
      </c>
      <c r="AB76" s="56" t="n">
        <f aca="false">Revenue!AB$16*Assumptions!$C$86+Revenue!AB$18*Assumptions!$C$87</f>
        <v>224.4</v>
      </c>
      <c r="AC76" s="56" t="n">
        <f aca="false">Revenue!AC$16*Assumptions!$C$86+Revenue!AC$18*Assumptions!$C$87</f>
        <v>251.6</v>
      </c>
      <c r="AD76" s="56" t="n">
        <f aca="false">Revenue!AD$16*Assumptions!$C$86+Revenue!AD$18*Assumptions!$C$87</f>
        <v>204</v>
      </c>
      <c r="AE76" s="56" t="n">
        <f aca="false">Revenue!AE$16*Assumptions!$C$86+Revenue!AE$18*Assumptions!$C$87</f>
        <v>224.4</v>
      </c>
      <c r="AF76" s="56" t="n">
        <f aca="false">Revenue!AF$16*Assumptions!$C$86+Revenue!AF$18*Assumptions!$C$87</f>
        <v>251.6</v>
      </c>
      <c r="AG76" s="56" t="n">
        <f aca="false">Revenue!AG$16*Assumptions!$C$86+Revenue!AG$18*Assumptions!$C$87</f>
        <v>246</v>
      </c>
      <c r="AH76" s="56" t="n">
        <f aca="false">Revenue!AH$16*Assumptions!$C$86+Revenue!AH$18*Assumptions!$C$87</f>
        <v>270.6</v>
      </c>
      <c r="AI76" s="56" t="n">
        <f aca="false">Revenue!AI$16*Assumptions!$C$86+Revenue!AI$18*Assumptions!$C$87</f>
        <v>303.4</v>
      </c>
      <c r="AJ76" s="56" t="n">
        <f aca="false">Revenue!AJ$16*Assumptions!$C$86+Revenue!AJ$18*Assumptions!$C$87</f>
        <v>264</v>
      </c>
      <c r="AK76" s="56" t="n">
        <f aca="false">Revenue!AK$16*Assumptions!$C$86+Revenue!AK$18*Assumptions!$C$87</f>
        <v>290.4</v>
      </c>
      <c r="AL76" s="56" t="n">
        <f aca="false">Revenue!AL$16*Assumptions!$C$86+Revenue!AL$18*Assumptions!$C$87</f>
        <v>325.6</v>
      </c>
      <c r="AN76" s="57" t="n">
        <f aca="false">SUM(C76:N76)</f>
        <v>340</v>
      </c>
      <c r="AO76" s="57" t="n">
        <f aca="false">SUM(O76:Z76)</f>
        <v>1640</v>
      </c>
      <c r="AP76" s="57" t="n">
        <f aca="false">SUM(AA76:AL76)</f>
        <v>3060</v>
      </c>
    </row>
    <row r="77" customFormat="false" ht="15" hidden="false" customHeight="false" outlineLevel="0" collapsed="false">
      <c r="A77" s="10" t="s">
        <v>488</v>
      </c>
      <c r="B77" s="24"/>
      <c r="C77" s="59" t="n">
        <f aca="false">C73+C74+C75+C76</f>
        <v>37.5</v>
      </c>
      <c r="D77" s="59" t="n">
        <f aca="false">D73+D74+D75+D76</f>
        <v>41.25</v>
      </c>
      <c r="E77" s="59" t="n">
        <f aca="false">E73+E74+E75+E76</f>
        <v>46.25</v>
      </c>
      <c r="F77" s="59" t="n">
        <f aca="false">F73+F74+F75+F76</f>
        <v>306</v>
      </c>
      <c r="G77" s="59" t="n">
        <f aca="false">G73+G74+G75+G76</f>
        <v>336.6</v>
      </c>
      <c r="H77" s="59" t="n">
        <f aca="false">H73+H74+H75+H76</f>
        <v>377.4</v>
      </c>
      <c r="I77" s="59" t="n">
        <f aca="false">I73+I74+I75+I76</f>
        <v>415.5</v>
      </c>
      <c r="J77" s="59" t="n">
        <f aca="false">J73+J74+J75+J76</f>
        <v>457.05</v>
      </c>
      <c r="K77" s="59" t="n">
        <f aca="false">K73+K74+K75+K76</f>
        <v>512.45</v>
      </c>
      <c r="L77" s="59" t="n">
        <f aca="false">L73+L74+L75+L76</f>
        <v>1329</v>
      </c>
      <c r="M77" s="59" t="n">
        <f aca="false">M73+M74+M75+M76</f>
        <v>1461.9</v>
      </c>
      <c r="N77" s="59" t="n">
        <f aca="false">N73+N74+N75+N76</f>
        <v>1639.1</v>
      </c>
      <c r="O77" s="59" t="n">
        <f aca="false">O73+O74+O75+O76</f>
        <v>1771.5</v>
      </c>
      <c r="P77" s="59" t="n">
        <f aca="false">P73+P74+P75+P76</f>
        <v>1948.65</v>
      </c>
      <c r="Q77" s="59" t="n">
        <f aca="false">Q73+Q74+Q75+Q76</f>
        <v>2184.85</v>
      </c>
      <c r="R77" s="59" t="n">
        <f aca="false">R73+R74+R75+R76</f>
        <v>2143.5</v>
      </c>
      <c r="S77" s="59" t="n">
        <f aca="false">S73+S74+S75+S76</f>
        <v>2357.85</v>
      </c>
      <c r="T77" s="59" t="n">
        <f aca="false">T73+T74+T75+T76</f>
        <v>2643.65</v>
      </c>
      <c r="U77" s="59" t="n">
        <f aca="false">U73+U74+U75+U76</f>
        <v>3075</v>
      </c>
      <c r="V77" s="59" t="n">
        <f aca="false">V73+V74+V75+V76</f>
        <v>3382.5</v>
      </c>
      <c r="W77" s="59" t="n">
        <f aca="false">W73+W74+W75+W76</f>
        <v>3792.5</v>
      </c>
      <c r="X77" s="59" t="n">
        <f aca="false">X73+X74+X75+X76</f>
        <v>3738</v>
      </c>
      <c r="Y77" s="59" t="n">
        <f aca="false">Y73+Y74+Y75+Y76</f>
        <v>4111.8</v>
      </c>
      <c r="Z77" s="59" t="n">
        <f aca="false">Z73+Z74+Z75+Z76</f>
        <v>4610.2</v>
      </c>
      <c r="AA77" s="59" t="n">
        <f aca="false">AA73+AA74+AA75+AA76</f>
        <v>5371.5</v>
      </c>
      <c r="AB77" s="59" t="n">
        <f aca="false">AB73+AB74+AB75+AB76</f>
        <v>5908.65</v>
      </c>
      <c r="AC77" s="59" t="n">
        <f aca="false">AC73+AC74+AC75+AC76</f>
        <v>6624.85</v>
      </c>
      <c r="AD77" s="59" t="n">
        <f aca="false">AD73+AD74+AD75+AD76</f>
        <v>6379.5</v>
      </c>
      <c r="AE77" s="59" t="n">
        <f aca="false">AE73+AE74+AE75+AE76</f>
        <v>7017.45</v>
      </c>
      <c r="AF77" s="59" t="n">
        <f aca="false">AF73+AF74+AF75+AF76</f>
        <v>7868.05</v>
      </c>
      <c r="AG77" s="59" t="n">
        <f aca="false">AG73+AG74+AG75+AG76</f>
        <v>7605</v>
      </c>
      <c r="AH77" s="59" t="n">
        <f aca="false">AH73+AH74+AH75+AH76</f>
        <v>8365.5</v>
      </c>
      <c r="AI77" s="59" t="n">
        <f aca="false">AI73+AI74+AI75+AI76</f>
        <v>9379.5</v>
      </c>
      <c r="AJ77" s="59" t="n">
        <f aca="false">AJ73+AJ74+AJ75+AJ76</f>
        <v>8331</v>
      </c>
      <c r="AK77" s="59" t="n">
        <f aca="false">AK73+AK74+AK75+AK76</f>
        <v>9164.1</v>
      </c>
      <c r="AL77" s="59" t="n">
        <f aca="false">AL73+AL74+AL75+AL76</f>
        <v>10274.9</v>
      </c>
      <c r="AN77" s="57" t="n">
        <f aca="false">SUM(C77:N77)</f>
        <v>6960</v>
      </c>
      <c r="AO77" s="57" t="n">
        <f aca="false">SUM(O77:Z77)</f>
        <v>35760</v>
      </c>
      <c r="AP77" s="57" t="n">
        <f aca="false">SUM(AA77:AL77)</f>
        <v>92290</v>
      </c>
    </row>
    <row r="78" customFormat="false" ht="15" hidden="false" customHeight="false" outlineLevel="0" collapsed="false">
      <c r="A78" s="10" t="s">
        <v>489</v>
      </c>
      <c r="B78" s="24"/>
      <c r="C78" s="59" t="n">
        <f aca="false">C32+C57</f>
        <v>1671.17582417582</v>
      </c>
      <c r="D78" s="59" t="n">
        <f aca="false">D32+D57</f>
        <v>1671.17582417582</v>
      </c>
      <c r="E78" s="59" t="n">
        <f aca="false">E32+E57</f>
        <v>1671.17582417582</v>
      </c>
      <c r="F78" s="59" t="n">
        <f aca="false">F32+F57</f>
        <v>1671.17582417582</v>
      </c>
      <c r="G78" s="59" t="n">
        <f aca="false">G32+G57</f>
        <v>1671.17582417582</v>
      </c>
      <c r="H78" s="59" t="n">
        <f aca="false">H32+H57</f>
        <v>1671.17582417582</v>
      </c>
      <c r="I78" s="59" t="n">
        <f aca="false">I32+I57</f>
        <v>1671.17582417582</v>
      </c>
      <c r="J78" s="59" t="n">
        <f aca="false">J32+J57</f>
        <v>1671.17582417582</v>
      </c>
      <c r="K78" s="59" t="n">
        <f aca="false">K32+K57</f>
        <v>1671.17582417582</v>
      </c>
      <c r="L78" s="59" t="n">
        <f aca="false">L32+L57</f>
        <v>1671.17582417582</v>
      </c>
      <c r="M78" s="59" t="n">
        <f aca="false">M32+M57</f>
        <v>1671.17582417582</v>
      </c>
      <c r="N78" s="59" t="n">
        <f aca="false">N32+N57</f>
        <v>1671.17582417582</v>
      </c>
      <c r="O78" s="59" t="n">
        <f aca="false">O32+O57</f>
        <v>3956.32967032967</v>
      </c>
      <c r="P78" s="59" t="n">
        <f aca="false">P32+P57</f>
        <v>3956.32967032967</v>
      </c>
      <c r="Q78" s="59" t="n">
        <f aca="false">Q32+Q57</f>
        <v>3956.32967032967</v>
      </c>
      <c r="R78" s="59" t="n">
        <f aca="false">R32+R57</f>
        <v>3956.32967032967</v>
      </c>
      <c r="S78" s="59" t="n">
        <f aca="false">S32+S57</f>
        <v>3956.32967032967</v>
      </c>
      <c r="T78" s="59" t="n">
        <f aca="false">T32+T57</f>
        <v>3956.32967032967</v>
      </c>
      <c r="U78" s="59" t="n">
        <f aca="false">U32+U57</f>
        <v>3956.32967032967</v>
      </c>
      <c r="V78" s="59" t="n">
        <f aca="false">V32+V57</f>
        <v>3956.32967032967</v>
      </c>
      <c r="W78" s="59" t="n">
        <f aca="false">W32+W57</f>
        <v>3956.32967032967</v>
      </c>
      <c r="X78" s="59" t="n">
        <f aca="false">X32+X57</f>
        <v>3956.32967032967</v>
      </c>
      <c r="Y78" s="59" t="n">
        <f aca="false">Y32+Y57</f>
        <v>3956.32967032967</v>
      </c>
      <c r="Z78" s="59" t="n">
        <f aca="false">Z32+Z57</f>
        <v>3956.32967032967</v>
      </c>
      <c r="AA78" s="59" t="n">
        <f aca="false">AA32+AA57</f>
        <v>7305.94505494506</v>
      </c>
      <c r="AB78" s="59" t="n">
        <f aca="false">AB32+AB57</f>
        <v>7305.94505494506</v>
      </c>
      <c r="AC78" s="59" t="n">
        <f aca="false">AC32+AC57</f>
        <v>7305.94505494506</v>
      </c>
      <c r="AD78" s="59" t="n">
        <f aca="false">AD32+AD57</f>
        <v>7305.94505494506</v>
      </c>
      <c r="AE78" s="59" t="n">
        <f aca="false">AE32+AE57</f>
        <v>7305.94505494506</v>
      </c>
      <c r="AF78" s="59" t="n">
        <f aca="false">AF32+AF57</f>
        <v>7305.94505494506</v>
      </c>
      <c r="AG78" s="59" t="n">
        <f aca="false">AG32+AG57</f>
        <v>7305.94505494506</v>
      </c>
      <c r="AH78" s="59" t="n">
        <f aca="false">AH32+AH57</f>
        <v>7305.94505494506</v>
      </c>
      <c r="AI78" s="59" t="n">
        <f aca="false">AI32+AI57</f>
        <v>7305.94505494506</v>
      </c>
      <c r="AJ78" s="59" t="n">
        <f aca="false">AJ32+AJ57</f>
        <v>7305.94505494506</v>
      </c>
      <c r="AK78" s="59" t="n">
        <f aca="false">AK32+AK57</f>
        <v>7305.94505494506</v>
      </c>
      <c r="AL78" s="59" t="n">
        <f aca="false">AL32+AL57</f>
        <v>7305.94505494506</v>
      </c>
      <c r="AN78" s="57" t="n">
        <f aca="false">SUM(C78:N78)</f>
        <v>20054.1098901099</v>
      </c>
      <c r="AO78" s="57" t="n">
        <f aca="false">SUM(O78:Z78)</f>
        <v>47475.956043956</v>
      </c>
      <c r="AP78" s="57" t="n">
        <f aca="false">SUM(AA78:AL78)</f>
        <v>87671.3406593407</v>
      </c>
    </row>
    <row r="79" customFormat="false" ht="15" hidden="false" customHeight="false" outlineLevel="0" collapsed="false">
      <c r="A79" s="53" t="s">
        <v>490</v>
      </c>
      <c r="B79" s="54"/>
      <c r="C79" s="58" t="n">
        <f aca="false">C77+C78</f>
        <v>1708.67582417582</v>
      </c>
      <c r="D79" s="58" t="n">
        <f aca="false">D77+D78</f>
        <v>1712.42582417582</v>
      </c>
      <c r="E79" s="58" t="n">
        <f aca="false">E77+E78</f>
        <v>1717.42582417582</v>
      </c>
      <c r="F79" s="58" t="n">
        <f aca="false">F77+F78</f>
        <v>1977.17582417582</v>
      </c>
      <c r="G79" s="58" t="n">
        <f aca="false">G77+G78</f>
        <v>2007.77582417582</v>
      </c>
      <c r="H79" s="58" t="n">
        <f aca="false">H77+H78</f>
        <v>2048.57582417582</v>
      </c>
      <c r="I79" s="58" t="n">
        <f aca="false">I77+I78</f>
        <v>2086.67582417582</v>
      </c>
      <c r="J79" s="58" t="n">
        <f aca="false">J77+J78</f>
        <v>2128.22582417582</v>
      </c>
      <c r="K79" s="58" t="n">
        <f aca="false">K77+K78</f>
        <v>2183.62582417582</v>
      </c>
      <c r="L79" s="58" t="n">
        <f aca="false">L77+L78</f>
        <v>3000.17582417582</v>
      </c>
      <c r="M79" s="58" t="n">
        <f aca="false">M77+M78</f>
        <v>3133.07582417582</v>
      </c>
      <c r="N79" s="58" t="n">
        <f aca="false">N77+N78</f>
        <v>3310.27582417582</v>
      </c>
      <c r="O79" s="58" t="n">
        <f aca="false">O77+O78</f>
        <v>5727.82967032967</v>
      </c>
      <c r="P79" s="58" t="n">
        <f aca="false">P77+P78</f>
        <v>5904.97967032967</v>
      </c>
      <c r="Q79" s="58" t="n">
        <f aca="false">Q77+Q78</f>
        <v>6141.17967032967</v>
      </c>
      <c r="R79" s="58" t="n">
        <f aca="false">R77+R78</f>
        <v>6099.82967032967</v>
      </c>
      <c r="S79" s="58" t="n">
        <f aca="false">S77+S78</f>
        <v>6314.17967032967</v>
      </c>
      <c r="T79" s="58" t="n">
        <f aca="false">T77+T78</f>
        <v>6599.97967032967</v>
      </c>
      <c r="U79" s="58" t="n">
        <f aca="false">U77+U78</f>
        <v>7031.32967032967</v>
      </c>
      <c r="V79" s="58" t="n">
        <f aca="false">V77+V78</f>
        <v>7338.82967032967</v>
      </c>
      <c r="W79" s="58" t="n">
        <f aca="false">W77+W78</f>
        <v>7748.82967032967</v>
      </c>
      <c r="X79" s="58" t="n">
        <f aca="false">X77+X78</f>
        <v>7694.32967032967</v>
      </c>
      <c r="Y79" s="58" t="n">
        <f aca="false">Y77+Y78</f>
        <v>8068.12967032967</v>
      </c>
      <c r="Z79" s="58" t="n">
        <f aca="false">Z77+Z78</f>
        <v>8566.52967032967</v>
      </c>
      <c r="AA79" s="58" t="n">
        <f aca="false">AA77+AA78</f>
        <v>12677.4450549451</v>
      </c>
      <c r="AB79" s="58" t="n">
        <f aca="false">AB77+AB78</f>
        <v>13214.5950549451</v>
      </c>
      <c r="AC79" s="58" t="n">
        <f aca="false">AC77+AC78</f>
        <v>13930.7950549451</v>
      </c>
      <c r="AD79" s="58" t="n">
        <f aca="false">AD77+AD78</f>
        <v>13685.4450549451</v>
      </c>
      <c r="AE79" s="58" t="n">
        <f aca="false">AE77+AE78</f>
        <v>14323.3950549451</v>
      </c>
      <c r="AF79" s="58" t="n">
        <f aca="false">AF77+AF78</f>
        <v>15173.9950549451</v>
      </c>
      <c r="AG79" s="58" t="n">
        <f aca="false">AG77+AG78</f>
        <v>14910.9450549451</v>
      </c>
      <c r="AH79" s="58" t="n">
        <f aca="false">AH77+AH78</f>
        <v>15671.4450549451</v>
      </c>
      <c r="AI79" s="58" t="n">
        <f aca="false">AI77+AI78</f>
        <v>16685.4450549451</v>
      </c>
      <c r="AJ79" s="58" t="n">
        <f aca="false">AJ77+AJ78</f>
        <v>15636.9450549451</v>
      </c>
      <c r="AK79" s="58" t="n">
        <f aca="false">AK77+AK78</f>
        <v>16470.0450549451</v>
      </c>
      <c r="AL79" s="58" t="n">
        <f aca="false">AL77+AL78</f>
        <v>17580.8450549451</v>
      </c>
      <c r="AN79" s="57" t="n">
        <f aca="false">SUM(C79:N79)</f>
        <v>27014.1098901099</v>
      </c>
      <c r="AO79" s="57" t="n">
        <f aca="false">SUM(O79:Z79)</f>
        <v>83235.956043956</v>
      </c>
      <c r="AP79" s="57" t="n">
        <f aca="false">SUM(AA79:AL79)</f>
        <v>179961.340659341</v>
      </c>
    </row>
    <row r="80" customFormat="false" ht="15" hidden="false" customHeight="false" outlineLevel="0" collapsed="false">
      <c r="A80" s="10" t="s">
        <v>491</v>
      </c>
      <c r="B80" s="24" t="s">
        <v>492</v>
      </c>
      <c r="C80" s="59" t="n">
        <f aca="false">(C77+C78)*Assumptions!$C$78</f>
        <v>717.643846153846</v>
      </c>
      <c r="D80" s="59" t="n">
        <f aca="false">(D77+D78)*Assumptions!$C$78</f>
        <v>719.218846153846</v>
      </c>
      <c r="E80" s="59" t="n">
        <f aca="false">(E77+E78)*Assumptions!$C$78</f>
        <v>721.318846153846</v>
      </c>
      <c r="F80" s="59" t="n">
        <f aca="false">(F77+F78)*Assumptions!$C$78</f>
        <v>830.413846153846</v>
      </c>
      <c r="G80" s="59" t="n">
        <f aca="false">(G77+G78)*Assumptions!$C$78</f>
        <v>843.265846153846</v>
      </c>
      <c r="H80" s="59" t="n">
        <f aca="false">(H77+H78)*Assumptions!$C$78</f>
        <v>860.401846153846</v>
      </c>
      <c r="I80" s="59" t="n">
        <f aca="false">(I77+I78)*Assumptions!$C$78</f>
        <v>876.403846153846</v>
      </c>
      <c r="J80" s="59" t="n">
        <f aca="false">(J77+J78)*Assumptions!$C$78</f>
        <v>893.854846153846</v>
      </c>
      <c r="K80" s="59" t="n">
        <f aca="false">(K77+K78)*Assumptions!$C$78</f>
        <v>917.122846153846</v>
      </c>
      <c r="L80" s="59" t="n">
        <f aca="false">(L77+L78)*Assumptions!$C$78</f>
        <v>1260.07384615385</v>
      </c>
      <c r="M80" s="59" t="n">
        <f aca="false">(M77+M78)*Assumptions!$C$78</f>
        <v>1315.89184615385</v>
      </c>
      <c r="N80" s="59" t="n">
        <f aca="false">(N77+N78)*Assumptions!$C$78</f>
        <v>1390.31584615385</v>
      </c>
      <c r="O80" s="59" t="n">
        <f aca="false">(O77+O78)*Assumptions!$D$78</f>
        <v>2634.80164835165</v>
      </c>
      <c r="P80" s="59" t="n">
        <f aca="false">(P77+P78)*Assumptions!$D$78</f>
        <v>2716.29064835165</v>
      </c>
      <c r="Q80" s="59" t="n">
        <f aca="false">(Q77+Q78)*Assumptions!$D$78</f>
        <v>2824.94264835165</v>
      </c>
      <c r="R80" s="59" t="n">
        <f aca="false">(R77+R78)*Assumptions!$D$78</f>
        <v>2805.92164835165</v>
      </c>
      <c r="S80" s="59" t="n">
        <f aca="false">(S77+S78)*Assumptions!$D$78</f>
        <v>2904.52264835165</v>
      </c>
      <c r="T80" s="59" t="n">
        <f aca="false">(T77+T78)*Assumptions!$D$78</f>
        <v>3035.99064835165</v>
      </c>
      <c r="U80" s="59" t="n">
        <f aca="false">(U77+U78)*Assumptions!$D$78</f>
        <v>3234.41164835165</v>
      </c>
      <c r="V80" s="59" t="n">
        <f aca="false">(V77+V78)*Assumptions!$D$78</f>
        <v>3375.86164835165</v>
      </c>
      <c r="W80" s="59" t="n">
        <f aca="false">(W77+W78)*Assumptions!$D$78</f>
        <v>3564.46164835165</v>
      </c>
      <c r="X80" s="59" t="n">
        <f aca="false">(X77+X78)*Assumptions!$D$78</f>
        <v>3539.39164835165</v>
      </c>
      <c r="Y80" s="59" t="n">
        <f aca="false">(Y77+Y78)*Assumptions!$D$78</f>
        <v>3711.33964835165</v>
      </c>
      <c r="Z80" s="59" t="n">
        <f aca="false">(Z77+Z78)*Assumptions!$D$78</f>
        <v>3940.60364835165</v>
      </c>
      <c r="AA80" s="59" t="n">
        <f aca="false">(AA77+AA78)*Assumptions!$E$78</f>
        <v>6338.72252747253</v>
      </c>
      <c r="AB80" s="59" t="n">
        <f aca="false">(AB77+AB78)*Assumptions!$E$78</f>
        <v>6607.29752747253</v>
      </c>
      <c r="AC80" s="59" t="n">
        <f aca="false">(AC77+AC78)*Assumptions!$E$78</f>
        <v>6965.39752747253</v>
      </c>
      <c r="AD80" s="59" t="n">
        <f aca="false">(AD77+AD78)*Assumptions!$E$78</f>
        <v>6842.72252747253</v>
      </c>
      <c r="AE80" s="59" t="n">
        <f aca="false">(AE77+AE78)*Assumptions!$E$78</f>
        <v>7161.69752747253</v>
      </c>
      <c r="AF80" s="59" t="n">
        <f aca="false">(AF77+AF78)*Assumptions!$E$78</f>
        <v>7586.99752747253</v>
      </c>
      <c r="AG80" s="59" t="n">
        <f aca="false">(AG77+AG78)*Assumptions!$E$78</f>
        <v>7455.47252747253</v>
      </c>
      <c r="AH80" s="59" t="n">
        <f aca="false">(AH77+AH78)*Assumptions!$E$78</f>
        <v>7835.72252747253</v>
      </c>
      <c r="AI80" s="59" t="n">
        <f aca="false">(AI77+AI78)*Assumptions!$E$78</f>
        <v>8342.72252747253</v>
      </c>
      <c r="AJ80" s="59" t="n">
        <f aca="false">(AJ77+AJ78)*Assumptions!$E$78</f>
        <v>7818.47252747253</v>
      </c>
      <c r="AK80" s="59" t="n">
        <f aca="false">(AK77+AK78)*Assumptions!$E$78</f>
        <v>8235.02252747253</v>
      </c>
      <c r="AL80" s="59" t="n">
        <f aca="false">(AL77+AL78)*Assumptions!$E$78</f>
        <v>8790.42252747253</v>
      </c>
      <c r="AN80" s="57" t="n">
        <f aca="false">SUM(C80:N80)</f>
        <v>11345.9261538462</v>
      </c>
      <c r="AO80" s="57" t="n">
        <f aca="false">SUM(O80:Z80)</f>
        <v>38288.5397802198</v>
      </c>
      <c r="AP80" s="57" t="n">
        <f aca="false">SUM(AA80:AL80)</f>
        <v>89980.6703296703</v>
      </c>
    </row>
    <row r="81" customFormat="false" ht="15" hidden="false" customHeight="false" outlineLevel="0" collapsed="false">
      <c r="A81" s="26" t="s">
        <v>493</v>
      </c>
      <c r="B81" s="24"/>
      <c r="C81" s="56" t="n">
        <f aca="false">C77*Assumptions!$C$78*Assumptions!$C$79</f>
        <v>8.6625</v>
      </c>
      <c r="D81" s="56" t="n">
        <f aca="false">D77*Assumptions!$C$78*Assumptions!$C$79</f>
        <v>9.52875</v>
      </c>
      <c r="E81" s="56" t="n">
        <f aca="false">E77*Assumptions!$C$78*Assumptions!$C$79</f>
        <v>10.68375</v>
      </c>
      <c r="F81" s="56" t="n">
        <f aca="false">F77*Assumptions!$C$78*Assumptions!$C$79</f>
        <v>70.686</v>
      </c>
      <c r="G81" s="56" t="n">
        <f aca="false">G77*Assumptions!$C$78*Assumptions!$C$79</f>
        <v>77.7546</v>
      </c>
      <c r="H81" s="56" t="n">
        <f aca="false">H77*Assumptions!$C$78*Assumptions!$C$79</f>
        <v>87.1794</v>
      </c>
      <c r="I81" s="56" t="n">
        <f aca="false">I77*Assumptions!$C$78*Assumptions!$C$79</f>
        <v>95.9805</v>
      </c>
      <c r="J81" s="56" t="n">
        <f aca="false">J77*Assumptions!$C$78*Assumptions!$C$79</f>
        <v>105.57855</v>
      </c>
      <c r="K81" s="56" t="n">
        <f aca="false">K77*Assumptions!$C$78*Assumptions!$C$79</f>
        <v>118.37595</v>
      </c>
      <c r="L81" s="56" t="n">
        <f aca="false">L77*Assumptions!$C$78*Assumptions!$C$79</f>
        <v>306.999</v>
      </c>
      <c r="M81" s="56" t="n">
        <f aca="false">M77*Assumptions!$C$78*Assumptions!$C$79</f>
        <v>337.6989</v>
      </c>
      <c r="N81" s="56" t="n">
        <f aca="false">N77*Assumptions!$C$78*Assumptions!$C$79</f>
        <v>378.6321</v>
      </c>
      <c r="O81" s="56" t="n">
        <f aca="false">O77*Assumptions!$D$78*Assumptions!$D$79</f>
        <v>472.6362</v>
      </c>
      <c r="P81" s="56" t="n">
        <f aca="false">P77*Assumptions!$D$78*Assumptions!$D$79</f>
        <v>519.89982</v>
      </c>
      <c r="Q81" s="56" t="n">
        <f aca="false">Q77*Assumptions!$D$78*Assumptions!$D$79</f>
        <v>582.91798</v>
      </c>
      <c r="R81" s="56" t="n">
        <f aca="false">R77*Assumptions!$D$78*Assumptions!$D$79</f>
        <v>571.8858</v>
      </c>
      <c r="S81" s="56" t="n">
        <f aca="false">S77*Assumptions!$D$78*Assumptions!$D$79</f>
        <v>629.07438</v>
      </c>
      <c r="T81" s="56" t="n">
        <f aca="false">T77*Assumptions!$D$78*Assumptions!$D$79</f>
        <v>705.32582</v>
      </c>
      <c r="U81" s="56" t="n">
        <f aca="false">U77*Assumptions!$D$78*Assumptions!$D$79</f>
        <v>820.41</v>
      </c>
      <c r="V81" s="56" t="n">
        <f aca="false">V77*Assumptions!$D$78*Assumptions!$D$79</f>
        <v>902.451</v>
      </c>
      <c r="W81" s="56" t="n">
        <f aca="false">W77*Assumptions!$D$78*Assumptions!$D$79</f>
        <v>1011.839</v>
      </c>
      <c r="X81" s="56" t="n">
        <f aca="false">X77*Assumptions!$D$78*Assumptions!$D$79</f>
        <v>997.2984</v>
      </c>
      <c r="Y81" s="56" t="n">
        <f aca="false">Y77*Assumptions!$D$78*Assumptions!$D$79</f>
        <v>1097.02824</v>
      </c>
      <c r="Z81" s="56" t="n">
        <f aca="false">Z77*Assumptions!$D$78*Assumptions!$D$79</f>
        <v>1230.00136</v>
      </c>
      <c r="AA81" s="56" t="n">
        <f aca="false">AA77*Assumptions!$E$78*Assumptions!$E$79</f>
        <v>1638.3075</v>
      </c>
      <c r="AB81" s="56" t="n">
        <f aca="false">AB77*Assumptions!$E$78*Assumptions!$E$79</f>
        <v>1802.13825</v>
      </c>
      <c r="AC81" s="56" t="n">
        <f aca="false">AC77*Assumptions!$E$78*Assumptions!$E$79</f>
        <v>2020.57925</v>
      </c>
      <c r="AD81" s="56" t="n">
        <f aca="false">AD77*Assumptions!$E$78*Assumptions!$E$79</f>
        <v>1945.7475</v>
      </c>
      <c r="AE81" s="56" t="n">
        <f aca="false">AE77*Assumptions!$E$78*Assumptions!$E$79</f>
        <v>2140.32225</v>
      </c>
      <c r="AF81" s="56" t="n">
        <f aca="false">AF77*Assumptions!$E$78*Assumptions!$E$79</f>
        <v>2399.75525</v>
      </c>
      <c r="AG81" s="56" t="n">
        <f aca="false">AG77*Assumptions!$E$78*Assumptions!$E$79</f>
        <v>2319.525</v>
      </c>
      <c r="AH81" s="56" t="n">
        <f aca="false">AH77*Assumptions!$E$78*Assumptions!$E$79</f>
        <v>2551.4775</v>
      </c>
      <c r="AI81" s="56" t="n">
        <f aca="false">AI77*Assumptions!$E$78*Assumptions!$E$79</f>
        <v>2860.7475</v>
      </c>
      <c r="AJ81" s="56" t="n">
        <f aca="false">AJ77*Assumptions!$E$78*Assumptions!$E$79</f>
        <v>2540.955</v>
      </c>
      <c r="AK81" s="56" t="n">
        <f aca="false">AK77*Assumptions!$E$78*Assumptions!$E$79</f>
        <v>2795.0505</v>
      </c>
      <c r="AL81" s="56" t="n">
        <f aca="false">AL77*Assumptions!$E$78*Assumptions!$E$79</f>
        <v>3133.8445</v>
      </c>
      <c r="AN81" s="57" t="n">
        <f aca="false">SUM(C81:N81)</f>
        <v>1607.76</v>
      </c>
      <c r="AO81" s="57" t="n">
        <f aca="false">SUM(O81:Z81)</f>
        <v>9540.768</v>
      </c>
      <c r="AP81" s="57" t="n">
        <f aca="false">SUM(AA81:AL81)</f>
        <v>28148.45</v>
      </c>
    </row>
    <row r="82" customFormat="false" ht="15" hidden="false" customHeight="false" outlineLevel="0" collapsed="false">
      <c r="A82" s="26" t="s">
        <v>494</v>
      </c>
      <c r="B82" s="24"/>
      <c r="C82" s="56" t="n">
        <f aca="false">C78*Assumptions!$C$78*Assumptions!$C$79</f>
        <v>386.041615384615</v>
      </c>
      <c r="D82" s="56" t="n">
        <f aca="false">D78*Assumptions!$C$78*Assumptions!$C$79</f>
        <v>386.041615384615</v>
      </c>
      <c r="E82" s="56" t="n">
        <f aca="false">E78*Assumptions!$C$78*Assumptions!$C$79</f>
        <v>386.041615384615</v>
      </c>
      <c r="F82" s="56" t="n">
        <f aca="false">F78*Assumptions!$C$78*Assumptions!$C$79</f>
        <v>386.041615384615</v>
      </c>
      <c r="G82" s="56" t="n">
        <f aca="false">G78*Assumptions!$C$78*Assumptions!$C$79</f>
        <v>386.041615384615</v>
      </c>
      <c r="H82" s="56" t="n">
        <f aca="false">H78*Assumptions!$C$78*Assumptions!$C$79</f>
        <v>386.041615384615</v>
      </c>
      <c r="I82" s="56" t="n">
        <f aca="false">I78*Assumptions!$C$78*Assumptions!$C$79</f>
        <v>386.041615384615</v>
      </c>
      <c r="J82" s="56" t="n">
        <f aca="false">J78*Assumptions!$C$78*Assumptions!$C$79</f>
        <v>386.041615384615</v>
      </c>
      <c r="K82" s="56" t="n">
        <f aca="false">K78*Assumptions!$C$78*Assumptions!$C$79</f>
        <v>386.041615384615</v>
      </c>
      <c r="L82" s="56" t="n">
        <f aca="false">L78*Assumptions!$C$78*Assumptions!$C$79</f>
        <v>386.041615384615</v>
      </c>
      <c r="M82" s="56" t="n">
        <f aca="false">M78*Assumptions!$C$78*Assumptions!$C$79</f>
        <v>386.041615384615</v>
      </c>
      <c r="N82" s="56" t="n">
        <f aca="false">N78*Assumptions!$C$78*Assumptions!$C$79</f>
        <v>386.041615384615</v>
      </c>
      <c r="O82" s="56" t="n">
        <f aca="false">O78*Assumptions!$D$78*Assumptions!$D$79</f>
        <v>1055.54875604396</v>
      </c>
      <c r="P82" s="56" t="n">
        <f aca="false">P78*Assumptions!$D$78*Assumptions!$D$79</f>
        <v>1055.54875604396</v>
      </c>
      <c r="Q82" s="56" t="n">
        <f aca="false">Q78*Assumptions!$D$78*Assumptions!$D$79</f>
        <v>1055.54875604396</v>
      </c>
      <c r="R82" s="56" t="n">
        <f aca="false">R78*Assumptions!$D$78*Assumptions!$D$79</f>
        <v>1055.54875604396</v>
      </c>
      <c r="S82" s="56" t="n">
        <f aca="false">S78*Assumptions!$D$78*Assumptions!$D$79</f>
        <v>1055.54875604396</v>
      </c>
      <c r="T82" s="56" t="n">
        <f aca="false">T78*Assumptions!$D$78*Assumptions!$D$79</f>
        <v>1055.54875604396</v>
      </c>
      <c r="U82" s="56" t="n">
        <f aca="false">U78*Assumptions!$D$78*Assumptions!$D$79</f>
        <v>1055.54875604396</v>
      </c>
      <c r="V82" s="56" t="n">
        <f aca="false">V78*Assumptions!$D$78*Assumptions!$D$79</f>
        <v>1055.54875604396</v>
      </c>
      <c r="W82" s="56" t="n">
        <f aca="false">W78*Assumptions!$D$78*Assumptions!$D$79</f>
        <v>1055.54875604396</v>
      </c>
      <c r="X82" s="56" t="n">
        <f aca="false">X78*Assumptions!$D$78*Assumptions!$D$79</f>
        <v>1055.54875604396</v>
      </c>
      <c r="Y82" s="56" t="n">
        <f aca="false">Y78*Assumptions!$D$78*Assumptions!$D$79</f>
        <v>1055.54875604396</v>
      </c>
      <c r="Z82" s="56" t="n">
        <f aca="false">Z78*Assumptions!$D$78*Assumptions!$D$79</f>
        <v>1055.54875604396</v>
      </c>
      <c r="AA82" s="56" t="n">
        <f aca="false">AA78*Assumptions!$E$78*Assumptions!$E$79</f>
        <v>2228.31324175824</v>
      </c>
      <c r="AB82" s="56" t="n">
        <f aca="false">AB78*Assumptions!$E$78*Assumptions!$E$79</f>
        <v>2228.31324175824</v>
      </c>
      <c r="AC82" s="56" t="n">
        <f aca="false">AC78*Assumptions!$E$78*Assumptions!$E$79</f>
        <v>2228.31324175824</v>
      </c>
      <c r="AD82" s="56" t="n">
        <f aca="false">AD78*Assumptions!$E$78*Assumptions!$E$79</f>
        <v>2228.31324175824</v>
      </c>
      <c r="AE82" s="56" t="n">
        <f aca="false">AE78*Assumptions!$E$78*Assumptions!$E$79</f>
        <v>2228.31324175824</v>
      </c>
      <c r="AF82" s="56" t="n">
        <f aca="false">AF78*Assumptions!$E$78*Assumptions!$E$79</f>
        <v>2228.31324175824</v>
      </c>
      <c r="AG82" s="56" t="n">
        <f aca="false">AG78*Assumptions!$E$78*Assumptions!$E$79</f>
        <v>2228.31324175824</v>
      </c>
      <c r="AH82" s="56" t="n">
        <f aca="false">AH78*Assumptions!$E$78*Assumptions!$E$79</f>
        <v>2228.31324175824</v>
      </c>
      <c r="AI82" s="56" t="n">
        <f aca="false">AI78*Assumptions!$E$78*Assumptions!$E$79</f>
        <v>2228.31324175824</v>
      </c>
      <c r="AJ82" s="56" t="n">
        <f aca="false">AJ78*Assumptions!$E$78*Assumptions!$E$79</f>
        <v>2228.31324175824</v>
      </c>
      <c r="AK82" s="56" t="n">
        <f aca="false">AK78*Assumptions!$E$78*Assumptions!$E$79</f>
        <v>2228.31324175824</v>
      </c>
      <c r="AL82" s="56" t="n">
        <f aca="false">AL78*Assumptions!$E$78*Assumptions!$E$79</f>
        <v>2228.31324175824</v>
      </c>
      <c r="AN82" s="57" t="n">
        <f aca="false">SUM(C82:N82)</f>
        <v>4632.49938461539</v>
      </c>
      <c r="AO82" s="57" t="n">
        <f aca="false">SUM(O82:Z82)</f>
        <v>12666.5850725275</v>
      </c>
      <c r="AP82" s="57" t="n">
        <f aca="false">SUM(AA82:AL82)</f>
        <v>26739.7589010989</v>
      </c>
    </row>
    <row r="83" customFormat="false" ht="15" hidden="false" customHeight="false" outlineLevel="0" collapsed="false">
      <c r="A83" s="13" t="s">
        <v>495</v>
      </c>
      <c r="B83" s="69" t="s">
        <v>496</v>
      </c>
      <c r="C83" s="73" t="n">
        <f aca="false">C81*Assumptions!$C$80+C82*Assumptions!$C$81</f>
        <v>12.2309359615385</v>
      </c>
      <c r="D83" s="73" t="n">
        <f aca="false">D81*Assumptions!$C$80+D82*Assumptions!$C$81</f>
        <v>12.2959047115385</v>
      </c>
      <c r="E83" s="73" t="n">
        <f aca="false">E81*Assumptions!$C$80+E82*Assumptions!$C$81</f>
        <v>12.3825297115385</v>
      </c>
      <c r="F83" s="73" t="n">
        <f aca="false">F81*Assumptions!$C$80+F82*Assumptions!$C$81</f>
        <v>16.8826984615385</v>
      </c>
      <c r="G83" s="73" t="n">
        <f aca="false">G81*Assumptions!$C$80+G82*Assumptions!$C$81</f>
        <v>17.4128434615385</v>
      </c>
      <c r="H83" s="73" t="n">
        <f aca="false">H81*Assumptions!$C$80+H82*Assumptions!$C$81</f>
        <v>18.1197034615385</v>
      </c>
      <c r="I83" s="73" t="n">
        <f aca="false">I81*Assumptions!$C$80+I82*Assumptions!$C$81</f>
        <v>18.7797859615385</v>
      </c>
      <c r="J83" s="73" t="n">
        <f aca="false">J81*Assumptions!$C$80+J82*Assumptions!$C$81</f>
        <v>19.4996397115385</v>
      </c>
      <c r="K83" s="73" t="n">
        <f aca="false">K81*Assumptions!$C$80+K82*Assumptions!$C$81</f>
        <v>20.4594447115385</v>
      </c>
      <c r="L83" s="73" t="n">
        <f aca="false">L81*Assumptions!$C$80+L82*Assumptions!$C$81</f>
        <v>34.6061734615385</v>
      </c>
      <c r="M83" s="73" t="n">
        <f aca="false">M81*Assumptions!$C$80+M82*Assumptions!$C$81</f>
        <v>36.9086659615385</v>
      </c>
      <c r="N83" s="73" t="n">
        <f aca="false">N81*Assumptions!$C$80+N82*Assumptions!$C$81</f>
        <v>39.9786559615385</v>
      </c>
      <c r="O83" s="73" t="n">
        <f aca="false">O81*Assumptions!$D$80+O82*Assumptions!$D$81</f>
        <v>76.0627347054945</v>
      </c>
      <c r="P83" s="73" t="n">
        <f aca="false">P81*Assumptions!$D$80+P82*Assumptions!$D$81</f>
        <v>80.0801424054945</v>
      </c>
      <c r="Q83" s="73" t="n">
        <f aca="false">Q81*Assumptions!$D$80+Q82*Assumptions!$D$81</f>
        <v>85.4366860054945</v>
      </c>
      <c r="R83" s="73" t="n">
        <f aca="false">R81*Assumptions!$D$80+R82*Assumptions!$D$81</f>
        <v>84.4989507054945</v>
      </c>
      <c r="S83" s="73" t="n">
        <f aca="false">S81*Assumptions!$D$80+S82*Assumptions!$D$81</f>
        <v>89.3599800054945</v>
      </c>
      <c r="T83" s="73" t="n">
        <f aca="false">T81*Assumptions!$D$80+T82*Assumptions!$D$81</f>
        <v>95.8413524054945</v>
      </c>
      <c r="U83" s="73" t="n">
        <f aca="false">U81*Assumptions!$D$80+U82*Assumptions!$D$81</f>
        <v>105.623507705495</v>
      </c>
      <c r="V83" s="73" t="n">
        <f aca="false">V81*Assumptions!$D$80+V82*Assumptions!$D$81</f>
        <v>112.596992705495</v>
      </c>
      <c r="W83" s="73" t="n">
        <f aca="false">W81*Assumptions!$D$80+W82*Assumptions!$D$81</f>
        <v>121.894972705495</v>
      </c>
      <c r="X83" s="73" t="n">
        <f aca="false">X81*Assumptions!$D$80+X82*Assumptions!$D$81</f>
        <v>120.659021705495</v>
      </c>
      <c r="Y83" s="73" t="n">
        <f aca="false">Y81*Assumptions!$D$80+Y82*Assumptions!$D$81</f>
        <v>129.136058105495</v>
      </c>
      <c r="Z83" s="73" t="n">
        <f aca="false">Z81*Assumptions!$D$80+Z82*Assumptions!$D$81</f>
        <v>140.438773305495</v>
      </c>
      <c r="AA83" s="73" t="n">
        <f aca="false">AA81*Assumptions!$E$80+AA82*Assumptions!$E$81</f>
        <v>240.315115686813</v>
      </c>
      <c r="AB83" s="73" t="n">
        <f aca="false">AB81*Assumptions!$E$80+AB82*Assumptions!$E$81</f>
        <v>255.879036936813</v>
      </c>
      <c r="AC83" s="73" t="n">
        <f aca="false">AC81*Assumptions!$E$80+AC82*Assumptions!$E$81</f>
        <v>276.630931936813</v>
      </c>
      <c r="AD83" s="73" t="n">
        <f aca="false">AD81*Assumptions!$E$80+AD82*Assumptions!$E$81</f>
        <v>269.521915686813</v>
      </c>
      <c r="AE83" s="73" t="n">
        <f aca="false">AE81*Assumptions!$E$80+AE82*Assumptions!$E$81</f>
        <v>288.006516936813</v>
      </c>
      <c r="AF83" s="73" t="n">
        <f aca="false">AF81*Assumptions!$E$80+AF82*Assumptions!$E$81</f>
        <v>312.652651936813</v>
      </c>
      <c r="AG83" s="73" t="n">
        <f aca="false">AG81*Assumptions!$E$80+AG82*Assumptions!$E$81</f>
        <v>305.030778186813</v>
      </c>
      <c r="AH83" s="73" t="n">
        <f aca="false">AH81*Assumptions!$E$80+AH82*Assumptions!$E$81</f>
        <v>327.066265686813</v>
      </c>
      <c r="AI83" s="73" t="n">
        <f aca="false">AI81*Assumptions!$E$80+AI82*Assumptions!$E$81</f>
        <v>356.446915686813</v>
      </c>
      <c r="AJ83" s="73" t="n">
        <f aca="false">AJ81*Assumptions!$E$80+AJ82*Assumptions!$E$81</f>
        <v>326.066628186813</v>
      </c>
      <c r="AK83" s="73" t="n">
        <f aca="false">AK81*Assumptions!$E$80+AK82*Assumptions!$E$81</f>
        <v>350.205700686813</v>
      </c>
      <c r="AL83" s="73" t="n">
        <f aca="false">AL81*Assumptions!$E$80+AL82*Assumptions!$E$81</f>
        <v>382.391130686813</v>
      </c>
      <c r="AN83" s="57" t="n">
        <f aca="false">SUM(C83:N83)</f>
        <v>259.556981538462</v>
      </c>
      <c r="AO83" s="57" t="n">
        <f aca="false">SUM(O83:Z83)</f>
        <v>1241.62917246593</v>
      </c>
      <c r="AP83" s="57" t="n">
        <f aca="false">SUM(AA83:AL83)</f>
        <v>3690.21358824176</v>
      </c>
    </row>
    <row r="84" customFormat="false" ht="15" hidden="false" customHeight="false" outlineLevel="0" collapsed="false">
      <c r="A84" s="10" t="s">
        <v>497</v>
      </c>
      <c r="B84" s="24" t="s">
        <v>498</v>
      </c>
      <c r="C84" s="59" t="n">
        <f aca="false">C83</f>
        <v>12.2309359615385</v>
      </c>
      <c r="D84" s="59" t="n">
        <f aca="false">C84*(1-Assumptions!$C$48)+D83</f>
        <v>23.9764485548077</v>
      </c>
      <c r="E84" s="59" t="n">
        <f aca="false">D84*(1-Assumptions!$C$48)+E83</f>
        <v>35.2800380813798</v>
      </c>
      <c r="F84" s="59" t="n">
        <f aca="false">E84*(1-Assumptions!$C$48)+F83</f>
        <v>50.5751348292562</v>
      </c>
      <c r="G84" s="59" t="n">
        <f aca="false">F84*(1-Assumptions!$C$48)+G83</f>
        <v>65.7120972234781</v>
      </c>
      <c r="H84" s="59" t="n">
        <f aca="false">G84*(1-Assumptions!$C$48)+H83</f>
        <v>80.87475630996</v>
      </c>
      <c r="I84" s="59" t="n">
        <f aca="false">H84*(1-Assumptions!$C$48)+I83</f>
        <v>96.0151782375503</v>
      </c>
      <c r="J84" s="59" t="n">
        <f aca="false">I84*(1-Assumptions!$C$48)+J83</f>
        <v>111.194134928399</v>
      </c>
      <c r="K84" s="59" t="n">
        <f aca="false">J84*(1-Assumptions!$C$48)+K83</f>
        <v>126.649843568159</v>
      </c>
      <c r="L84" s="59" t="n">
        <f aca="false">K84*(1-Assumptions!$C$48)+L83</f>
        <v>155.556774069131</v>
      </c>
      <c r="M84" s="59" t="n">
        <f aca="false">L84*(1-Assumptions!$C$48)+M83</f>
        <v>185.465385197558</v>
      </c>
      <c r="N84" s="59" t="n">
        <f aca="false">M84*(1-Assumptions!$C$48)+N83</f>
        <v>217.098098825207</v>
      </c>
      <c r="O84" s="59" t="n">
        <f aca="false">N84*(1-Assumptions!$C$48)+O83</f>
        <v>283.391419083567</v>
      </c>
      <c r="P84" s="59" t="n">
        <f aca="false">O84*(1-Assumptions!$C$48)+P83</f>
        <v>350.718947630301</v>
      </c>
      <c r="Q84" s="59" t="n">
        <f aca="false">P84*(1-Assumptions!$C$48)+Q83</f>
        <v>420.373280992432</v>
      </c>
      <c r="R84" s="59" t="n">
        <f aca="false">Q84*(1-Assumptions!$C$48)+R83</f>
        <v>485.955434053267</v>
      </c>
      <c r="S84" s="59" t="n">
        <f aca="false">R84*(1-Assumptions!$C$48)+S83</f>
        <v>553.447419526365</v>
      </c>
      <c r="T84" s="59" t="n">
        <f aca="false">S84*(1-Assumptions!$C$48)+T83</f>
        <v>624.383638053173</v>
      </c>
      <c r="U84" s="59" t="n">
        <f aca="false">T84*(1-Assumptions!$C$48)+U83</f>
        <v>701.909882046274</v>
      </c>
      <c r="V84" s="59" t="n">
        <f aca="false">U84*(1-Assumptions!$C$48)+V83</f>
        <v>782.920930059686</v>
      </c>
      <c r="W84" s="59" t="n">
        <f aca="false">V84*(1-Assumptions!$C$48)+W83</f>
        <v>869.584460912495</v>
      </c>
      <c r="X84" s="59" t="n">
        <f aca="false">W84*(1-Assumptions!$C$48)+X83</f>
        <v>951.112181876927</v>
      </c>
      <c r="Y84" s="59" t="n">
        <f aca="false">X84*(1-Assumptions!$C$48)+Y83</f>
        <v>1037.44819179796</v>
      </c>
      <c r="Z84" s="59" t="n">
        <f aca="false">Y84*(1-Assumptions!$C$48)+Z83</f>
        <v>1131.20179647255</v>
      </c>
      <c r="AA84" s="59" t="n">
        <f aca="false">Z84*(1-Assumptions!$C$48)+AA83</f>
        <v>1320.61283131809</v>
      </c>
      <c r="AB84" s="59" t="n">
        <f aca="false">AA84*(1-Assumptions!$C$48)+AB83</f>
        <v>1517.06429084559</v>
      </c>
      <c r="AC84" s="59" t="n">
        <f aca="false">AB84*(1-Assumptions!$C$48)+AC83</f>
        <v>1725.42732969436</v>
      </c>
      <c r="AD84" s="59" t="n">
        <f aca="false">AC84*(1-Assumptions!$C$48)+AD83</f>
        <v>1917.30501554492</v>
      </c>
      <c r="AE84" s="59" t="n">
        <f aca="false">AD84*(1-Assumptions!$C$48)+AE83</f>
        <v>2119.03280678221</v>
      </c>
      <c r="AF84" s="59" t="n">
        <f aca="false">AE84*(1-Assumptions!$C$48)+AF83</f>
        <v>2336.32898241383</v>
      </c>
      <c r="AG84" s="59" t="n">
        <f aca="false">AF84*(1-Assumptions!$C$48)+AG83</f>
        <v>2536.22495639202</v>
      </c>
      <c r="AH84" s="59" t="n">
        <f aca="false">AG84*(1-Assumptions!$C$48)+AH83</f>
        <v>2749.16109904119</v>
      </c>
      <c r="AI84" s="59" t="n">
        <f aca="false">AH84*(1-Assumptions!$C$48)+AI83</f>
        <v>2981.89576527115</v>
      </c>
      <c r="AJ84" s="59" t="n">
        <f aca="false">AI84*(1-Assumptions!$C$48)+AJ83</f>
        <v>3173.77708402076</v>
      </c>
      <c r="AK84" s="59" t="n">
        <f aca="false">AJ84*(1-Assumptions!$C$48)+AK83</f>
        <v>3381.16281592664</v>
      </c>
      <c r="AL84" s="59" t="n">
        <f aca="false">AK84*(1-Assumptions!$C$48)+AL83</f>
        <v>3611.40161989675</v>
      </c>
      <c r="AN84" s="57" t="n">
        <f aca="false">N84</f>
        <v>217.098098825207</v>
      </c>
      <c r="AO84" s="57" t="n">
        <f aca="false">Z84</f>
        <v>1131.20179647255</v>
      </c>
      <c r="AP84" s="57" t="n">
        <f aca="false">AL84</f>
        <v>3611.40161989675</v>
      </c>
    </row>
    <row r="85" customFormat="false" ht="15" hidden="false" customHeight="false" outlineLevel="0" collapsed="false">
      <c r="A85" s="26" t="s">
        <v>499</v>
      </c>
      <c r="B85" s="24" t="s">
        <v>500</v>
      </c>
      <c r="C85" s="51" t="n">
        <f aca="false">IFERROR(C55*(1-Assumptions!$C$83)/C83,0)</f>
        <v>282.194266314011</v>
      </c>
      <c r="D85" s="51" t="n">
        <f aca="false">IFERROR(D55*(1-Assumptions!$C$83)/D83,0)</f>
        <v>280.703216312429</v>
      </c>
      <c r="E85" s="51" t="n">
        <f aca="false">IFERROR(E55*(1-Assumptions!$C$83)/E83,0)</f>
        <v>278.739488650996</v>
      </c>
      <c r="F85" s="51" t="n">
        <f aca="false">IFERROR(F55*(1-Assumptions!$C$83)/F83,0)</f>
        <v>204.440066726482</v>
      </c>
      <c r="G85" s="51" t="n">
        <f aca="false">IFERROR(G55*(1-Assumptions!$C$83)/G83,0)</f>
        <v>198.215759971867</v>
      </c>
      <c r="H85" s="51" t="n">
        <f aca="false">IFERROR(H55*(1-Assumptions!$C$83)/H83,0)</f>
        <v>190.483249757717</v>
      </c>
      <c r="I85" s="51" t="n">
        <f aca="false">IFERROR(I55*(1-Assumptions!$C$83)/I83,0)</f>
        <v>183.788037151689</v>
      </c>
      <c r="J85" s="51" t="n">
        <f aca="false">IFERROR(J55*(1-Assumptions!$C$83)/J83,0)</f>
        <v>177.003270371075</v>
      </c>
      <c r="K85" s="51" t="n">
        <f aca="false">IFERROR(K55*(1-Assumptions!$C$83)/K83,0)</f>
        <v>168.699593203205</v>
      </c>
      <c r="L85" s="51" t="n">
        <f aca="false">IFERROR(L55*(1-Assumptions!$C$83)/L83,0)</f>
        <v>99.7365398932656</v>
      </c>
      <c r="M85" s="51" t="n">
        <f aca="false">IFERROR(M55*(1-Assumptions!$C$83)/M83,0)</f>
        <v>93.5146234653053</v>
      </c>
      <c r="N85" s="51" t="n">
        <f aca="false">IFERROR(N55*(1-Assumptions!$C$83)/N83,0)</f>
        <v>86.3335676747243</v>
      </c>
      <c r="O85" s="51" t="n">
        <f aca="false">IFERROR(O55*(1-Assumptions!$C$83)/O83,0)</f>
        <v>99.5559787499067</v>
      </c>
      <c r="P85" s="51" t="n">
        <f aca="false">IFERROR(P55*(1-Assumptions!$C$83)/P83,0)</f>
        <v>94.5615201538457</v>
      </c>
      <c r="Q85" s="51" t="n">
        <f aca="false">IFERROR(Q55*(1-Assumptions!$C$83)/Q83,0)</f>
        <v>88.6328854037363</v>
      </c>
      <c r="R85" s="51" t="n">
        <f aca="false">IFERROR(R55*(1-Assumptions!$C$83)/R83,0)</f>
        <v>89.6164974449511</v>
      </c>
      <c r="S85" s="51" t="n">
        <f aca="false">IFERROR(S55*(1-Assumptions!$C$83)/S83,0)</f>
        <v>84.7415140372053</v>
      </c>
      <c r="T85" s="51" t="n">
        <f aca="false">IFERROR(T55*(1-Assumptions!$C$83)/T83,0)</f>
        <v>79.0107798976121</v>
      </c>
      <c r="U85" s="51" t="n">
        <f aca="false">IFERROR(U55*(1-Assumptions!$C$83)/U83,0)</f>
        <v>71.6933205921742</v>
      </c>
      <c r="V85" s="51" t="n">
        <f aca="false">IFERROR(V55*(1-Assumptions!$C$83)/V83,0)</f>
        <v>67.2531283300471</v>
      </c>
      <c r="W85" s="51" t="n">
        <f aca="false">IFERROR(W55*(1-Assumptions!$C$83)/W83,0)</f>
        <v>62.1231526774743</v>
      </c>
      <c r="X85" s="51" t="n">
        <f aca="false">IFERROR(X55*(1-Assumptions!$C$83)/X83,0)</f>
        <v>62.7595010548239</v>
      </c>
      <c r="Y85" s="51" t="n">
        <f aca="false">IFERROR(Y55*(1-Assumptions!$C$83)/Y83,0)</f>
        <v>58.6397022728836</v>
      </c>
      <c r="Z85" s="51" t="n">
        <f aca="false">IFERROR(Z55*(1-Assumptions!$C$83)/Z83,0)</f>
        <v>53.9202943871323</v>
      </c>
      <c r="AA85" s="51" t="n">
        <f aca="false">IFERROR(AA55*(1-Assumptions!$C$83)/AA83,0)</f>
        <v>61.2633123718562</v>
      </c>
      <c r="AB85" s="51" t="n">
        <f aca="false">IFERROR(AB55*(1-Assumptions!$C$83)/AB83,0)</f>
        <v>57.53695252353</v>
      </c>
      <c r="AC85" s="51" t="n">
        <f aca="false">IFERROR(AC55*(1-Assumptions!$C$83)/AC83,0)</f>
        <v>53.2207295002095</v>
      </c>
      <c r="AD85" s="51" t="n">
        <f aca="false">IFERROR(AD55*(1-Assumptions!$C$83)/AD83,0)</f>
        <v>54.6245004324905</v>
      </c>
      <c r="AE85" s="51" t="n">
        <f aca="false">IFERROR(AE55*(1-Assumptions!$C$83)/AE83,0)</f>
        <v>51.1186349412712</v>
      </c>
      <c r="AF85" s="51" t="n">
        <f aca="false">IFERROR(AF55*(1-Assumptions!$C$83)/AF83,0)</f>
        <v>47.0889976745676</v>
      </c>
      <c r="AG85" s="51" t="n">
        <f aca="false">IFERROR(AG55*(1-Assumptions!$C$83)/AG83,0)</f>
        <v>48.2656212186671</v>
      </c>
      <c r="AH85" s="51" t="n">
        <f aca="false">IFERROR(AH55*(1-Assumptions!$C$83)/AH83,0)</f>
        <v>45.0138138492636</v>
      </c>
      <c r="AI85" s="51" t="n">
        <f aca="false">IFERROR(AI55*(1-Assumptions!$C$83)/AI83,0)</f>
        <v>41.3034854618737</v>
      </c>
      <c r="AJ85" s="51" t="n">
        <f aca="false">IFERROR(AJ55*(1-Assumptions!$C$83)/AJ83,0)</f>
        <v>45.1518147743873</v>
      </c>
      <c r="AK85" s="51" t="n">
        <f aca="false">IFERROR(AK55*(1-Assumptions!$C$83)/AK83,0)</f>
        <v>42.0395783710164</v>
      </c>
      <c r="AL85" s="51" t="n">
        <f aca="false">IFERROR(AL55*(1-Assumptions!$C$83)/AL83,0)</f>
        <v>38.5011544947627</v>
      </c>
      <c r="AN85" s="52" t="n">
        <f aca="false">IFERROR(AVERAGE(C85:N85),0)</f>
        <v>186.987639957731</v>
      </c>
      <c r="AO85" s="52" t="n">
        <f aca="false">IFERROR(AVERAGE(O85:Z85),0)</f>
        <v>76.0423562501494</v>
      </c>
      <c r="AP85" s="52" t="n">
        <f aca="false">IFERROR(AVERAGE(AA85:AL85),0)</f>
        <v>48.760716301158</v>
      </c>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501</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502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503</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75" hidden="false" customHeight="true" outlineLevel="0" collapsed="false">
      <c r="A6" s="36" t="s">
        <v>345</v>
      </c>
      <c r="B6" s="36" t="s">
        <v>346</v>
      </c>
      <c r="C6" s="47" t="s">
        <v>347</v>
      </c>
      <c r="D6" s="47" t="s">
        <v>348</v>
      </c>
      <c r="E6" s="47" t="s">
        <v>349</v>
      </c>
      <c r="F6" s="47" t="s">
        <v>350</v>
      </c>
      <c r="G6" s="47" t="s">
        <v>351</v>
      </c>
      <c r="H6" s="47" t="s">
        <v>352</v>
      </c>
      <c r="I6" s="47" t="s">
        <v>353</v>
      </c>
      <c r="J6" s="47" t="s">
        <v>354</v>
      </c>
      <c r="K6" s="47" t="s">
        <v>355</v>
      </c>
      <c r="L6" s="47" t="s">
        <v>356</v>
      </c>
      <c r="M6" s="47" t="s">
        <v>357</v>
      </c>
      <c r="N6" s="47" t="s">
        <v>358</v>
      </c>
      <c r="O6" s="48" t="s">
        <v>359</v>
      </c>
      <c r="P6" s="48" t="s">
        <v>360</v>
      </c>
      <c r="Q6" s="48" t="s">
        <v>361</v>
      </c>
      <c r="R6" s="48" t="s">
        <v>362</v>
      </c>
      <c r="S6" s="48" t="s">
        <v>363</v>
      </c>
      <c r="T6" s="48" t="s">
        <v>364</v>
      </c>
      <c r="U6" s="48" t="s">
        <v>365</v>
      </c>
      <c r="V6" s="48" t="s">
        <v>366</v>
      </c>
      <c r="W6" s="48" t="s">
        <v>367</v>
      </c>
      <c r="X6" s="48" t="s">
        <v>368</v>
      </c>
      <c r="Y6" s="48" t="s">
        <v>369</v>
      </c>
      <c r="Z6" s="48" t="s">
        <v>370</v>
      </c>
      <c r="AA6" s="47" t="s">
        <v>371</v>
      </c>
      <c r="AB6" s="47" t="s">
        <v>372</v>
      </c>
      <c r="AC6" s="47" t="s">
        <v>373</v>
      </c>
      <c r="AD6" s="47" t="s">
        <v>374</v>
      </c>
      <c r="AE6" s="47" t="s">
        <v>375</v>
      </c>
      <c r="AF6" s="47" t="s">
        <v>376</v>
      </c>
      <c r="AG6" s="47" t="s">
        <v>377</v>
      </c>
      <c r="AH6" s="47" t="s">
        <v>378</v>
      </c>
      <c r="AI6" s="47" t="s">
        <v>379</v>
      </c>
      <c r="AJ6" s="47" t="s">
        <v>380</v>
      </c>
      <c r="AK6" s="47" t="s">
        <v>381</v>
      </c>
      <c r="AL6" s="47" t="s">
        <v>382</v>
      </c>
      <c r="AM6" s="49"/>
      <c r="AN6" s="50" t="s">
        <v>383</v>
      </c>
      <c r="AO6" s="50" t="s">
        <v>384</v>
      </c>
      <c r="AP6" s="50" t="s">
        <v>385</v>
      </c>
    </row>
    <row r="7" customFormat="false" ht="15" hidden="false" customHeight="false" outlineLevel="0" collapsed="false">
      <c r="A7" s="26" t="s">
        <v>107</v>
      </c>
      <c r="B7" s="24" t="s">
        <v>108</v>
      </c>
      <c r="C7" s="66" t="n">
        <f aca="false">Assumptions!$C$14*Assumptions!$C$31</f>
        <v>0</v>
      </c>
      <c r="D7" s="66" t="n">
        <f aca="false">Assumptions!$C$14*Assumptions!$D$31</f>
        <v>0</v>
      </c>
      <c r="E7" s="66" t="n">
        <f aca="false">Assumptions!$C$14*Assumptions!$E$31</f>
        <v>0</v>
      </c>
      <c r="F7" s="66" t="n">
        <f aca="false">Assumptions!$D$14*Assumptions!$C$31</f>
        <v>1.2</v>
      </c>
      <c r="G7" s="66" t="n">
        <f aca="false">Assumptions!$D$14*Assumptions!$D$31</f>
        <v>1.32</v>
      </c>
      <c r="H7" s="66" t="n">
        <f aca="false">Assumptions!$D$14*Assumptions!$E$31</f>
        <v>1.48</v>
      </c>
      <c r="I7" s="66" t="n">
        <f aca="false">Assumptions!$E$14*Assumptions!$C$31</f>
        <v>2.1</v>
      </c>
      <c r="J7" s="66" t="n">
        <f aca="false">Assumptions!$E$14*Assumptions!$D$31</f>
        <v>2.31</v>
      </c>
      <c r="K7" s="66" t="n">
        <f aca="false">Assumptions!$E$14*Assumptions!$E$31</f>
        <v>2.59</v>
      </c>
      <c r="L7" s="66" t="n">
        <f aca="false">Assumptions!$F$14*Assumptions!$C$31</f>
        <v>2.7</v>
      </c>
      <c r="M7" s="66" t="n">
        <f aca="false">Assumptions!$F$14*Assumptions!$D$31</f>
        <v>2.97</v>
      </c>
      <c r="N7" s="66" t="n">
        <f aca="false">Assumptions!$F$14*Assumptions!$E$31</f>
        <v>3.33</v>
      </c>
      <c r="O7" s="66" t="n">
        <f aca="false">Assumptions!$G$14*Assumptions!$C$31</f>
        <v>3.3</v>
      </c>
      <c r="P7" s="66" t="n">
        <f aca="false">Assumptions!$G$14*Assumptions!$D$31</f>
        <v>3.63</v>
      </c>
      <c r="Q7" s="66" t="n">
        <f aca="false">Assumptions!$G$14*Assumptions!$E$31</f>
        <v>4.07</v>
      </c>
      <c r="R7" s="66" t="n">
        <f aca="false">Assumptions!$H$14*Assumptions!$C$31</f>
        <v>3.9</v>
      </c>
      <c r="S7" s="66" t="n">
        <f aca="false">Assumptions!$H$14*Assumptions!$D$31</f>
        <v>4.29</v>
      </c>
      <c r="T7" s="66" t="n">
        <f aca="false">Assumptions!$H$14*Assumptions!$E$31</f>
        <v>4.81</v>
      </c>
      <c r="U7" s="66" t="n">
        <f aca="false">Assumptions!$I$14*Assumptions!$C$31</f>
        <v>4.5</v>
      </c>
      <c r="V7" s="66" t="n">
        <f aca="false">Assumptions!$I$14*Assumptions!$D$31</f>
        <v>4.95</v>
      </c>
      <c r="W7" s="66" t="n">
        <f aca="false">Assumptions!$I$14*Assumptions!$E$31</f>
        <v>5.55</v>
      </c>
      <c r="X7" s="66" t="n">
        <f aca="false">Assumptions!$J$14*Assumptions!$C$31</f>
        <v>5.1</v>
      </c>
      <c r="Y7" s="66" t="n">
        <f aca="false">Assumptions!$J$14*Assumptions!$D$31</f>
        <v>5.61</v>
      </c>
      <c r="Z7" s="66" t="n">
        <f aca="false">Assumptions!$J$14*Assumptions!$E$31</f>
        <v>6.29</v>
      </c>
      <c r="AA7" s="66" t="n">
        <f aca="false">Assumptions!$K$14*Assumptions!$C$31</f>
        <v>6</v>
      </c>
      <c r="AB7" s="66" t="n">
        <f aca="false">Assumptions!$K$14*Assumptions!$D$31</f>
        <v>6.6</v>
      </c>
      <c r="AC7" s="66" t="n">
        <f aca="false">Assumptions!$K$14*Assumptions!$E$31</f>
        <v>7.4</v>
      </c>
      <c r="AD7" s="66" t="n">
        <f aca="false">Assumptions!$L$14*Assumptions!$C$31</f>
        <v>6.9</v>
      </c>
      <c r="AE7" s="66" t="n">
        <f aca="false">Assumptions!$L$14*Assumptions!$D$31</f>
        <v>7.59</v>
      </c>
      <c r="AF7" s="66" t="n">
        <f aca="false">Assumptions!$L$14*Assumptions!$E$31</f>
        <v>8.51</v>
      </c>
      <c r="AG7" s="66" t="n">
        <f aca="false">Assumptions!$M$14*Assumptions!$C$31</f>
        <v>7.5</v>
      </c>
      <c r="AH7" s="66" t="n">
        <f aca="false">Assumptions!$M$14*Assumptions!$D$31</f>
        <v>8.25</v>
      </c>
      <c r="AI7" s="66" t="n">
        <f aca="false">Assumptions!$M$14*Assumptions!$E$31</f>
        <v>9.25</v>
      </c>
      <c r="AJ7" s="66" t="n">
        <f aca="false">Assumptions!$N$14*Assumptions!$C$31</f>
        <v>8.4</v>
      </c>
      <c r="AK7" s="66" t="n">
        <f aca="false">Assumptions!$N$14*Assumptions!$D$31</f>
        <v>9.24</v>
      </c>
      <c r="AL7" s="66" t="n">
        <f aca="false">Assumptions!$N$14*Assumptions!$E$31</f>
        <v>10.36</v>
      </c>
      <c r="AN7" s="67" t="n">
        <f aca="false">SUM(C7:N7)</f>
        <v>20</v>
      </c>
      <c r="AO7" s="67" t="n">
        <f aca="false">SUM(O7:Z7)</f>
        <v>56</v>
      </c>
      <c r="AP7" s="67" t="n">
        <f aca="false">SUM(AA7:AL7)</f>
        <v>96</v>
      </c>
    </row>
    <row r="8" customFormat="false" ht="15" hidden="false" customHeight="false" outlineLevel="0" collapsed="false">
      <c r="A8" s="26" t="s">
        <v>109</v>
      </c>
      <c r="B8" s="24" t="s">
        <v>108</v>
      </c>
      <c r="C8" s="66" t="n">
        <f aca="false">Assumptions!$C$15*Assumptions!$C$31</f>
        <v>0.3</v>
      </c>
      <c r="D8" s="66" t="n">
        <f aca="false">Assumptions!$C$15*Assumptions!$D$31</f>
        <v>0.33</v>
      </c>
      <c r="E8" s="66" t="n">
        <f aca="false">Assumptions!$C$15*Assumptions!$E$31</f>
        <v>0.37</v>
      </c>
      <c r="F8" s="66" t="n">
        <f aca="false">Assumptions!$D$15*Assumptions!$C$31</f>
        <v>0.6</v>
      </c>
      <c r="G8" s="66" t="n">
        <f aca="false">Assumptions!$D$15*Assumptions!$D$31</f>
        <v>0.66</v>
      </c>
      <c r="H8" s="66" t="n">
        <f aca="false">Assumptions!$D$15*Assumptions!$E$31</f>
        <v>0.74</v>
      </c>
      <c r="I8" s="66" t="n">
        <f aca="false">Assumptions!$E$15*Assumptions!$C$31</f>
        <v>0.9</v>
      </c>
      <c r="J8" s="66" t="n">
        <f aca="false">Assumptions!$E$15*Assumptions!$D$31</f>
        <v>0.99</v>
      </c>
      <c r="K8" s="66" t="n">
        <f aca="false">Assumptions!$E$15*Assumptions!$E$31</f>
        <v>1.11</v>
      </c>
      <c r="L8" s="66" t="n">
        <f aca="false">Assumptions!$F$15*Assumptions!$C$31</f>
        <v>1.2</v>
      </c>
      <c r="M8" s="66" t="n">
        <f aca="false">Assumptions!$F$15*Assumptions!$D$31</f>
        <v>1.32</v>
      </c>
      <c r="N8" s="66" t="n">
        <f aca="false">Assumptions!$F$15*Assumptions!$E$31</f>
        <v>1.48</v>
      </c>
      <c r="O8" s="66" t="n">
        <f aca="false">Assumptions!$G$15*Assumptions!$C$31</f>
        <v>1.5</v>
      </c>
      <c r="P8" s="66" t="n">
        <f aca="false">Assumptions!$G$15*Assumptions!$D$31</f>
        <v>1.65</v>
      </c>
      <c r="Q8" s="66" t="n">
        <f aca="false">Assumptions!$G$15*Assumptions!$E$31</f>
        <v>1.85</v>
      </c>
      <c r="R8" s="66" t="n">
        <f aca="false">Assumptions!$H$15*Assumptions!$C$31</f>
        <v>1.5</v>
      </c>
      <c r="S8" s="66" t="n">
        <f aca="false">Assumptions!$H$15*Assumptions!$D$31</f>
        <v>1.65</v>
      </c>
      <c r="T8" s="66" t="n">
        <f aca="false">Assumptions!$H$15*Assumptions!$E$31</f>
        <v>1.85</v>
      </c>
      <c r="U8" s="66" t="n">
        <f aca="false">Assumptions!$I$15*Assumptions!$C$31</f>
        <v>1.8</v>
      </c>
      <c r="V8" s="66" t="n">
        <f aca="false">Assumptions!$I$15*Assumptions!$D$31</f>
        <v>1.98</v>
      </c>
      <c r="W8" s="66" t="n">
        <f aca="false">Assumptions!$I$15*Assumptions!$E$31</f>
        <v>2.22</v>
      </c>
      <c r="X8" s="66" t="n">
        <f aca="false">Assumptions!$J$15*Assumptions!$C$31</f>
        <v>1.8</v>
      </c>
      <c r="Y8" s="66" t="n">
        <f aca="false">Assumptions!$J$15*Assumptions!$D$31</f>
        <v>1.98</v>
      </c>
      <c r="Z8" s="66" t="n">
        <f aca="false">Assumptions!$J$15*Assumptions!$E$31</f>
        <v>2.22</v>
      </c>
      <c r="AA8" s="66" t="n">
        <f aca="false">Assumptions!$K$15*Assumptions!$C$31</f>
        <v>2.4</v>
      </c>
      <c r="AB8" s="66" t="n">
        <f aca="false">Assumptions!$K$15*Assumptions!$D$31</f>
        <v>2.64</v>
      </c>
      <c r="AC8" s="66" t="n">
        <f aca="false">Assumptions!$K$15*Assumptions!$E$31</f>
        <v>2.96</v>
      </c>
      <c r="AD8" s="66" t="n">
        <f aca="false">Assumptions!$L$15*Assumptions!$C$31</f>
        <v>2.7</v>
      </c>
      <c r="AE8" s="66" t="n">
        <f aca="false">Assumptions!$L$15*Assumptions!$D$31</f>
        <v>2.97</v>
      </c>
      <c r="AF8" s="66" t="n">
        <f aca="false">Assumptions!$L$15*Assumptions!$E$31</f>
        <v>3.33</v>
      </c>
      <c r="AG8" s="66" t="n">
        <f aca="false">Assumptions!$M$15*Assumptions!$C$31</f>
        <v>3</v>
      </c>
      <c r="AH8" s="66" t="n">
        <f aca="false">Assumptions!$M$15*Assumptions!$D$31</f>
        <v>3.3</v>
      </c>
      <c r="AI8" s="66" t="n">
        <f aca="false">Assumptions!$M$15*Assumptions!$E$31</f>
        <v>3.7</v>
      </c>
      <c r="AJ8" s="66" t="n">
        <f aca="false">Assumptions!$N$15*Assumptions!$C$31</f>
        <v>3.3</v>
      </c>
      <c r="AK8" s="66" t="n">
        <f aca="false">Assumptions!$N$15*Assumptions!$D$31</f>
        <v>3.63</v>
      </c>
      <c r="AL8" s="66" t="n">
        <f aca="false">Assumptions!$N$15*Assumptions!$E$31</f>
        <v>4.07</v>
      </c>
      <c r="AN8" s="67" t="n">
        <f aca="false">SUM(C8:N8)</f>
        <v>10</v>
      </c>
      <c r="AO8" s="67" t="n">
        <f aca="false">SUM(O8:Z8)</f>
        <v>22</v>
      </c>
      <c r="AP8" s="67" t="n">
        <f aca="false">SUM(AA8:AL8)</f>
        <v>38</v>
      </c>
    </row>
    <row r="9" customFormat="false" ht="15" hidden="false" customHeight="false" outlineLevel="0" collapsed="false">
      <c r="A9" s="26" t="s">
        <v>110</v>
      </c>
      <c r="B9" s="24" t="s">
        <v>504</v>
      </c>
      <c r="C9" s="66" t="n">
        <f aca="false">Assumptions!$C$16*Assumptions!$C$31</f>
        <v>1.2</v>
      </c>
      <c r="D9" s="66" t="n">
        <f aca="false">Assumptions!$C$16*Assumptions!$D$31</f>
        <v>1.32</v>
      </c>
      <c r="E9" s="66" t="n">
        <f aca="false">Assumptions!$C$16*Assumptions!$E$31</f>
        <v>1.48</v>
      </c>
      <c r="F9" s="66" t="n">
        <f aca="false">Assumptions!$D$16*Assumptions!$C$31</f>
        <v>0.6</v>
      </c>
      <c r="G9" s="66" t="n">
        <f aca="false">Assumptions!$D$16*Assumptions!$D$31</f>
        <v>0.66</v>
      </c>
      <c r="H9" s="66" t="n">
        <f aca="false">Assumptions!$D$16*Assumptions!$E$31</f>
        <v>0.74</v>
      </c>
      <c r="I9" s="66" t="n">
        <f aca="false">Assumptions!$E$16*Assumptions!$C$31</f>
        <v>0.3</v>
      </c>
      <c r="J9" s="66" t="n">
        <f aca="false">Assumptions!$E$16*Assumptions!$D$31</f>
        <v>0.33</v>
      </c>
      <c r="K9" s="66" t="n">
        <f aca="false">Assumptions!$E$16*Assumptions!$E$31</f>
        <v>0.37</v>
      </c>
      <c r="L9" s="66" t="n">
        <f aca="false">Assumptions!$F$16*Assumptions!$C$31</f>
        <v>0.3</v>
      </c>
      <c r="M9" s="66" t="n">
        <f aca="false">Assumptions!$F$16*Assumptions!$D$31</f>
        <v>0.33</v>
      </c>
      <c r="N9" s="66" t="n">
        <f aca="false">Assumptions!$F$16*Assumptions!$E$31</f>
        <v>0.37</v>
      </c>
      <c r="O9" s="66" t="n">
        <f aca="false">Assumptions!$G$16*Assumptions!$C$31</f>
        <v>0.3</v>
      </c>
      <c r="P9" s="66" t="n">
        <f aca="false">Assumptions!$G$16*Assumptions!$D$31</f>
        <v>0.33</v>
      </c>
      <c r="Q9" s="66" t="n">
        <f aca="false">Assumptions!$G$16*Assumptions!$E$31</f>
        <v>0.37</v>
      </c>
      <c r="R9" s="66" t="n">
        <f aca="false">Assumptions!$H$16*Assumptions!$C$31</f>
        <v>0.3</v>
      </c>
      <c r="S9" s="66" t="n">
        <f aca="false">Assumptions!$H$16*Assumptions!$D$31</f>
        <v>0.33</v>
      </c>
      <c r="T9" s="66" t="n">
        <f aca="false">Assumptions!$H$16*Assumptions!$E$31</f>
        <v>0.37</v>
      </c>
      <c r="U9" s="66" t="n">
        <f aca="false">Assumptions!$I$16*Assumptions!$C$31</f>
        <v>0.3</v>
      </c>
      <c r="V9" s="66" t="n">
        <f aca="false">Assumptions!$I$16*Assumptions!$D$31</f>
        <v>0.33</v>
      </c>
      <c r="W9" s="66" t="n">
        <f aca="false">Assumptions!$I$16*Assumptions!$E$31</f>
        <v>0.37</v>
      </c>
      <c r="X9" s="66" t="n">
        <f aca="false">Assumptions!$J$16*Assumptions!$C$31</f>
        <v>0.3</v>
      </c>
      <c r="Y9" s="66" t="n">
        <f aca="false">Assumptions!$J$16*Assumptions!$D$31</f>
        <v>0.33</v>
      </c>
      <c r="Z9" s="66" t="n">
        <f aca="false">Assumptions!$J$16*Assumptions!$E$31</f>
        <v>0.37</v>
      </c>
      <c r="AA9" s="66" t="n">
        <f aca="false">Assumptions!$K$16*Assumptions!$C$31</f>
        <v>0.3</v>
      </c>
      <c r="AB9" s="66" t="n">
        <f aca="false">Assumptions!$K$16*Assumptions!$D$31</f>
        <v>0.33</v>
      </c>
      <c r="AC9" s="66" t="n">
        <f aca="false">Assumptions!$K$16*Assumptions!$E$31</f>
        <v>0.37</v>
      </c>
      <c r="AD9" s="66" t="n">
        <f aca="false">Assumptions!$L$16*Assumptions!$C$31</f>
        <v>0.3</v>
      </c>
      <c r="AE9" s="66" t="n">
        <f aca="false">Assumptions!$L$16*Assumptions!$D$31</f>
        <v>0.33</v>
      </c>
      <c r="AF9" s="66" t="n">
        <f aca="false">Assumptions!$L$16*Assumptions!$E$31</f>
        <v>0.37</v>
      </c>
      <c r="AG9" s="66" t="n">
        <f aca="false">Assumptions!$M$16*Assumptions!$C$31</f>
        <v>0.3</v>
      </c>
      <c r="AH9" s="66" t="n">
        <f aca="false">Assumptions!$M$16*Assumptions!$D$31</f>
        <v>0.33</v>
      </c>
      <c r="AI9" s="66" t="n">
        <f aca="false">Assumptions!$M$16*Assumptions!$E$31</f>
        <v>0.37</v>
      </c>
      <c r="AJ9" s="66" t="n">
        <f aca="false">Assumptions!$N$16*Assumptions!$C$31</f>
        <v>0.3</v>
      </c>
      <c r="AK9" s="66" t="n">
        <f aca="false">Assumptions!$N$16*Assumptions!$D$31</f>
        <v>0.33</v>
      </c>
      <c r="AL9" s="66" t="n">
        <f aca="false">Assumptions!$N$16*Assumptions!$E$31</f>
        <v>0.37</v>
      </c>
      <c r="AN9" s="67" t="n">
        <f aca="false">SUM(C9:N9)</f>
        <v>8</v>
      </c>
      <c r="AO9" s="67" t="n">
        <f aca="false">SUM(O9:Z9)</f>
        <v>4</v>
      </c>
      <c r="AP9" s="67" t="n">
        <f aca="false">SUM(AA9:AL9)</f>
        <v>4</v>
      </c>
    </row>
    <row r="10" customFormat="false" ht="15" hidden="false" customHeight="false" outlineLevel="0" collapsed="false">
      <c r="A10" s="26" t="s">
        <v>505</v>
      </c>
      <c r="B10" s="24" t="s">
        <v>112</v>
      </c>
      <c r="C10" s="66" t="n">
        <f aca="false">Assumptions!$C$17*Assumptions!$C$31</f>
        <v>0</v>
      </c>
      <c r="D10" s="66" t="n">
        <f aca="false">Assumptions!$C$17*Assumptions!$D$31</f>
        <v>0</v>
      </c>
      <c r="E10" s="66" t="n">
        <f aca="false">Assumptions!$C$17*Assumptions!$E$31</f>
        <v>0</v>
      </c>
      <c r="F10" s="66" t="n">
        <f aca="false">Assumptions!$D$17*Assumptions!$C$31</f>
        <v>0</v>
      </c>
      <c r="G10" s="66" t="n">
        <f aca="false">Assumptions!$D$17*Assumptions!$D$31</f>
        <v>0</v>
      </c>
      <c r="H10" s="66" t="n">
        <f aca="false">Assumptions!$D$17*Assumptions!$E$31</f>
        <v>0</v>
      </c>
      <c r="I10" s="66" t="n">
        <f aca="false">Assumptions!$E$17*Assumptions!$C$31</f>
        <v>0</v>
      </c>
      <c r="J10" s="66" t="n">
        <f aca="false">Assumptions!$E$17*Assumptions!$D$31</f>
        <v>0</v>
      </c>
      <c r="K10" s="66" t="n">
        <f aca="false">Assumptions!$E$17*Assumptions!$E$31</f>
        <v>0</v>
      </c>
      <c r="L10" s="66" t="n">
        <f aca="false">Assumptions!$F$17*Assumptions!$C$31</f>
        <v>0.3</v>
      </c>
      <c r="M10" s="66" t="n">
        <f aca="false">Assumptions!$F$17*Assumptions!$D$31</f>
        <v>0.33</v>
      </c>
      <c r="N10" s="66" t="n">
        <f aca="false">Assumptions!$F$17*Assumptions!$E$31</f>
        <v>0.37</v>
      </c>
      <c r="O10" s="66" t="n">
        <f aca="false">Assumptions!$G$17*Assumptions!$C$31</f>
        <v>0.3</v>
      </c>
      <c r="P10" s="66" t="n">
        <f aca="false">Assumptions!$G$17*Assumptions!$D$31</f>
        <v>0.33</v>
      </c>
      <c r="Q10" s="66" t="n">
        <f aca="false">Assumptions!$G$17*Assumptions!$E$31</f>
        <v>0.37</v>
      </c>
      <c r="R10" s="66" t="n">
        <f aca="false">Assumptions!$H$17*Assumptions!$C$31</f>
        <v>0.3</v>
      </c>
      <c r="S10" s="66" t="n">
        <f aca="false">Assumptions!$H$17*Assumptions!$D$31</f>
        <v>0.33</v>
      </c>
      <c r="T10" s="66" t="n">
        <f aca="false">Assumptions!$H$17*Assumptions!$E$31</f>
        <v>0.37</v>
      </c>
      <c r="U10" s="66" t="n">
        <f aca="false">Assumptions!$I$17*Assumptions!$C$31</f>
        <v>0.6</v>
      </c>
      <c r="V10" s="66" t="n">
        <f aca="false">Assumptions!$I$17*Assumptions!$D$31</f>
        <v>0.66</v>
      </c>
      <c r="W10" s="66" t="n">
        <f aca="false">Assumptions!$I$17*Assumptions!$E$31</f>
        <v>0.74</v>
      </c>
      <c r="X10" s="66" t="n">
        <f aca="false">Assumptions!$J$17*Assumptions!$C$31</f>
        <v>0.6</v>
      </c>
      <c r="Y10" s="66" t="n">
        <f aca="false">Assumptions!$J$17*Assumptions!$D$31</f>
        <v>0.66</v>
      </c>
      <c r="Z10" s="66" t="n">
        <f aca="false">Assumptions!$J$17*Assumptions!$E$31</f>
        <v>0.74</v>
      </c>
      <c r="AA10" s="66" t="n">
        <f aca="false">Assumptions!$K$17*Assumptions!$C$31</f>
        <v>0.9</v>
      </c>
      <c r="AB10" s="66" t="n">
        <f aca="false">Assumptions!$K$17*Assumptions!$D$31</f>
        <v>0.99</v>
      </c>
      <c r="AC10" s="66" t="n">
        <f aca="false">Assumptions!$K$17*Assumptions!$E$31</f>
        <v>1.11</v>
      </c>
      <c r="AD10" s="66" t="n">
        <f aca="false">Assumptions!$L$17*Assumptions!$C$31</f>
        <v>0.9</v>
      </c>
      <c r="AE10" s="66" t="n">
        <f aca="false">Assumptions!$L$17*Assumptions!$D$31</f>
        <v>0.99</v>
      </c>
      <c r="AF10" s="66" t="n">
        <f aca="false">Assumptions!$L$17*Assumptions!$E$31</f>
        <v>1.11</v>
      </c>
      <c r="AG10" s="66" t="n">
        <f aca="false">Assumptions!$M$17*Assumptions!$C$31</f>
        <v>1.2</v>
      </c>
      <c r="AH10" s="66" t="n">
        <f aca="false">Assumptions!$M$17*Assumptions!$D$31</f>
        <v>1.32</v>
      </c>
      <c r="AI10" s="66" t="n">
        <f aca="false">Assumptions!$M$17*Assumptions!$E$31</f>
        <v>1.48</v>
      </c>
      <c r="AJ10" s="66" t="n">
        <f aca="false">Assumptions!$N$17*Assumptions!$C$31</f>
        <v>1.2</v>
      </c>
      <c r="AK10" s="66" t="n">
        <f aca="false">Assumptions!$N$17*Assumptions!$D$31</f>
        <v>1.32</v>
      </c>
      <c r="AL10" s="66" t="n">
        <f aca="false">Assumptions!$N$17*Assumptions!$E$31</f>
        <v>1.48</v>
      </c>
      <c r="AN10" s="67" t="n">
        <f aca="false">SUM(C10:N10)</f>
        <v>1</v>
      </c>
      <c r="AO10" s="67" t="n">
        <f aca="false">SUM(O10:Z10)</f>
        <v>6</v>
      </c>
      <c r="AP10" s="67" t="n">
        <f aca="false">SUM(AA10:AL10)</f>
        <v>14</v>
      </c>
    </row>
    <row r="11" customFormat="false" ht="15" hidden="false" customHeight="false" outlineLevel="0" collapsed="false">
      <c r="A11" s="26" t="s">
        <v>113</v>
      </c>
      <c r="B11" s="24" t="s">
        <v>108</v>
      </c>
      <c r="C11" s="66" t="n">
        <f aca="false">Assumptions!$C$18*Assumptions!$C$31</f>
        <v>0</v>
      </c>
      <c r="D11" s="66" t="n">
        <f aca="false">Assumptions!$C$18*Assumptions!$D$31</f>
        <v>0</v>
      </c>
      <c r="E11" s="66" t="n">
        <f aca="false">Assumptions!$C$18*Assumptions!$E$31</f>
        <v>0</v>
      </c>
      <c r="F11" s="66" t="n">
        <f aca="false">Assumptions!$D$18*Assumptions!$C$31</f>
        <v>0</v>
      </c>
      <c r="G11" s="66" t="n">
        <f aca="false">Assumptions!$D$18*Assumptions!$D$31</f>
        <v>0</v>
      </c>
      <c r="H11" s="66" t="n">
        <f aca="false">Assumptions!$D$18*Assumptions!$E$31</f>
        <v>0</v>
      </c>
      <c r="I11" s="66" t="n">
        <f aca="false">Assumptions!$E$18*Assumptions!$C$31</f>
        <v>0.9</v>
      </c>
      <c r="J11" s="66" t="n">
        <f aca="false">Assumptions!$E$18*Assumptions!$D$31</f>
        <v>0.99</v>
      </c>
      <c r="K11" s="66" t="n">
        <f aca="false">Assumptions!$E$18*Assumptions!$E$31</f>
        <v>1.11</v>
      </c>
      <c r="L11" s="66" t="n">
        <f aca="false">Assumptions!$F$18*Assumptions!$C$31</f>
        <v>1.8</v>
      </c>
      <c r="M11" s="66" t="n">
        <f aca="false">Assumptions!$F$18*Assumptions!$D$31</f>
        <v>1.98</v>
      </c>
      <c r="N11" s="66" t="n">
        <f aca="false">Assumptions!$F$18*Assumptions!$E$31</f>
        <v>2.22</v>
      </c>
      <c r="O11" s="66" t="n">
        <f aca="false">Assumptions!$G$18*Assumptions!$C$31</f>
        <v>2.7</v>
      </c>
      <c r="P11" s="66" t="n">
        <f aca="false">Assumptions!$G$18*Assumptions!$D$31</f>
        <v>2.97</v>
      </c>
      <c r="Q11" s="66" t="n">
        <f aca="false">Assumptions!$G$18*Assumptions!$E$31</f>
        <v>3.33</v>
      </c>
      <c r="R11" s="66" t="n">
        <f aca="false">Assumptions!$H$18*Assumptions!$C$31</f>
        <v>3.6</v>
      </c>
      <c r="S11" s="66" t="n">
        <f aca="false">Assumptions!$H$18*Assumptions!$D$31</f>
        <v>3.96</v>
      </c>
      <c r="T11" s="66" t="n">
        <f aca="false">Assumptions!$H$18*Assumptions!$E$31</f>
        <v>4.44</v>
      </c>
      <c r="U11" s="66" t="n">
        <f aca="false">Assumptions!$I$18*Assumptions!$C$31</f>
        <v>4.2</v>
      </c>
      <c r="V11" s="66" t="n">
        <f aca="false">Assumptions!$I$18*Assumptions!$D$31</f>
        <v>4.62</v>
      </c>
      <c r="W11" s="66" t="n">
        <f aca="false">Assumptions!$I$18*Assumptions!$E$31</f>
        <v>5.18</v>
      </c>
      <c r="X11" s="66" t="n">
        <f aca="false">Assumptions!$J$18*Assumptions!$C$31</f>
        <v>4.8</v>
      </c>
      <c r="Y11" s="66" t="n">
        <f aca="false">Assumptions!$J$18*Assumptions!$D$31</f>
        <v>5.28</v>
      </c>
      <c r="Z11" s="66" t="n">
        <f aca="false">Assumptions!$J$18*Assumptions!$E$31</f>
        <v>5.92</v>
      </c>
      <c r="AA11" s="66" t="n">
        <f aca="false">Assumptions!$K$18*Assumptions!$C$31</f>
        <v>6</v>
      </c>
      <c r="AB11" s="66" t="n">
        <f aca="false">Assumptions!$K$18*Assumptions!$D$31</f>
        <v>6.6</v>
      </c>
      <c r="AC11" s="66" t="n">
        <f aca="false">Assumptions!$K$18*Assumptions!$E$31</f>
        <v>7.4</v>
      </c>
      <c r="AD11" s="66" t="n">
        <f aca="false">Assumptions!$L$18*Assumptions!$C$31</f>
        <v>7.2</v>
      </c>
      <c r="AE11" s="66" t="n">
        <f aca="false">Assumptions!$L$18*Assumptions!$D$31</f>
        <v>7.92</v>
      </c>
      <c r="AF11" s="66" t="n">
        <f aca="false">Assumptions!$L$18*Assumptions!$E$31</f>
        <v>8.88</v>
      </c>
      <c r="AG11" s="66" t="n">
        <f aca="false">Assumptions!$M$18*Assumptions!$C$31</f>
        <v>7.8</v>
      </c>
      <c r="AH11" s="66" t="n">
        <f aca="false">Assumptions!$M$18*Assumptions!$D$31</f>
        <v>8.58</v>
      </c>
      <c r="AI11" s="66" t="n">
        <f aca="false">Assumptions!$M$18*Assumptions!$E$31</f>
        <v>9.62</v>
      </c>
      <c r="AJ11" s="66" t="n">
        <f aca="false">Assumptions!$N$18*Assumptions!$C$31</f>
        <v>9</v>
      </c>
      <c r="AK11" s="66" t="n">
        <f aca="false">Assumptions!$N$18*Assumptions!$D$31</f>
        <v>9.9</v>
      </c>
      <c r="AL11" s="66" t="n">
        <f aca="false">Assumptions!$N$18*Assumptions!$E$31</f>
        <v>11.1</v>
      </c>
      <c r="AN11" s="67" t="n">
        <f aca="false">SUM(C11:N11)</f>
        <v>9</v>
      </c>
      <c r="AO11" s="67" t="n">
        <f aca="false">SUM(O11:Z11)</f>
        <v>51</v>
      </c>
      <c r="AP11" s="67" t="n">
        <f aca="false">SUM(AA11:AL11)</f>
        <v>100</v>
      </c>
    </row>
    <row r="12" customFormat="false" ht="15" hidden="false" customHeight="false" outlineLevel="0" collapsed="false">
      <c r="A12" s="26" t="s">
        <v>506</v>
      </c>
      <c r="B12" s="24" t="s">
        <v>112</v>
      </c>
      <c r="C12" s="66" t="n">
        <f aca="false">Assumptions!$C$19*Assumptions!$C$31</f>
        <v>0</v>
      </c>
      <c r="D12" s="66" t="n">
        <f aca="false">Assumptions!$C$19*Assumptions!$D$31</f>
        <v>0</v>
      </c>
      <c r="E12" s="66" t="n">
        <f aca="false">Assumptions!$C$19*Assumptions!$E$31</f>
        <v>0</v>
      </c>
      <c r="F12" s="66" t="n">
        <f aca="false">Assumptions!$D$19*Assumptions!$C$31</f>
        <v>0</v>
      </c>
      <c r="G12" s="66" t="n">
        <f aca="false">Assumptions!$D$19*Assumptions!$D$31</f>
        <v>0</v>
      </c>
      <c r="H12" s="66" t="n">
        <f aca="false">Assumptions!$D$19*Assumptions!$E$31</f>
        <v>0</v>
      </c>
      <c r="I12" s="66" t="n">
        <f aca="false">Assumptions!$E$19*Assumptions!$C$31</f>
        <v>0</v>
      </c>
      <c r="J12" s="66" t="n">
        <f aca="false">Assumptions!$E$19*Assumptions!$D$31</f>
        <v>0</v>
      </c>
      <c r="K12" s="66" t="n">
        <f aca="false">Assumptions!$E$19*Assumptions!$E$31</f>
        <v>0</v>
      </c>
      <c r="L12" s="66" t="n">
        <f aca="false">Assumptions!$F$19*Assumptions!$C$31</f>
        <v>0</v>
      </c>
      <c r="M12" s="66" t="n">
        <f aca="false">Assumptions!$F$19*Assumptions!$D$31</f>
        <v>0</v>
      </c>
      <c r="N12" s="66" t="n">
        <f aca="false">Assumptions!$F$19*Assumptions!$E$31</f>
        <v>0</v>
      </c>
      <c r="O12" s="66" t="n">
        <f aca="false">Assumptions!$G$19*Assumptions!$C$31</f>
        <v>0.3</v>
      </c>
      <c r="P12" s="66" t="n">
        <f aca="false">Assumptions!$G$19*Assumptions!$D$31</f>
        <v>0.33</v>
      </c>
      <c r="Q12" s="66" t="n">
        <f aca="false">Assumptions!$G$19*Assumptions!$E$31</f>
        <v>0.37</v>
      </c>
      <c r="R12" s="66" t="n">
        <f aca="false">Assumptions!$H$19*Assumptions!$C$31</f>
        <v>0.3</v>
      </c>
      <c r="S12" s="66" t="n">
        <f aca="false">Assumptions!$H$19*Assumptions!$D$31</f>
        <v>0.33</v>
      </c>
      <c r="T12" s="66" t="n">
        <f aca="false">Assumptions!$H$19*Assumptions!$E$31</f>
        <v>0.37</v>
      </c>
      <c r="U12" s="66" t="n">
        <f aca="false">Assumptions!$I$19*Assumptions!$C$31</f>
        <v>0.6</v>
      </c>
      <c r="V12" s="66" t="n">
        <f aca="false">Assumptions!$I$19*Assumptions!$D$31</f>
        <v>0.66</v>
      </c>
      <c r="W12" s="66" t="n">
        <f aca="false">Assumptions!$I$19*Assumptions!$E$31</f>
        <v>0.74</v>
      </c>
      <c r="X12" s="66" t="n">
        <f aca="false">Assumptions!$J$19*Assumptions!$C$31</f>
        <v>0.6</v>
      </c>
      <c r="Y12" s="66" t="n">
        <f aca="false">Assumptions!$J$19*Assumptions!$D$31</f>
        <v>0.66</v>
      </c>
      <c r="Z12" s="66" t="n">
        <f aca="false">Assumptions!$J$19*Assumptions!$E$31</f>
        <v>0.74</v>
      </c>
      <c r="AA12" s="66" t="n">
        <f aca="false">Assumptions!$K$19*Assumptions!$C$31</f>
        <v>0.9</v>
      </c>
      <c r="AB12" s="66" t="n">
        <f aca="false">Assumptions!$K$19*Assumptions!$D$31</f>
        <v>0.99</v>
      </c>
      <c r="AC12" s="66" t="n">
        <f aca="false">Assumptions!$K$19*Assumptions!$E$31</f>
        <v>1.11</v>
      </c>
      <c r="AD12" s="66" t="n">
        <f aca="false">Assumptions!$L$19*Assumptions!$C$31</f>
        <v>0.9</v>
      </c>
      <c r="AE12" s="66" t="n">
        <f aca="false">Assumptions!$L$19*Assumptions!$D$31</f>
        <v>0.99</v>
      </c>
      <c r="AF12" s="66" t="n">
        <f aca="false">Assumptions!$L$19*Assumptions!$E$31</f>
        <v>1.11</v>
      </c>
      <c r="AG12" s="66" t="n">
        <f aca="false">Assumptions!$M$19*Assumptions!$C$31</f>
        <v>1.2</v>
      </c>
      <c r="AH12" s="66" t="n">
        <f aca="false">Assumptions!$M$19*Assumptions!$D$31</f>
        <v>1.32</v>
      </c>
      <c r="AI12" s="66" t="n">
        <f aca="false">Assumptions!$M$19*Assumptions!$E$31</f>
        <v>1.48</v>
      </c>
      <c r="AJ12" s="66" t="n">
        <f aca="false">Assumptions!$N$19*Assumptions!$C$31</f>
        <v>1.2</v>
      </c>
      <c r="AK12" s="66" t="n">
        <f aca="false">Assumptions!$N$19*Assumptions!$D$31</f>
        <v>1.32</v>
      </c>
      <c r="AL12" s="66" t="n">
        <f aca="false">Assumptions!$N$19*Assumptions!$E$31</f>
        <v>1.48</v>
      </c>
      <c r="AN12" s="67" t="n">
        <f aca="false">SUM(C12:N12)</f>
        <v>0</v>
      </c>
      <c r="AO12" s="67" t="n">
        <f aca="false">SUM(O12:Z12)</f>
        <v>6</v>
      </c>
      <c r="AP12" s="67" t="n">
        <f aca="false">SUM(AA12:AL12)</f>
        <v>14</v>
      </c>
    </row>
    <row r="13" customFormat="false" ht="15" hidden="false" customHeight="false" outlineLevel="0" collapsed="false">
      <c r="A13" s="26" t="s">
        <v>115</v>
      </c>
      <c r="B13" s="24" t="s">
        <v>108</v>
      </c>
      <c r="C13" s="66" t="n">
        <f aca="false">Assumptions!$C$20*Assumptions!$C$31</f>
        <v>0</v>
      </c>
      <c r="D13" s="66" t="n">
        <f aca="false">Assumptions!$C$20*Assumptions!$D$31</f>
        <v>0</v>
      </c>
      <c r="E13" s="66" t="n">
        <f aca="false">Assumptions!$C$20*Assumptions!$E$31</f>
        <v>0</v>
      </c>
      <c r="F13" s="66" t="n">
        <f aca="false">Assumptions!$D$20*Assumptions!$C$31</f>
        <v>0</v>
      </c>
      <c r="G13" s="66" t="n">
        <f aca="false">Assumptions!$D$20*Assumptions!$D$31</f>
        <v>0</v>
      </c>
      <c r="H13" s="66" t="n">
        <f aca="false">Assumptions!$D$20*Assumptions!$E$31</f>
        <v>0</v>
      </c>
      <c r="I13" s="66" t="n">
        <f aca="false">Assumptions!$E$20*Assumptions!$C$31</f>
        <v>0</v>
      </c>
      <c r="J13" s="66" t="n">
        <f aca="false">Assumptions!$E$20*Assumptions!$D$31</f>
        <v>0</v>
      </c>
      <c r="K13" s="66" t="n">
        <f aca="false">Assumptions!$E$20*Assumptions!$E$31</f>
        <v>0</v>
      </c>
      <c r="L13" s="66" t="n">
        <f aca="false">Assumptions!$F$20*Assumptions!$C$31</f>
        <v>0.6</v>
      </c>
      <c r="M13" s="66" t="n">
        <f aca="false">Assumptions!$F$20*Assumptions!$D$31</f>
        <v>0.66</v>
      </c>
      <c r="N13" s="66" t="n">
        <f aca="false">Assumptions!$F$20*Assumptions!$E$31</f>
        <v>0.74</v>
      </c>
      <c r="O13" s="66" t="n">
        <f aca="false">Assumptions!$G$20*Assumptions!$C$31</f>
        <v>1.2</v>
      </c>
      <c r="P13" s="66" t="n">
        <f aca="false">Assumptions!$G$20*Assumptions!$D$31</f>
        <v>1.32</v>
      </c>
      <c r="Q13" s="66" t="n">
        <f aca="false">Assumptions!$G$20*Assumptions!$E$31</f>
        <v>1.48</v>
      </c>
      <c r="R13" s="66" t="n">
        <f aca="false">Assumptions!$H$20*Assumptions!$C$31</f>
        <v>1.5</v>
      </c>
      <c r="S13" s="66" t="n">
        <f aca="false">Assumptions!$H$20*Assumptions!$D$31</f>
        <v>1.65</v>
      </c>
      <c r="T13" s="66" t="n">
        <f aca="false">Assumptions!$H$20*Assumptions!$E$31</f>
        <v>1.85</v>
      </c>
      <c r="U13" s="66" t="n">
        <f aca="false">Assumptions!$I$20*Assumptions!$C$31</f>
        <v>2.1</v>
      </c>
      <c r="V13" s="66" t="n">
        <f aca="false">Assumptions!$I$20*Assumptions!$D$31</f>
        <v>2.31</v>
      </c>
      <c r="W13" s="66" t="n">
        <f aca="false">Assumptions!$I$20*Assumptions!$E$31</f>
        <v>2.59</v>
      </c>
      <c r="X13" s="66" t="n">
        <f aca="false">Assumptions!$J$20*Assumptions!$C$31</f>
        <v>2.4</v>
      </c>
      <c r="Y13" s="66" t="n">
        <f aca="false">Assumptions!$J$20*Assumptions!$D$31</f>
        <v>2.64</v>
      </c>
      <c r="Z13" s="66" t="n">
        <f aca="false">Assumptions!$J$20*Assumptions!$E$31</f>
        <v>2.96</v>
      </c>
      <c r="AA13" s="66" t="n">
        <f aca="false">Assumptions!$K$20*Assumptions!$C$31</f>
        <v>3</v>
      </c>
      <c r="AB13" s="66" t="n">
        <f aca="false">Assumptions!$K$20*Assumptions!$D$31</f>
        <v>3.3</v>
      </c>
      <c r="AC13" s="66" t="n">
        <f aca="false">Assumptions!$K$20*Assumptions!$E$31</f>
        <v>3.7</v>
      </c>
      <c r="AD13" s="66" t="n">
        <f aca="false">Assumptions!$L$20*Assumptions!$C$31</f>
        <v>3.6</v>
      </c>
      <c r="AE13" s="66" t="n">
        <f aca="false">Assumptions!$L$20*Assumptions!$D$31</f>
        <v>3.96</v>
      </c>
      <c r="AF13" s="66" t="n">
        <f aca="false">Assumptions!$L$20*Assumptions!$E$31</f>
        <v>4.44</v>
      </c>
      <c r="AG13" s="66" t="n">
        <f aca="false">Assumptions!$M$20*Assumptions!$C$31</f>
        <v>3.9</v>
      </c>
      <c r="AH13" s="66" t="n">
        <f aca="false">Assumptions!$M$20*Assumptions!$D$31</f>
        <v>4.29</v>
      </c>
      <c r="AI13" s="66" t="n">
        <f aca="false">Assumptions!$M$20*Assumptions!$E$31</f>
        <v>4.81</v>
      </c>
      <c r="AJ13" s="66" t="n">
        <f aca="false">Assumptions!$N$20*Assumptions!$C$31</f>
        <v>4.5</v>
      </c>
      <c r="AK13" s="66" t="n">
        <f aca="false">Assumptions!$N$20*Assumptions!$D$31</f>
        <v>4.95</v>
      </c>
      <c r="AL13" s="66" t="n">
        <f aca="false">Assumptions!$N$20*Assumptions!$E$31</f>
        <v>5.55</v>
      </c>
      <c r="AN13" s="67" t="n">
        <f aca="false">SUM(C13:N13)</f>
        <v>2</v>
      </c>
      <c r="AO13" s="67" t="n">
        <f aca="false">SUM(O13:Z13)</f>
        <v>24</v>
      </c>
      <c r="AP13" s="67" t="n">
        <f aca="false">SUM(AA13:AL13)</f>
        <v>50</v>
      </c>
    </row>
    <row r="14" customFormat="false" ht="15" hidden="false" customHeight="false" outlineLevel="0" collapsed="false">
      <c r="A14" s="26" t="s">
        <v>116</v>
      </c>
      <c r="B14" s="24" t="s">
        <v>117</v>
      </c>
      <c r="C14" s="56" t="n">
        <f aca="false">Assumptions!$C$21*Assumptions!$C$31</f>
        <v>0</v>
      </c>
      <c r="D14" s="56" t="n">
        <f aca="false">Assumptions!$C$21*Assumptions!$D$31</f>
        <v>0</v>
      </c>
      <c r="E14" s="56" t="n">
        <f aca="false">Assumptions!$C$21*Assumptions!$E$31</f>
        <v>0</v>
      </c>
      <c r="F14" s="56" t="n">
        <f aca="false">Assumptions!$D$21*Assumptions!$C$31</f>
        <v>0</v>
      </c>
      <c r="G14" s="56" t="n">
        <f aca="false">Assumptions!$D$21*Assumptions!$D$31</f>
        <v>0</v>
      </c>
      <c r="H14" s="56" t="n">
        <f aca="false">Assumptions!$D$21*Assumptions!$E$31</f>
        <v>0</v>
      </c>
      <c r="I14" s="56" t="n">
        <f aca="false">Assumptions!$E$21*Assumptions!$C$31</f>
        <v>0</v>
      </c>
      <c r="J14" s="56" t="n">
        <f aca="false">Assumptions!$E$21*Assumptions!$D$31</f>
        <v>0</v>
      </c>
      <c r="K14" s="56" t="n">
        <f aca="false">Assumptions!$E$21*Assumptions!$E$31</f>
        <v>0</v>
      </c>
      <c r="L14" s="56" t="n">
        <f aca="false">Assumptions!$F$21*Assumptions!$C$31</f>
        <v>600</v>
      </c>
      <c r="M14" s="56" t="n">
        <f aca="false">Assumptions!$F$21*Assumptions!$D$31</f>
        <v>660</v>
      </c>
      <c r="N14" s="56" t="n">
        <f aca="false">Assumptions!$F$21*Assumptions!$E$31</f>
        <v>740</v>
      </c>
      <c r="O14" s="56" t="n">
        <f aca="false">Assumptions!$G$21*Assumptions!$C$31</f>
        <v>900</v>
      </c>
      <c r="P14" s="56" t="n">
        <f aca="false">Assumptions!$G$21*Assumptions!$D$31</f>
        <v>990</v>
      </c>
      <c r="Q14" s="56" t="n">
        <f aca="false">Assumptions!$G$21*Assumptions!$E$31</f>
        <v>1110</v>
      </c>
      <c r="R14" s="56" t="n">
        <f aca="false">Assumptions!$H$21*Assumptions!$C$31</f>
        <v>1200</v>
      </c>
      <c r="S14" s="56" t="n">
        <f aca="false">Assumptions!$H$21*Assumptions!$D$31</f>
        <v>1320</v>
      </c>
      <c r="T14" s="56" t="n">
        <f aca="false">Assumptions!$H$21*Assumptions!$E$31</f>
        <v>1480</v>
      </c>
      <c r="U14" s="56" t="n">
        <f aca="false">Assumptions!$I$21*Assumptions!$C$31</f>
        <v>1800</v>
      </c>
      <c r="V14" s="56" t="n">
        <f aca="false">Assumptions!$I$21*Assumptions!$D$31</f>
        <v>1980</v>
      </c>
      <c r="W14" s="56" t="n">
        <f aca="false">Assumptions!$I$21*Assumptions!$E$31</f>
        <v>2220</v>
      </c>
      <c r="X14" s="56" t="n">
        <f aca="false">Assumptions!$J$21*Assumptions!$C$31</f>
        <v>2400</v>
      </c>
      <c r="Y14" s="56" t="n">
        <f aca="false">Assumptions!$J$21*Assumptions!$D$31</f>
        <v>2640</v>
      </c>
      <c r="Z14" s="56" t="n">
        <f aca="false">Assumptions!$J$21*Assumptions!$E$31</f>
        <v>2960</v>
      </c>
      <c r="AA14" s="56" t="n">
        <f aca="false">Assumptions!$K$21*Assumptions!$C$31</f>
        <v>3600</v>
      </c>
      <c r="AB14" s="56" t="n">
        <f aca="false">Assumptions!$K$21*Assumptions!$D$31</f>
        <v>3960</v>
      </c>
      <c r="AC14" s="56" t="n">
        <f aca="false">Assumptions!$K$21*Assumptions!$E$31</f>
        <v>4440</v>
      </c>
      <c r="AD14" s="56" t="n">
        <f aca="false">Assumptions!$L$21*Assumptions!$C$31</f>
        <v>4500</v>
      </c>
      <c r="AE14" s="56" t="n">
        <f aca="false">Assumptions!$L$21*Assumptions!$D$31</f>
        <v>4950</v>
      </c>
      <c r="AF14" s="56" t="n">
        <f aca="false">Assumptions!$L$21*Assumptions!$E$31</f>
        <v>5550</v>
      </c>
      <c r="AG14" s="56" t="n">
        <f aca="false">Assumptions!$M$21*Assumptions!$C$31</f>
        <v>5400</v>
      </c>
      <c r="AH14" s="56" t="n">
        <f aca="false">Assumptions!$M$21*Assumptions!$D$31</f>
        <v>5940</v>
      </c>
      <c r="AI14" s="56" t="n">
        <f aca="false">Assumptions!$M$21*Assumptions!$E$31</f>
        <v>6660</v>
      </c>
      <c r="AJ14" s="56" t="n">
        <f aca="false">Assumptions!$N$21*Assumptions!$C$31</f>
        <v>6000</v>
      </c>
      <c r="AK14" s="56" t="n">
        <f aca="false">Assumptions!$N$21*Assumptions!$D$31</f>
        <v>6600</v>
      </c>
      <c r="AL14" s="56" t="n">
        <f aca="false">Assumptions!$N$21*Assumptions!$E$31</f>
        <v>7400</v>
      </c>
      <c r="AN14" s="57" t="n">
        <f aca="false">SUM(C14:N14)</f>
        <v>2000</v>
      </c>
      <c r="AO14" s="57" t="n">
        <f aca="false">SUM(O14:Z14)</f>
        <v>21000</v>
      </c>
      <c r="AP14" s="57" t="n">
        <f aca="false">SUM(AA14:AL14)</f>
        <v>65000</v>
      </c>
    </row>
    <row r="15" customFormat="false" ht="15" hidden="false" customHeight="false" outlineLevel="0" collapsed="false">
      <c r="A15" s="26" t="s">
        <v>118</v>
      </c>
      <c r="B15" s="24" t="s">
        <v>108</v>
      </c>
      <c r="C15" s="66" t="n">
        <f aca="false">Assumptions!$C$22*Assumptions!$C$31</f>
        <v>0</v>
      </c>
      <c r="D15" s="66" t="n">
        <f aca="false">Assumptions!$C$22*Assumptions!$D$31</f>
        <v>0</v>
      </c>
      <c r="E15" s="66" t="n">
        <f aca="false">Assumptions!$C$22*Assumptions!$E$31</f>
        <v>0</v>
      </c>
      <c r="F15" s="66" t="n">
        <f aca="false">Assumptions!$D$22*Assumptions!$C$31</f>
        <v>0</v>
      </c>
      <c r="G15" s="66" t="n">
        <f aca="false">Assumptions!$D$22*Assumptions!$D$31</f>
        <v>0</v>
      </c>
      <c r="H15" s="66" t="n">
        <f aca="false">Assumptions!$D$22*Assumptions!$E$31</f>
        <v>0</v>
      </c>
      <c r="I15" s="66" t="n">
        <f aca="false">Assumptions!$E$22*Assumptions!$C$31</f>
        <v>0</v>
      </c>
      <c r="J15" s="66" t="n">
        <f aca="false">Assumptions!$E$22*Assumptions!$D$31</f>
        <v>0</v>
      </c>
      <c r="K15" s="66" t="n">
        <f aca="false">Assumptions!$E$22*Assumptions!$E$31</f>
        <v>0</v>
      </c>
      <c r="L15" s="66" t="n">
        <f aca="false">Assumptions!$F$22*Assumptions!$C$31</f>
        <v>0.3</v>
      </c>
      <c r="M15" s="66" t="n">
        <f aca="false">Assumptions!$F$22*Assumptions!$D$31</f>
        <v>0.33</v>
      </c>
      <c r="N15" s="66" t="n">
        <f aca="false">Assumptions!$F$22*Assumptions!$E$31</f>
        <v>0.37</v>
      </c>
      <c r="O15" s="66" t="n">
        <f aca="false">Assumptions!$G$22*Assumptions!$C$31</f>
        <v>0.3</v>
      </c>
      <c r="P15" s="66" t="n">
        <f aca="false">Assumptions!$G$22*Assumptions!$D$31</f>
        <v>0.33</v>
      </c>
      <c r="Q15" s="66" t="n">
        <f aca="false">Assumptions!$G$22*Assumptions!$E$31</f>
        <v>0.37</v>
      </c>
      <c r="R15" s="66" t="n">
        <f aca="false">Assumptions!$H$22*Assumptions!$C$31</f>
        <v>0.6</v>
      </c>
      <c r="S15" s="66" t="n">
        <f aca="false">Assumptions!$H$22*Assumptions!$D$31</f>
        <v>0.66</v>
      </c>
      <c r="T15" s="66" t="n">
        <f aca="false">Assumptions!$H$22*Assumptions!$E$31</f>
        <v>0.74</v>
      </c>
      <c r="U15" s="66" t="n">
        <f aca="false">Assumptions!$I$22*Assumptions!$C$31</f>
        <v>0.6</v>
      </c>
      <c r="V15" s="66" t="n">
        <f aca="false">Assumptions!$I$22*Assumptions!$D$31</f>
        <v>0.66</v>
      </c>
      <c r="W15" s="66" t="n">
        <f aca="false">Assumptions!$I$22*Assumptions!$E$31</f>
        <v>0.74</v>
      </c>
      <c r="X15" s="66" t="n">
        <f aca="false">Assumptions!$J$22*Assumptions!$C$31</f>
        <v>0.9</v>
      </c>
      <c r="Y15" s="66" t="n">
        <f aca="false">Assumptions!$J$22*Assumptions!$D$31</f>
        <v>0.99</v>
      </c>
      <c r="Z15" s="66" t="n">
        <f aca="false">Assumptions!$J$22*Assumptions!$E$31</f>
        <v>1.11</v>
      </c>
      <c r="AA15" s="66" t="n">
        <f aca="false">Assumptions!$K$22*Assumptions!$C$31</f>
        <v>1.2</v>
      </c>
      <c r="AB15" s="66" t="n">
        <f aca="false">Assumptions!$K$22*Assumptions!$D$31</f>
        <v>1.32</v>
      </c>
      <c r="AC15" s="66" t="n">
        <f aca="false">Assumptions!$K$22*Assumptions!$E$31</f>
        <v>1.48</v>
      </c>
      <c r="AD15" s="66" t="n">
        <f aca="false">Assumptions!$L$22*Assumptions!$C$31</f>
        <v>1.5</v>
      </c>
      <c r="AE15" s="66" t="n">
        <f aca="false">Assumptions!$L$22*Assumptions!$D$31</f>
        <v>1.65</v>
      </c>
      <c r="AF15" s="66" t="n">
        <f aca="false">Assumptions!$L$22*Assumptions!$E$31</f>
        <v>1.85</v>
      </c>
      <c r="AG15" s="66" t="n">
        <f aca="false">Assumptions!$M$22*Assumptions!$C$31</f>
        <v>1.5</v>
      </c>
      <c r="AH15" s="66" t="n">
        <f aca="false">Assumptions!$M$22*Assumptions!$D$31</f>
        <v>1.65</v>
      </c>
      <c r="AI15" s="66" t="n">
        <f aca="false">Assumptions!$M$22*Assumptions!$E$31</f>
        <v>1.85</v>
      </c>
      <c r="AJ15" s="66" t="n">
        <f aca="false">Assumptions!$N$22*Assumptions!$C$31</f>
        <v>1.8</v>
      </c>
      <c r="AK15" s="66" t="n">
        <f aca="false">Assumptions!$N$22*Assumptions!$D$31</f>
        <v>1.98</v>
      </c>
      <c r="AL15" s="66" t="n">
        <f aca="false">Assumptions!$N$22*Assumptions!$E$31</f>
        <v>2.22</v>
      </c>
      <c r="AN15" s="67" t="n">
        <f aca="false">SUM(C15:N15)</f>
        <v>1</v>
      </c>
      <c r="AO15" s="67" t="n">
        <f aca="false">SUM(O15:Z15)</f>
        <v>8</v>
      </c>
      <c r="AP15" s="67" t="n">
        <f aca="false">SUM(AA15:AL15)</f>
        <v>20</v>
      </c>
    </row>
    <row r="16" customFormat="false" ht="15" hidden="false" customHeight="false" outlineLevel="0" collapsed="false">
      <c r="A16" s="26" t="s">
        <v>119</v>
      </c>
      <c r="B16" s="24" t="s">
        <v>120</v>
      </c>
      <c r="C16" s="66" t="n">
        <f aca="false">Assumptions!$C$23*Assumptions!$C$31</f>
        <v>0</v>
      </c>
      <c r="D16" s="66" t="n">
        <f aca="false">Assumptions!$C$23*Assumptions!$D$31</f>
        <v>0</v>
      </c>
      <c r="E16" s="66" t="n">
        <f aca="false">Assumptions!$C$23*Assumptions!$E$31</f>
        <v>0</v>
      </c>
      <c r="F16" s="66" t="n">
        <f aca="false">Assumptions!$D$23*Assumptions!$C$31</f>
        <v>0</v>
      </c>
      <c r="G16" s="66" t="n">
        <f aca="false">Assumptions!$D$23*Assumptions!$D$31</f>
        <v>0</v>
      </c>
      <c r="H16" s="66" t="n">
        <f aca="false">Assumptions!$D$23*Assumptions!$E$31</f>
        <v>0</v>
      </c>
      <c r="I16" s="66" t="n">
        <f aca="false">Assumptions!$E$23*Assumptions!$C$31</f>
        <v>0.3</v>
      </c>
      <c r="J16" s="66" t="n">
        <f aca="false">Assumptions!$E$23*Assumptions!$D$31</f>
        <v>0.33</v>
      </c>
      <c r="K16" s="66" t="n">
        <f aca="false">Assumptions!$E$23*Assumptions!$E$31</f>
        <v>0.37</v>
      </c>
      <c r="L16" s="66" t="n">
        <f aca="false">Assumptions!$F$23*Assumptions!$C$31</f>
        <v>0.3</v>
      </c>
      <c r="M16" s="66" t="n">
        <f aca="false">Assumptions!$F$23*Assumptions!$D$31</f>
        <v>0.33</v>
      </c>
      <c r="N16" s="66" t="n">
        <f aca="false">Assumptions!$F$23*Assumptions!$E$31</f>
        <v>0.37</v>
      </c>
      <c r="O16" s="66" t="n">
        <f aca="false">Assumptions!$G$23*Assumptions!$C$31</f>
        <v>0.6</v>
      </c>
      <c r="P16" s="66" t="n">
        <f aca="false">Assumptions!$G$23*Assumptions!$D$31</f>
        <v>0.66</v>
      </c>
      <c r="Q16" s="66" t="n">
        <f aca="false">Assumptions!$G$23*Assumptions!$E$31</f>
        <v>0.74</v>
      </c>
      <c r="R16" s="66" t="n">
        <f aca="false">Assumptions!$H$23*Assumptions!$C$31</f>
        <v>0.6</v>
      </c>
      <c r="S16" s="66" t="n">
        <f aca="false">Assumptions!$H$23*Assumptions!$D$31</f>
        <v>0.66</v>
      </c>
      <c r="T16" s="66" t="n">
        <f aca="false">Assumptions!$H$23*Assumptions!$E$31</f>
        <v>0.74</v>
      </c>
      <c r="U16" s="66" t="n">
        <f aca="false">Assumptions!$I$23*Assumptions!$C$31</f>
        <v>0.9</v>
      </c>
      <c r="V16" s="66" t="n">
        <f aca="false">Assumptions!$I$23*Assumptions!$D$31</f>
        <v>0.99</v>
      </c>
      <c r="W16" s="66" t="n">
        <f aca="false">Assumptions!$I$23*Assumptions!$E$31</f>
        <v>1.11</v>
      </c>
      <c r="X16" s="66" t="n">
        <f aca="false">Assumptions!$J$23*Assumptions!$C$31</f>
        <v>0.9</v>
      </c>
      <c r="Y16" s="66" t="n">
        <f aca="false">Assumptions!$J$23*Assumptions!$D$31</f>
        <v>0.99</v>
      </c>
      <c r="Z16" s="66" t="n">
        <f aca="false">Assumptions!$J$23*Assumptions!$E$31</f>
        <v>1.11</v>
      </c>
      <c r="AA16" s="66" t="n">
        <f aca="false">Assumptions!$K$23*Assumptions!$C$31</f>
        <v>1.2</v>
      </c>
      <c r="AB16" s="66" t="n">
        <f aca="false">Assumptions!$K$23*Assumptions!$D$31</f>
        <v>1.32</v>
      </c>
      <c r="AC16" s="66" t="n">
        <f aca="false">Assumptions!$K$23*Assumptions!$E$31</f>
        <v>1.48</v>
      </c>
      <c r="AD16" s="66" t="n">
        <f aca="false">Assumptions!$L$23*Assumptions!$C$31</f>
        <v>1.2</v>
      </c>
      <c r="AE16" s="66" t="n">
        <f aca="false">Assumptions!$L$23*Assumptions!$D$31</f>
        <v>1.32</v>
      </c>
      <c r="AF16" s="66" t="n">
        <f aca="false">Assumptions!$L$23*Assumptions!$E$31</f>
        <v>1.48</v>
      </c>
      <c r="AG16" s="66" t="n">
        <f aca="false">Assumptions!$M$23*Assumptions!$C$31</f>
        <v>1.5</v>
      </c>
      <c r="AH16" s="66" t="n">
        <f aca="false">Assumptions!$M$23*Assumptions!$D$31</f>
        <v>1.65</v>
      </c>
      <c r="AI16" s="66" t="n">
        <f aca="false">Assumptions!$M$23*Assumptions!$E$31</f>
        <v>1.85</v>
      </c>
      <c r="AJ16" s="66" t="n">
        <f aca="false">Assumptions!$N$23*Assumptions!$C$31</f>
        <v>1.5</v>
      </c>
      <c r="AK16" s="66" t="n">
        <f aca="false">Assumptions!$N$23*Assumptions!$D$31</f>
        <v>1.65</v>
      </c>
      <c r="AL16" s="66" t="n">
        <f aca="false">Assumptions!$N$23*Assumptions!$E$31</f>
        <v>1.85</v>
      </c>
      <c r="AN16" s="67" t="n">
        <f aca="false">SUM(C16:N16)</f>
        <v>2</v>
      </c>
      <c r="AO16" s="67" t="n">
        <f aca="false">SUM(O16:Z16)</f>
        <v>10</v>
      </c>
      <c r="AP16" s="67" t="n">
        <f aca="false">SUM(AA16:AL16)</f>
        <v>18</v>
      </c>
    </row>
    <row r="17" customFormat="false" ht="15" hidden="false" customHeight="false" outlineLevel="0" collapsed="false">
      <c r="A17" s="26" t="s">
        <v>121</v>
      </c>
      <c r="B17" s="24" t="s">
        <v>122</v>
      </c>
      <c r="C17" s="66" t="n">
        <f aca="false">Assumptions!$C$24*Assumptions!$C$31</f>
        <v>0</v>
      </c>
      <c r="D17" s="66" t="n">
        <f aca="false">Assumptions!$C$24*Assumptions!$D$31</f>
        <v>0</v>
      </c>
      <c r="E17" s="66" t="n">
        <f aca="false">Assumptions!$C$24*Assumptions!$E$31</f>
        <v>0</v>
      </c>
      <c r="F17" s="66" t="n">
        <f aca="false">Assumptions!$D$24*Assumptions!$C$31</f>
        <v>0.3</v>
      </c>
      <c r="G17" s="66" t="n">
        <f aca="false">Assumptions!$D$24*Assumptions!$D$31</f>
        <v>0.33</v>
      </c>
      <c r="H17" s="66" t="n">
        <f aca="false">Assumptions!$D$24*Assumptions!$E$31</f>
        <v>0.37</v>
      </c>
      <c r="I17" s="66" t="n">
        <f aca="false">Assumptions!$E$24*Assumptions!$C$31</f>
        <v>0.3</v>
      </c>
      <c r="J17" s="66" t="n">
        <f aca="false">Assumptions!$E$24*Assumptions!$D$31</f>
        <v>0.33</v>
      </c>
      <c r="K17" s="66" t="n">
        <f aca="false">Assumptions!$E$24*Assumptions!$E$31</f>
        <v>0.37</v>
      </c>
      <c r="L17" s="66" t="n">
        <f aca="false">Assumptions!$F$24*Assumptions!$C$31</f>
        <v>0.6</v>
      </c>
      <c r="M17" s="66" t="n">
        <f aca="false">Assumptions!$F$24*Assumptions!$D$31</f>
        <v>0.66</v>
      </c>
      <c r="N17" s="66" t="n">
        <f aca="false">Assumptions!$F$24*Assumptions!$E$31</f>
        <v>0.74</v>
      </c>
      <c r="O17" s="66" t="n">
        <f aca="false">Assumptions!$G$24*Assumptions!$C$31</f>
        <v>0.6</v>
      </c>
      <c r="P17" s="66" t="n">
        <f aca="false">Assumptions!$G$24*Assumptions!$D$31</f>
        <v>0.66</v>
      </c>
      <c r="Q17" s="66" t="n">
        <f aca="false">Assumptions!$G$24*Assumptions!$E$31</f>
        <v>0.74</v>
      </c>
      <c r="R17" s="66" t="n">
        <f aca="false">Assumptions!$H$24*Assumptions!$C$31</f>
        <v>0.6</v>
      </c>
      <c r="S17" s="66" t="n">
        <f aca="false">Assumptions!$H$24*Assumptions!$D$31</f>
        <v>0.66</v>
      </c>
      <c r="T17" s="66" t="n">
        <f aca="false">Assumptions!$H$24*Assumptions!$E$31</f>
        <v>0.74</v>
      </c>
      <c r="U17" s="66" t="n">
        <f aca="false">Assumptions!$I$24*Assumptions!$C$31</f>
        <v>0.9</v>
      </c>
      <c r="V17" s="66" t="n">
        <f aca="false">Assumptions!$I$24*Assumptions!$D$31</f>
        <v>0.99</v>
      </c>
      <c r="W17" s="66" t="n">
        <f aca="false">Assumptions!$I$24*Assumptions!$E$31</f>
        <v>1.11</v>
      </c>
      <c r="X17" s="66" t="n">
        <f aca="false">Assumptions!$J$24*Assumptions!$C$31</f>
        <v>0.9</v>
      </c>
      <c r="Y17" s="66" t="n">
        <f aca="false">Assumptions!$J$24*Assumptions!$D$31</f>
        <v>0.99</v>
      </c>
      <c r="Z17" s="66" t="n">
        <f aca="false">Assumptions!$J$24*Assumptions!$E$31</f>
        <v>1.11</v>
      </c>
      <c r="AA17" s="66" t="n">
        <f aca="false">Assumptions!$K$24*Assumptions!$C$31</f>
        <v>1.2</v>
      </c>
      <c r="AB17" s="66" t="n">
        <f aca="false">Assumptions!$K$24*Assumptions!$D$31</f>
        <v>1.32</v>
      </c>
      <c r="AC17" s="66" t="n">
        <f aca="false">Assumptions!$K$24*Assumptions!$E$31</f>
        <v>1.48</v>
      </c>
      <c r="AD17" s="66" t="n">
        <f aca="false">Assumptions!$L$24*Assumptions!$C$31</f>
        <v>1.2</v>
      </c>
      <c r="AE17" s="66" t="n">
        <f aca="false">Assumptions!$L$24*Assumptions!$D$31</f>
        <v>1.32</v>
      </c>
      <c r="AF17" s="66" t="n">
        <f aca="false">Assumptions!$L$24*Assumptions!$E$31</f>
        <v>1.48</v>
      </c>
      <c r="AG17" s="66" t="n">
        <f aca="false">Assumptions!$M$24*Assumptions!$C$31</f>
        <v>1.5</v>
      </c>
      <c r="AH17" s="66" t="n">
        <f aca="false">Assumptions!$M$24*Assumptions!$D$31</f>
        <v>1.65</v>
      </c>
      <c r="AI17" s="66" t="n">
        <f aca="false">Assumptions!$M$24*Assumptions!$E$31</f>
        <v>1.85</v>
      </c>
      <c r="AJ17" s="66" t="n">
        <f aca="false">Assumptions!$N$24*Assumptions!$C$31</f>
        <v>1.5</v>
      </c>
      <c r="AK17" s="66" t="n">
        <f aca="false">Assumptions!$N$24*Assumptions!$D$31</f>
        <v>1.65</v>
      </c>
      <c r="AL17" s="66" t="n">
        <f aca="false">Assumptions!$N$24*Assumptions!$E$31</f>
        <v>1.85</v>
      </c>
      <c r="AN17" s="67" t="n">
        <f aca="false">SUM(C17:N17)</f>
        <v>4</v>
      </c>
      <c r="AO17" s="67" t="n">
        <f aca="false">SUM(O17:Z17)</f>
        <v>10</v>
      </c>
      <c r="AP17" s="67" t="n">
        <f aca="false">SUM(AA17:AL17)</f>
        <v>18</v>
      </c>
    </row>
    <row r="18" customFormat="false" ht="15" hidden="false" customHeight="false" outlineLevel="0" collapsed="false">
      <c r="A18" s="26" t="s">
        <v>123</v>
      </c>
      <c r="B18" s="24" t="s">
        <v>120</v>
      </c>
      <c r="C18" s="66" t="n">
        <f aca="false">Assumptions!$C$25*Assumptions!$C$31</f>
        <v>0</v>
      </c>
      <c r="D18" s="66" t="n">
        <f aca="false">Assumptions!$C$25*Assumptions!$D$31</f>
        <v>0</v>
      </c>
      <c r="E18" s="66" t="n">
        <f aca="false">Assumptions!$C$25*Assumptions!$E$31</f>
        <v>0</v>
      </c>
      <c r="F18" s="66" t="n">
        <f aca="false">Assumptions!$D$25*Assumptions!$C$31</f>
        <v>0</v>
      </c>
      <c r="G18" s="66" t="n">
        <f aca="false">Assumptions!$D$25*Assumptions!$D$31</f>
        <v>0</v>
      </c>
      <c r="H18" s="66" t="n">
        <f aca="false">Assumptions!$D$25*Assumptions!$E$31</f>
        <v>0</v>
      </c>
      <c r="I18" s="66" t="n">
        <f aca="false">Assumptions!$E$25*Assumptions!$C$31</f>
        <v>0</v>
      </c>
      <c r="J18" s="66" t="n">
        <f aca="false">Assumptions!$E$25*Assumptions!$D$31</f>
        <v>0</v>
      </c>
      <c r="K18" s="66" t="n">
        <f aca="false">Assumptions!$E$25*Assumptions!$E$31</f>
        <v>0</v>
      </c>
      <c r="L18" s="66" t="n">
        <f aca="false">Assumptions!$F$25*Assumptions!$C$31</f>
        <v>0.3</v>
      </c>
      <c r="M18" s="66" t="n">
        <f aca="false">Assumptions!$F$25*Assumptions!$D$31</f>
        <v>0.33</v>
      </c>
      <c r="N18" s="66" t="n">
        <f aca="false">Assumptions!$F$25*Assumptions!$E$31</f>
        <v>0.37</v>
      </c>
      <c r="O18" s="66" t="n">
        <f aca="false">Assumptions!$G$25*Assumptions!$C$31</f>
        <v>0.3</v>
      </c>
      <c r="P18" s="66" t="n">
        <f aca="false">Assumptions!$G$25*Assumptions!$D$31</f>
        <v>0.33</v>
      </c>
      <c r="Q18" s="66" t="n">
        <f aca="false">Assumptions!$G$25*Assumptions!$E$31</f>
        <v>0.37</v>
      </c>
      <c r="R18" s="66" t="n">
        <f aca="false">Assumptions!$H$25*Assumptions!$C$31</f>
        <v>0.3</v>
      </c>
      <c r="S18" s="66" t="n">
        <f aca="false">Assumptions!$H$25*Assumptions!$D$31</f>
        <v>0.33</v>
      </c>
      <c r="T18" s="66" t="n">
        <f aca="false">Assumptions!$H$25*Assumptions!$E$31</f>
        <v>0.37</v>
      </c>
      <c r="U18" s="66" t="n">
        <f aca="false">Assumptions!$I$25*Assumptions!$C$31</f>
        <v>0.3</v>
      </c>
      <c r="V18" s="66" t="n">
        <f aca="false">Assumptions!$I$25*Assumptions!$D$31</f>
        <v>0.33</v>
      </c>
      <c r="W18" s="66" t="n">
        <f aca="false">Assumptions!$I$25*Assumptions!$E$31</f>
        <v>0.37</v>
      </c>
      <c r="X18" s="66" t="n">
        <f aca="false">Assumptions!$J$25*Assumptions!$C$31</f>
        <v>0.3</v>
      </c>
      <c r="Y18" s="66" t="n">
        <f aca="false">Assumptions!$J$25*Assumptions!$D$31</f>
        <v>0.33</v>
      </c>
      <c r="Z18" s="66" t="n">
        <f aca="false">Assumptions!$J$25*Assumptions!$E$31</f>
        <v>0.37</v>
      </c>
      <c r="AA18" s="66" t="n">
        <f aca="false">Assumptions!$K$25*Assumptions!$C$31</f>
        <v>0.6</v>
      </c>
      <c r="AB18" s="66" t="n">
        <f aca="false">Assumptions!$K$25*Assumptions!$D$31</f>
        <v>0.66</v>
      </c>
      <c r="AC18" s="66" t="n">
        <f aca="false">Assumptions!$K$25*Assumptions!$E$31</f>
        <v>0.74</v>
      </c>
      <c r="AD18" s="66" t="n">
        <f aca="false">Assumptions!$L$25*Assumptions!$C$31</f>
        <v>0.6</v>
      </c>
      <c r="AE18" s="66" t="n">
        <f aca="false">Assumptions!$L$25*Assumptions!$D$31</f>
        <v>0.66</v>
      </c>
      <c r="AF18" s="66" t="n">
        <f aca="false">Assumptions!$L$25*Assumptions!$E$31</f>
        <v>0.74</v>
      </c>
      <c r="AG18" s="66" t="n">
        <f aca="false">Assumptions!$M$25*Assumptions!$C$31</f>
        <v>0.6</v>
      </c>
      <c r="AH18" s="66" t="n">
        <f aca="false">Assumptions!$M$25*Assumptions!$D$31</f>
        <v>0.66</v>
      </c>
      <c r="AI18" s="66" t="n">
        <f aca="false">Assumptions!$M$25*Assumptions!$E$31</f>
        <v>0.74</v>
      </c>
      <c r="AJ18" s="66" t="n">
        <f aca="false">Assumptions!$N$25*Assumptions!$C$31</f>
        <v>0.9</v>
      </c>
      <c r="AK18" s="66" t="n">
        <f aca="false">Assumptions!$N$25*Assumptions!$D$31</f>
        <v>0.99</v>
      </c>
      <c r="AL18" s="66" t="n">
        <f aca="false">Assumptions!$N$25*Assumptions!$E$31</f>
        <v>1.11</v>
      </c>
      <c r="AN18" s="67" t="n">
        <f aca="false">SUM(C18:N18)</f>
        <v>1</v>
      </c>
      <c r="AO18" s="67" t="n">
        <f aca="false">SUM(O18:Z18)</f>
        <v>4</v>
      </c>
      <c r="AP18" s="67" t="n">
        <f aca="false">SUM(AA18:AL18)</f>
        <v>9</v>
      </c>
    </row>
    <row r="19" customFormat="false" ht="15" hidden="false" customHeight="false" outlineLevel="0" collapsed="false">
      <c r="A19" s="26" t="s">
        <v>124</v>
      </c>
      <c r="B19" s="24" t="s">
        <v>125</v>
      </c>
      <c r="C19" s="66" t="n">
        <f aca="false">Assumptions!$C$26</f>
        <v>0</v>
      </c>
      <c r="D19" s="66" t="n">
        <f aca="false">Assumptions!$C$26</f>
        <v>0</v>
      </c>
      <c r="E19" s="66" t="n">
        <f aca="false">Assumptions!$C$26</f>
        <v>0</v>
      </c>
      <c r="F19" s="66" t="n">
        <f aca="false">Assumptions!$D$26</f>
        <v>2</v>
      </c>
      <c r="G19" s="66" t="n">
        <f aca="false">Assumptions!$D$26</f>
        <v>2</v>
      </c>
      <c r="H19" s="66" t="n">
        <f aca="false">Assumptions!$D$26</f>
        <v>2</v>
      </c>
      <c r="I19" s="66" t="n">
        <f aca="false">Assumptions!$E$26</f>
        <v>3</v>
      </c>
      <c r="J19" s="66" t="n">
        <f aca="false">Assumptions!$E$26</f>
        <v>3</v>
      </c>
      <c r="K19" s="66" t="n">
        <f aca="false">Assumptions!$E$26</f>
        <v>3</v>
      </c>
      <c r="L19" s="66" t="n">
        <f aca="false">Assumptions!$F$26</f>
        <v>4</v>
      </c>
      <c r="M19" s="66" t="n">
        <f aca="false">Assumptions!$F$26</f>
        <v>4</v>
      </c>
      <c r="N19" s="66" t="n">
        <f aca="false">Assumptions!$F$26</f>
        <v>4</v>
      </c>
      <c r="O19" s="66" t="n">
        <f aca="false">Assumptions!$G$26</f>
        <v>5</v>
      </c>
      <c r="P19" s="66" t="n">
        <f aca="false">Assumptions!$G$26</f>
        <v>5</v>
      </c>
      <c r="Q19" s="66" t="n">
        <f aca="false">Assumptions!$G$26</f>
        <v>5</v>
      </c>
      <c r="R19" s="66" t="n">
        <f aca="false">Assumptions!$H$26</f>
        <v>6</v>
      </c>
      <c r="S19" s="66" t="n">
        <f aca="false">Assumptions!$H$26</f>
        <v>6</v>
      </c>
      <c r="T19" s="66" t="n">
        <f aca="false">Assumptions!$H$26</f>
        <v>6</v>
      </c>
      <c r="U19" s="66" t="n">
        <f aca="false">Assumptions!$I$26</f>
        <v>7</v>
      </c>
      <c r="V19" s="66" t="n">
        <f aca="false">Assumptions!$I$26</f>
        <v>7</v>
      </c>
      <c r="W19" s="66" t="n">
        <f aca="false">Assumptions!$I$26</f>
        <v>7</v>
      </c>
      <c r="X19" s="66" t="n">
        <f aca="false">Assumptions!$J$26</f>
        <v>8</v>
      </c>
      <c r="Y19" s="66" t="n">
        <f aca="false">Assumptions!$J$26</f>
        <v>8</v>
      </c>
      <c r="Z19" s="66" t="n">
        <f aca="false">Assumptions!$J$26</f>
        <v>8</v>
      </c>
      <c r="AA19" s="66" t="n">
        <f aca="false">Assumptions!$K$26</f>
        <v>10</v>
      </c>
      <c r="AB19" s="66" t="n">
        <f aca="false">Assumptions!$K$26</f>
        <v>10</v>
      </c>
      <c r="AC19" s="66" t="n">
        <f aca="false">Assumptions!$K$26</f>
        <v>10</v>
      </c>
      <c r="AD19" s="66" t="n">
        <f aca="false">Assumptions!$L$26</f>
        <v>11</v>
      </c>
      <c r="AE19" s="66" t="n">
        <f aca="false">Assumptions!$L$26</f>
        <v>11</v>
      </c>
      <c r="AF19" s="66" t="n">
        <f aca="false">Assumptions!$L$26</f>
        <v>11</v>
      </c>
      <c r="AG19" s="66" t="n">
        <f aca="false">Assumptions!$M$26</f>
        <v>12</v>
      </c>
      <c r="AH19" s="66" t="n">
        <f aca="false">Assumptions!$M$26</f>
        <v>12</v>
      </c>
      <c r="AI19" s="66" t="n">
        <f aca="false">Assumptions!$M$26</f>
        <v>12</v>
      </c>
      <c r="AJ19" s="66" t="n">
        <f aca="false">Assumptions!$N$26</f>
        <v>13</v>
      </c>
      <c r="AK19" s="66" t="n">
        <f aca="false">Assumptions!$N$26</f>
        <v>13</v>
      </c>
      <c r="AL19" s="66" t="n">
        <f aca="false">Assumptions!$N$26</f>
        <v>13</v>
      </c>
      <c r="AN19" s="67" t="n">
        <f aca="false">N19</f>
        <v>4</v>
      </c>
      <c r="AO19" s="67" t="n">
        <f aca="false">Z19</f>
        <v>8</v>
      </c>
      <c r="AP19" s="67" t="n">
        <f aca="false">AL19</f>
        <v>13</v>
      </c>
    </row>
    <row r="20" customFormat="false" ht="15" hidden="false" customHeight="false" outlineLevel="0" collapsed="false">
      <c r="A20" s="26" t="s">
        <v>507</v>
      </c>
      <c r="B20" s="24" t="s">
        <v>117</v>
      </c>
      <c r="C20" s="56" t="n">
        <f aca="false">Assumptions!$C$26*Assumptions!$C$27*Assumptions!$C$31</f>
        <v>0</v>
      </c>
      <c r="D20" s="56" t="n">
        <f aca="false">Assumptions!$C$26*Assumptions!$C$27*Assumptions!$D$31</f>
        <v>0</v>
      </c>
      <c r="E20" s="56" t="n">
        <f aca="false">Assumptions!$C$26*Assumptions!$C$27*Assumptions!$E$31</f>
        <v>0</v>
      </c>
      <c r="F20" s="56" t="n">
        <f aca="false">Assumptions!$D$26*Assumptions!$D$27*Assumptions!$C$31</f>
        <v>36</v>
      </c>
      <c r="G20" s="56" t="n">
        <f aca="false">Assumptions!$D$26*Assumptions!$D$27*Assumptions!$D$31</f>
        <v>39.6</v>
      </c>
      <c r="H20" s="56" t="n">
        <f aca="false">Assumptions!$D$26*Assumptions!$D$27*Assumptions!$E$31</f>
        <v>44.4</v>
      </c>
      <c r="I20" s="56" t="n">
        <f aca="false">Assumptions!$E$26*Assumptions!$E$27*Assumptions!$C$31</f>
        <v>54</v>
      </c>
      <c r="J20" s="56" t="n">
        <f aca="false">Assumptions!$E$26*Assumptions!$E$27*Assumptions!$D$31</f>
        <v>59.4</v>
      </c>
      <c r="K20" s="56" t="n">
        <f aca="false">Assumptions!$E$26*Assumptions!$E$27*Assumptions!$E$31</f>
        <v>66.6</v>
      </c>
      <c r="L20" s="56" t="n">
        <f aca="false">Assumptions!$F$26*Assumptions!$F$27*Assumptions!$C$31</f>
        <v>72</v>
      </c>
      <c r="M20" s="56" t="n">
        <f aca="false">Assumptions!$F$26*Assumptions!$F$27*Assumptions!$D$31</f>
        <v>79.2</v>
      </c>
      <c r="N20" s="56" t="n">
        <f aca="false">Assumptions!$F$26*Assumptions!$F$27*Assumptions!$E$31</f>
        <v>88.8</v>
      </c>
      <c r="O20" s="56" t="n">
        <f aca="false">Assumptions!$G$26*Assumptions!$G$27*Assumptions!$C$31</f>
        <v>105</v>
      </c>
      <c r="P20" s="56" t="n">
        <f aca="false">Assumptions!$G$26*Assumptions!$G$27*Assumptions!$D$31</f>
        <v>115.5</v>
      </c>
      <c r="Q20" s="56" t="n">
        <f aca="false">Assumptions!$G$26*Assumptions!$G$27*Assumptions!$E$31</f>
        <v>129.5</v>
      </c>
      <c r="R20" s="56" t="n">
        <f aca="false">Assumptions!$H$26*Assumptions!$H$27*Assumptions!$C$31</f>
        <v>126</v>
      </c>
      <c r="S20" s="56" t="n">
        <f aca="false">Assumptions!$H$26*Assumptions!$H$27*Assumptions!$D$31</f>
        <v>138.6</v>
      </c>
      <c r="T20" s="56" t="n">
        <f aca="false">Assumptions!$H$26*Assumptions!$H$27*Assumptions!$E$31</f>
        <v>155.4</v>
      </c>
      <c r="U20" s="56" t="n">
        <f aca="false">Assumptions!$I$26*Assumptions!$I$27*Assumptions!$C$31</f>
        <v>147</v>
      </c>
      <c r="V20" s="56" t="n">
        <f aca="false">Assumptions!$I$26*Assumptions!$I$27*Assumptions!$D$31</f>
        <v>161.7</v>
      </c>
      <c r="W20" s="56" t="n">
        <f aca="false">Assumptions!$I$26*Assumptions!$I$27*Assumptions!$E$31</f>
        <v>181.3</v>
      </c>
      <c r="X20" s="56" t="n">
        <f aca="false">Assumptions!$J$26*Assumptions!$J$27*Assumptions!$C$31</f>
        <v>168</v>
      </c>
      <c r="Y20" s="56" t="n">
        <f aca="false">Assumptions!$J$26*Assumptions!$J$27*Assumptions!$D$31</f>
        <v>184.8</v>
      </c>
      <c r="Z20" s="56" t="n">
        <f aca="false">Assumptions!$J$26*Assumptions!$J$27*Assumptions!$E$31</f>
        <v>207.2</v>
      </c>
      <c r="AA20" s="56" t="n">
        <f aca="false">Assumptions!$K$26*Assumptions!$K$27*Assumptions!$C$31</f>
        <v>240</v>
      </c>
      <c r="AB20" s="56" t="n">
        <f aca="false">Assumptions!$K$26*Assumptions!$K$27*Assumptions!$D$31</f>
        <v>264</v>
      </c>
      <c r="AC20" s="56" t="n">
        <f aca="false">Assumptions!$K$26*Assumptions!$K$27*Assumptions!$E$31</f>
        <v>296</v>
      </c>
      <c r="AD20" s="56" t="n">
        <f aca="false">Assumptions!$L$26*Assumptions!$L$27*Assumptions!$C$31</f>
        <v>264</v>
      </c>
      <c r="AE20" s="56" t="n">
        <f aca="false">Assumptions!$L$26*Assumptions!$L$27*Assumptions!$D$31</f>
        <v>290.4</v>
      </c>
      <c r="AF20" s="56" t="n">
        <f aca="false">Assumptions!$L$26*Assumptions!$L$27*Assumptions!$E$31</f>
        <v>325.6</v>
      </c>
      <c r="AG20" s="56" t="n">
        <f aca="false">Assumptions!$M$26*Assumptions!$M$27*Assumptions!$C$31</f>
        <v>288</v>
      </c>
      <c r="AH20" s="56" t="n">
        <f aca="false">Assumptions!$M$26*Assumptions!$M$27*Assumptions!$D$31</f>
        <v>316.8</v>
      </c>
      <c r="AI20" s="56" t="n">
        <f aca="false">Assumptions!$M$26*Assumptions!$M$27*Assumptions!$E$31</f>
        <v>355.2</v>
      </c>
      <c r="AJ20" s="56" t="n">
        <f aca="false">Assumptions!$N$26*Assumptions!$N$27*Assumptions!$C$31</f>
        <v>312</v>
      </c>
      <c r="AK20" s="56" t="n">
        <f aca="false">Assumptions!$N$26*Assumptions!$N$27*Assumptions!$D$31</f>
        <v>343.2</v>
      </c>
      <c r="AL20" s="56" t="n">
        <f aca="false">Assumptions!$N$26*Assumptions!$N$27*Assumptions!$E$31</f>
        <v>384.8</v>
      </c>
      <c r="AN20" s="57" t="n">
        <f aca="false">SUM(C20:N20)</f>
        <v>540</v>
      </c>
      <c r="AO20" s="57" t="n">
        <f aca="false">SUM(O20:Z20)</f>
        <v>1820</v>
      </c>
      <c r="AP20" s="57" t="n">
        <f aca="false">SUM(AA20:AL20)</f>
        <v>3680</v>
      </c>
    </row>
    <row r="21" customFormat="false" ht="15" hidden="false" customHeight="false" outlineLevel="0" collapsed="false">
      <c r="A21" s="10" t="s">
        <v>508</v>
      </c>
      <c r="B21" s="24" t="s">
        <v>509</v>
      </c>
      <c r="C21" s="68" t="n">
        <f aca="false">C7+C8+C9+C11+C13</f>
        <v>1.5</v>
      </c>
      <c r="D21" s="68" t="n">
        <f aca="false">D7+D8+D9+D11+D13</f>
        <v>1.65</v>
      </c>
      <c r="E21" s="68" t="n">
        <f aca="false">E7+E8+E9+E11+E13</f>
        <v>1.85</v>
      </c>
      <c r="F21" s="68" t="n">
        <f aca="false">F7+F8+F9+F11+F13</f>
        <v>2.4</v>
      </c>
      <c r="G21" s="68" t="n">
        <f aca="false">G7+G8+G9+G11+G13</f>
        <v>2.64</v>
      </c>
      <c r="H21" s="68" t="n">
        <f aca="false">H7+H8+H9+H11+H13</f>
        <v>2.96</v>
      </c>
      <c r="I21" s="68" t="n">
        <f aca="false">I7+I8+I9+I11+I13</f>
        <v>4.2</v>
      </c>
      <c r="J21" s="68" t="n">
        <f aca="false">J7+J8+J9+J11+J13</f>
        <v>4.62</v>
      </c>
      <c r="K21" s="68" t="n">
        <f aca="false">K7+K8+K9+K11+K13</f>
        <v>5.18</v>
      </c>
      <c r="L21" s="68" t="n">
        <f aca="false">L7+L8+L9+L11+L13</f>
        <v>6.6</v>
      </c>
      <c r="M21" s="68" t="n">
        <f aca="false">M7+M8+M9+M11+M13</f>
        <v>7.26</v>
      </c>
      <c r="N21" s="68" t="n">
        <f aca="false">N7+N8+N9+N11+N13</f>
        <v>8.14</v>
      </c>
      <c r="O21" s="68" t="n">
        <f aca="false">O7+O8+O9+O11+O13</f>
        <v>9</v>
      </c>
      <c r="P21" s="68" t="n">
        <f aca="false">P7+P8+P9+P11+P13</f>
        <v>9.9</v>
      </c>
      <c r="Q21" s="68" t="n">
        <f aca="false">Q7+Q8+Q9+Q11+Q13</f>
        <v>11.1</v>
      </c>
      <c r="R21" s="68" t="n">
        <f aca="false">R7+R8+R9+R11+R13</f>
        <v>10.8</v>
      </c>
      <c r="S21" s="68" t="n">
        <f aca="false">S7+S8+S9+S11+S13</f>
        <v>11.88</v>
      </c>
      <c r="T21" s="68" t="n">
        <f aca="false">T7+T8+T9+T11+T13</f>
        <v>13.32</v>
      </c>
      <c r="U21" s="68" t="n">
        <f aca="false">U7+U8+U9+U11+U13</f>
        <v>12.9</v>
      </c>
      <c r="V21" s="68" t="n">
        <f aca="false">V7+V8+V9+V11+V13</f>
        <v>14.19</v>
      </c>
      <c r="W21" s="68" t="n">
        <f aca="false">W7+W8+W9+W11+W13</f>
        <v>15.91</v>
      </c>
      <c r="X21" s="68" t="n">
        <f aca="false">X7+X8+X9+X11+X13</f>
        <v>14.4</v>
      </c>
      <c r="Y21" s="68" t="n">
        <f aca="false">Y7+Y8+Y9+Y11+Y13</f>
        <v>15.84</v>
      </c>
      <c r="Z21" s="68" t="n">
        <f aca="false">Z7+Z8+Z9+Z11+Z13</f>
        <v>17.76</v>
      </c>
      <c r="AA21" s="68" t="n">
        <f aca="false">AA7+AA8+AA9+AA11+AA13</f>
        <v>17.7</v>
      </c>
      <c r="AB21" s="68" t="n">
        <f aca="false">AB7+AB8+AB9+AB11+AB13</f>
        <v>19.47</v>
      </c>
      <c r="AC21" s="68" t="n">
        <f aca="false">AC7+AC8+AC9+AC11+AC13</f>
        <v>21.83</v>
      </c>
      <c r="AD21" s="68" t="n">
        <f aca="false">AD7+AD8+AD9+AD11+AD13</f>
        <v>20.7</v>
      </c>
      <c r="AE21" s="68" t="n">
        <f aca="false">AE7+AE8+AE9+AE11+AE13</f>
        <v>22.77</v>
      </c>
      <c r="AF21" s="68" t="n">
        <f aca="false">AF7+AF8+AF9+AF11+AF13</f>
        <v>25.53</v>
      </c>
      <c r="AG21" s="68" t="n">
        <f aca="false">AG7+AG8+AG9+AG11+AG13</f>
        <v>22.5</v>
      </c>
      <c r="AH21" s="68" t="n">
        <f aca="false">AH7+AH8+AH9+AH11+AH13</f>
        <v>24.75</v>
      </c>
      <c r="AI21" s="68" t="n">
        <f aca="false">AI7+AI8+AI9+AI11+AI13</f>
        <v>27.75</v>
      </c>
      <c r="AJ21" s="68" t="n">
        <f aca="false">AJ7+AJ8+AJ9+AJ11+AJ13</f>
        <v>25.5</v>
      </c>
      <c r="AK21" s="68" t="n">
        <f aca="false">AK7+AK8+AK9+AK11+AK13</f>
        <v>28.05</v>
      </c>
      <c r="AL21" s="68" t="n">
        <f aca="false">AL7+AL8+AL9+AL11+AL13</f>
        <v>31.45</v>
      </c>
      <c r="AN21" s="67" t="n">
        <f aca="false">SUM(C21:N21)</f>
        <v>49</v>
      </c>
      <c r="AO21" s="67" t="n">
        <f aca="false">SUM(O21:Z21)</f>
        <v>157</v>
      </c>
      <c r="AP21" s="67" t="n">
        <f aca="false">SUM(AA21:AL21)</f>
        <v>288</v>
      </c>
    </row>
    <row r="23" customFormat="false" ht="16.5" hidden="false" customHeight="true" outlineLevel="0" collapsed="false">
      <c r="A23" s="21" t="s">
        <v>510</v>
      </c>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row>
    <row r="24" customFormat="false" ht="15.75" hidden="false" customHeight="true" outlineLevel="0" collapsed="false">
      <c r="A24" s="36" t="s">
        <v>345</v>
      </c>
      <c r="B24" s="36" t="s">
        <v>346</v>
      </c>
      <c r="C24" s="47" t="s">
        <v>347</v>
      </c>
      <c r="D24" s="47" t="s">
        <v>348</v>
      </c>
      <c r="E24" s="47" t="s">
        <v>349</v>
      </c>
      <c r="F24" s="47" t="s">
        <v>350</v>
      </c>
      <c r="G24" s="47" t="s">
        <v>351</v>
      </c>
      <c r="H24" s="47" t="s">
        <v>352</v>
      </c>
      <c r="I24" s="47" t="s">
        <v>353</v>
      </c>
      <c r="J24" s="47" t="s">
        <v>354</v>
      </c>
      <c r="K24" s="47" t="s">
        <v>355</v>
      </c>
      <c r="L24" s="47" t="s">
        <v>356</v>
      </c>
      <c r="M24" s="47" t="s">
        <v>357</v>
      </c>
      <c r="N24" s="47" t="s">
        <v>358</v>
      </c>
      <c r="O24" s="48" t="s">
        <v>359</v>
      </c>
      <c r="P24" s="48" t="s">
        <v>360</v>
      </c>
      <c r="Q24" s="48" t="s">
        <v>361</v>
      </c>
      <c r="R24" s="48" t="s">
        <v>362</v>
      </c>
      <c r="S24" s="48" t="s">
        <v>363</v>
      </c>
      <c r="T24" s="48" t="s">
        <v>364</v>
      </c>
      <c r="U24" s="48" t="s">
        <v>365</v>
      </c>
      <c r="V24" s="48" t="s">
        <v>366</v>
      </c>
      <c r="W24" s="48" t="s">
        <v>367</v>
      </c>
      <c r="X24" s="48" t="s">
        <v>368</v>
      </c>
      <c r="Y24" s="48" t="s">
        <v>369</v>
      </c>
      <c r="Z24" s="48" t="s">
        <v>370</v>
      </c>
      <c r="AA24" s="47" t="s">
        <v>371</v>
      </c>
      <c r="AB24" s="47" t="s">
        <v>372</v>
      </c>
      <c r="AC24" s="47" t="s">
        <v>373</v>
      </c>
      <c r="AD24" s="47" t="s">
        <v>374</v>
      </c>
      <c r="AE24" s="47" t="s">
        <v>375</v>
      </c>
      <c r="AF24" s="47" t="s">
        <v>376</v>
      </c>
      <c r="AG24" s="47" t="s">
        <v>377</v>
      </c>
      <c r="AH24" s="47" t="s">
        <v>378</v>
      </c>
      <c r="AI24" s="47" t="s">
        <v>379</v>
      </c>
      <c r="AJ24" s="47" t="s">
        <v>380</v>
      </c>
      <c r="AK24" s="47" t="s">
        <v>381</v>
      </c>
      <c r="AL24" s="47" t="s">
        <v>382</v>
      </c>
      <c r="AM24" s="49"/>
      <c r="AN24" s="50" t="s">
        <v>383</v>
      </c>
      <c r="AO24" s="50" t="s">
        <v>384</v>
      </c>
      <c r="AP24" s="50" t="s">
        <v>385</v>
      </c>
    </row>
    <row r="25" customFormat="false" ht="15" hidden="false" customHeight="false" outlineLevel="0" collapsed="false">
      <c r="A25" s="26" t="s">
        <v>511</v>
      </c>
      <c r="B25" s="24" t="s">
        <v>512</v>
      </c>
      <c r="C25" s="51" t="n">
        <f aca="false">(C7+C8)*Assumptions!$C$34</f>
        <v>2250</v>
      </c>
      <c r="D25" s="51" t="n">
        <f aca="false">(D7+D8)*Assumptions!$C$34</f>
        <v>2475</v>
      </c>
      <c r="E25" s="51" t="n">
        <f aca="false">(E7+E8)*Assumptions!$C$34</f>
        <v>2775</v>
      </c>
      <c r="F25" s="51" t="n">
        <f aca="false">(F7+F8)*Assumptions!$C$34</f>
        <v>13500</v>
      </c>
      <c r="G25" s="51" t="n">
        <f aca="false">(G7+G8)*Assumptions!$C$34</f>
        <v>14850</v>
      </c>
      <c r="H25" s="51" t="n">
        <f aca="false">(H7+H8)*Assumptions!$C$34</f>
        <v>16650</v>
      </c>
      <c r="I25" s="51" t="n">
        <f aca="false">(I7+I8)*Assumptions!$C$34</f>
        <v>22500</v>
      </c>
      <c r="J25" s="51" t="n">
        <f aca="false">(J7+J8)*Assumptions!$C$34</f>
        <v>24750</v>
      </c>
      <c r="K25" s="51" t="n">
        <f aca="false">(K7+K8)*Assumptions!$C$34</f>
        <v>27750</v>
      </c>
      <c r="L25" s="51" t="n">
        <f aca="false">(L7+L8)*Assumptions!$C$34</f>
        <v>29250</v>
      </c>
      <c r="M25" s="51" t="n">
        <f aca="false">(M7+M8)*Assumptions!$C$34</f>
        <v>32175</v>
      </c>
      <c r="N25" s="51" t="n">
        <f aca="false">(N7+N8)*Assumptions!$C$34</f>
        <v>36075</v>
      </c>
      <c r="O25" s="51" t="n">
        <f aca="false">(O7+O8)*Assumptions!$D$34</f>
        <v>37920</v>
      </c>
      <c r="P25" s="51" t="n">
        <f aca="false">(P7+P8)*Assumptions!$D$34</f>
        <v>41712</v>
      </c>
      <c r="Q25" s="51" t="n">
        <f aca="false">(Q7+Q8)*Assumptions!$D$34</f>
        <v>46768</v>
      </c>
      <c r="R25" s="51" t="n">
        <f aca="false">(R7+R8)*Assumptions!$D$34</f>
        <v>42660</v>
      </c>
      <c r="S25" s="51" t="n">
        <f aca="false">(S7+S8)*Assumptions!$D$34</f>
        <v>46926</v>
      </c>
      <c r="T25" s="51" t="n">
        <f aca="false">(T7+T8)*Assumptions!$D$34</f>
        <v>52614</v>
      </c>
      <c r="U25" s="51" t="n">
        <f aca="false">(U7+U8)*Assumptions!$D$34</f>
        <v>49770</v>
      </c>
      <c r="V25" s="51" t="n">
        <f aca="false">(V7+V8)*Assumptions!$D$34</f>
        <v>54747</v>
      </c>
      <c r="W25" s="51" t="n">
        <f aca="false">(W7+W8)*Assumptions!$D$34</f>
        <v>61383</v>
      </c>
      <c r="X25" s="51" t="n">
        <f aca="false">(X7+X8)*Assumptions!$D$34</f>
        <v>54510</v>
      </c>
      <c r="Y25" s="51" t="n">
        <f aca="false">(Y7+Y8)*Assumptions!$D$34</f>
        <v>59961</v>
      </c>
      <c r="Z25" s="51" t="n">
        <f aca="false">(Z7+Z8)*Assumptions!$D$34</f>
        <v>67229</v>
      </c>
      <c r="AA25" s="51" t="n">
        <f aca="false">(AA7+AA8)*Assumptions!$E$34</f>
        <v>69720</v>
      </c>
      <c r="AB25" s="51" t="n">
        <f aca="false">(AB7+AB8)*Assumptions!$E$34</f>
        <v>76692</v>
      </c>
      <c r="AC25" s="51" t="n">
        <f aca="false">(AC7+AC8)*Assumptions!$E$34</f>
        <v>85988</v>
      </c>
      <c r="AD25" s="51" t="n">
        <f aca="false">(AD7+AD8)*Assumptions!$E$34</f>
        <v>79680</v>
      </c>
      <c r="AE25" s="51" t="n">
        <f aca="false">(AE7+AE8)*Assumptions!$E$34</f>
        <v>87648</v>
      </c>
      <c r="AF25" s="51" t="n">
        <f aca="false">(AF7+AF8)*Assumptions!$E$34</f>
        <v>98272</v>
      </c>
      <c r="AG25" s="51" t="n">
        <f aca="false">(AG7+AG8)*Assumptions!$E$34</f>
        <v>87150</v>
      </c>
      <c r="AH25" s="51" t="n">
        <f aca="false">(AH7+AH8)*Assumptions!$E$34</f>
        <v>95865</v>
      </c>
      <c r="AI25" s="51" t="n">
        <f aca="false">(AI7+AI8)*Assumptions!$E$34</f>
        <v>107485</v>
      </c>
      <c r="AJ25" s="51" t="n">
        <f aca="false">(AJ7+AJ8)*Assumptions!$E$34</f>
        <v>97110</v>
      </c>
      <c r="AK25" s="51" t="n">
        <f aca="false">(AK7+AK8)*Assumptions!$E$34</f>
        <v>106821</v>
      </c>
      <c r="AL25" s="51" t="n">
        <f aca="false">(AL7+AL8)*Assumptions!$E$34</f>
        <v>119769</v>
      </c>
      <c r="AN25" s="52" t="n">
        <f aca="false">SUM(C25:N25)</f>
        <v>225000</v>
      </c>
      <c r="AO25" s="52" t="n">
        <f aca="false">SUM(O25:Z25)</f>
        <v>616200</v>
      </c>
      <c r="AP25" s="52" t="n">
        <f aca="false">SUM(AA25:AL25)</f>
        <v>1112200</v>
      </c>
    </row>
    <row r="26" customFormat="false" ht="15" hidden="false" customHeight="false" outlineLevel="0" collapsed="false">
      <c r="A26" s="26" t="s">
        <v>505</v>
      </c>
      <c r="B26" s="24" t="s">
        <v>512</v>
      </c>
      <c r="C26" s="51" t="n">
        <f aca="false">C10*Assumptions!$C$35</f>
        <v>0</v>
      </c>
      <c r="D26" s="51" t="n">
        <f aca="false">D10*Assumptions!$C$35</f>
        <v>0</v>
      </c>
      <c r="E26" s="51" t="n">
        <f aca="false">E10*Assumptions!$C$35</f>
        <v>0</v>
      </c>
      <c r="F26" s="51" t="n">
        <f aca="false">F10*Assumptions!$C$35</f>
        <v>0</v>
      </c>
      <c r="G26" s="51" t="n">
        <f aca="false">G10*Assumptions!$C$35</f>
        <v>0</v>
      </c>
      <c r="H26" s="51" t="n">
        <f aca="false">H10*Assumptions!$C$35</f>
        <v>0</v>
      </c>
      <c r="I26" s="51" t="n">
        <f aca="false">I10*Assumptions!$C$35</f>
        <v>0</v>
      </c>
      <c r="J26" s="51" t="n">
        <f aca="false">J10*Assumptions!$C$35</f>
        <v>0</v>
      </c>
      <c r="K26" s="51" t="n">
        <f aca="false">K10*Assumptions!$C$35</f>
        <v>0</v>
      </c>
      <c r="L26" s="51" t="n">
        <f aca="false">L10*Assumptions!$C$35</f>
        <v>7500</v>
      </c>
      <c r="M26" s="51" t="n">
        <f aca="false">M10*Assumptions!$C$35</f>
        <v>8250</v>
      </c>
      <c r="N26" s="51" t="n">
        <f aca="false">N10*Assumptions!$C$35</f>
        <v>9250</v>
      </c>
      <c r="O26" s="51" t="n">
        <f aca="false">O10*Assumptions!$D$35</f>
        <v>7500</v>
      </c>
      <c r="P26" s="51" t="n">
        <f aca="false">P10*Assumptions!$D$35</f>
        <v>8250</v>
      </c>
      <c r="Q26" s="51" t="n">
        <f aca="false">Q10*Assumptions!$D$35</f>
        <v>9250</v>
      </c>
      <c r="R26" s="51" t="n">
        <f aca="false">R10*Assumptions!$D$35</f>
        <v>7500</v>
      </c>
      <c r="S26" s="51" t="n">
        <f aca="false">S10*Assumptions!$D$35</f>
        <v>8250</v>
      </c>
      <c r="T26" s="51" t="n">
        <f aca="false">T10*Assumptions!$D$35</f>
        <v>9250</v>
      </c>
      <c r="U26" s="51" t="n">
        <f aca="false">U10*Assumptions!$D$35</f>
        <v>15000</v>
      </c>
      <c r="V26" s="51" t="n">
        <f aca="false">V10*Assumptions!$D$35</f>
        <v>16500</v>
      </c>
      <c r="W26" s="51" t="n">
        <f aca="false">W10*Assumptions!$D$35</f>
        <v>18500</v>
      </c>
      <c r="X26" s="51" t="n">
        <f aca="false">X10*Assumptions!$D$35</f>
        <v>15000</v>
      </c>
      <c r="Y26" s="51" t="n">
        <f aca="false">Y10*Assumptions!$D$35</f>
        <v>16500</v>
      </c>
      <c r="Z26" s="51" t="n">
        <f aca="false">Z10*Assumptions!$D$35</f>
        <v>18500</v>
      </c>
      <c r="AA26" s="51" t="n">
        <f aca="false">AA10*Assumptions!$E$35</f>
        <v>22500</v>
      </c>
      <c r="AB26" s="51" t="n">
        <f aca="false">AB10*Assumptions!$E$35</f>
        <v>24750</v>
      </c>
      <c r="AC26" s="51" t="n">
        <f aca="false">AC10*Assumptions!$E$35</f>
        <v>27750</v>
      </c>
      <c r="AD26" s="51" t="n">
        <f aca="false">AD10*Assumptions!$E$35</f>
        <v>22500</v>
      </c>
      <c r="AE26" s="51" t="n">
        <f aca="false">AE10*Assumptions!$E$35</f>
        <v>24750</v>
      </c>
      <c r="AF26" s="51" t="n">
        <f aca="false">AF10*Assumptions!$E$35</f>
        <v>27750</v>
      </c>
      <c r="AG26" s="51" t="n">
        <f aca="false">AG10*Assumptions!$E$35</f>
        <v>30000</v>
      </c>
      <c r="AH26" s="51" t="n">
        <f aca="false">AH10*Assumptions!$E$35</f>
        <v>33000</v>
      </c>
      <c r="AI26" s="51" t="n">
        <f aca="false">AI10*Assumptions!$E$35</f>
        <v>37000</v>
      </c>
      <c r="AJ26" s="51" t="n">
        <f aca="false">AJ10*Assumptions!$E$35</f>
        <v>30000</v>
      </c>
      <c r="AK26" s="51" t="n">
        <f aca="false">AK10*Assumptions!$E$35</f>
        <v>33000</v>
      </c>
      <c r="AL26" s="51" t="n">
        <f aca="false">AL10*Assumptions!$E$35</f>
        <v>37000</v>
      </c>
      <c r="AN26" s="52" t="n">
        <f aca="false">SUM(C26:N26)</f>
        <v>25000</v>
      </c>
      <c r="AO26" s="52" t="n">
        <f aca="false">SUM(O26:Z26)</f>
        <v>150000</v>
      </c>
      <c r="AP26" s="52" t="n">
        <f aca="false">SUM(AA26:AL26)</f>
        <v>350000</v>
      </c>
    </row>
    <row r="27" customFormat="false" ht="15" hidden="false" customHeight="false" outlineLevel="0" collapsed="false">
      <c r="A27" s="26" t="s">
        <v>113</v>
      </c>
      <c r="B27" s="24" t="s">
        <v>513</v>
      </c>
      <c r="C27" s="51" t="n">
        <f aca="false">C11*Assumptions!$C$36</f>
        <v>0</v>
      </c>
      <c r="D27" s="51" t="n">
        <f aca="false">D11*Assumptions!$C$36</f>
        <v>0</v>
      </c>
      <c r="E27" s="51" t="n">
        <f aca="false">E11*Assumptions!$C$36</f>
        <v>0</v>
      </c>
      <c r="F27" s="51" t="n">
        <f aca="false">F11*Assumptions!$C$36</f>
        <v>0</v>
      </c>
      <c r="G27" s="51" t="n">
        <f aca="false">G11*Assumptions!$C$36</f>
        <v>0</v>
      </c>
      <c r="H27" s="51" t="n">
        <f aca="false">H11*Assumptions!$C$36</f>
        <v>0</v>
      </c>
      <c r="I27" s="51" t="n">
        <f aca="false">I11*Assumptions!$C$36</f>
        <v>4050</v>
      </c>
      <c r="J27" s="51" t="n">
        <f aca="false">J11*Assumptions!$C$36</f>
        <v>4455</v>
      </c>
      <c r="K27" s="51" t="n">
        <f aca="false">K11*Assumptions!$C$36</f>
        <v>4995</v>
      </c>
      <c r="L27" s="51" t="n">
        <f aca="false">L11*Assumptions!$C$36</f>
        <v>8100</v>
      </c>
      <c r="M27" s="51" t="n">
        <f aca="false">M11*Assumptions!$C$36</f>
        <v>8910</v>
      </c>
      <c r="N27" s="51" t="n">
        <f aca="false">N11*Assumptions!$C$36</f>
        <v>9990</v>
      </c>
      <c r="O27" s="51" t="n">
        <f aca="false">O11*Assumptions!$D$36</f>
        <v>12690</v>
      </c>
      <c r="P27" s="51" t="n">
        <f aca="false">P11*Assumptions!$D$36</f>
        <v>13959</v>
      </c>
      <c r="Q27" s="51" t="n">
        <f aca="false">Q11*Assumptions!$D$36</f>
        <v>15651</v>
      </c>
      <c r="R27" s="51" t="n">
        <f aca="false">R11*Assumptions!$D$36</f>
        <v>16920</v>
      </c>
      <c r="S27" s="51" t="n">
        <f aca="false">S11*Assumptions!$D$36</f>
        <v>18612</v>
      </c>
      <c r="T27" s="51" t="n">
        <f aca="false">T11*Assumptions!$D$36</f>
        <v>20868</v>
      </c>
      <c r="U27" s="51" t="n">
        <f aca="false">U11*Assumptions!$D$36</f>
        <v>19740</v>
      </c>
      <c r="V27" s="51" t="n">
        <f aca="false">V11*Assumptions!$D$36</f>
        <v>21714</v>
      </c>
      <c r="W27" s="51" t="n">
        <f aca="false">W11*Assumptions!$D$36</f>
        <v>24346</v>
      </c>
      <c r="X27" s="51" t="n">
        <f aca="false">X11*Assumptions!$D$36</f>
        <v>22560</v>
      </c>
      <c r="Y27" s="51" t="n">
        <f aca="false">Y11*Assumptions!$D$36</f>
        <v>24816</v>
      </c>
      <c r="Z27" s="51" t="n">
        <f aca="false">Z11*Assumptions!$D$36</f>
        <v>27824</v>
      </c>
      <c r="AA27" s="51" t="n">
        <f aca="false">AA11*Assumptions!$E$36</f>
        <v>29400</v>
      </c>
      <c r="AB27" s="51" t="n">
        <f aca="false">AB11*Assumptions!$E$36</f>
        <v>32340</v>
      </c>
      <c r="AC27" s="51" t="n">
        <f aca="false">AC11*Assumptions!$E$36</f>
        <v>36260</v>
      </c>
      <c r="AD27" s="51" t="n">
        <f aca="false">AD11*Assumptions!$E$36</f>
        <v>35280</v>
      </c>
      <c r="AE27" s="51" t="n">
        <f aca="false">AE11*Assumptions!$E$36</f>
        <v>38808</v>
      </c>
      <c r="AF27" s="51" t="n">
        <f aca="false">AF11*Assumptions!$E$36</f>
        <v>43512</v>
      </c>
      <c r="AG27" s="51" t="n">
        <f aca="false">AG11*Assumptions!$E$36</f>
        <v>38220</v>
      </c>
      <c r="AH27" s="51" t="n">
        <f aca="false">AH11*Assumptions!$E$36</f>
        <v>42042</v>
      </c>
      <c r="AI27" s="51" t="n">
        <f aca="false">AI11*Assumptions!$E$36</f>
        <v>47138</v>
      </c>
      <c r="AJ27" s="51" t="n">
        <f aca="false">AJ11*Assumptions!$E$36</f>
        <v>44100</v>
      </c>
      <c r="AK27" s="51" t="n">
        <f aca="false">AK11*Assumptions!$E$36</f>
        <v>48510</v>
      </c>
      <c r="AL27" s="51" t="n">
        <f aca="false">AL11*Assumptions!$E$36</f>
        <v>54390</v>
      </c>
      <c r="AN27" s="52" t="n">
        <f aca="false">SUM(C27:N27)</f>
        <v>40500</v>
      </c>
      <c r="AO27" s="52" t="n">
        <f aca="false">SUM(O27:Z27)</f>
        <v>239700</v>
      </c>
      <c r="AP27" s="52" t="n">
        <f aca="false">SUM(AA27:AL27)</f>
        <v>490000</v>
      </c>
    </row>
    <row r="28" customFormat="false" ht="15" hidden="false" customHeight="false" outlineLevel="0" collapsed="false">
      <c r="A28" s="26" t="s">
        <v>506</v>
      </c>
      <c r="B28" s="24" t="s">
        <v>513</v>
      </c>
      <c r="C28" s="51" t="n">
        <f aca="false">C12*Assumptions!$C$37</f>
        <v>0</v>
      </c>
      <c r="D28" s="51" t="n">
        <f aca="false">D12*Assumptions!$C$37</f>
        <v>0</v>
      </c>
      <c r="E28" s="51" t="n">
        <f aca="false">E12*Assumptions!$C$37</f>
        <v>0</v>
      </c>
      <c r="F28" s="51" t="n">
        <f aca="false">F12*Assumptions!$C$37</f>
        <v>0</v>
      </c>
      <c r="G28" s="51" t="n">
        <f aca="false">G12*Assumptions!$C$37</f>
        <v>0</v>
      </c>
      <c r="H28" s="51" t="n">
        <f aca="false">H12*Assumptions!$C$37</f>
        <v>0</v>
      </c>
      <c r="I28" s="51" t="n">
        <f aca="false">I12*Assumptions!$C$37</f>
        <v>0</v>
      </c>
      <c r="J28" s="51" t="n">
        <f aca="false">J12*Assumptions!$C$37</f>
        <v>0</v>
      </c>
      <c r="K28" s="51" t="n">
        <f aca="false">K12*Assumptions!$C$37</f>
        <v>0</v>
      </c>
      <c r="L28" s="51" t="n">
        <f aca="false">L12*Assumptions!$C$37</f>
        <v>0</v>
      </c>
      <c r="M28" s="51" t="n">
        <f aca="false">M12*Assumptions!$C$37</f>
        <v>0</v>
      </c>
      <c r="N28" s="51" t="n">
        <f aca="false">N12*Assumptions!$C$37</f>
        <v>0</v>
      </c>
      <c r="O28" s="51" t="n">
        <f aca="false">O12*Assumptions!$D$37</f>
        <v>3600</v>
      </c>
      <c r="P28" s="51" t="n">
        <f aca="false">P12*Assumptions!$D$37</f>
        <v>3960</v>
      </c>
      <c r="Q28" s="51" t="n">
        <f aca="false">Q12*Assumptions!$D$37</f>
        <v>4440</v>
      </c>
      <c r="R28" s="51" t="n">
        <f aca="false">R12*Assumptions!$D$37</f>
        <v>3600</v>
      </c>
      <c r="S28" s="51" t="n">
        <f aca="false">S12*Assumptions!$D$37</f>
        <v>3960</v>
      </c>
      <c r="T28" s="51" t="n">
        <f aca="false">T12*Assumptions!$D$37</f>
        <v>4440</v>
      </c>
      <c r="U28" s="51" t="n">
        <f aca="false">U12*Assumptions!$D$37</f>
        <v>7200</v>
      </c>
      <c r="V28" s="51" t="n">
        <f aca="false">V12*Assumptions!$D$37</f>
        <v>7920</v>
      </c>
      <c r="W28" s="51" t="n">
        <f aca="false">W12*Assumptions!$D$37</f>
        <v>8880</v>
      </c>
      <c r="X28" s="51" t="n">
        <f aca="false">X12*Assumptions!$D$37</f>
        <v>7200</v>
      </c>
      <c r="Y28" s="51" t="n">
        <f aca="false">Y12*Assumptions!$D$37</f>
        <v>7920</v>
      </c>
      <c r="Z28" s="51" t="n">
        <f aca="false">Z12*Assumptions!$D$37</f>
        <v>8880</v>
      </c>
      <c r="AA28" s="51" t="n">
        <f aca="false">AA12*Assumptions!$E$37</f>
        <v>10800</v>
      </c>
      <c r="AB28" s="51" t="n">
        <f aca="false">AB12*Assumptions!$E$37</f>
        <v>11880</v>
      </c>
      <c r="AC28" s="51" t="n">
        <f aca="false">AC12*Assumptions!$E$37</f>
        <v>13320</v>
      </c>
      <c r="AD28" s="51" t="n">
        <f aca="false">AD12*Assumptions!$E$37</f>
        <v>10800</v>
      </c>
      <c r="AE28" s="51" t="n">
        <f aca="false">AE12*Assumptions!$E$37</f>
        <v>11880</v>
      </c>
      <c r="AF28" s="51" t="n">
        <f aca="false">AF12*Assumptions!$E$37</f>
        <v>13320</v>
      </c>
      <c r="AG28" s="51" t="n">
        <f aca="false">AG12*Assumptions!$E$37</f>
        <v>14400</v>
      </c>
      <c r="AH28" s="51" t="n">
        <f aca="false">AH12*Assumptions!$E$37</f>
        <v>15840</v>
      </c>
      <c r="AI28" s="51" t="n">
        <f aca="false">AI12*Assumptions!$E$37</f>
        <v>17760</v>
      </c>
      <c r="AJ28" s="51" t="n">
        <f aca="false">AJ12*Assumptions!$E$37</f>
        <v>14400</v>
      </c>
      <c r="AK28" s="51" t="n">
        <f aca="false">AK12*Assumptions!$E$37</f>
        <v>15840</v>
      </c>
      <c r="AL28" s="51" t="n">
        <f aca="false">AL12*Assumptions!$E$37</f>
        <v>17760</v>
      </c>
      <c r="AN28" s="52" t="n">
        <f aca="false">SUM(C28:N28)</f>
        <v>0</v>
      </c>
      <c r="AO28" s="52" t="n">
        <f aca="false">SUM(O28:Z28)</f>
        <v>72000</v>
      </c>
      <c r="AP28" s="52" t="n">
        <f aca="false">SUM(AA28:AL28)</f>
        <v>168000</v>
      </c>
    </row>
    <row r="29" customFormat="false" ht="15" hidden="false" customHeight="false" outlineLevel="0" collapsed="false">
      <c r="A29" s="26" t="s">
        <v>115</v>
      </c>
      <c r="B29" s="24" t="s">
        <v>513</v>
      </c>
      <c r="C29" s="51" t="n">
        <f aca="false">C13*Assumptions!$C$38</f>
        <v>0</v>
      </c>
      <c r="D29" s="51" t="n">
        <f aca="false">D13*Assumptions!$C$38</f>
        <v>0</v>
      </c>
      <c r="E29" s="51" t="n">
        <f aca="false">E13*Assumptions!$C$38</f>
        <v>0</v>
      </c>
      <c r="F29" s="51" t="n">
        <f aca="false">F13*Assumptions!$C$38</f>
        <v>0</v>
      </c>
      <c r="G29" s="51" t="n">
        <f aca="false">G13*Assumptions!$C$38</f>
        <v>0</v>
      </c>
      <c r="H29" s="51" t="n">
        <f aca="false">H13*Assumptions!$C$38</f>
        <v>0</v>
      </c>
      <c r="I29" s="51" t="n">
        <f aca="false">I13*Assumptions!$C$38</f>
        <v>0</v>
      </c>
      <c r="J29" s="51" t="n">
        <f aca="false">J13*Assumptions!$C$38</f>
        <v>0</v>
      </c>
      <c r="K29" s="51" t="n">
        <f aca="false">K13*Assumptions!$C$38</f>
        <v>0</v>
      </c>
      <c r="L29" s="51" t="n">
        <f aca="false">L13*Assumptions!$C$38</f>
        <v>3000</v>
      </c>
      <c r="M29" s="51" t="n">
        <f aca="false">M13*Assumptions!$C$38</f>
        <v>3300</v>
      </c>
      <c r="N29" s="51" t="n">
        <f aca="false">N13*Assumptions!$C$38</f>
        <v>3700</v>
      </c>
      <c r="O29" s="51" t="n">
        <f aca="false">O13*Assumptions!$D$38</f>
        <v>6240</v>
      </c>
      <c r="P29" s="51" t="n">
        <f aca="false">P13*Assumptions!$D$38</f>
        <v>6864</v>
      </c>
      <c r="Q29" s="51" t="n">
        <f aca="false">Q13*Assumptions!$D$38</f>
        <v>7696</v>
      </c>
      <c r="R29" s="51" t="n">
        <f aca="false">R13*Assumptions!$D$38</f>
        <v>7800</v>
      </c>
      <c r="S29" s="51" t="n">
        <f aca="false">S13*Assumptions!$D$38</f>
        <v>8580</v>
      </c>
      <c r="T29" s="51" t="n">
        <f aca="false">T13*Assumptions!$D$38</f>
        <v>9620</v>
      </c>
      <c r="U29" s="51" t="n">
        <f aca="false">U13*Assumptions!$D$38</f>
        <v>10920</v>
      </c>
      <c r="V29" s="51" t="n">
        <f aca="false">V13*Assumptions!$D$38</f>
        <v>12012</v>
      </c>
      <c r="W29" s="51" t="n">
        <f aca="false">W13*Assumptions!$D$38</f>
        <v>13468</v>
      </c>
      <c r="X29" s="51" t="n">
        <f aca="false">X13*Assumptions!$D$38</f>
        <v>12480</v>
      </c>
      <c r="Y29" s="51" t="n">
        <f aca="false">Y13*Assumptions!$D$38</f>
        <v>13728</v>
      </c>
      <c r="Z29" s="51" t="n">
        <f aca="false">Z13*Assumptions!$D$38</f>
        <v>15392</v>
      </c>
      <c r="AA29" s="51" t="n">
        <f aca="false">AA13*Assumptions!$E$38</f>
        <v>16200</v>
      </c>
      <c r="AB29" s="51" t="n">
        <f aca="false">AB13*Assumptions!$E$38</f>
        <v>17820</v>
      </c>
      <c r="AC29" s="51" t="n">
        <f aca="false">AC13*Assumptions!$E$38</f>
        <v>19980</v>
      </c>
      <c r="AD29" s="51" t="n">
        <f aca="false">AD13*Assumptions!$E$38</f>
        <v>19440</v>
      </c>
      <c r="AE29" s="51" t="n">
        <f aca="false">AE13*Assumptions!$E$38</f>
        <v>21384</v>
      </c>
      <c r="AF29" s="51" t="n">
        <f aca="false">AF13*Assumptions!$E$38</f>
        <v>23976</v>
      </c>
      <c r="AG29" s="51" t="n">
        <f aca="false">AG13*Assumptions!$E$38</f>
        <v>21060</v>
      </c>
      <c r="AH29" s="51" t="n">
        <f aca="false">AH13*Assumptions!$E$38</f>
        <v>23166</v>
      </c>
      <c r="AI29" s="51" t="n">
        <f aca="false">AI13*Assumptions!$E$38</f>
        <v>25974</v>
      </c>
      <c r="AJ29" s="51" t="n">
        <f aca="false">AJ13*Assumptions!$E$38</f>
        <v>24300</v>
      </c>
      <c r="AK29" s="51" t="n">
        <f aca="false">AK13*Assumptions!$E$38</f>
        <v>26730</v>
      </c>
      <c r="AL29" s="51" t="n">
        <f aca="false">AL13*Assumptions!$E$38</f>
        <v>29970</v>
      </c>
      <c r="AN29" s="52" t="n">
        <f aca="false">SUM(C29:N29)</f>
        <v>10000</v>
      </c>
      <c r="AO29" s="52" t="n">
        <f aca="false">SUM(O29:Z29)</f>
        <v>124800</v>
      </c>
      <c r="AP29" s="52" t="n">
        <f aca="false">SUM(AA29:AL29)</f>
        <v>270000</v>
      </c>
    </row>
    <row r="30" customFormat="false" ht="15" hidden="false" customHeight="false" outlineLevel="0" collapsed="false">
      <c r="A30" s="26" t="s">
        <v>116</v>
      </c>
      <c r="B30" s="24" t="s">
        <v>514</v>
      </c>
      <c r="C30" s="51" t="n">
        <f aca="false">C14*Assumptions!$C$39</f>
        <v>0</v>
      </c>
      <c r="D30" s="51" t="n">
        <f aca="false">D14*Assumptions!$C$39</f>
        <v>0</v>
      </c>
      <c r="E30" s="51" t="n">
        <f aca="false">E14*Assumptions!$C$39</f>
        <v>0</v>
      </c>
      <c r="F30" s="51" t="n">
        <f aca="false">F14*Assumptions!$C$39</f>
        <v>0</v>
      </c>
      <c r="G30" s="51" t="n">
        <f aca="false">G14*Assumptions!$C$39</f>
        <v>0</v>
      </c>
      <c r="H30" s="51" t="n">
        <f aca="false">H14*Assumptions!$C$39</f>
        <v>0</v>
      </c>
      <c r="I30" s="51" t="n">
        <f aca="false">I14*Assumptions!$C$39</f>
        <v>0</v>
      </c>
      <c r="J30" s="51" t="n">
        <f aca="false">J14*Assumptions!$C$39</f>
        <v>0</v>
      </c>
      <c r="K30" s="51" t="n">
        <f aca="false">K14*Assumptions!$C$39</f>
        <v>0</v>
      </c>
      <c r="L30" s="51" t="n">
        <f aca="false">L14*Assumptions!$C$39</f>
        <v>13200</v>
      </c>
      <c r="M30" s="51" t="n">
        <f aca="false">M14*Assumptions!$C$39</f>
        <v>14520</v>
      </c>
      <c r="N30" s="51" t="n">
        <f aca="false">N14*Assumptions!$C$39</f>
        <v>16280</v>
      </c>
      <c r="O30" s="51" t="n">
        <f aca="false">O14*Assumptions!$D$39</f>
        <v>18000</v>
      </c>
      <c r="P30" s="51" t="n">
        <f aca="false">P14*Assumptions!$D$39</f>
        <v>19800</v>
      </c>
      <c r="Q30" s="51" t="n">
        <f aca="false">Q14*Assumptions!$D$39</f>
        <v>22200</v>
      </c>
      <c r="R30" s="51" t="n">
        <f aca="false">R14*Assumptions!$D$39</f>
        <v>24000</v>
      </c>
      <c r="S30" s="51" t="n">
        <f aca="false">S14*Assumptions!$D$39</f>
        <v>26400</v>
      </c>
      <c r="T30" s="51" t="n">
        <f aca="false">T14*Assumptions!$D$39</f>
        <v>29600</v>
      </c>
      <c r="U30" s="51" t="n">
        <f aca="false">U14*Assumptions!$D$39</f>
        <v>36000</v>
      </c>
      <c r="V30" s="51" t="n">
        <f aca="false">V14*Assumptions!$D$39</f>
        <v>39600</v>
      </c>
      <c r="W30" s="51" t="n">
        <f aca="false">W14*Assumptions!$D$39</f>
        <v>44400</v>
      </c>
      <c r="X30" s="51" t="n">
        <f aca="false">X14*Assumptions!$D$39</f>
        <v>48000</v>
      </c>
      <c r="Y30" s="51" t="n">
        <f aca="false">Y14*Assumptions!$D$39</f>
        <v>52800</v>
      </c>
      <c r="Z30" s="51" t="n">
        <f aca="false">Z14*Assumptions!$D$39</f>
        <v>59200</v>
      </c>
      <c r="AA30" s="51" t="n">
        <f aca="false">AA14*Assumptions!$E$39</f>
        <v>64800</v>
      </c>
      <c r="AB30" s="51" t="n">
        <f aca="false">AB14*Assumptions!$E$39</f>
        <v>71280</v>
      </c>
      <c r="AC30" s="51" t="n">
        <f aca="false">AC14*Assumptions!$E$39</f>
        <v>79920</v>
      </c>
      <c r="AD30" s="51" t="n">
        <f aca="false">AD14*Assumptions!$E$39</f>
        <v>81000</v>
      </c>
      <c r="AE30" s="51" t="n">
        <f aca="false">AE14*Assumptions!$E$39</f>
        <v>89100</v>
      </c>
      <c r="AF30" s="51" t="n">
        <f aca="false">AF14*Assumptions!$E$39</f>
        <v>99900</v>
      </c>
      <c r="AG30" s="51" t="n">
        <f aca="false">AG14*Assumptions!$E$39</f>
        <v>97200</v>
      </c>
      <c r="AH30" s="51" t="n">
        <f aca="false">AH14*Assumptions!$E$39</f>
        <v>106920</v>
      </c>
      <c r="AI30" s="51" t="n">
        <f aca="false">AI14*Assumptions!$E$39</f>
        <v>119880</v>
      </c>
      <c r="AJ30" s="51" t="n">
        <f aca="false">AJ14*Assumptions!$E$39</f>
        <v>108000</v>
      </c>
      <c r="AK30" s="51" t="n">
        <f aca="false">AK14*Assumptions!$E$39</f>
        <v>118800</v>
      </c>
      <c r="AL30" s="51" t="n">
        <f aca="false">AL14*Assumptions!$E$39</f>
        <v>133200</v>
      </c>
      <c r="AN30" s="52" t="n">
        <f aca="false">SUM(C30:N30)</f>
        <v>44000</v>
      </c>
      <c r="AO30" s="52" t="n">
        <f aca="false">SUM(O30:Z30)</f>
        <v>420000</v>
      </c>
      <c r="AP30" s="52" t="n">
        <f aca="false">SUM(AA30:AL30)</f>
        <v>1170000</v>
      </c>
    </row>
    <row r="31" customFormat="false" ht="15" hidden="false" customHeight="false" outlineLevel="0" collapsed="false">
      <c r="A31" s="26" t="s">
        <v>118</v>
      </c>
      <c r="B31" s="24" t="s">
        <v>514</v>
      </c>
      <c r="C31" s="51" t="n">
        <f aca="false">C15*Assumptions!$C$40</f>
        <v>0</v>
      </c>
      <c r="D31" s="51" t="n">
        <f aca="false">D15*Assumptions!$C$40</f>
        <v>0</v>
      </c>
      <c r="E31" s="51" t="n">
        <f aca="false">E15*Assumptions!$C$40</f>
        <v>0</v>
      </c>
      <c r="F31" s="51" t="n">
        <f aca="false">F15*Assumptions!$C$40</f>
        <v>0</v>
      </c>
      <c r="G31" s="51" t="n">
        <f aca="false">G15*Assumptions!$C$40</f>
        <v>0</v>
      </c>
      <c r="H31" s="51" t="n">
        <f aca="false">H15*Assumptions!$C$40</f>
        <v>0</v>
      </c>
      <c r="I31" s="51" t="n">
        <f aca="false">I15*Assumptions!$C$40</f>
        <v>0</v>
      </c>
      <c r="J31" s="51" t="n">
        <f aca="false">J15*Assumptions!$C$40</f>
        <v>0</v>
      </c>
      <c r="K31" s="51" t="n">
        <f aca="false">K15*Assumptions!$C$40</f>
        <v>0</v>
      </c>
      <c r="L31" s="51" t="n">
        <f aca="false">L15*Assumptions!$C$40</f>
        <v>3600</v>
      </c>
      <c r="M31" s="51" t="n">
        <f aca="false">M15*Assumptions!$C$40</f>
        <v>3960</v>
      </c>
      <c r="N31" s="51" t="n">
        <f aca="false">N15*Assumptions!$C$40</f>
        <v>4440</v>
      </c>
      <c r="O31" s="51" t="n">
        <f aca="false">O15*Assumptions!$D$40</f>
        <v>3750</v>
      </c>
      <c r="P31" s="51" t="n">
        <f aca="false">P15*Assumptions!$D$40</f>
        <v>4125</v>
      </c>
      <c r="Q31" s="51" t="n">
        <f aca="false">Q15*Assumptions!$D$40</f>
        <v>4625</v>
      </c>
      <c r="R31" s="51" t="n">
        <f aca="false">R15*Assumptions!$D$40</f>
        <v>7500</v>
      </c>
      <c r="S31" s="51" t="n">
        <f aca="false">S15*Assumptions!$D$40</f>
        <v>8250</v>
      </c>
      <c r="T31" s="51" t="n">
        <f aca="false">T15*Assumptions!$D$40</f>
        <v>9250</v>
      </c>
      <c r="U31" s="51" t="n">
        <f aca="false">U15*Assumptions!$D$40</f>
        <v>7500</v>
      </c>
      <c r="V31" s="51" t="n">
        <f aca="false">V15*Assumptions!$D$40</f>
        <v>8250</v>
      </c>
      <c r="W31" s="51" t="n">
        <f aca="false">W15*Assumptions!$D$40</f>
        <v>9250</v>
      </c>
      <c r="X31" s="51" t="n">
        <f aca="false">X15*Assumptions!$D$40</f>
        <v>11250</v>
      </c>
      <c r="Y31" s="51" t="n">
        <f aca="false">Y15*Assumptions!$D$40</f>
        <v>12375</v>
      </c>
      <c r="Z31" s="51" t="n">
        <f aca="false">Z15*Assumptions!$D$40</f>
        <v>13875</v>
      </c>
      <c r="AA31" s="51" t="n">
        <f aca="false">AA15*Assumptions!$E$40</f>
        <v>15600</v>
      </c>
      <c r="AB31" s="51" t="n">
        <f aca="false">AB15*Assumptions!$E$40</f>
        <v>17160</v>
      </c>
      <c r="AC31" s="51" t="n">
        <f aca="false">AC15*Assumptions!$E$40</f>
        <v>19240</v>
      </c>
      <c r="AD31" s="51" t="n">
        <f aca="false">AD15*Assumptions!$E$40</f>
        <v>19500</v>
      </c>
      <c r="AE31" s="51" t="n">
        <f aca="false">AE15*Assumptions!$E$40</f>
        <v>21450</v>
      </c>
      <c r="AF31" s="51" t="n">
        <f aca="false">AF15*Assumptions!$E$40</f>
        <v>24050</v>
      </c>
      <c r="AG31" s="51" t="n">
        <f aca="false">AG15*Assumptions!$E$40</f>
        <v>19500</v>
      </c>
      <c r="AH31" s="51" t="n">
        <f aca="false">AH15*Assumptions!$E$40</f>
        <v>21450</v>
      </c>
      <c r="AI31" s="51" t="n">
        <f aca="false">AI15*Assumptions!$E$40</f>
        <v>24050</v>
      </c>
      <c r="AJ31" s="51" t="n">
        <f aca="false">AJ15*Assumptions!$E$40</f>
        <v>23400</v>
      </c>
      <c r="AK31" s="51" t="n">
        <f aca="false">AK15*Assumptions!$E$40</f>
        <v>25740</v>
      </c>
      <c r="AL31" s="51" t="n">
        <f aca="false">AL15*Assumptions!$E$40</f>
        <v>28860</v>
      </c>
      <c r="AN31" s="52" t="n">
        <f aca="false">SUM(C31:N31)</f>
        <v>12000</v>
      </c>
      <c r="AO31" s="52" t="n">
        <f aca="false">SUM(O31:Z31)</f>
        <v>100000</v>
      </c>
      <c r="AP31" s="52" t="n">
        <f aca="false">SUM(AA31:AL31)</f>
        <v>260000</v>
      </c>
    </row>
    <row r="32" customFormat="false" ht="15" hidden="false" customHeight="false" outlineLevel="0" collapsed="false">
      <c r="A32" s="26" t="s">
        <v>119</v>
      </c>
      <c r="B32" s="24" t="s">
        <v>515</v>
      </c>
      <c r="C32" s="51" t="n">
        <f aca="false">C16*Assumptions!$C$41</f>
        <v>0</v>
      </c>
      <c r="D32" s="51" t="n">
        <f aca="false">D16*Assumptions!$C$41</f>
        <v>0</v>
      </c>
      <c r="E32" s="51" t="n">
        <f aca="false">E16*Assumptions!$C$41</f>
        <v>0</v>
      </c>
      <c r="F32" s="51" t="n">
        <f aca="false">F16*Assumptions!$C$41</f>
        <v>0</v>
      </c>
      <c r="G32" s="51" t="n">
        <f aca="false">G16*Assumptions!$C$41</f>
        <v>0</v>
      </c>
      <c r="H32" s="51" t="n">
        <f aca="false">H16*Assumptions!$C$41</f>
        <v>0</v>
      </c>
      <c r="I32" s="51" t="n">
        <f aca="false">I16*Assumptions!$C$41</f>
        <v>10500</v>
      </c>
      <c r="J32" s="51" t="n">
        <f aca="false">J16*Assumptions!$C$41</f>
        <v>11550</v>
      </c>
      <c r="K32" s="51" t="n">
        <f aca="false">K16*Assumptions!$C$41</f>
        <v>12950</v>
      </c>
      <c r="L32" s="51" t="n">
        <f aca="false">L16*Assumptions!$C$41</f>
        <v>10500</v>
      </c>
      <c r="M32" s="51" t="n">
        <f aca="false">M16*Assumptions!$C$41</f>
        <v>11550</v>
      </c>
      <c r="N32" s="51" t="n">
        <f aca="false">N16*Assumptions!$C$41</f>
        <v>12950</v>
      </c>
      <c r="O32" s="51" t="n">
        <f aca="false">O16*Assumptions!$D$41</f>
        <v>22800</v>
      </c>
      <c r="P32" s="51" t="n">
        <f aca="false">P16*Assumptions!$D$41</f>
        <v>25080</v>
      </c>
      <c r="Q32" s="51" t="n">
        <f aca="false">Q16*Assumptions!$D$41</f>
        <v>28120</v>
      </c>
      <c r="R32" s="51" t="n">
        <f aca="false">R16*Assumptions!$D$41</f>
        <v>22800</v>
      </c>
      <c r="S32" s="51" t="n">
        <f aca="false">S16*Assumptions!$D$41</f>
        <v>25080</v>
      </c>
      <c r="T32" s="51" t="n">
        <f aca="false">T16*Assumptions!$D$41</f>
        <v>28120</v>
      </c>
      <c r="U32" s="51" t="n">
        <f aca="false">U16*Assumptions!$D$41</f>
        <v>34200</v>
      </c>
      <c r="V32" s="51" t="n">
        <f aca="false">V16*Assumptions!$D$41</f>
        <v>37620</v>
      </c>
      <c r="W32" s="51" t="n">
        <f aca="false">W16*Assumptions!$D$41</f>
        <v>42180</v>
      </c>
      <c r="X32" s="51" t="n">
        <f aca="false">X16*Assumptions!$D$41</f>
        <v>34200</v>
      </c>
      <c r="Y32" s="51" t="n">
        <f aca="false">Y16*Assumptions!$D$41</f>
        <v>37620</v>
      </c>
      <c r="Z32" s="51" t="n">
        <f aca="false">Z16*Assumptions!$D$41</f>
        <v>42180</v>
      </c>
      <c r="AA32" s="51" t="n">
        <f aca="false">AA16*Assumptions!$E$41</f>
        <v>48000</v>
      </c>
      <c r="AB32" s="51" t="n">
        <f aca="false">AB16*Assumptions!$E$41</f>
        <v>52800</v>
      </c>
      <c r="AC32" s="51" t="n">
        <f aca="false">AC16*Assumptions!$E$41</f>
        <v>59200</v>
      </c>
      <c r="AD32" s="51" t="n">
        <f aca="false">AD16*Assumptions!$E$41</f>
        <v>48000</v>
      </c>
      <c r="AE32" s="51" t="n">
        <f aca="false">AE16*Assumptions!$E$41</f>
        <v>52800</v>
      </c>
      <c r="AF32" s="51" t="n">
        <f aca="false">AF16*Assumptions!$E$41</f>
        <v>59200</v>
      </c>
      <c r="AG32" s="51" t="n">
        <f aca="false">AG16*Assumptions!$E$41</f>
        <v>60000</v>
      </c>
      <c r="AH32" s="51" t="n">
        <f aca="false">AH16*Assumptions!$E$41</f>
        <v>66000</v>
      </c>
      <c r="AI32" s="51" t="n">
        <f aca="false">AI16*Assumptions!$E$41</f>
        <v>74000</v>
      </c>
      <c r="AJ32" s="51" t="n">
        <f aca="false">AJ16*Assumptions!$E$41</f>
        <v>60000</v>
      </c>
      <c r="AK32" s="51" t="n">
        <f aca="false">AK16*Assumptions!$E$41</f>
        <v>66000</v>
      </c>
      <c r="AL32" s="51" t="n">
        <f aca="false">AL16*Assumptions!$E$41</f>
        <v>74000</v>
      </c>
      <c r="AN32" s="52" t="n">
        <f aca="false">SUM(C32:N32)</f>
        <v>70000</v>
      </c>
      <c r="AO32" s="52" t="n">
        <f aca="false">SUM(O32:Z32)</f>
        <v>380000</v>
      </c>
      <c r="AP32" s="52" t="n">
        <f aca="false">SUM(AA32:AL32)</f>
        <v>720000</v>
      </c>
    </row>
    <row r="33" customFormat="false" ht="15" hidden="false" customHeight="false" outlineLevel="0" collapsed="false">
      <c r="A33" s="26" t="s">
        <v>121</v>
      </c>
      <c r="B33" s="24" t="s">
        <v>516</v>
      </c>
      <c r="C33" s="51" t="n">
        <f aca="false">C17*Assumptions!$C$42</f>
        <v>0</v>
      </c>
      <c r="D33" s="51" t="n">
        <f aca="false">D17*Assumptions!$C$42</f>
        <v>0</v>
      </c>
      <c r="E33" s="51" t="n">
        <f aca="false">E17*Assumptions!$C$42</f>
        <v>0</v>
      </c>
      <c r="F33" s="51" t="n">
        <f aca="false">F17*Assumptions!$C$42</f>
        <v>8400</v>
      </c>
      <c r="G33" s="51" t="n">
        <f aca="false">G17*Assumptions!$C$42</f>
        <v>9240</v>
      </c>
      <c r="H33" s="51" t="n">
        <f aca="false">H17*Assumptions!$C$42</f>
        <v>10360</v>
      </c>
      <c r="I33" s="51" t="n">
        <f aca="false">I17*Assumptions!$C$42</f>
        <v>8400</v>
      </c>
      <c r="J33" s="51" t="n">
        <f aca="false">J17*Assumptions!$C$42</f>
        <v>9240</v>
      </c>
      <c r="K33" s="51" t="n">
        <f aca="false">K17*Assumptions!$C$42</f>
        <v>10360</v>
      </c>
      <c r="L33" s="51" t="n">
        <f aca="false">L17*Assumptions!$C$42</f>
        <v>16800</v>
      </c>
      <c r="M33" s="51" t="n">
        <f aca="false">M17*Assumptions!$C$42</f>
        <v>18480</v>
      </c>
      <c r="N33" s="51" t="n">
        <f aca="false">N17*Assumptions!$C$42</f>
        <v>20720</v>
      </c>
      <c r="O33" s="51" t="n">
        <f aca="false">O17*Assumptions!$D$42</f>
        <v>19200</v>
      </c>
      <c r="P33" s="51" t="n">
        <f aca="false">P17*Assumptions!$D$42</f>
        <v>21120</v>
      </c>
      <c r="Q33" s="51" t="n">
        <f aca="false">Q17*Assumptions!$D$42</f>
        <v>23680</v>
      </c>
      <c r="R33" s="51" t="n">
        <f aca="false">R17*Assumptions!$D$42</f>
        <v>19200</v>
      </c>
      <c r="S33" s="51" t="n">
        <f aca="false">S17*Assumptions!$D$42</f>
        <v>21120</v>
      </c>
      <c r="T33" s="51" t="n">
        <f aca="false">T17*Assumptions!$D$42</f>
        <v>23680</v>
      </c>
      <c r="U33" s="51" t="n">
        <f aca="false">U17*Assumptions!$D$42</f>
        <v>28800</v>
      </c>
      <c r="V33" s="51" t="n">
        <f aca="false">V17*Assumptions!$D$42</f>
        <v>31680</v>
      </c>
      <c r="W33" s="51" t="n">
        <f aca="false">W17*Assumptions!$D$42</f>
        <v>35520</v>
      </c>
      <c r="X33" s="51" t="n">
        <f aca="false">X17*Assumptions!$D$42</f>
        <v>28800</v>
      </c>
      <c r="Y33" s="51" t="n">
        <f aca="false">Y17*Assumptions!$D$42</f>
        <v>31680</v>
      </c>
      <c r="Z33" s="51" t="n">
        <f aca="false">Z17*Assumptions!$D$42</f>
        <v>35520</v>
      </c>
      <c r="AA33" s="51" t="n">
        <f aca="false">AA17*Assumptions!$E$42</f>
        <v>43200</v>
      </c>
      <c r="AB33" s="51" t="n">
        <f aca="false">AB17*Assumptions!$E$42</f>
        <v>47520</v>
      </c>
      <c r="AC33" s="51" t="n">
        <f aca="false">AC17*Assumptions!$E$42</f>
        <v>53280</v>
      </c>
      <c r="AD33" s="51" t="n">
        <f aca="false">AD17*Assumptions!$E$42</f>
        <v>43200</v>
      </c>
      <c r="AE33" s="51" t="n">
        <f aca="false">AE17*Assumptions!$E$42</f>
        <v>47520</v>
      </c>
      <c r="AF33" s="51" t="n">
        <f aca="false">AF17*Assumptions!$E$42</f>
        <v>53280</v>
      </c>
      <c r="AG33" s="51" t="n">
        <f aca="false">AG17*Assumptions!$E$42</f>
        <v>54000</v>
      </c>
      <c r="AH33" s="51" t="n">
        <f aca="false">AH17*Assumptions!$E$42</f>
        <v>59400</v>
      </c>
      <c r="AI33" s="51" t="n">
        <f aca="false">AI17*Assumptions!$E$42</f>
        <v>66600</v>
      </c>
      <c r="AJ33" s="51" t="n">
        <f aca="false">AJ17*Assumptions!$E$42</f>
        <v>54000</v>
      </c>
      <c r="AK33" s="51" t="n">
        <f aca="false">AK17*Assumptions!$E$42</f>
        <v>59400</v>
      </c>
      <c r="AL33" s="51" t="n">
        <f aca="false">AL17*Assumptions!$E$42</f>
        <v>66600</v>
      </c>
      <c r="AN33" s="52" t="n">
        <f aca="false">SUM(C33:N33)</f>
        <v>112000</v>
      </c>
      <c r="AO33" s="52" t="n">
        <f aca="false">SUM(O33:Z33)</f>
        <v>320000</v>
      </c>
      <c r="AP33" s="52" t="n">
        <f aca="false">SUM(AA33:AL33)</f>
        <v>648000</v>
      </c>
    </row>
    <row r="34" customFormat="false" ht="15" hidden="false" customHeight="false" outlineLevel="0" collapsed="false">
      <c r="A34" s="26" t="s">
        <v>123</v>
      </c>
      <c r="B34" s="24" t="s">
        <v>517</v>
      </c>
      <c r="C34" s="51" t="n">
        <f aca="false">C18*Assumptions!$C$43</f>
        <v>0</v>
      </c>
      <c r="D34" s="51" t="n">
        <f aca="false">D18*Assumptions!$C$43</f>
        <v>0</v>
      </c>
      <c r="E34" s="51" t="n">
        <f aca="false">E18*Assumptions!$C$43</f>
        <v>0</v>
      </c>
      <c r="F34" s="51" t="n">
        <f aca="false">F18*Assumptions!$C$43</f>
        <v>0</v>
      </c>
      <c r="G34" s="51" t="n">
        <f aca="false">G18*Assumptions!$C$43</f>
        <v>0</v>
      </c>
      <c r="H34" s="51" t="n">
        <f aca="false">H18*Assumptions!$C$43</f>
        <v>0</v>
      </c>
      <c r="I34" s="51" t="n">
        <f aca="false">I18*Assumptions!$C$43</f>
        <v>0</v>
      </c>
      <c r="J34" s="51" t="n">
        <f aca="false">J18*Assumptions!$C$43</f>
        <v>0</v>
      </c>
      <c r="K34" s="51" t="n">
        <f aca="false">K18*Assumptions!$C$43</f>
        <v>0</v>
      </c>
      <c r="L34" s="51" t="n">
        <f aca="false">L18*Assumptions!$C$43</f>
        <v>13500</v>
      </c>
      <c r="M34" s="51" t="n">
        <f aca="false">M18*Assumptions!$C$43</f>
        <v>14850</v>
      </c>
      <c r="N34" s="51" t="n">
        <f aca="false">N18*Assumptions!$C$43</f>
        <v>16650</v>
      </c>
      <c r="O34" s="51" t="n">
        <f aca="false">O18*Assumptions!$D$43</f>
        <v>16500</v>
      </c>
      <c r="P34" s="51" t="n">
        <f aca="false">P18*Assumptions!$D$43</f>
        <v>18150</v>
      </c>
      <c r="Q34" s="51" t="n">
        <f aca="false">Q18*Assumptions!$D$43</f>
        <v>20350</v>
      </c>
      <c r="R34" s="51" t="n">
        <f aca="false">R18*Assumptions!$D$43</f>
        <v>16500</v>
      </c>
      <c r="S34" s="51" t="n">
        <f aca="false">S18*Assumptions!$D$43</f>
        <v>18150</v>
      </c>
      <c r="T34" s="51" t="n">
        <f aca="false">T18*Assumptions!$D$43</f>
        <v>20350</v>
      </c>
      <c r="U34" s="51" t="n">
        <f aca="false">U18*Assumptions!$D$43</f>
        <v>16500</v>
      </c>
      <c r="V34" s="51" t="n">
        <f aca="false">V18*Assumptions!$D$43</f>
        <v>18150</v>
      </c>
      <c r="W34" s="51" t="n">
        <f aca="false">W18*Assumptions!$D$43</f>
        <v>20350</v>
      </c>
      <c r="X34" s="51" t="n">
        <f aca="false">X18*Assumptions!$D$43</f>
        <v>16500</v>
      </c>
      <c r="Y34" s="51" t="n">
        <f aca="false">Y18*Assumptions!$D$43</f>
        <v>18150</v>
      </c>
      <c r="Z34" s="51" t="n">
        <f aca="false">Z18*Assumptions!$D$43</f>
        <v>20350</v>
      </c>
      <c r="AA34" s="51" t="n">
        <f aca="false">AA18*Assumptions!$E$43</f>
        <v>36000</v>
      </c>
      <c r="AB34" s="51" t="n">
        <f aca="false">AB18*Assumptions!$E$43</f>
        <v>39600</v>
      </c>
      <c r="AC34" s="51" t="n">
        <f aca="false">AC18*Assumptions!$E$43</f>
        <v>44400</v>
      </c>
      <c r="AD34" s="51" t="n">
        <f aca="false">AD18*Assumptions!$E$43</f>
        <v>36000</v>
      </c>
      <c r="AE34" s="51" t="n">
        <f aca="false">AE18*Assumptions!$E$43</f>
        <v>39600</v>
      </c>
      <c r="AF34" s="51" t="n">
        <f aca="false">AF18*Assumptions!$E$43</f>
        <v>44400</v>
      </c>
      <c r="AG34" s="51" t="n">
        <f aca="false">AG18*Assumptions!$E$43</f>
        <v>36000</v>
      </c>
      <c r="AH34" s="51" t="n">
        <f aca="false">AH18*Assumptions!$E$43</f>
        <v>39600</v>
      </c>
      <c r="AI34" s="51" t="n">
        <f aca="false">AI18*Assumptions!$E$43</f>
        <v>44400</v>
      </c>
      <c r="AJ34" s="51" t="n">
        <f aca="false">AJ18*Assumptions!$E$43</f>
        <v>54000</v>
      </c>
      <c r="AK34" s="51" t="n">
        <f aca="false">AK18*Assumptions!$E$43</f>
        <v>59400</v>
      </c>
      <c r="AL34" s="51" t="n">
        <f aca="false">AL18*Assumptions!$E$43</f>
        <v>66600</v>
      </c>
      <c r="AN34" s="52" t="n">
        <f aca="false">SUM(C34:N34)</f>
        <v>45000</v>
      </c>
      <c r="AO34" s="52" t="n">
        <f aca="false">SUM(O34:Z34)</f>
        <v>220000</v>
      </c>
      <c r="AP34" s="52" t="n">
        <f aca="false">SUM(AA34:AL34)</f>
        <v>540000</v>
      </c>
    </row>
    <row r="35" customFormat="false" ht="15" hidden="false" customHeight="false" outlineLevel="0" collapsed="false">
      <c r="A35" s="26" t="s">
        <v>507</v>
      </c>
      <c r="B35" s="24" t="s">
        <v>518</v>
      </c>
      <c r="C35" s="51" t="n">
        <f aca="false">C20*Assumptions!$C$44</f>
        <v>0</v>
      </c>
      <c r="D35" s="51" t="n">
        <f aca="false">D20*Assumptions!$C$44</f>
        <v>0</v>
      </c>
      <c r="E35" s="51" t="n">
        <f aca="false">E20*Assumptions!$C$44</f>
        <v>0</v>
      </c>
      <c r="F35" s="51" t="n">
        <f aca="false">F20*Assumptions!$C$44</f>
        <v>1440</v>
      </c>
      <c r="G35" s="51" t="n">
        <f aca="false">G20*Assumptions!$C$44</f>
        <v>1584</v>
      </c>
      <c r="H35" s="51" t="n">
        <f aca="false">H20*Assumptions!$C$44</f>
        <v>1776</v>
      </c>
      <c r="I35" s="51" t="n">
        <f aca="false">I20*Assumptions!$C$44</f>
        <v>2160</v>
      </c>
      <c r="J35" s="51" t="n">
        <f aca="false">J20*Assumptions!$C$44</f>
        <v>2376</v>
      </c>
      <c r="K35" s="51" t="n">
        <f aca="false">K20*Assumptions!$C$44</f>
        <v>2664</v>
      </c>
      <c r="L35" s="51" t="n">
        <f aca="false">L20*Assumptions!$C$44</f>
        <v>2880</v>
      </c>
      <c r="M35" s="51" t="n">
        <f aca="false">M20*Assumptions!$C$44</f>
        <v>3168</v>
      </c>
      <c r="N35" s="51" t="n">
        <f aca="false">N20*Assumptions!$C$44</f>
        <v>3552</v>
      </c>
      <c r="O35" s="51" t="n">
        <f aca="false">O20*Assumptions!$D$44</f>
        <v>4410</v>
      </c>
      <c r="P35" s="51" t="n">
        <f aca="false">P20*Assumptions!$D$44</f>
        <v>4851</v>
      </c>
      <c r="Q35" s="51" t="n">
        <f aca="false">Q20*Assumptions!$D$44</f>
        <v>5439</v>
      </c>
      <c r="R35" s="51" t="n">
        <f aca="false">R20*Assumptions!$D$44</f>
        <v>5292</v>
      </c>
      <c r="S35" s="51" t="n">
        <f aca="false">S20*Assumptions!$D$44</f>
        <v>5821.2</v>
      </c>
      <c r="T35" s="51" t="n">
        <f aca="false">T20*Assumptions!$D$44</f>
        <v>6526.8</v>
      </c>
      <c r="U35" s="51" t="n">
        <f aca="false">U20*Assumptions!$D$44</f>
        <v>6174</v>
      </c>
      <c r="V35" s="51" t="n">
        <f aca="false">V20*Assumptions!$D$44</f>
        <v>6791.4</v>
      </c>
      <c r="W35" s="51" t="n">
        <f aca="false">W20*Assumptions!$D$44</f>
        <v>7614.6</v>
      </c>
      <c r="X35" s="51" t="n">
        <f aca="false">X20*Assumptions!$D$44</f>
        <v>7056</v>
      </c>
      <c r="Y35" s="51" t="n">
        <f aca="false">Y20*Assumptions!$D$44</f>
        <v>7761.6</v>
      </c>
      <c r="Z35" s="51" t="n">
        <f aca="false">Z20*Assumptions!$D$44</f>
        <v>8702.4</v>
      </c>
      <c r="AA35" s="51" t="n">
        <f aca="false">AA20*Assumptions!$E$44</f>
        <v>10560</v>
      </c>
      <c r="AB35" s="51" t="n">
        <f aca="false">AB20*Assumptions!$E$44</f>
        <v>11616</v>
      </c>
      <c r="AC35" s="51" t="n">
        <f aca="false">AC20*Assumptions!$E$44</f>
        <v>13024</v>
      </c>
      <c r="AD35" s="51" t="n">
        <f aca="false">AD20*Assumptions!$E$44</f>
        <v>11616</v>
      </c>
      <c r="AE35" s="51" t="n">
        <f aca="false">AE20*Assumptions!$E$44</f>
        <v>12777.6</v>
      </c>
      <c r="AF35" s="51" t="n">
        <f aca="false">AF20*Assumptions!$E$44</f>
        <v>14326.4</v>
      </c>
      <c r="AG35" s="51" t="n">
        <f aca="false">AG20*Assumptions!$E$44</f>
        <v>12672</v>
      </c>
      <c r="AH35" s="51" t="n">
        <f aca="false">AH20*Assumptions!$E$44</f>
        <v>13939.2</v>
      </c>
      <c r="AI35" s="51" t="n">
        <f aca="false">AI20*Assumptions!$E$44</f>
        <v>15628.8</v>
      </c>
      <c r="AJ35" s="51" t="n">
        <f aca="false">AJ20*Assumptions!$E$44</f>
        <v>13728</v>
      </c>
      <c r="AK35" s="51" t="n">
        <f aca="false">AK20*Assumptions!$E$44</f>
        <v>15100.8</v>
      </c>
      <c r="AL35" s="51" t="n">
        <f aca="false">AL20*Assumptions!$E$44</f>
        <v>16931.2</v>
      </c>
      <c r="AN35" s="52" t="n">
        <f aca="false">SUM(C35:N35)</f>
        <v>21600</v>
      </c>
      <c r="AO35" s="52" t="n">
        <f aca="false">SUM(O35:Z35)</f>
        <v>76440</v>
      </c>
      <c r="AP35" s="52" t="n">
        <f aca="false">SUM(AA35:AL35)</f>
        <v>161920</v>
      </c>
    </row>
    <row r="36" customFormat="false" ht="15" hidden="false" customHeight="false" outlineLevel="0" collapsed="false">
      <c r="A36" s="53" t="s">
        <v>519</v>
      </c>
      <c r="B36" s="54" t="s">
        <v>520</v>
      </c>
      <c r="C36" s="55" t="n">
        <f aca="false">SUM(C25:C35)</f>
        <v>2250</v>
      </c>
      <c r="D36" s="55" t="n">
        <f aca="false">SUM(D25:D35)</f>
        <v>2475</v>
      </c>
      <c r="E36" s="55" t="n">
        <f aca="false">SUM(E25:E35)</f>
        <v>2775</v>
      </c>
      <c r="F36" s="55" t="n">
        <f aca="false">SUM(F25:F35)</f>
        <v>23340</v>
      </c>
      <c r="G36" s="55" t="n">
        <f aca="false">SUM(G25:G35)</f>
        <v>25674</v>
      </c>
      <c r="H36" s="55" t="n">
        <f aca="false">SUM(H25:H35)</f>
        <v>28786</v>
      </c>
      <c r="I36" s="55" t="n">
        <f aca="false">SUM(I25:I35)</f>
        <v>47610</v>
      </c>
      <c r="J36" s="55" t="n">
        <f aca="false">SUM(J25:J35)</f>
        <v>52371</v>
      </c>
      <c r="K36" s="55" t="n">
        <f aca="false">SUM(K25:K35)</f>
        <v>58719</v>
      </c>
      <c r="L36" s="55" t="n">
        <f aca="false">SUM(L25:L35)</f>
        <v>108330</v>
      </c>
      <c r="M36" s="55" t="n">
        <f aca="false">SUM(M25:M35)</f>
        <v>119163</v>
      </c>
      <c r="N36" s="55" t="n">
        <f aca="false">SUM(N25:N35)</f>
        <v>133607</v>
      </c>
      <c r="O36" s="55" t="n">
        <f aca="false">SUM(O25:O35)</f>
        <v>152610</v>
      </c>
      <c r="P36" s="55" t="n">
        <f aca="false">SUM(P25:P35)</f>
        <v>167871</v>
      </c>
      <c r="Q36" s="55" t="n">
        <f aca="false">SUM(Q25:Q35)</f>
        <v>188219</v>
      </c>
      <c r="R36" s="55" t="n">
        <f aca="false">SUM(R25:R35)</f>
        <v>173772</v>
      </c>
      <c r="S36" s="55" t="n">
        <f aca="false">SUM(S25:S35)</f>
        <v>191149.2</v>
      </c>
      <c r="T36" s="55" t="n">
        <f aca="false">SUM(T25:T35)</f>
        <v>214318.8</v>
      </c>
      <c r="U36" s="55" t="n">
        <f aca="false">SUM(U25:U35)</f>
        <v>231804</v>
      </c>
      <c r="V36" s="55" t="n">
        <f aca="false">SUM(V25:V35)</f>
        <v>254984.4</v>
      </c>
      <c r="W36" s="55" t="n">
        <f aca="false">SUM(W25:W35)</f>
        <v>285891.6</v>
      </c>
      <c r="X36" s="55" t="n">
        <f aca="false">SUM(X25:X35)</f>
        <v>257556</v>
      </c>
      <c r="Y36" s="55" t="n">
        <f aca="false">SUM(Y25:Y35)</f>
        <v>283311.6</v>
      </c>
      <c r="Z36" s="55" t="n">
        <f aca="false">SUM(Z25:Z35)</f>
        <v>317652.4</v>
      </c>
      <c r="AA36" s="55" t="n">
        <f aca="false">SUM(AA25:AA35)</f>
        <v>366780</v>
      </c>
      <c r="AB36" s="55" t="n">
        <f aca="false">SUM(AB25:AB35)</f>
        <v>403458</v>
      </c>
      <c r="AC36" s="55" t="n">
        <f aca="false">SUM(AC25:AC35)</f>
        <v>452362</v>
      </c>
      <c r="AD36" s="55" t="n">
        <f aca="false">SUM(AD25:AD35)</f>
        <v>407016</v>
      </c>
      <c r="AE36" s="55" t="n">
        <f aca="false">SUM(AE25:AE35)</f>
        <v>447717.6</v>
      </c>
      <c r="AF36" s="55" t="n">
        <f aca="false">SUM(AF25:AF35)</f>
        <v>501986.4</v>
      </c>
      <c r="AG36" s="55" t="n">
        <f aca="false">SUM(AG25:AG35)</f>
        <v>470202</v>
      </c>
      <c r="AH36" s="55" t="n">
        <f aca="false">SUM(AH25:AH35)</f>
        <v>517222.2</v>
      </c>
      <c r="AI36" s="55" t="n">
        <f aca="false">SUM(AI25:AI35)</f>
        <v>579915.8</v>
      </c>
      <c r="AJ36" s="55" t="n">
        <f aca="false">SUM(AJ25:AJ35)</f>
        <v>523038</v>
      </c>
      <c r="AK36" s="55" t="n">
        <f aca="false">SUM(AK25:AK35)</f>
        <v>575341.8</v>
      </c>
      <c r="AL36" s="55" t="n">
        <f aca="false">SUM(AL25:AL35)</f>
        <v>645080.2</v>
      </c>
      <c r="AN36" s="52" t="n">
        <f aca="false">SUM(C36:N36)</f>
        <v>605100</v>
      </c>
      <c r="AO36" s="52" t="n">
        <f aca="false">SUM(O36:Z36)</f>
        <v>2719140</v>
      </c>
      <c r="AP36" s="52" t="n">
        <f aca="false">SUM(AA36:AL36)</f>
        <v>5890120</v>
      </c>
    </row>
    <row r="38" customFormat="false" ht="16.5" hidden="false" customHeight="true" outlineLevel="0" collapsed="false">
      <c r="A38" s="21" t="s">
        <v>521</v>
      </c>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row>
    <row r="39" customFormat="false" ht="15.75" hidden="false" customHeight="true" outlineLevel="0" collapsed="false">
      <c r="A39" s="36" t="s">
        <v>345</v>
      </c>
      <c r="B39" s="36" t="s">
        <v>346</v>
      </c>
      <c r="C39" s="47" t="s">
        <v>347</v>
      </c>
      <c r="D39" s="47" t="s">
        <v>348</v>
      </c>
      <c r="E39" s="47" t="s">
        <v>349</v>
      </c>
      <c r="F39" s="47" t="s">
        <v>350</v>
      </c>
      <c r="G39" s="47" t="s">
        <v>351</v>
      </c>
      <c r="H39" s="47" t="s">
        <v>352</v>
      </c>
      <c r="I39" s="47" t="s">
        <v>353</v>
      </c>
      <c r="J39" s="47" t="s">
        <v>354</v>
      </c>
      <c r="K39" s="47" t="s">
        <v>355</v>
      </c>
      <c r="L39" s="47" t="s">
        <v>356</v>
      </c>
      <c r="M39" s="47" t="s">
        <v>357</v>
      </c>
      <c r="N39" s="47" t="s">
        <v>358</v>
      </c>
      <c r="O39" s="48" t="s">
        <v>359</v>
      </c>
      <c r="P39" s="48" t="s">
        <v>360</v>
      </c>
      <c r="Q39" s="48" t="s">
        <v>361</v>
      </c>
      <c r="R39" s="48" t="s">
        <v>362</v>
      </c>
      <c r="S39" s="48" t="s">
        <v>363</v>
      </c>
      <c r="T39" s="48" t="s">
        <v>364</v>
      </c>
      <c r="U39" s="48" t="s">
        <v>365</v>
      </c>
      <c r="V39" s="48" t="s">
        <v>366</v>
      </c>
      <c r="W39" s="48" t="s">
        <v>367</v>
      </c>
      <c r="X39" s="48" t="s">
        <v>368</v>
      </c>
      <c r="Y39" s="48" t="s">
        <v>369</v>
      </c>
      <c r="Z39" s="48" t="s">
        <v>370</v>
      </c>
      <c r="AA39" s="47" t="s">
        <v>371</v>
      </c>
      <c r="AB39" s="47" t="s">
        <v>372</v>
      </c>
      <c r="AC39" s="47" t="s">
        <v>373</v>
      </c>
      <c r="AD39" s="47" t="s">
        <v>374</v>
      </c>
      <c r="AE39" s="47" t="s">
        <v>375</v>
      </c>
      <c r="AF39" s="47" t="s">
        <v>376</v>
      </c>
      <c r="AG39" s="47" t="s">
        <v>377</v>
      </c>
      <c r="AH39" s="47" t="s">
        <v>378</v>
      </c>
      <c r="AI39" s="47" t="s">
        <v>379</v>
      </c>
      <c r="AJ39" s="47" t="s">
        <v>380</v>
      </c>
      <c r="AK39" s="47" t="s">
        <v>381</v>
      </c>
      <c r="AL39" s="47" t="s">
        <v>382</v>
      </c>
      <c r="AM39" s="49"/>
      <c r="AN39" s="50" t="s">
        <v>383</v>
      </c>
      <c r="AO39" s="50" t="s">
        <v>384</v>
      </c>
      <c r="AP39" s="50" t="s">
        <v>385</v>
      </c>
    </row>
    <row r="40" customFormat="false" ht="15" hidden="false" customHeight="false" outlineLevel="0" collapsed="false">
      <c r="A40" s="26" t="s">
        <v>522</v>
      </c>
      <c r="B40" s="24" t="s">
        <v>523</v>
      </c>
      <c r="C40" s="74" t="n">
        <f aca="false">Acquisition!C$83</f>
        <v>12.2309359615385</v>
      </c>
      <c r="D40" s="74" t="n">
        <f aca="false">Acquisition!D$83</f>
        <v>12.2959047115385</v>
      </c>
      <c r="E40" s="74" t="n">
        <f aca="false">Acquisition!E$83</f>
        <v>12.3825297115385</v>
      </c>
      <c r="F40" s="74" t="n">
        <f aca="false">Acquisition!F$83</f>
        <v>16.8826984615385</v>
      </c>
      <c r="G40" s="74" t="n">
        <f aca="false">Acquisition!G$83</f>
        <v>17.4128434615385</v>
      </c>
      <c r="H40" s="74" t="n">
        <f aca="false">Acquisition!H$83</f>
        <v>18.1197034615385</v>
      </c>
      <c r="I40" s="74" t="n">
        <f aca="false">Acquisition!I$83</f>
        <v>18.7797859615385</v>
      </c>
      <c r="J40" s="74" t="n">
        <f aca="false">Acquisition!J$83</f>
        <v>19.4996397115385</v>
      </c>
      <c r="K40" s="74" t="n">
        <f aca="false">Acquisition!K$83</f>
        <v>20.4594447115385</v>
      </c>
      <c r="L40" s="74" t="n">
        <f aca="false">Acquisition!L$83</f>
        <v>34.6061734615385</v>
      </c>
      <c r="M40" s="74" t="n">
        <f aca="false">Acquisition!M$83</f>
        <v>36.9086659615385</v>
      </c>
      <c r="N40" s="74" t="n">
        <f aca="false">Acquisition!N$83</f>
        <v>39.9786559615385</v>
      </c>
      <c r="O40" s="74" t="n">
        <f aca="false">Acquisition!O$83</f>
        <v>76.0627347054945</v>
      </c>
      <c r="P40" s="74" t="n">
        <f aca="false">Acquisition!P$83</f>
        <v>80.0801424054945</v>
      </c>
      <c r="Q40" s="74" t="n">
        <f aca="false">Acquisition!Q$83</f>
        <v>85.4366860054945</v>
      </c>
      <c r="R40" s="74" t="n">
        <f aca="false">Acquisition!R$83</f>
        <v>84.4989507054945</v>
      </c>
      <c r="S40" s="74" t="n">
        <f aca="false">Acquisition!S$83</f>
        <v>89.3599800054945</v>
      </c>
      <c r="T40" s="74" t="n">
        <f aca="false">Acquisition!T$83</f>
        <v>95.8413524054945</v>
      </c>
      <c r="U40" s="74" t="n">
        <f aca="false">Acquisition!U$83</f>
        <v>105.623507705495</v>
      </c>
      <c r="V40" s="74" t="n">
        <f aca="false">Acquisition!V$83</f>
        <v>112.596992705495</v>
      </c>
      <c r="W40" s="74" t="n">
        <f aca="false">Acquisition!W$83</f>
        <v>121.894972705495</v>
      </c>
      <c r="X40" s="74" t="n">
        <f aca="false">Acquisition!X$83</f>
        <v>120.659021705495</v>
      </c>
      <c r="Y40" s="74" t="n">
        <f aca="false">Acquisition!Y$83</f>
        <v>129.136058105495</v>
      </c>
      <c r="Z40" s="74" t="n">
        <f aca="false">Acquisition!Z$83</f>
        <v>140.438773305495</v>
      </c>
      <c r="AA40" s="74" t="n">
        <f aca="false">Acquisition!AA$83</f>
        <v>240.315115686813</v>
      </c>
      <c r="AB40" s="74" t="n">
        <f aca="false">Acquisition!AB$83</f>
        <v>255.879036936813</v>
      </c>
      <c r="AC40" s="74" t="n">
        <f aca="false">Acquisition!AC$83</f>
        <v>276.630931936813</v>
      </c>
      <c r="AD40" s="74" t="n">
        <f aca="false">Acquisition!AD$83</f>
        <v>269.521915686813</v>
      </c>
      <c r="AE40" s="74" t="n">
        <f aca="false">Acquisition!AE$83</f>
        <v>288.006516936813</v>
      </c>
      <c r="AF40" s="74" t="n">
        <f aca="false">Acquisition!AF$83</f>
        <v>312.652651936813</v>
      </c>
      <c r="AG40" s="74" t="n">
        <f aca="false">Acquisition!AG$83</f>
        <v>305.030778186813</v>
      </c>
      <c r="AH40" s="74" t="n">
        <f aca="false">Acquisition!AH$83</f>
        <v>327.066265686813</v>
      </c>
      <c r="AI40" s="74" t="n">
        <f aca="false">Acquisition!AI$83</f>
        <v>356.446915686813</v>
      </c>
      <c r="AJ40" s="74" t="n">
        <f aca="false">Acquisition!AJ$83</f>
        <v>326.066628186813</v>
      </c>
      <c r="AK40" s="74" t="n">
        <f aca="false">Acquisition!AK$83</f>
        <v>350.205700686813</v>
      </c>
      <c r="AL40" s="74" t="n">
        <f aca="false">Acquisition!AL$83</f>
        <v>382.391130686813</v>
      </c>
      <c r="AN40" s="57" t="n">
        <f aca="false">SUM(C40:N40)</f>
        <v>259.556981538462</v>
      </c>
      <c r="AO40" s="57" t="n">
        <f aca="false">SUM(O40:Z40)</f>
        <v>1241.62917246593</v>
      </c>
      <c r="AP40" s="57" t="n">
        <f aca="false">SUM(AA40:AL40)</f>
        <v>3690.21358824176</v>
      </c>
    </row>
    <row r="41" customFormat="false" ht="15" hidden="false" customHeight="false" outlineLevel="0" collapsed="false">
      <c r="A41" s="26" t="s">
        <v>497</v>
      </c>
      <c r="B41" s="24" t="s">
        <v>523</v>
      </c>
      <c r="C41" s="74" t="n">
        <f aca="false">Acquisition!C$84</f>
        <v>12.2309359615385</v>
      </c>
      <c r="D41" s="74" t="n">
        <f aca="false">Acquisition!D$84</f>
        <v>23.9764485548077</v>
      </c>
      <c r="E41" s="74" t="n">
        <f aca="false">Acquisition!E$84</f>
        <v>35.2800380813798</v>
      </c>
      <c r="F41" s="74" t="n">
        <f aca="false">Acquisition!F$84</f>
        <v>50.5751348292562</v>
      </c>
      <c r="G41" s="74" t="n">
        <f aca="false">Acquisition!G$84</f>
        <v>65.7120972234781</v>
      </c>
      <c r="H41" s="74" t="n">
        <f aca="false">Acquisition!H$84</f>
        <v>80.87475630996</v>
      </c>
      <c r="I41" s="74" t="n">
        <f aca="false">Acquisition!I$84</f>
        <v>96.0151782375503</v>
      </c>
      <c r="J41" s="74" t="n">
        <f aca="false">Acquisition!J$84</f>
        <v>111.194134928399</v>
      </c>
      <c r="K41" s="74" t="n">
        <f aca="false">Acquisition!K$84</f>
        <v>126.649843568159</v>
      </c>
      <c r="L41" s="74" t="n">
        <f aca="false">Acquisition!L$84</f>
        <v>155.556774069131</v>
      </c>
      <c r="M41" s="74" t="n">
        <f aca="false">Acquisition!M$84</f>
        <v>185.465385197558</v>
      </c>
      <c r="N41" s="74" t="n">
        <f aca="false">Acquisition!N$84</f>
        <v>217.098098825207</v>
      </c>
      <c r="O41" s="74" t="n">
        <f aca="false">Acquisition!O$84</f>
        <v>283.391419083567</v>
      </c>
      <c r="P41" s="74" t="n">
        <f aca="false">Acquisition!P$84</f>
        <v>350.718947630301</v>
      </c>
      <c r="Q41" s="74" t="n">
        <f aca="false">Acquisition!Q$84</f>
        <v>420.373280992432</v>
      </c>
      <c r="R41" s="74" t="n">
        <f aca="false">Acquisition!R$84</f>
        <v>485.955434053267</v>
      </c>
      <c r="S41" s="74" t="n">
        <f aca="false">Acquisition!S$84</f>
        <v>553.447419526365</v>
      </c>
      <c r="T41" s="74" t="n">
        <f aca="false">Acquisition!T$84</f>
        <v>624.383638053173</v>
      </c>
      <c r="U41" s="74" t="n">
        <f aca="false">Acquisition!U$84</f>
        <v>701.909882046274</v>
      </c>
      <c r="V41" s="74" t="n">
        <f aca="false">Acquisition!V$84</f>
        <v>782.920930059686</v>
      </c>
      <c r="W41" s="74" t="n">
        <f aca="false">Acquisition!W$84</f>
        <v>869.584460912495</v>
      </c>
      <c r="X41" s="74" t="n">
        <f aca="false">Acquisition!X$84</f>
        <v>951.112181876927</v>
      </c>
      <c r="Y41" s="74" t="n">
        <f aca="false">Acquisition!Y$84</f>
        <v>1037.44819179796</v>
      </c>
      <c r="Z41" s="74" t="n">
        <f aca="false">Acquisition!Z$84</f>
        <v>1131.20179647255</v>
      </c>
      <c r="AA41" s="74" t="n">
        <f aca="false">Acquisition!AA$84</f>
        <v>1320.61283131809</v>
      </c>
      <c r="AB41" s="74" t="n">
        <f aca="false">Acquisition!AB$84</f>
        <v>1517.06429084559</v>
      </c>
      <c r="AC41" s="74" t="n">
        <f aca="false">Acquisition!AC$84</f>
        <v>1725.42732969436</v>
      </c>
      <c r="AD41" s="74" t="n">
        <f aca="false">Acquisition!AD$84</f>
        <v>1917.30501554492</v>
      </c>
      <c r="AE41" s="74" t="n">
        <f aca="false">Acquisition!AE$84</f>
        <v>2119.03280678221</v>
      </c>
      <c r="AF41" s="74" t="n">
        <f aca="false">Acquisition!AF$84</f>
        <v>2336.32898241383</v>
      </c>
      <c r="AG41" s="74" t="n">
        <f aca="false">Acquisition!AG$84</f>
        <v>2536.22495639202</v>
      </c>
      <c r="AH41" s="74" t="n">
        <f aca="false">Acquisition!AH$84</f>
        <v>2749.16109904119</v>
      </c>
      <c r="AI41" s="74" t="n">
        <f aca="false">Acquisition!AI$84</f>
        <v>2981.89576527115</v>
      </c>
      <c r="AJ41" s="74" t="n">
        <f aca="false">Acquisition!AJ$84</f>
        <v>3173.77708402076</v>
      </c>
      <c r="AK41" s="74" t="n">
        <f aca="false">Acquisition!AK$84</f>
        <v>3381.16281592664</v>
      </c>
      <c r="AL41" s="74" t="n">
        <f aca="false">Acquisition!AL$84</f>
        <v>3611.40161989675</v>
      </c>
      <c r="AN41" s="57" t="n">
        <f aca="false">N41</f>
        <v>217.098098825207</v>
      </c>
      <c r="AO41" s="57" t="n">
        <f aca="false">Z41</f>
        <v>1131.20179647255</v>
      </c>
      <c r="AP41" s="57" t="n">
        <f aca="false">AL41</f>
        <v>3611.40161989675</v>
      </c>
    </row>
    <row r="42" customFormat="false" ht="15" hidden="false" customHeight="false" outlineLevel="0" collapsed="false">
      <c r="A42" s="26" t="s">
        <v>524</v>
      </c>
      <c r="B42" s="24" t="s">
        <v>525</v>
      </c>
      <c r="C42" s="51" t="n">
        <f aca="false">Assumptions!$C$45*(1-Assumptions!$C$47)+Assumptions!$C$46*Assumptions!$C$47</f>
        <v>89</v>
      </c>
      <c r="D42" s="51" t="n">
        <f aca="false">Assumptions!$C$45*(1-Assumptions!$C$47)+Assumptions!$C$46*Assumptions!$C$47</f>
        <v>89</v>
      </c>
      <c r="E42" s="51" t="n">
        <f aca="false">Assumptions!$C$45*(1-Assumptions!$C$47)+Assumptions!$C$46*Assumptions!$C$47</f>
        <v>89</v>
      </c>
      <c r="F42" s="51" t="n">
        <f aca="false">Assumptions!$C$45*(1-Assumptions!$C$47)+Assumptions!$C$46*Assumptions!$C$47</f>
        <v>89</v>
      </c>
      <c r="G42" s="51" t="n">
        <f aca="false">Assumptions!$C$45*(1-Assumptions!$C$47)+Assumptions!$C$46*Assumptions!$C$47</f>
        <v>89</v>
      </c>
      <c r="H42" s="51" t="n">
        <f aca="false">Assumptions!$C$45*(1-Assumptions!$C$47)+Assumptions!$C$46*Assumptions!$C$47</f>
        <v>89</v>
      </c>
      <c r="I42" s="51" t="n">
        <f aca="false">Assumptions!$C$45*(1-Assumptions!$C$47)+Assumptions!$C$46*Assumptions!$C$47</f>
        <v>89</v>
      </c>
      <c r="J42" s="51" t="n">
        <f aca="false">Assumptions!$C$45*(1-Assumptions!$C$47)+Assumptions!$C$46*Assumptions!$C$47</f>
        <v>89</v>
      </c>
      <c r="K42" s="51" t="n">
        <f aca="false">Assumptions!$C$45*(1-Assumptions!$C$47)+Assumptions!$C$46*Assumptions!$C$47</f>
        <v>89</v>
      </c>
      <c r="L42" s="51" t="n">
        <f aca="false">Assumptions!$C$45*(1-Assumptions!$C$47)+Assumptions!$C$46*Assumptions!$C$47</f>
        <v>89</v>
      </c>
      <c r="M42" s="51" t="n">
        <f aca="false">Assumptions!$C$45*(1-Assumptions!$C$47)+Assumptions!$C$46*Assumptions!$C$47</f>
        <v>89</v>
      </c>
      <c r="N42" s="51" t="n">
        <f aca="false">Assumptions!$C$45*(1-Assumptions!$C$47)+Assumptions!$C$46*Assumptions!$C$47</f>
        <v>89</v>
      </c>
      <c r="O42" s="51" t="n">
        <f aca="false">Assumptions!$C$45*(1-Assumptions!$C$47)+Assumptions!$C$46*Assumptions!$C$47</f>
        <v>89</v>
      </c>
      <c r="P42" s="51" t="n">
        <f aca="false">Assumptions!$C$45*(1-Assumptions!$C$47)+Assumptions!$C$46*Assumptions!$C$47</f>
        <v>89</v>
      </c>
      <c r="Q42" s="51" t="n">
        <f aca="false">Assumptions!$C$45*(1-Assumptions!$C$47)+Assumptions!$C$46*Assumptions!$C$47</f>
        <v>89</v>
      </c>
      <c r="R42" s="51" t="n">
        <f aca="false">Assumptions!$C$45*(1-Assumptions!$C$47)+Assumptions!$C$46*Assumptions!$C$47</f>
        <v>89</v>
      </c>
      <c r="S42" s="51" t="n">
        <f aca="false">Assumptions!$C$45*(1-Assumptions!$C$47)+Assumptions!$C$46*Assumptions!$C$47</f>
        <v>89</v>
      </c>
      <c r="T42" s="51" t="n">
        <f aca="false">Assumptions!$C$45*(1-Assumptions!$C$47)+Assumptions!$C$46*Assumptions!$C$47</f>
        <v>89</v>
      </c>
      <c r="U42" s="51" t="n">
        <f aca="false">Assumptions!$C$45*(1-Assumptions!$C$47)+Assumptions!$C$46*Assumptions!$C$47</f>
        <v>89</v>
      </c>
      <c r="V42" s="51" t="n">
        <f aca="false">Assumptions!$C$45*(1-Assumptions!$C$47)+Assumptions!$C$46*Assumptions!$C$47</f>
        <v>89</v>
      </c>
      <c r="W42" s="51" t="n">
        <f aca="false">Assumptions!$C$45*(1-Assumptions!$C$47)+Assumptions!$C$46*Assumptions!$C$47</f>
        <v>89</v>
      </c>
      <c r="X42" s="51" t="n">
        <f aca="false">Assumptions!$C$45*(1-Assumptions!$C$47)+Assumptions!$C$46*Assumptions!$C$47</f>
        <v>89</v>
      </c>
      <c r="Y42" s="51" t="n">
        <f aca="false">Assumptions!$C$45*(1-Assumptions!$C$47)+Assumptions!$C$46*Assumptions!$C$47</f>
        <v>89</v>
      </c>
      <c r="Z42" s="51" t="n">
        <f aca="false">Assumptions!$C$45*(1-Assumptions!$C$47)+Assumptions!$C$46*Assumptions!$C$47</f>
        <v>89</v>
      </c>
      <c r="AA42" s="51" t="n">
        <f aca="false">Assumptions!$C$45*(1-Assumptions!$C$47)+Assumptions!$C$46*Assumptions!$C$47</f>
        <v>89</v>
      </c>
      <c r="AB42" s="51" t="n">
        <f aca="false">Assumptions!$C$45*(1-Assumptions!$C$47)+Assumptions!$C$46*Assumptions!$C$47</f>
        <v>89</v>
      </c>
      <c r="AC42" s="51" t="n">
        <f aca="false">Assumptions!$C$45*(1-Assumptions!$C$47)+Assumptions!$C$46*Assumptions!$C$47</f>
        <v>89</v>
      </c>
      <c r="AD42" s="51" t="n">
        <f aca="false">Assumptions!$C$45*(1-Assumptions!$C$47)+Assumptions!$C$46*Assumptions!$C$47</f>
        <v>89</v>
      </c>
      <c r="AE42" s="51" t="n">
        <f aca="false">Assumptions!$C$45*(1-Assumptions!$C$47)+Assumptions!$C$46*Assumptions!$C$47</f>
        <v>89</v>
      </c>
      <c r="AF42" s="51" t="n">
        <f aca="false">Assumptions!$C$45*(1-Assumptions!$C$47)+Assumptions!$C$46*Assumptions!$C$47</f>
        <v>89</v>
      </c>
      <c r="AG42" s="51" t="n">
        <f aca="false">Assumptions!$C$45*(1-Assumptions!$C$47)+Assumptions!$C$46*Assumptions!$C$47</f>
        <v>89</v>
      </c>
      <c r="AH42" s="51" t="n">
        <f aca="false">Assumptions!$C$45*(1-Assumptions!$C$47)+Assumptions!$C$46*Assumptions!$C$47</f>
        <v>89</v>
      </c>
      <c r="AI42" s="51" t="n">
        <f aca="false">Assumptions!$C$45*(1-Assumptions!$C$47)+Assumptions!$C$46*Assumptions!$C$47</f>
        <v>89</v>
      </c>
      <c r="AJ42" s="51" t="n">
        <f aca="false">Assumptions!$C$45*(1-Assumptions!$C$47)+Assumptions!$C$46*Assumptions!$C$47</f>
        <v>89</v>
      </c>
      <c r="AK42" s="51" t="n">
        <f aca="false">Assumptions!$C$45*(1-Assumptions!$C$47)+Assumptions!$C$46*Assumptions!$C$47</f>
        <v>89</v>
      </c>
      <c r="AL42" s="51" t="n">
        <f aca="false">Assumptions!$C$45*(1-Assumptions!$C$47)+Assumptions!$C$46*Assumptions!$C$47</f>
        <v>89</v>
      </c>
      <c r="AN42" s="52" t="n">
        <f aca="false">IFERROR(AVERAGE(C42:N42),0)</f>
        <v>89</v>
      </c>
      <c r="AO42" s="52" t="n">
        <f aca="false">IFERROR(AVERAGE(O42:Z42),0)</f>
        <v>89</v>
      </c>
      <c r="AP42" s="52" t="n">
        <f aca="false">IFERROR(AVERAGE(AA42:AL42),0)</f>
        <v>89</v>
      </c>
    </row>
    <row r="43" customFormat="false" ht="15" hidden="false" customHeight="false" outlineLevel="0" collapsed="false">
      <c r="A43" s="26" t="s">
        <v>526</v>
      </c>
      <c r="B43" s="24" t="s">
        <v>527</v>
      </c>
      <c r="C43" s="51" t="n">
        <f aca="false">C40*C42</f>
        <v>1088.55330057692</v>
      </c>
      <c r="D43" s="51" t="n">
        <f aca="false">D40*D42</f>
        <v>1094.33551932692</v>
      </c>
      <c r="E43" s="51" t="n">
        <f aca="false">E40*E42</f>
        <v>1102.04514432692</v>
      </c>
      <c r="F43" s="51" t="n">
        <f aca="false">F40*F42</f>
        <v>1502.56016307692</v>
      </c>
      <c r="G43" s="51" t="n">
        <f aca="false">G40*G42</f>
        <v>1549.74306807692</v>
      </c>
      <c r="H43" s="51" t="n">
        <f aca="false">H40*H42</f>
        <v>1612.65360807692</v>
      </c>
      <c r="I43" s="51" t="n">
        <f aca="false">I40*I42</f>
        <v>1671.40095057692</v>
      </c>
      <c r="J43" s="51" t="n">
        <f aca="false">J40*J42</f>
        <v>1735.46793432692</v>
      </c>
      <c r="K43" s="51" t="n">
        <f aca="false">K40*K42</f>
        <v>1820.89057932692</v>
      </c>
      <c r="L43" s="51" t="n">
        <f aca="false">L40*L42</f>
        <v>3079.94943807692</v>
      </c>
      <c r="M43" s="51" t="n">
        <f aca="false">M40*M42</f>
        <v>3284.87127057692</v>
      </c>
      <c r="N43" s="51" t="n">
        <f aca="false">N40*N42</f>
        <v>3558.10038057692</v>
      </c>
      <c r="O43" s="51" t="n">
        <f aca="false">O40*O42</f>
        <v>6769.58338878901</v>
      </c>
      <c r="P43" s="51" t="n">
        <f aca="false">P40*P42</f>
        <v>7127.13267408901</v>
      </c>
      <c r="Q43" s="51" t="n">
        <f aca="false">Q40*Q42</f>
        <v>7603.86505448901</v>
      </c>
      <c r="R43" s="51" t="n">
        <f aca="false">R40*R42</f>
        <v>7520.40661278901</v>
      </c>
      <c r="S43" s="51" t="n">
        <f aca="false">S40*S42</f>
        <v>7953.03822048901</v>
      </c>
      <c r="T43" s="51" t="n">
        <f aca="false">T40*T42</f>
        <v>8529.88036408901</v>
      </c>
      <c r="U43" s="51" t="n">
        <f aca="false">U40*U42</f>
        <v>9400.49218578901</v>
      </c>
      <c r="V43" s="51" t="n">
        <f aca="false">V40*V42</f>
        <v>10021.132350789</v>
      </c>
      <c r="W43" s="51" t="n">
        <f aca="false">W40*W42</f>
        <v>10848.652570789</v>
      </c>
      <c r="X43" s="51" t="n">
        <f aca="false">X40*X42</f>
        <v>10738.652931789</v>
      </c>
      <c r="Y43" s="51" t="n">
        <f aca="false">Y40*Y42</f>
        <v>11493.109171389</v>
      </c>
      <c r="Z43" s="51" t="n">
        <f aca="false">Z40*Z42</f>
        <v>12499.050824189</v>
      </c>
      <c r="AA43" s="51" t="n">
        <f aca="false">AA40*AA42</f>
        <v>21388.0452961264</v>
      </c>
      <c r="AB43" s="51" t="n">
        <f aca="false">AB40*AB42</f>
        <v>22773.2342873764</v>
      </c>
      <c r="AC43" s="51" t="n">
        <f aca="false">AC40*AC42</f>
        <v>24620.1529423764</v>
      </c>
      <c r="AD43" s="51" t="n">
        <f aca="false">AD40*AD42</f>
        <v>23987.4504961264</v>
      </c>
      <c r="AE43" s="51" t="n">
        <f aca="false">AE40*AE42</f>
        <v>25632.5800073764</v>
      </c>
      <c r="AF43" s="51" t="n">
        <f aca="false">AF40*AF42</f>
        <v>27826.0860223764</v>
      </c>
      <c r="AG43" s="51" t="n">
        <f aca="false">AG40*AG42</f>
        <v>27147.7392586264</v>
      </c>
      <c r="AH43" s="51" t="n">
        <f aca="false">AH40*AH42</f>
        <v>29108.8976461264</v>
      </c>
      <c r="AI43" s="51" t="n">
        <f aca="false">AI40*AI42</f>
        <v>31723.7754961264</v>
      </c>
      <c r="AJ43" s="51" t="n">
        <f aca="false">AJ40*AJ42</f>
        <v>29019.9299086264</v>
      </c>
      <c r="AK43" s="51" t="n">
        <f aca="false">AK40*AK42</f>
        <v>31168.3073611264</v>
      </c>
      <c r="AL43" s="51" t="n">
        <f aca="false">AL40*AL42</f>
        <v>34032.8106311264</v>
      </c>
      <c r="AN43" s="52" t="n">
        <f aca="false">SUM(C43:N43)</f>
        <v>23100.5713569231</v>
      </c>
      <c r="AO43" s="52" t="n">
        <f aca="false">SUM(O43:Z43)</f>
        <v>110504.996349468</v>
      </c>
      <c r="AP43" s="52" t="n">
        <f aca="false">SUM(AA43:AL43)</f>
        <v>328429.009353517</v>
      </c>
    </row>
    <row r="44" customFormat="false" ht="15" hidden="false" customHeight="false" outlineLevel="0" collapsed="false">
      <c r="A44" s="26" t="s">
        <v>528</v>
      </c>
      <c r="B44" s="24" t="s">
        <v>529</v>
      </c>
      <c r="C44" s="51" t="n">
        <f aca="false">SUM(C43:C43)/12</f>
        <v>90.7127750480769</v>
      </c>
      <c r="D44" s="51" t="n">
        <f aca="false">SUM(C43:D43)/12</f>
        <v>181.907401658654</v>
      </c>
      <c r="E44" s="51" t="n">
        <f aca="false">SUM(C43:E43)/12</f>
        <v>273.744497019231</v>
      </c>
      <c r="F44" s="51" t="n">
        <f aca="false">SUM(C43:F43)/12</f>
        <v>398.957843942308</v>
      </c>
      <c r="G44" s="51" t="n">
        <f aca="false">SUM(C43:G43)/12</f>
        <v>528.103099615385</v>
      </c>
      <c r="H44" s="51" t="n">
        <f aca="false">SUM(C43:H43)/12</f>
        <v>662.490900288462</v>
      </c>
      <c r="I44" s="51" t="n">
        <f aca="false">SUM(C43:I43)/12</f>
        <v>801.774312836538</v>
      </c>
      <c r="J44" s="51" t="n">
        <f aca="false">SUM(C43:J43)/12</f>
        <v>946.396640697115</v>
      </c>
      <c r="K44" s="51" t="n">
        <f aca="false">SUM(C43:K43)/12</f>
        <v>1098.13752230769</v>
      </c>
      <c r="L44" s="51" t="n">
        <f aca="false">SUM(C43:L43)/12</f>
        <v>1354.79997548077</v>
      </c>
      <c r="M44" s="51" t="n">
        <f aca="false">SUM(C43:M43)/12</f>
        <v>1628.53924802885</v>
      </c>
      <c r="N44" s="51" t="n">
        <f aca="false">SUM(C43:N43)/12</f>
        <v>1925.04761307692</v>
      </c>
      <c r="O44" s="51" t="n">
        <f aca="false">SUM(D43:O43)/12</f>
        <v>2398.4667870946</v>
      </c>
      <c r="P44" s="51" t="n">
        <f aca="false">SUM(E43:P43)/12</f>
        <v>2901.19988332477</v>
      </c>
      <c r="Q44" s="51" t="n">
        <f aca="false">SUM(F43:Q43)/12</f>
        <v>3443.01820917161</v>
      </c>
      <c r="R44" s="51" t="n">
        <f aca="false">SUM(G43:R43)/12</f>
        <v>3944.50541331429</v>
      </c>
      <c r="S44" s="51" t="n">
        <f aca="false">SUM(H43:S43)/12</f>
        <v>4478.11334268196</v>
      </c>
      <c r="T44" s="51" t="n">
        <f aca="false">SUM(I43:T43)/12</f>
        <v>5054.54890568297</v>
      </c>
      <c r="U44" s="51" t="n">
        <f aca="false">SUM(J43:U43)/12</f>
        <v>5698.63984195064</v>
      </c>
      <c r="V44" s="51" t="n">
        <f aca="false">SUM(K43:V43)/12</f>
        <v>6389.11187665582</v>
      </c>
      <c r="W44" s="51" t="n">
        <f aca="false">SUM(L43:W43)/12</f>
        <v>7141.42537594432</v>
      </c>
      <c r="X44" s="51" t="n">
        <f aca="false">SUM(M43:X43)/12</f>
        <v>7779.650667087</v>
      </c>
      <c r="Y44" s="51" t="n">
        <f aca="false">SUM(N43:Y43)/12</f>
        <v>8463.67049215467</v>
      </c>
      <c r="Z44" s="51" t="n">
        <f aca="false">SUM(O43:Z43)/12</f>
        <v>9208.74969578901</v>
      </c>
      <c r="AA44" s="51" t="n">
        <f aca="false">SUM(P43:AA43)/12</f>
        <v>10426.9548547338</v>
      </c>
      <c r="AB44" s="51" t="n">
        <f aca="false">SUM(Q43:AB43)/12</f>
        <v>11730.7966558411</v>
      </c>
      <c r="AC44" s="51" t="n">
        <f aca="false">SUM(R43:AC43)/12</f>
        <v>13148.8206464984</v>
      </c>
      <c r="AD44" s="51" t="n">
        <f aca="false">SUM(S43:AD43)/12</f>
        <v>14521.0743034431</v>
      </c>
      <c r="AE44" s="51" t="n">
        <f aca="false">SUM(T43:AE43)/12</f>
        <v>15994.3694523504</v>
      </c>
      <c r="AF44" s="51" t="n">
        <f aca="false">SUM(U43:AF43)/12</f>
        <v>17602.386590541</v>
      </c>
      <c r="AG44" s="51" t="n">
        <f aca="false">SUM(V43:AG43)/12</f>
        <v>19081.3238466108</v>
      </c>
      <c r="AH44" s="51" t="n">
        <f aca="false">SUM(W43:AH43)/12</f>
        <v>20671.9709545556</v>
      </c>
      <c r="AI44" s="51" t="n">
        <f aca="false">SUM(X43:AI43)/12</f>
        <v>22411.564531667</v>
      </c>
      <c r="AJ44" s="51" t="n">
        <f aca="false">SUM(Y43:AJ43)/12</f>
        <v>23935.0042797368</v>
      </c>
      <c r="AK44" s="51" t="n">
        <f aca="false">SUM(Z43:AK43)/12</f>
        <v>25574.6041288816</v>
      </c>
      <c r="AL44" s="51" t="n">
        <f aca="false">SUM(AA43:AL43)/12</f>
        <v>27369.084112793</v>
      </c>
      <c r="AN44" s="52" t="n">
        <f aca="false">SUM(C44:N44)</f>
        <v>9890.61183</v>
      </c>
      <c r="AO44" s="52" t="n">
        <f aca="false">SUM(O44:Z44)</f>
        <v>66901.1004908517</v>
      </c>
      <c r="AP44" s="52" t="n">
        <f aca="false">SUM(AA44:AL44)</f>
        <v>222467.954357653</v>
      </c>
    </row>
    <row r="45" customFormat="false" ht="15" hidden="false" customHeight="false" outlineLevel="0" collapsed="false">
      <c r="A45" s="26" t="s">
        <v>530</v>
      </c>
      <c r="B45" s="24" t="s">
        <v>531</v>
      </c>
      <c r="C45" s="51" t="n">
        <f aca="false">C43-C44</f>
        <v>997.840525528846</v>
      </c>
      <c r="D45" s="51" t="n">
        <f aca="false">C45+D43-D44</f>
        <v>1910.26864319712</v>
      </c>
      <c r="E45" s="51" t="n">
        <f aca="false">D45+E43-E44</f>
        <v>2738.56929050481</v>
      </c>
      <c r="F45" s="51" t="n">
        <f aca="false">E45+F43-F44</f>
        <v>3842.17160963942</v>
      </c>
      <c r="G45" s="51" t="n">
        <f aca="false">F45+G43-G44</f>
        <v>4863.81157810096</v>
      </c>
      <c r="H45" s="51" t="n">
        <f aca="false">G45+H43-H44</f>
        <v>5813.97428588942</v>
      </c>
      <c r="I45" s="51" t="n">
        <f aca="false">H45+I43-I44</f>
        <v>6683.60092362981</v>
      </c>
      <c r="J45" s="51" t="n">
        <f aca="false">I45+J43-J44</f>
        <v>7472.67221725962</v>
      </c>
      <c r="K45" s="51" t="n">
        <f aca="false">J45+K43-K44</f>
        <v>8195.42527427885</v>
      </c>
      <c r="L45" s="51" t="n">
        <f aca="false">K45+L43-L44</f>
        <v>9920.574736875</v>
      </c>
      <c r="M45" s="51" t="n">
        <f aca="false">L45+M43-M44</f>
        <v>11576.9067594231</v>
      </c>
      <c r="N45" s="51" t="n">
        <f aca="false">M45+N43-N44</f>
        <v>13209.9595269231</v>
      </c>
      <c r="O45" s="51" t="n">
        <f aca="false">N45+O43-O44</f>
        <v>17581.0761286175</v>
      </c>
      <c r="P45" s="51" t="n">
        <f aca="false">O45+P43-P44</f>
        <v>21807.0089193817</v>
      </c>
      <c r="Q45" s="51" t="n">
        <f aca="false">P45+Q43-Q44</f>
        <v>25967.8557646991</v>
      </c>
      <c r="R45" s="51" t="n">
        <f aca="false">Q45+R43-R44</f>
        <v>29543.7569641739</v>
      </c>
      <c r="S45" s="51" t="n">
        <f aca="false">R45+S43-S44</f>
        <v>33018.6818419809</v>
      </c>
      <c r="T45" s="51" t="n">
        <f aca="false">S45+T43-T44</f>
        <v>36494.013300387</v>
      </c>
      <c r="U45" s="51" t="n">
        <f aca="false">T45+U43-U44</f>
        <v>40195.8656442253</v>
      </c>
      <c r="V45" s="51" t="n">
        <f aca="false">U45+V43-V44</f>
        <v>43827.8861183585</v>
      </c>
      <c r="W45" s="51" t="n">
        <f aca="false">V45+W43-W44</f>
        <v>47535.1133132032</v>
      </c>
      <c r="X45" s="51" t="n">
        <f aca="false">W45+X43-X44</f>
        <v>50494.1155779052</v>
      </c>
      <c r="Y45" s="51" t="n">
        <f aca="false">X45+Y43-Y44</f>
        <v>53523.5542571396</v>
      </c>
      <c r="Z45" s="51" t="n">
        <f aca="false">Y45+Z43-Z44</f>
        <v>56813.8553855396</v>
      </c>
      <c r="AA45" s="51" t="n">
        <f aca="false">Z45+AA43-AA44</f>
        <v>67774.9458269321</v>
      </c>
      <c r="AB45" s="51" t="n">
        <f aca="false">AA45+AB43-AB44</f>
        <v>78817.3834584674</v>
      </c>
      <c r="AC45" s="51" t="n">
        <f aca="false">AB45+AC43-AC44</f>
        <v>90288.7157543455</v>
      </c>
      <c r="AD45" s="51" t="n">
        <f aca="false">AC45+AD43-AD44</f>
        <v>99755.0919470287</v>
      </c>
      <c r="AE45" s="51" t="n">
        <f aca="false">AD45+AE43-AE44</f>
        <v>109393.302502055</v>
      </c>
      <c r="AF45" s="51" t="n">
        <f aca="false">AE45+AF43-AF44</f>
        <v>119617.00193389</v>
      </c>
      <c r="AG45" s="51" t="n">
        <f aca="false">AF45+AG43-AG44</f>
        <v>127683.417345906</v>
      </c>
      <c r="AH45" s="51" t="n">
        <f aca="false">AG45+AH43-AH44</f>
        <v>136120.344037476</v>
      </c>
      <c r="AI45" s="51" t="n">
        <f aca="false">AH45+AI43-AI44</f>
        <v>145432.555001936</v>
      </c>
      <c r="AJ45" s="51" t="n">
        <f aca="false">AI45+AJ43-AJ44</f>
        <v>150517.480630825</v>
      </c>
      <c r="AK45" s="51" t="n">
        <f aca="false">AJ45+AK43-AK44</f>
        <v>156111.18386307</v>
      </c>
      <c r="AL45" s="51" t="n">
        <f aca="false">AK45+AL43-AL44</f>
        <v>162774.910381403</v>
      </c>
      <c r="AN45" s="52" t="n">
        <f aca="false">N45</f>
        <v>13209.9595269231</v>
      </c>
      <c r="AO45" s="52" t="n">
        <f aca="false">Z45</f>
        <v>56813.8553855396</v>
      </c>
      <c r="AP45" s="52" t="n">
        <f aca="false">AL45</f>
        <v>162774.910381403</v>
      </c>
    </row>
    <row r="47" customFormat="false" ht="16.5" hidden="false" customHeight="true" outlineLevel="0" collapsed="false">
      <c r="A47" s="21" t="s">
        <v>532</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row>
    <row r="48" customFormat="false" ht="15.75" hidden="false" customHeight="true" outlineLevel="0" collapsed="false">
      <c r="A48" s="36" t="s">
        <v>345</v>
      </c>
      <c r="B48" s="36" t="s">
        <v>346</v>
      </c>
      <c r="C48" s="47" t="s">
        <v>347</v>
      </c>
      <c r="D48" s="47" t="s">
        <v>348</v>
      </c>
      <c r="E48" s="47" t="s">
        <v>349</v>
      </c>
      <c r="F48" s="47" t="s">
        <v>350</v>
      </c>
      <c r="G48" s="47" t="s">
        <v>351</v>
      </c>
      <c r="H48" s="47" t="s">
        <v>352</v>
      </c>
      <c r="I48" s="47" t="s">
        <v>353</v>
      </c>
      <c r="J48" s="47" t="s">
        <v>354</v>
      </c>
      <c r="K48" s="47" t="s">
        <v>355</v>
      </c>
      <c r="L48" s="47" t="s">
        <v>356</v>
      </c>
      <c r="M48" s="47" t="s">
        <v>357</v>
      </c>
      <c r="N48" s="47" t="s">
        <v>358</v>
      </c>
      <c r="O48" s="48" t="s">
        <v>359</v>
      </c>
      <c r="P48" s="48" t="s">
        <v>360</v>
      </c>
      <c r="Q48" s="48" t="s">
        <v>361</v>
      </c>
      <c r="R48" s="48" t="s">
        <v>362</v>
      </c>
      <c r="S48" s="48" t="s">
        <v>363</v>
      </c>
      <c r="T48" s="48" t="s">
        <v>364</v>
      </c>
      <c r="U48" s="48" t="s">
        <v>365</v>
      </c>
      <c r="V48" s="48" t="s">
        <v>366</v>
      </c>
      <c r="W48" s="48" t="s">
        <v>367</v>
      </c>
      <c r="X48" s="48" t="s">
        <v>368</v>
      </c>
      <c r="Y48" s="48" t="s">
        <v>369</v>
      </c>
      <c r="Z48" s="48" t="s">
        <v>370</v>
      </c>
      <c r="AA48" s="47" t="s">
        <v>371</v>
      </c>
      <c r="AB48" s="47" t="s">
        <v>372</v>
      </c>
      <c r="AC48" s="47" t="s">
        <v>373</v>
      </c>
      <c r="AD48" s="47" t="s">
        <v>374</v>
      </c>
      <c r="AE48" s="47" t="s">
        <v>375</v>
      </c>
      <c r="AF48" s="47" t="s">
        <v>376</v>
      </c>
      <c r="AG48" s="47" t="s">
        <v>377</v>
      </c>
      <c r="AH48" s="47" t="s">
        <v>378</v>
      </c>
      <c r="AI48" s="47" t="s">
        <v>379</v>
      </c>
      <c r="AJ48" s="47" t="s">
        <v>380</v>
      </c>
      <c r="AK48" s="47" t="s">
        <v>381</v>
      </c>
      <c r="AL48" s="47" t="s">
        <v>382</v>
      </c>
      <c r="AM48" s="49"/>
      <c r="AN48" s="50" t="s">
        <v>383</v>
      </c>
      <c r="AO48" s="50" t="s">
        <v>384</v>
      </c>
      <c r="AP48" s="50" t="s">
        <v>385</v>
      </c>
    </row>
    <row r="49" customFormat="false" ht="15" hidden="false" customHeight="false" outlineLevel="0" collapsed="false">
      <c r="A49" s="13" t="s">
        <v>64</v>
      </c>
      <c r="B49" s="69"/>
      <c r="C49" s="70" t="n">
        <f aca="false">C36+C44</f>
        <v>2340.71277504808</v>
      </c>
      <c r="D49" s="70" t="n">
        <f aca="false">D36+D44</f>
        <v>2656.90740165865</v>
      </c>
      <c r="E49" s="70" t="n">
        <f aca="false">E36+E44</f>
        <v>3048.74449701923</v>
      </c>
      <c r="F49" s="70" t="n">
        <f aca="false">F36+F44</f>
        <v>23738.9578439423</v>
      </c>
      <c r="G49" s="70" t="n">
        <f aca="false">G36+G44</f>
        <v>26202.1030996154</v>
      </c>
      <c r="H49" s="70" t="n">
        <f aca="false">H36+H44</f>
        <v>29448.4909002885</v>
      </c>
      <c r="I49" s="70" t="n">
        <f aca="false">I36+I44</f>
        <v>48411.7743128365</v>
      </c>
      <c r="J49" s="70" t="n">
        <f aca="false">J36+J44</f>
        <v>53317.3966406971</v>
      </c>
      <c r="K49" s="70" t="n">
        <f aca="false">K36+K44</f>
        <v>59817.1375223077</v>
      </c>
      <c r="L49" s="70" t="n">
        <f aca="false">L36+L44</f>
        <v>109684.799975481</v>
      </c>
      <c r="M49" s="70" t="n">
        <f aca="false">M36+M44</f>
        <v>120791.539248029</v>
      </c>
      <c r="N49" s="70" t="n">
        <f aca="false">N36+N44</f>
        <v>135532.047613077</v>
      </c>
      <c r="O49" s="70" t="n">
        <f aca="false">O36+O44</f>
        <v>155008.466787095</v>
      </c>
      <c r="P49" s="70" t="n">
        <f aca="false">P36+P44</f>
        <v>170772.199883325</v>
      </c>
      <c r="Q49" s="70" t="n">
        <f aca="false">Q36+Q44</f>
        <v>191662.018209172</v>
      </c>
      <c r="R49" s="70" t="n">
        <f aca="false">R36+R44</f>
        <v>177716.505413314</v>
      </c>
      <c r="S49" s="70" t="n">
        <f aca="false">S36+S44</f>
        <v>195627.313342682</v>
      </c>
      <c r="T49" s="70" t="n">
        <f aca="false">T36+T44</f>
        <v>219373.348905683</v>
      </c>
      <c r="U49" s="70" t="n">
        <f aca="false">U36+U44</f>
        <v>237502.639841951</v>
      </c>
      <c r="V49" s="70" t="n">
        <f aca="false">V36+V44</f>
        <v>261373.511876656</v>
      </c>
      <c r="W49" s="70" t="n">
        <f aca="false">W36+W44</f>
        <v>293033.025375944</v>
      </c>
      <c r="X49" s="70" t="n">
        <f aca="false">X36+X44</f>
        <v>265335.650667087</v>
      </c>
      <c r="Y49" s="70" t="n">
        <f aca="false">Y36+Y44</f>
        <v>291775.270492155</v>
      </c>
      <c r="Z49" s="70" t="n">
        <f aca="false">Z36+Z44</f>
        <v>326861.149695789</v>
      </c>
      <c r="AA49" s="70" t="n">
        <f aca="false">AA36+AA44</f>
        <v>377206.954854734</v>
      </c>
      <c r="AB49" s="70" t="n">
        <f aca="false">AB36+AB44</f>
        <v>415188.796655841</v>
      </c>
      <c r="AC49" s="70" t="n">
        <f aca="false">AC36+AC44</f>
        <v>465510.820646498</v>
      </c>
      <c r="AD49" s="70" t="n">
        <f aca="false">AD36+AD44</f>
        <v>421537.074303443</v>
      </c>
      <c r="AE49" s="70" t="n">
        <f aca="false">AE36+AE44</f>
        <v>463711.96945235</v>
      </c>
      <c r="AF49" s="70" t="n">
        <f aca="false">AF36+AF44</f>
        <v>519588.786590541</v>
      </c>
      <c r="AG49" s="70" t="n">
        <f aca="false">AG36+AG44</f>
        <v>489283.323846611</v>
      </c>
      <c r="AH49" s="70" t="n">
        <f aca="false">AH36+AH44</f>
        <v>537894.170954556</v>
      </c>
      <c r="AI49" s="70" t="n">
        <f aca="false">AI36+AI44</f>
        <v>602327.364531667</v>
      </c>
      <c r="AJ49" s="70" t="n">
        <f aca="false">AJ36+AJ44</f>
        <v>546973.004279737</v>
      </c>
      <c r="AK49" s="70" t="n">
        <f aca="false">AK36+AK44</f>
        <v>600916.404128882</v>
      </c>
      <c r="AL49" s="70" t="n">
        <f aca="false">AL36+AL44</f>
        <v>672449.284112793</v>
      </c>
      <c r="AN49" s="52" t="n">
        <f aca="false">SUM(C49:N49)</f>
        <v>614990.61183</v>
      </c>
      <c r="AO49" s="52" t="n">
        <f aca="false">SUM(O49:Z49)</f>
        <v>2786041.10049085</v>
      </c>
      <c r="AP49" s="52" t="n">
        <f aca="false">SUM(AA49:AL49)</f>
        <v>6112587.95435765</v>
      </c>
    </row>
    <row r="50" customFormat="false" ht="15" hidden="false" customHeight="false" outlineLevel="0" collapsed="false">
      <c r="A50" s="26" t="s">
        <v>533</v>
      </c>
      <c r="B50" s="24"/>
      <c r="C50" s="75" t="n">
        <f aca="false">IFERROR(C36/C49,0)</f>
        <v>0.961245661571521</v>
      </c>
      <c r="D50" s="75" t="n">
        <f aca="false">IFERROR(D36/D49,0)</f>
        <v>0.931534158267958</v>
      </c>
      <c r="E50" s="75" t="n">
        <f aca="false">IFERROR(E36/E49,0)</f>
        <v>0.91021074501754</v>
      </c>
      <c r="F50" s="75" t="n">
        <f aca="false">IFERROR(F36/F49,0)</f>
        <v>0.983193961311823</v>
      </c>
      <c r="G50" s="75" t="n">
        <f aca="false">IFERROR(G36/G49,0)</f>
        <v>0.979845011005123</v>
      </c>
      <c r="H50" s="75" t="n">
        <f aca="false">IFERROR(H36/H49,0)</f>
        <v>0.977503400682513</v>
      </c>
      <c r="I50" s="75" t="n">
        <f aca="false">IFERROR(I36/I49,0)</f>
        <v>0.983438443969116</v>
      </c>
      <c r="J50" s="75" t="n">
        <f aca="false">IFERROR(J36/J49,0)</f>
        <v>0.982249758984393</v>
      </c>
      <c r="K50" s="75" t="n">
        <f aca="false">IFERROR(K36/K49,0)</f>
        <v>0.981641757399405</v>
      </c>
      <c r="L50" s="75" t="n">
        <f aca="false">IFERROR(L36/L49,0)</f>
        <v>0.987648243186079</v>
      </c>
      <c r="M50" s="75" t="n">
        <f aca="false">IFERROR(M36/M49,0)</f>
        <v>0.986517770547779</v>
      </c>
      <c r="N50" s="75" t="n">
        <f aca="false">IFERROR(N36/N49,0)</f>
        <v>0.985796365900317</v>
      </c>
      <c r="O50" s="75" t="n">
        <f aca="false">IFERROR(O36/O49,0)</f>
        <v>0.984526865939595</v>
      </c>
      <c r="P50" s="75" t="n">
        <f aca="false">IFERROR(P36/P49,0)</f>
        <v>0.98301128705195</v>
      </c>
      <c r="Q50" s="75" t="n">
        <f aca="false">IFERROR(Q36/Q49,0)</f>
        <v>0.982035991056851</v>
      </c>
      <c r="R50" s="75" t="n">
        <f aca="false">IFERROR(R36/R49,0)</f>
        <v>0.977804507217039</v>
      </c>
      <c r="S50" s="75" t="n">
        <f aca="false">IFERROR(S36/S49,0)</f>
        <v>0.977108956483814</v>
      </c>
      <c r="T50" s="75" t="n">
        <f aca="false">IFERROR(T36/T49,0)</f>
        <v>0.976959147814003</v>
      </c>
      <c r="U50" s="75" t="n">
        <f aca="false">IFERROR(U36/U49,0)</f>
        <v>0.976005993677616</v>
      </c>
      <c r="V50" s="75" t="n">
        <f aca="false">IFERROR(V36/V49,0)</f>
        <v>0.975555626005167</v>
      </c>
      <c r="W50" s="75" t="n">
        <f aca="false">IFERROR(W36/W49,0)</f>
        <v>0.975629281488726</v>
      </c>
      <c r="X50" s="75" t="n">
        <f aca="false">IFERROR(X36/X49,0)</f>
        <v>0.970679964612641</v>
      </c>
      <c r="Y50" s="75" t="n">
        <f aca="false">IFERROR(Y36/Y49,0)</f>
        <v>0.970992502284794</v>
      </c>
      <c r="Z50" s="75" t="n">
        <f aca="false">IFERROR(Z36/Z49,0)</f>
        <v>0.971826723046286</v>
      </c>
      <c r="AA50" s="75" t="n">
        <f aca="false">IFERROR(AA36/AA49,0)</f>
        <v>0.972357469233967</v>
      </c>
      <c r="AB50" s="75" t="n">
        <f aca="false">IFERROR(AB36/AB49,0)</f>
        <v>0.971745873804093</v>
      </c>
      <c r="AC50" s="75" t="n">
        <f aca="false">IFERROR(AC36/AC49,0)</f>
        <v>0.971753995689644</v>
      </c>
      <c r="AD50" s="75" t="n">
        <f aca="false">IFERROR(AD36/AD49,0)</f>
        <v>0.965552082631313</v>
      </c>
      <c r="AE50" s="75" t="n">
        <f aca="false">IFERROR(AE36/AE49,0)</f>
        <v>0.965507965060208</v>
      </c>
      <c r="AF50" s="75" t="n">
        <f aca="false">IFERROR(AF36/AF49,0)</f>
        <v>0.96612246637183</v>
      </c>
      <c r="AG50" s="75" t="n">
        <f aca="false">IFERROR(AG36/AG49,0)</f>
        <v>0.961001483360196</v>
      </c>
      <c r="AH50" s="75" t="n">
        <f aca="false">IFERROR(AH36/AH49,0)</f>
        <v>0.961568702412464</v>
      </c>
      <c r="AI50" s="75" t="n">
        <f aca="false">IFERROR(AI36/AI49,0)</f>
        <v>0.962791721161311</v>
      </c>
      <c r="AJ50" s="75" t="n">
        <f aca="false">IFERROR(AJ36/AJ49,0)</f>
        <v>0.956240976990711</v>
      </c>
      <c r="AK50" s="75" t="n">
        <f aca="false">IFERROR(AK36/AK49,0)</f>
        <v>0.95744066237307</v>
      </c>
      <c r="AL50" s="75" t="n">
        <f aca="false">IFERROR(AL36/AL49,0)</f>
        <v>0.959299407762917</v>
      </c>
      <c r="AN50" s="72" t="n">
        <f aca="false">IFERROR(AVERAGE(C50:N50),0)</f>
        <v>0.970902106486964</v>
      </c>
      <c r="AO50" s="72" t="n">
        <f aca="false">IFERROR(AVERAGE(O50:Z50),0)</f>
        <v>0.976844737223207</v>
      </c>
      <c r="AP50" s="72" t="n">
        <f aca="false">IFERROR(AVERAGE(AA50:AL50),0)</f>
        <v>0.964281900570977</v>
      </c>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534</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535</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536</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75" hidden="false" customHeight="true" outlineLevel="0" collapsed="false">
      <c r="A6" s="36" t="s">
        <v>345</v>
      </c>
      <c r="B6" s="36" t="s">
        <v>346</v>
      </c>
      <c r="C6" s="47" t="s">
        <v>347</v>
      </c>
      <c r="D6" s="47" t="s">
        <v>348</v>
      </c>
      <c r="E6" s="47" t="s">
        <v>349</v>
      </c>
      <c r="F6" s="47" t="s">
        <v>350</v>
      </c>
      <c r="G6" s="47" t="s">
        <v>351</v>
      </c>
      <c r="H6" s="47" t="s">
        <v>352</v>
      </c>
      <c r="I6" s="47" t="s">
        <v>353</v>
      </c>
      <c r="J6" s="47" t="s">
        <v>354</v>
      </c>
      <c r="K6" s="47" t="s">
        <v>355</v>
      </c>
      <c r="L6" s="47" t="s">
        <v>356</v>
      </c>
      <c r="M6" s="47" t="s">
        <v>357</v>
      </c>
      <c r="N6" s="47" t="s">
        <v>358</v>
      </c>
      <c r="O6" s="48" t="s">
        <v>359</v>
      </c>
      <c r="P6" s="48" t="s">
        <v>360</v>
      </c>
      <c r="Q6" s="48" t="s">
        <v>361</v>
      </c>
      <c r="R6" s="48" t="s">
        <v>362</v>
      </c>
      <c r="S6" s="48" t="s">
        <v>363</v>
      </c>
      <c r="T6" s="48" t="s">
        <v>364</v>
      </c>
      <c r="U6" s="48" t="s">
        <v>365</v>
      </c>
      <c r="V6" s="48" t="s">
        <v>366</v>
      </c>
      <c r="W6" s="48" t="s">
        <v>367</v>
      </c>
      <c r="X6" s="48" t="s">
        <v>368</v>
      </c>
      <c r="Y6" s="48" t="s">
        <v>369</v>
      </c>
      <c r="Z6" s="48" t="s">
        <v>370</v>
      </c>
      <c r="AA6" s="47" t="s">
        <v>371</v>
      </c>
      <c r="AB6" s="47" t="s">
        <v>372</v>
      </c>
      <c r="AC6" s="47" t="s">
        <v>373</v>
      </c>
      <c r="AD6" s="47" t="s">
        <v>374</v>
      </c>
      <c r="AE6" s="47" t="s">
        <v>375</v>
      </c>
      <c r="AF6" s="47" t="s">
        <v>376</v>
      </c>
      <c r="AG6" s="47" t="s">
        <v>377</v>
      </c>
      <c r="AH6" s="47" t="s">
        <v>378</v>
      </c>
      <c r="AI6" s="47" t="s">
        <v>379</v>
      </c>
      <c r="AJ6" s="47" t="s">
        <v>380</v>
      </c>
      <c r="AK6" s="47" t="s">
        <v>381</v>
      </c>
      <c r="AL6" s="47" t="s">
        <v>382</v>
      </c>
      <c r="AM6" s="49"/>
      <c r="AN6" s="50" t="s">
        <v>383</v>
      </c>
      <c r="AO6" s="50" t="s">
        <v>384</v>
      </c>
      <c r="AP6" s="50" t="s">
        <v>385</v>
      </c>
    </row>
    <row r="7" customFormat="false" ht="15" hidden="false" customHeight="false" outlineLevel="0" collapsed="false">
      <c r="A7" s="26" t="s">
        <v>537</v>
      </c>
      <c r="B7" s="24" t="s">
        <v>538</v>
      </c>
      <c r="C7" s="51" t="n">
        <f aca="false">(Revenue!C$7+Revenue!C$8+Revenue!C$9)*Assumptions!$C$90*Assumptions!$C$91*Assumptions!$C$92</f>
        <v>2160</v>
      </c>
      <c r="D7" s="51" t="n">
        <f aca="false">(Revenue!D$7+Revenue!D$8+Revenue!D$9)*Assumptions!$C$90*Assumptions!$C$91*Assumptions!$C$92</f>
        <v>2376</v>
      </c>
      <c r="E7" s="51" t="n">
        <f aca="false">(Revenue!E$7+Revenue!E$8+Revenue!E$9)*Assumptions!$C$90*Assumptions!$C$91*Assumptions!$C$92</f>
        <v>2664</v>
      </c>
      <c r="F7" s="51" t="n">
        <f aca="false">(Revenue!F$7+Revenue!F$8+Revenue!F$9)*Assumptions!$C$90*Assumptions!$C$91*Assumptions!$C$92</f>
        <v>3456</v>
      </c>
      <c r="G7" s="51" t="n">
        <f aca="false">(Revenue!G$7+Revenue!G$8+Revenue!G$9)*Assumptions!$C$90*Assumptions!$C$91*Assumptions!$C$92</f>
        <v>3801.6</v>
      </c>
      <c r="H7" s="51" t="n">
        <f aca="false">(Revenue!H$7+Revenue!H$8+Revenue!H$9)*Assumptions!$C$90*Assumptions!$C$91*Assumptions!$C$92</f>
        <v>4262.4</v>
      </c>
      <c r="I7" s="51" t="n">
        <f aca="false">(Revenue!I$7+Revenue!I$8+Revenue!I$9)*Assumptions!$C$90*Assumptions!$C$91*Assumptions!$C$92</f>
        <v>4752</v>
      </c>
      <c r="J7" s="51" t="n">
        <f aca="false">(Revenue!J$7+Revenue!J$8+Revenue!J$9)*Assumptions!$C$90*Assumptions!$C$91*Assumptions!$C$92</f>
        <v>5227.2</v>
      </c>
      <c r="K7" s="51" t="n">
        <f aca="false">(Revenue!K$7+Revenue!K$8+Revenue!K$9)*Assumptions!$C$90*Assumptions!$C$91*Assumptions!$C$92</f>
        <v>5860.8</v>
      </c>
      <c r="L7" s="51" t="n">
        <f aca="false">(Revenue!L$7+Revenue!L$8+Revenue!L$9)*Assumptions!$C$90*Assumptions!$C$91*Assumptions!$C$92</f>
        <v>6048</v>
      </c>
      <c r="M7" s="51" t="n">
        <f aca="false">(Revenue!M$7+Revenue!M$8+Revenue!M$9)*Assumptions!$C$90*Assumptions!$C$91*Assumptions!$C$92</f>
        <v>6652.8</v>
      </c>
      <c r="N7" s="51" t="n">
        <f aca="false">(Revenue!N$7+Revenue!N$8+Revenue!N$9)*Assumptions!$C$90*Assumptions!$C$91*Assumptions!$C$92</f>
        <v>7459.2</v>
      </c>
      <c r="O7" s="51" t="n">
        <f aca="false">(Revenue!O$7+Revenue!O$8+Revenue!O$9)*Assumptions!$C$90*Assumptions!$C$91*Assumptions!$C$92</f>
        <v>7344</v>
      </c>
      <c r="P7" s="51" t="n">
        <f aca="false">(Revenue!P$7+Revenue!P$8+Revenue!P$9)*Assumptions!$C$90*Assumptions!$C$91*Assumptions!$C$92</f>
        <v>8078.4</v>
      </c>
      <c r="Q7" s="51" t="n">
        <f aca="false">(Revenue!Q$7+Revenue!Q$8+Revenue!Q$9)*Assumptions!$C$90*Assumptions!$C$91*Assumptions!$C$92</f>
        <v>9057.6</v>
      </c>
      <c r="R7" s="51" t="n">
        <f aca="false">(Revenue!R$7+Revenue!R$8+Revenue!R$9)*Assumptions!$C$90*Assumptions!$C$91*Assumptions!$C$92</f>
        <v>8208</v>
      </c>
      <c r="S7" s="51" t="n">
        <f aca="false">(Revenue!S$7+Revenue!S$8+Revenue!S$9)*Assumptions!$C$90*Assumptions!$C$91*Assumptions!$C$92</f>
        <v>9028.8</v>
      </c>
      <c r="T7" s="51" t="n">
        <f aca="false">(Revenue!T$7+Revenue!T$8+Revenue!T$9)*Assumptions!$C$90*Assumptions!$C$91*Assumptions!$C$92</f>
        <v>10123.2</v>
      </c>
      <c r="U7" s="51" t="n">
        <f aca="false">(Revenue!U$7+Revenue!U$8+Revenue!U$9)*Assumptions!$C$90*Assumptions!$C$91*Assumptions!$C$92</f>
        <v>9504</v>
      </c>
      <c r="V7" s="51" t="n">
        <f aca="false">(Revenue!V$7+Revenue!V$8+Revenue!V$9)*Assumptions!$C$90*Assumptions!$C$91*Assumptions!$C$92</f>
        <v>10454.4</v>
      </c>
      <c r="W7" s="51" t="n">
        <f aca="false">(Revenue!W$7+Revenue!W$8+Revenue!W$9)*Assumptions!$C$90*Assumptions!$C$91*Assumptions!$C$92</f>
        <v>11721.6</v>
      </c>
      <c r="X7" s="51" t="n">
        <f aca="false">(Revenue!X$7+Revenue!X$8+Revenue!X$9)*Assumptions!$C$90*Assumptions!$C$91*Assumptions!$C$92</f>
        <v>10368</v>
      </c>
      <c r="Y7" s="51" t="n">
        <f aca="false">(Revenue!Y$7+Revenue!Y$8+Revenue!Y$9)*Assumptions!$C$90*Assumptions!$C$91*Assumptions!$C$92</f>
        <v>11404.8</v>
      </c>
      <c r="Z7" s="51" t="n">
        <f aca="false">(Revenue!Z$7+Revenue!Z$8+Revenue!Z$9)*Assumptions!$C$90*Assumptions!$C$91*Assumptions!$C$92</f>
        <v>12787.2</v>
      </c>
      <c r="AA7" s="51" t="n">
        <f aca="false">(Revenue!AA$7+Revenue!AA$8+Revenue!AA$9)*Assumptions!$C$90*Assumptions!$C$91*Assumptions!$C$92</f>
        <v>12528</v>
      </c>
      <c r="AB7" s="51" t="n">
        <f aca="false">(Revenue!AB$7+Revenue!AB$8+Revenue!AB$9)*Assumptions!$C$90*Assumptions!$C$91*Assumptions!$C$92</f>
        <v>13780.8</v>
      </c>
      <c r="AC7" s="51" t="n">
        <f aca="false">(Revenue!AC$7+Revenue!AC$8+Revenue!AC$9)*Assumptions!$C$90*Assumptions!$C$91*Assumptions!$C$92</f>
        <v>15451.2</v>
      </c>
      <c r="AD7" s="51" t="n">
        <f aca="false">(Revenue!AD$7+Revenue!AD$8+Revenue!AD$9)*Assumptions!$C$90*Assumptions!$C$91*Assumptions!$C$92</f>
        <v>14256</v>
      </c>
      <c r="AE7" s="51" t="n">
        <f aca="false">(Revenue!AE$7+Revenue!AE$8+Revenue!AE$9)*Assumptions!$C$90*Assumptions!$C$91*Assumptions!$C$92</f>
        <v>15681.6</v>
      </c>
      <c r="AF7" s="51" t="n">
        <f aca="false">(Revenue!AF$7+Revenue!AF$8+Revenue!AF$9)*Assumptions!$C$90*Assumptions!$C$91*Assumptions!$C$92</f>
        <v>17582.4</v>
      </c>
      <c r="AG7" s="51" t="n">
        <f aca="false">(Revenue!AG$7+Revenue!AG$8+Revenue!AG$9)*Assumptions!$C$90*Assumptions!$C$91*Assumptions!$C$92</f>
        <v>15552</v>
      </c>
      <c r="AH7" s="51" t="n">
        <f aca="false">(Revenue!AH$7+Revenue!AH$8+Revenue!AH$9)*Assumptions!$C$90*Assumptions!$C$91*Assumptions!$C$92</f>
        <v>17107.2</v>
      </c>
      <c r="AI7" s="51" t="n">
        <f aca="false">(Revenue!AI$7+Revenue!AI$8+Revenue!AI$9)*Assumptions!$C$90*Assumptions!$C$91*Assumptions!$C$92</f>
        <v>19180.8</v>
      </c>
      <c r="AJ7" s="51" t="n">
        <f aca="false">(Revenue!AJ$7+Revenue!AJ$8+Revenue!AJ$9)*Assumptions!$C$90*Assumptions!$C$91*Assumptions!$C$92</f>
        <v>17280</v>
      </c>
      <c r="AK7" s="51" t="n">
        <f aca="false">(Revenue!AK$7+Revenue!AK$8+Revenue!AK$9)*Assumptions!$C$90*Assumptions!$C$91*Assumptions!$C$92</f>
        <v>19008</v>
      </c>
      <c r="AL7" s="51" t="n">
        <f aca="false">(Revenue!AL$7+Revenue!AL$8+Revenue!AL$9)*Assumptions!$C$90*Assumptions!$C$91*Assumptions!$C$92</f>
        <v>21312</v>
      </c>
      <c r="AN7" s="52" t="n">
        <f aca="false">SUM(C7:N7)</f>
        <v>54720</v>
      </c>
      <c r="AO7" s="52" t="n">
        <f aca="false">SUM(O7:Z7)</f>
        <v>118080</v>
      </c>
      <c r="AP7" s="52" t="n">
        <f aca="false">SUM(AA7:AL7)</f>
        <v>198720</v>
      </c>
    </row>
    <row r="8" customFormat="false" ht="15" hidden="false" customHeight="false" outlineLevel="0" collapsed="false">
      <c r="A8" s="26" t="s">
        <v>539</v>
      </c>
      <c r="B8" s="24"/>
      <c r="C8" s="51" t="n">
        <f aca="false">Revenue!C$11*Assumptions!$C$90*Assumptions!$C$91*Assumptions!$C$93</f>
        <v>0</v>
      </c>
      <c r="D8" s="51" t="n">
        <f aca="false">Revenue!D$11*Assumptions!$C$90*Assumptions!$C$91*Assumptions!$C$93</f>
        <v>0</v>
      </c>
      <c r="E8" s="51" t="n">
        <f aca="false">Revenue!E$11*Assumptions!$C$90*Assumptions!$C$91*Assumptions!$C$93</f>
        <v>0</v>
      </c>
      <c r="F8" s="51" t="n">
        <f aca="false">Revenue!F$11*Assumptions!$C$90*Assumptions!$C$91*Assumptions!$C$93</f>
        <v>0</v>
      </c>
      <c r="G8" s="51" t="n">
        <f aca="false">Revenue!G$11*Assumptions!$C$90*Assumptions!$C$91*Assumptions!$C$93</f>
        <v>0</v>
      </c>
      <c r="H8" s="51" t="n">
        <f aca="false">Revenue!H$11*Assumptions!$C$90*Assumptions!$C$91*Assumptions!$C$93</f>
        <v>0</v>
      </c>
      <c r="I8" s="51" t="n">
        <f aca="false">Revenue!I$11*Assumptions!$C$90*Assumptions!$C$91*Assumptions!$C$93</f>
        <v>864</v>
      </c>
      <c r="J8" s="51" t="n">
        <f aca="false">Revenue!J$11*Assumptions!$C$90*Assumptions!$C$91*Assumptions!$C$93</f>
        <v>950.4</v>
      </c>
      <c r="K8" s="51" t="n">
        <f aca="false">Revenue!K$11*Assumptions!$C$90*Assumptions!$C$91*Assumptions!$C$93</f>
        <v>1065.6</v>
      </c>
      <c r="L8" s="51" t="n">
        <f aca="false">Revenue!L$11*Assumptions!$C$90*Assumptions!$C$91*Assumptions!$C$93</f>
        <v>1728</v>
      </c>
      <c r="M8" s="51" t="n">
        <f aca="false">Revenue!M$11*Assumptions!$C$90*Assumptions!$C$91*Assumptions!$C$93</f>
        <v>1900.8</v>
      </c>
      <c r="N8" s="51" t="n">
        <f aca="false">Revenue!N$11*Assumptions!$C$90*Assumptions!$C$91*Assumptions!$C$93</f>
        <v>2131.2</v>
      </c>
      <c r="O8" s="51" t="n">
        <f aca="false">Revenue!O$11*Assumptions!$C$90*Assumptions!$C$91*Assumptions!$C$93</f>
        <v>2592</v>
      </c>
      <c r="P8" s="51" t="n">
        <f aca="false">Revenue!P$11*Assumptions!$C$90*Assumptions!$C$91*Assumptions!$C$93</f>
        <v>2851.2</v>
      </c>
      <c r="Q8" s="51" t="n">
        <f aca="false">Revenue!Q$11*Assumptions!$C$90*Assumptions!$C$91*Assumptions!$C$93</f>
        <v>3196.8</v>
      </c>
      <c r="R8" s="51" t="n">
        <f aca="false">Revenue!R$11*Assumptions!$C$90*Assumptions!$C$91*Assumptions!$C$93</f>
        <v>3456</v>
      </c>
      <c r="S8" s="51" t="n">
        <f aca="false">Revenue!S$11*Assumptions!$C$90*Assumptions!$C$91*Assumptions!$C$93</f>
        <v>3801.6</v>
      </c>
      <c r="T8" s="51" t="n">
        <f aca="false">Revenue!T$11*Assumptions!$C$90*Assumptions!$C$91*Assumptions!$C$93</f>
        <v>4262.4</v>
      </c>
      <c r="U8" s="51" t="n">
        <f aca="false">Revenue!U$11*Assumptions!$C$90*Assumptions!$C$91*Assumptions!$C$93</f>
        <v>4032</v>
      </c>
      <c r="V8" s="51" t="n">
        <f aca="false">Revenue!V$11*Assumptions!$C$90*Assumptions!$C$91*Assumptions!$C$93</f>
        <v>4435.2</v>
      </c>
      <c r="W8" s="51" t="n">
        <f aca="false">Revenue!W$11*Assumptions!$C$90*Assumptions!$C$91*Assumptions!$C$93</f>
        <v>4972.8</v>
      </c>
      <c r="X8" s="51" t="n">
        <f aca="false">Revenue!X$11*Assumptions!$C$90*Assumptions!$C$91*Assumptions!$C$93</f>
        <v>4608</v>
      </c>
      <c r="Y8" s="51" t="n">
        <f aca="false">Revenue!Y$11*Assumptions!$C$90*Assumptions!$C$91*Assumptions!$C$93</f>
        <v>5068.8</v>
      </c>
      <c r="Z8" s="51" t="n">
        <f aca="false">Revenue!Z$11*Assumptions!$C$90*Assumptions!$C$91*Assumptions!$C$93</f>
        <v>5683.2</v>
      </c>
      <c r="AA8" s="51" t="n">
        <f aca="false">Revenue!AA$11*Assumptions!$C$90*Assumptions!$C$91*Assumptions!$C$93</f>
        <v>5760</v>
      </c>
      <c r="AB8" s="51" t="n">
        <f aca="false">Revenue!AB$11*Assumptions!$C$90*Assumptions!$C$91*Assumptions!$C$93</f>
        <v>6336</v>
      </c>
      <c r="AC8" s="51" t="n">
        <f aca="false">Revenue!AC$11*Assumptions!$C$90*Assumptions!$C$91*Assumptions!$C$93</f>
        <v>7104</v>
      </c>
      <c r="AD8" s="51" t="n">
        <f aca="false">Revenue!AD$11*Assumptions!$C$90*Assumptions!$C$91*Assumptions!$C$93</f>
        <v>6912</v>
      </c>
      <c r="AE8" s="51" t="n">
        <f aca="false">Revenue!AE$11*Assumptions!$C$90*Assumptions!$C$91*Assumptions!$C$93</f>
        <v>7603.2</v>
      </c>
      <c r="AF8" s="51" t="n">
        <f aca="false">Revenue!AF$11*Assumptions!$C$90*Assumptions!$C$91*Assumptions!$C$93</f>
        <v>8524.8</v>
      </c>
      <c r="AG8" s="51" t="n">
        <f aca="false">Revenue!AG$11*Assumptions!$C$90*Assumptions!$C$91*Assumptions!$C$93</f>
        <v>7488</v>
      </c>
      <c r="AH8" s="51" t="n">
        <f aca="false">Revenue!AH$11*Assumptions!$C$90*Assumptions!$C$91*Assumptions!$C$93</f>
        <v>8236.8</v>
      </c>
      <c r="AI8" s="51" t="n">
        <f aca="false">Revenue!AI$11*Assumptions!$C$90*Assumptions!$C$91*Assumptions!$C$93</f>
        <v>9235.2</v>
      </c>
      <c r="AJ8" s="51" t="n">
        <f aca="false">Revenue!AJ$11*Assumptions!$C$90*Assumptions!$C$91*Assumptions!$C$93</f>
        <v>8640</v>
      </c>
      <c r="AK8" s="51" t="n">
        <f aca="false">Revenue!AK$11*Assumptions!$C$90*Assumptions!$C$91*Assumptions!$C$93</f>
        <v>9504</v>
      </c>
      <c r="AL8" s="51" t="n">
        <f aca="false">Revenue!AL$11*Assumptions!$C$90*Assumptions!$C$91*Assumptions!$C$93</f>
        <v>10656</v>
      </c>
      <c r="AN8" s="52" t="n">
        <f aca="false">SUM(C8:N8)</f>
        <v>8640</v>
      </c>
      <c r="AO8" s="52" t="n">
        <f aca="false">SUM(O8:Z8)</f>
        <v>48960</v>
      </c>
      <c r="AP8" s="52" t="n">
        <f aca="false">SUM(AA8:AL8)</f>
        <v>96000</v>
      </c>
    </row>
    <row r="9" customFormat="false" ht="15" hidden="false" customHeight="false" outlineLevel="0" collapsed="false">
      <c r="A9" s="26" t="s">
        <v>540</v>
      </c>
      <c r="B9" s="24"/>
      <c r="C9" s="51" t="n">
        <f aca="false">Revenue!C$13*Assumptions!$C$90*Assumptions!$C$91*Assumptions!$C$94</f>
        <v>0</v>
      </c>
      <c r="D9" s="51" t="n">
        <f aca="false">Revenue!D$13*Assumptions!$C$90*Assumptions!$C$91*Assumptions!$C$94</f>
        <v>0</v>
      </c>
      <c r="E9" s="51" t="n">
        <f aca="false">Revenue!E$13*Assumptions!$C$90*Assumptions!$C$91*Assumptions!$C$94</f>
        <v>0</v>
      </c>
      <c r="F9" s="51" t="n">
        <f aca="false">Revenue!F$13*Assumptions!$C$90*Assumptions!$C$91*Assumptions!$C$94</f>
        <v>0</v>
      </c>
      <c r="G9" s="51" t="n">
        <f aca="false">Revenue!G$13*Assumptions!$C$90*Assumptions!$C$91*Assumptions!$C$94</f>
        <v>0</v>
      </c>
      <c r="H9" s="51" t="n">
        <f aca="false">Revenue!H$13*Assumptions!$C$90*Assumptions!$C$91*Assumptions!$C$94</f>
        <v>0</v>
      </c>
      <c r="I9" s="51" t="n">
        <f aca="false">Revenue!I$13*Assumptions!$C$90*Assumptions!$C$91*Assumptions!$C$94</f>
        <v>0</v>
      </c>
      <c r="J9" s="51" t="n">
        <f aca="false">Revenue!J$13*Assumptions!$C$90*Assumptions!$C$91*Assumptions!$C$94</f>
        <v>0</v>
      </c>
      <c r="K9" s="51" t="n">
        <f aca="false">Revenue!K$13*Assumptions!$C$90*Assumptions!$C$91*Assumptions!$C$94</f>
        <v>0</v>
      </c>
      <c r="L9" s="51" t="n">
        <f aca="false">Revenue!L$13*Assumptions!$C$90*Assumptions!$C$91*Assumptions!$C$94</f>
        <v>720</v>
      </c>
      <c r="M9" s="51" t="n">
        <f aca="false">Revenue!M$13*Assumptions!$C$90*Assumptions!$C$91*Assumptions!$C$94</f>
        <v>792</v>
      </c>
      <c r="N9" s="51" t="n">
        <f aca="false">Revenue!N$13*Assumptions!$C$90*Assumptions!$C$91*Assumptions!$C$94</f>
        <v>888</v>
      </c>
      <c r="O9" s="51" t="n">
        <f aca="false">Revenue!O$13*Assumptions!$C$90*Assumptions!$C$91*Assumptions!$C$94</f>
        <v>1440</v>
      </c>
      <c r="P9" s="51" t="n">
        <f aca="false">Revenue!P$13*Assumptions!$C$90*Assumptions!$C$91*Assumptions!$C$94</f>
        <v>1584</v>
      </c>
      <c r="Q9" s="51" t="n">
        <f aca="false">Revenue!Q$13*Assumptions!$C$90*Assumptions!$C$91*Assumptions!$C$94</f>
        <v>1776</v>
      </c>
      <c r="R9" s="51" t="n">
        <f aca="false">Revenue!R$13*Assumptions!$C$90*Assumptions!$C$91*Assumptions!$C$94</f>
        <v>1800</v>
      </c>
      <c r="S9" s="51" t="n">
        <f aca="false">Revenue!S$13*Assumptions!$C$90*Assumptions!$C$91*Assumptions!$C$94</f>
        <v>1980</v>
      </c>
      <c r="T9" s="51" t="n">
        <f aca="false">Revenue!T$13*Assumptions!$C$90*Assumptions!$C$91*Assumptions!$C$94</f>
        <v>2220</v>
      </c>
      <c r="U9" s="51" t="n">
        <f aca="false">Revenue!U$13*Assumptions!$C$90*Assumptions!$C$91*Assumptions!$C$94</f>
        <v>2520</v>
      </c>
      <c r="V9" s="51" t="n">
        <f aca="false">Revenue!V$13*Assumptions!$C$90*Assumptions!$C$91*Assumptions!$C$94</f>
        <v>2772</v>
      </c>
      <c r="W9" s="51" t="n">
        <f aca="false">Revenue!W$13*Assumptions!$C$90*Assumptions!$C$91*Assumptions!$C$94</f>
        <v>3108</v>
      </c>
      <c r="X9" s="51" t="n">
        <f aca="false">Revenue!X$13*Assumptions!$C$90*Assumptions!$C$91*Assumptions!$C$94</f>
        <v>2880</v>
      </c>
      <c r="Y9" s="51" t="n">
        <f aca="false">Revenue!Y$13*Assumptions!$C$90*Assumptions!$C$91*Assumptions!$C$94</f>
        <v>3168</v>
      </c>
      <c r="Z9" s="51" t="n">
        <f aca="false">Revenue!Z$13*Assumptions!$C$90*Assumptions!$C$91*Assumptions!$C$94</f>
        <v>3552</v>
      </c>
      <c r="AA9" s="51" t="n">
        <f aca="false">Revenue!AA$13*Assumptions!$C$90*Assumptions!$C$91*Assumptions!$C$94</f>
        <v>3600</v>
      </c>
      <c r="AB9" s="51" t="n">
        <f aca="false">Revenue!AB$13*Assumptions!$C$90*Assumptions!$C$91*Assumptions!$C$94</f>
        <v>3960</v>
      </c>
      <c r="AC9" s="51" t="n">
        <f aca="false">Revenue!AC$13*Assumptions!$C$90*Assumptions!$C$91*Assumptions!$C$94</f>
        <v>4440</v>
      </c>
      <c r="AD9" s="51" t="n">
        <f aca="false">Revenue!AD$13*Assumptions!$C$90*Assumptions!$C$91*Assumptions!$C$94</f>
        <v>4320</v>
      </c>
      <c r="AE9" s="51" t="n">
        <f aca="false">Revenue!AE$13*Assumptions!$C$90*Assumptions!$C$91*Assumptions!$C$94</f>
        <v>4752</v>
      </c>
      <c r="AF9" s="51" t="n">
        <f aca="false">Revenue!AF$13*Assumptions!$C$90*Assumptions!$C$91*Assumptions!$C$94</f>
        <v>5328</v>
      </c>
      <c r="AG9" s="51" t="n">
        <f aca="false">Revenue!AG$13*Assumptions!$C$90*Assumptions!$C$91*Assumptions!$C$94</f>
        <v>4680</v>
      </c>
      <c r="AH9" s="51" t="n">
        <f aca="false">Revenue!AH$13*Assumptions!$C$90*Assumptions!$C$91*Assumptions!$C$94</f>
        <v>5148</v>
      </c>
      <c r="AI9" s="51" t="n">
        <f aca="false">Revenue!AI$13*Assumptions!$C$90*Assumptions!$C$91*Assumptions!$C$94</f>
        <v>5772</v>
      </c>
      <c r="AJ9" s="51" t="n">
        <f aca="false">Revenue!AJ$13*Assumptions!$C$90*Assumptions!$C$91*Assumptions!$C$94</f>
        <v>5400</v>
      </c>
      <c r="AK9" s="51" t="n">
        <f aca="false">Revenue!AK$13*Assumptions!$C$90*Assumptions!$C$91*Assumptions!$C$94</f>
        <v>5940</v>
      </c>
      <c r="AL9" s="51" t="n">
        <f aca="false">Revenue!AL$13*Assumptions!$C$90*Assumptions!$C$91*Assumptions!$C$94</f>
        <v>6660</v>
      </c>
      <c r="AN9" s="52" t="n">
        <f aca="false">SUM(C9:N9)</f>
        <v>2400</v>
      </c>
      <c r="AO9" s="52" t="n">
        <f aca="false">SUM(O9:Z9)</f>
        <v>28800</v>
      </c>
      <c r="AP9" s="52" t="n">
        <f aca="false">SUM(AA9:AL9)</f>
        <v>60000</v>
      </c>
    </row>
    <row r="10" customFormat="false" ht="15" hidden="false" customHeight="false" outlineLevel="0" collapsed="false">
      <c r="A10" s="26" t="s">
        <v>541</v>
      </c>
      <c r="B10" s="24"/>
      <c r="C10" s="51" t="n">
        <f aca="false">(Revenue!C$7+Revenue!C$8+Revenue!C$9)*Assumptions!$C$95+Revenue!C$11*Assumptions!$C$96+Revenue!C$13*Assumptions!$C$97</f>
        <v>1125</v>
      </c>
      <c r="D10" s="51" t="n">
        <f aca="false">(Revenue!D$7+Revenue!D$8+Revenue!D$9)*Assumptions!$C$95+Revenue!D$11*Assumptions!$C$96+Revenue!D$13*Assumptions!$C$97</f>
        <v>1237.5</v>
      </c>
      <c r="E10" s="51" t="n">
        <f aca="false">(Revenue!E$7+Revenue!E$8+Revenue!E$9)*Assumptions!$C$95+Revenue!E$11*Assumptions!$C$96+Revenue!E$13*Assumptions!$C$97</f>
        <v>1387.5</v>
      </c>
      <c r="F10" s="51" t="n">
        <f aca="false">(Revenue!F$7+Revenue!F$8+Revenue!F$9)*Assumptions!$C$95+Revenue!F$11*Assumptions!$C$96+Revenue!F$13*Assumptions!$C$97</f>
        <v>1800</v>
      </c>
      <c r="G10" s="51" t="n">
        <f aca="false">(Revenue!G$7+Revenue!G$8+Revenue!G$9)*Assumptions!$C$95+Revenue!G$11*Assumptions!$C$96+Revenue!G$13*Assumptions!$C$97</f>
        <v>1980</v>
      </c>
      <c r="H10" s="51" t="n">
        <f aca="false">(Revenue!H$7+Revenue!H$8+Revenue!H$9)*Assumptions!$C$95+Revenue!H$11*Assumptions!$C$96+Revenue!H$13*Assumptions!$C$97</f>
        <v>2220</v>
      </c>
      <c r="I10" s="51" t="n">
        <f aca="false">(Revenue!I$7+Revenue!I$8+Revenue!I$9)*Assumptions!$C$95+Revenue!I$11*Assumptions!$C$96+Revenue!I$13*Assumptions!$C$97</f>
        <v>2970</v>
      </c>
      <c r="J10" s="51" t="n">
        <f aca="false">(Revenue!J$7+Revenue!J$8+Revenue!J$9)*Assumptions!$C$95+Revenue!J$11*Assumptions!$C$96+Revenue!J$13*Assumptions!$C$97</f>
        <v>3267</v>
      </c>
      <c r="K10" s="51" t="n">
        <f aca="false">(Revenue!K$7+Revenue!K$8+Revenue!K$9)*Assumptions!$C$95+Revenue!K$11*Assumptions!$C$96+Revenue!K$13*Assumptions!$C$97</f>
        <v>3663</v>
      </c>
      <c r="L10" s="51" t="n">
        <f aca="false">(Revenue!L$7+Revenue!L$8+Revenue!L$9)*Assumptions!$C$95+Revenue!L$11*Assumptions!$C$96+Revenue!L$13*Assumptions!$C$97</f>
        <v>4500</v>
      </c>
      <c r="M10" s="51" t="n">
        <f aca="false">(Revenue!M$7+Revenue!M$8+Revenue!M$9)*Assumptions!$C$95+Revenue!M$11*Assumptions!$C$96+Revenue!M$13*Assumptions!$C$97</f>
        <v>4950</v>
      </c>
      <c r="N10" s="51" t="n">
        <f aca="false">(Revenue!N$7+Revenue!N$8+Revenue!N$9)*Assumptions!$C$95+Revenue!N$11*Assumptions!$C$96+Revenue!N$13*Assumptions!$C$97</f>
        <v>5550</v>
      </c>
      <c r="O10" s="51" t="n">
        <f aca="false">(Revenue!O$7+Revenue!O$8+Revenue!O$9)*Assumptions!$C$95+Revenue!O$11*Assumptions!$C$96+Revenue!O$13*Assumptions!$C$97</f>
        <v>6030</v>
      </c>
      <c r="P10" s="51" t="n">
        <f aca="false">(Revenue!P$7+Revenue!P$8+Revenue!P$9)*Assumptions!$C$95+Revenue!P$11*Assumptions!$C$96+Revenue!P$13*Assumptions!$C$97</f>
        <v>6633</v>
      </c>
      <c r="Q10" s="51" t="n">
        <f aca="false">(Revenue!Q$7+Revenue!Q$8+Revenue!Q$9)*Assumptions!$C$95+Revenue!Q$11*Assumptions!$C$96+Revenue!Q$13*Assumptions!$C$97</f>
        <v>7437</v>
      </c>
      <c r="R10" s="51" t="n">
        <f aca="false">(Revenue!R$7+Revenue!R$8+Revenue!R$9)*Assumptions!$C$95+Revenue!R$11*Assumptions!$C$96+Revenue!R$13*Assumptions!$C$97</f>
        <v>7155</v>
      </c>
      <c r="S10" s="51" t="n">
        <f aca="false">(Revenue!S$7+Revenue!S$8+Revenue!S$9)*Assumptions!$C$95+Revenue!S$11*Assumptions!$C$96+Revenue!S$13*Assumptions!$C$97</f>
        <v>7870.5</v>
      </c>
      <c r="T10" s="51" t="n">
        <f aca="false">(Revenue!T$7+Revenue!T$8+Revenue!T$9)*Assumptions!$C$95+Revenue!T$11*Assumptions!$C$96+Revenue!T$13*Assumptions!$C$97</f>
        <v>8824.5</v>
      </c>
      <c r="U10" s="51" t="n">
        <f aca="false">(Revenue!U$7+Revenue!U$8+Revenue!U$9)*Assumptions!$C$95+Revenue!U$11*Assumptions!$C$96+Revenue!U$13*Assumptions!$C$97</f>
        <v>8520</v>
      </c>
      <c r="V10" s="51" t="n">
        <f aca="false">(Revenue!V$7+Revenue!V$8+Revenue!V$9)*Assumptions!$C$95+Revenue!V$11*Assumptions!$C$96+Revenue!V$13*Assumptions!$C$97</f>
        <v>9372</v>
      </c>
      <c r="W10" s="51" t="n">
        <f aca="false">(Revenue!W$7+Revenue!W$8+Revenue!W$9)*Assumptions!$C$95+Revenue!W$11*Assumptions!$C$96+Revenue!W$13*Assumptions!$C$97</f>
        <v>10508</v>
      </c>
      <c r="X10" s="51" t="n">
        <f aca="false">(Revenue!X$7+Revenue!X$8+Revenue!X$9)*Assumptions!$C$95+Revenue!X$11*Assumptions!$C$96+Revenue!X$13*Assumptions!$C$97</f>
        <v>9480</v>
      </c>
      <c r="Y10" s="51" t="n">
        <f aca="false">(Revenue!Y$7+Revenue!Y$8+Revenue!Y$9)*Assumptions!$C$95+Revenue!Y$11*Assumptions!$C$96+Revenue!Y$13*Assumptions!$C$97</f>
        <v>10428</v>
      </c>
      <c r="Z10" s="51" t="n">
        <f aca="false">(Revenue!Z$7+Revenue!Z$8+Revenue!Z$9)*Assumptions!$C$95+Revenue!Z$11*Assumptions!$C$96+Revenue!Z$13*Assumptions!$C$97</f>
        <v>11692</v>
      </c>
      <c r="AA10" s="51" t="n">
        <f aca="false">(Revenue!AA$7+Revenue!AA$8+Revenue!AA$9)*Assumptions!$C$95+Revenue!AA$11*Assumptions!$C$96+Revenue!AA$13*Assumptions!$C$97</f>
        <v>11625</v>
      </c>
      <c r="AB10" s="51" t="n">
        <f aca="false">(Revenue!AB$7+Revenue!AB$8+Revenue!AB$9)*Assumptions!$C$95+Revenue!AB$11*Assumptions!$C$96+Revenue!AB$13*Assumptions!$C$97</f>
        <v>12787.5</v>
      </c>
      <c r="AC10" s="51" t="n">
        <f aca="false">(Revenue!AC$7+Revenue!AC$8+Revenue!AC$9)*Assumptions!$C$95+Revenue!AC$11*Assumptions!$C$96+Revenue!AC$13*Assumptions!$C$97</f>
        <v>14337.5</v>
      </c>
      <c r="AD10" s="51" t="n">
        <f aca="false">(Revenue!AD$7+Revenue!AD$8+Revenue!AD$9)*Assumptions!$C$95+Revenue!AD$11*Assumptions!$C$96+Revenue!AD$13*Assumptions!$C$97</f>
        <v>13545</v>
      </c>
      <c r="AE10" s="51" t="n">
        <f aca="false">(Revenue!AE$7+Revenue!AE$8+Revenue!AE$9)*Assumptions!$C$95+Revenue!AE$11*Assumptions!$C$96+Revenue!AE$13*Assumptions!$C$97</f>
        <v>14899.5</v>
      </c>
      <c r="AF10" s="51" t="n">
        <f aca="false">(Revenue!AF$7+Revenue!AF$8+Revenue!AF$9)*Assumptions!$C$95+Revenue!AF$11*Assumptions!$C$96+Revenue!AF$13*Assumptions!$C$97</f>
        <v>16705.5</v>
      </c>
      <c r="AG10" s="51" t="n">
        <f aca="false">(Revenue!AG$7+Revenue!AG$8+Revenue!AG$9)*Assumptions!$C$95+Revenue!AG$11*Assumptions!$C$96+Revenue!AG$13*Assumptions!$C$97</f>
        <v>14730</v>
      </c>
      <c r="AH10" s="51" t="n">
        <f aca="false">(Revenue!AH$7+Revenue!AH$8+Revenue!AH$9)*Assumptions!$C$95+Revenue!AH$11*Assumptions!$C$96+Revenue!AH$13*Assumptions!$C$97</f>
        <v>16203</v>
      </c>
      <c r="AI10" s="51" t="n">
        <f aca="false">(Revenue!AI$7+Revenue!AI$8+Revenue!AI$9)*Assumptions!$C$95+Revenue!AI$11*Assumptions!$C$96+Revenue!AI$13*Assumptions!$C$97</f>
        <v>18167</v>
      </c>
      <c r="AJ10" s="51" t="n">
        <f aca="false">(Revenue!AJ$7+Revenue!AJ$8+Revenue!AJ$9)*Assumptions!$C$95+Revenue!AJ$11*Assumptions!$C$96+Revenue!AJ$13*Assumptions!$C$97</f>
        <v>16650</v>
      </c>
      <c r="AK10" s="51" t="n">
        <f aca="false">(Revenue!AK$7+Revenue!AK$8+Revenue!AK$9)*Assumptions!$C$95+Revenue!AK$11*Assumptions!$C$96+Revenue!AK$13*Assumptions!$C$97</f>
        <v>18315</v>
      </c>
      <c r="AL10" s="51" t="n">
        <f aca="false">(Revenue!AL$7+Revenue!AL$8+Revenue!AL$9)*Assumptions!$C$95+Revenue!AL$11*Assumptions!$C$96+Revenue!AL$13*Assumptions!$C$97</f>
        <v>20535</v>
      </c>
      <c r="AN10" s="52" t="n">
        <f aca="false">SUM(C10:N10)</f>
        <v>34650</v>
      </c>
      <c r="AO10" s="52" t="n">
        <f aca="false">SUM(O10:Z10)</f>
        <v>103950</v>
      </c>
      <c r="AP10" s="52" t="n">
        <f aca="false">SUM(AA10:AL10)</f>
        <v>188500</v>
      </c>
    </row>
    <row r="11" customFormat="false" ht="15" hidden="false" customHeight="false" outlineLevel="0" collapsed="false">
      <c r="A11" s="26" t="s">
        <v>542</v>
      </c>
      <c r="B11" s="24"/>
      <c r="C11" s="51" t="n">
        <f aca="false">Revenue!C$15*Assumptions!$C$98</f>
        <v>0</v>
      </c>
      <c r="D11" s="51" t="n">
        <f aca="false">Revenue!D$15*Assumptions!$C$98</f>
        <v>0</v>
      </c>
      <c r="E11" s="51" t="n">
        <f aca="false">Revenue!E$15*Assumptions!$C$98</f>
        <v>0</v>
      </c>
      <c r="F11" s="51" t="n">
        <f aca="false">Revenue!F$15*Assumptions!$C$98</f>
        <v>0</v>
      </c>
      <c r="G11" s="51" t="n">
        <f aca="false">Revenue!G$15*Assumptions!$C$98</f>
        <v>0</v>
      </c>
      <c r="H11" s="51" t="n">
        <f aca="false">Revenue!H$15*Assumptions!$C$98</f>
        <v>0</v>
      </c>
      <c r="I11" s="51" t="n">
        <f aca="false">Revenue!I$15*Assumptions!$C$98</f>
        <v>0</v>
      </c>
      <c r="J11" s="51" t="n">
        <f aca="false">Revenue!J$15*Assumptions!$C$98</f>
        <v>0</v>
      </c>
      <c r="K11" s="51" t="n">
        <f aca="false">Revenue!K$15*Assumptions!$C$98</f>
        <v>0</v>
      </c>
      <c r="L11" s="51" t="n">
        <f aca="false">Revenue!L$15*Assumptions!$C$98</f>
        <v>960</v>
      </c>
      <c r="M11" s="51" t="n">
        <f aca="false">Revenue!M$15*Assumptions!$C$98</f>
        <v>1056</v>
      </c>
      <c r="N11" s="51" t="n">
        <f aca="false">Revenue!N$15*Assumptions!$C$98</f>
        <v>1184</v>
      </c>
      <c r="O11" s="51" t="n">
        <f aca="false">Revenue!O$15*Assumptions!$C$98</f>
        <v>960</v>
      </c>
      <c r="P11" s="51" t="n">
        <f aca="false">Revenue!P$15*Assumptions!$C$98</f>
        <v>1056</v>
      </c>
      <c r="Q11" s="51" t="n">
        <f aca="false">Revenue!Q$15*Assumptions!$C$98</f>
        <v>1184</v>
      </c>
      <c r="R11" s="51" t="n">
        <f aca="false">Revenue!R$15*Assumptions!$C$98</f>
        <v>1920</v>
      </c>
      <c r="S11" s="51" t="n">
        <f aca="false">Revenue!S$15*Assumptions!$C$98</f>
        <v>2112</v>
      </c>
      <c r="T11" s="51" t="n">
        <f aca="false">Revenue!T$15*Assumptions!$C$98</f>
        <v>2368</v>
      </c>
      <c r="U11" s="51" t="n">
        <f aca="false">Revenue!U$15*Assumptions!$C$98</f>
        <v>1920</v>
      </c>
      <c r="V11" s="51" t="n">
        <f aca="false">Revenue!V$15*Assumptions!$C$98</f>
        <v>2112</v>
      </c>
      <c r="W11" s="51" t="n">
        <f aca="false">Revenue!W$15*Assumptions!$C$98</f>
        <v>2368</v>
      </c>
      <c r="X11" s="51" t="n">
        <f aca="false">Revenue!X$15*Assumptions!$C$98</f>
        <v>2880</v>
      </c>
      <c r="Y11" s="51" t="n">
        <f aca="false">Revenue!Y$15*Assumptions!$C$98</f>
        <v>3168</v>
      </c>
      <c r="Z11" s="51" t="n">
        <f aca="false">Revenue!Z$15*Assumptions!$C$98</f>
        <v>3552</v>
      </c>
      <c r="AA11" s="51" t="n">
        <f aca="false">Revenue!AA$15*Assumptions!$C$98</f>
        <v>3840</v>
      </c>
      <c r="AB11" s="51" t="n">
        <f aca="false">Revenue!AB$15*Assumptions!$C$98</f>
        <v>4224</v>
      </c>
      <c r="AC11" s="51" t="n">
        <f aca="false">Revenue!AC$15*Assumptions!$C$98</f>
        <v>4736</v>
      </c>
      <c r="AD11" s="51" t="n">
        <f aca="false">Revenue!AD$15*Assumptions!$C$98</f>
        <v>4800</v>
      </c>
      <c r="AE11" s="51" t="n">
        <f aca="false">Revenue!AE$15*Assumptions!$C$98</f>
        <v>5280</v>
      </c>
      <c r="AF11" s="51" t="n">
        <f aca="false">Revenue!AF$15*Assumptions!$C$98</f>
        <v>5920</v>
      </c>
      <c r="AG11" s="51" t="n">
        <f aca="false">Revenue!AG$15*Assumptions!$C$98</f>
        <v>4800</v>
      </c>
      <c r="AH11" s="51" t="n">
        <f aca="false">Revenue!AH$15*Assumptions!$C$98</f>
        <v>5280</v>
      </c>
      <c r="AI11" s="51" t="n">
        <f aca="false">Revenue!AI$15*Assumptions!$C$98</f>
        <v>5920</v>
      </c>
      <c r="AJ11" s="51" t="n">
        <f aca="false">Revenue!AJ$15*Assumptions!$C$98</f>
        <v>5760</v>
      </c>
      <c r="AK11" s="51" t="n">
        <f aca="false">Revenue!AK$15*Assumptions!$C$98</f>
        <v>6336</v>
      </c>
      <c r="AL11" s="51" t="n">
        <f aca="false">Revenue!AL$15*Assumptions!$C$98</f>
        <v>7104</v>
      </c>
      <c r="AN11" s="52" t="n">
        <f aca="false">SUM(C11:N11)</f>
        <v>3200</v>
      </c>
      <c r="AO11" s="52" t="n">
        <f aca="false">SUM(O11:Z11)</f>
        <v>25600</v>
      </c>
      <c r="AP11" s="52" t="n">
        <f aca="false">SUM(AA11:AL11)</f>
        <v>64000</v>
      </c>
    </row>
    <row r="12" customFormat="false" ht="15" hidden="false" customHeight="false" outlineLevel="0" collapsed="false">
      <c r="A12" s="26" t="s">
        <v>543</v>
      </c>
      <c r="B12" s="24" t="s">
        <v>544</v>
      </c>
      <c r="C12" s="51" t="n">
        <f aca="false">Revenue!C$16*Assumptions!$C$99</f>
        <v>0</v>
      </c>
      <c r="D12" s="51" t="n">
        <f aca="false">Revenue!D$16*Assumptions!$C$99</f>
        <v>0</v>
      </c>
      <c r="E12" s="51" t="n">
        <f aca="false">Revenue!E$16*Assumptions!$C$99</f>
        <v>0</v>
      </c>
      <c r="F12" s="51" t="n">
        <f aca="false">Revenue!F$16*Assumptions!$C$99</f>
        <v>0</v>
      </c>
      <c r="G12" s="51" t="n">
        <f aca="false">Revenue!G$16*Assumptions!$C$99</f>
        <v>0</v>
      </c>
      <c r="H12" s="51" t="n">
        <f aca="false">Revenue!H$16*Assumptions!$C$99</f>
        <v>0</v>
      </c>
      <c r="I12" s="51" t="n">
        <f aca="false">Revenue!I$16*Assumptions!$C$99</f>
        <v>2700</v>
      </c>
      <c r="J12" s="51" t="n">
        <f aca="false">Revenue!J$16*Assumptions!$C$99</f>
        <v>2970</v>
      </c>
      <c r="K12" s="51" t="n">
        <f aca="false">Revenue!K$16*Assumptions!$C$99</f>
        <v>3330</v>
      </c>
      <c r="L12" s="51" t="n">
        <f aca="false">Revenue!L$16*Assumptions!$C$99</f>
        <v>2700</v>
      </c>
      <c r="M12" s="51" t="n">
        <f aca="false">Revenue!M$16*Assumptions!$C$99</f>
        <v>2970</v>
      </c>
      <c r="N12" s="51" t="n">
        <f aca="false">Revenue!N$16*Assumptions!$C$99</f>
        <v>3330</v>
      </c>
      <c r="O12" s="51" t="n">
        <f aca="false">Revenue!O$16*Assumptions!$C$99</f>
        <v>5400</v>
      </c>
      <c r="P12" s="51" t="n">
        <f aca="false">Revenue!P$16*Assumptions!$C$99</f>
        <v>5940</v>
      </c>
      <c r="Q12" s="51" t="n">
        <f aca="false">Revenue!Q$16*Assumptions!$C$99</f>
        <v>6660</v>
      </c>
      <c r="R12" s="51" t="n">
        <f aca="false">Revenue!R$16*Assumptions!$C$99</f>
        <v>5400</v>
      </c>
      <c r="S12" s="51" t="n">
        <f aca="false">Revenue!S$16*Assumptions!$C$99</f>
        <v>5940</v>
      </c>
      <c r="T12" s="51" t="n">
        <f aca="false">Revenue!T$16*Assumptions!$C$99</f>
        <v>6660</v>
      </c>
      <c r="U12" s="51" t="n">
        <f aca="false">Revenue!U$16*Assumptions!$C$99</f>
        <v>8100</v>
      </c>
      <c r="V12" s="51" t="n">
        <f aca="false">Revenue!V$16*Assumptions!$C$99</f>
        <v>8910</v>
      </c>
      <c r="W12" s="51" t="n">
        <f aca="false">Revenue!W$16*Assumptions!$C$99</f>
        <v>9990</v>
      </c>
      <c r="X12" s="51" t="n">
        <f aca="false">Revenue!X$16*Assumptions!$C$99</f>
        <v>8100</v>
      </c>
      <c r="Y12" s="51" t="n">
        <f aca="false">Revenue!Y$16*Assumptions!$C$99</f>
        <v>8910</v>
      </c>
      <c r="Z12" s="51" t="n">
        <f aca="false">Revenue!Z$16*Assumptions!$C$99</f>
        <v>9990</v>
      </c>
      <c r="AA12" s="51" t="n">
        <f aca="false">Revenue!AA$16*Assumptions!$C$99</f>
        <v>10800</v>
      </c>
      <c r="AB12" s="51" t="n">
        <f aca="false">Revenue!AB$16*Assumptions!$C$99</f>
        <v>11880</v>
      </c>
      <c r="AC12" s="51" t="n">
        <f aca="false">Revenue!AC$16*Assumptions!$C$99</f>
        <v>13320</v>
      </c>
      <c r="AD12" s="51" t="n">
        <f aca="false">Revenue!AD$16*Assumptions!$C$99</f>
        <v>10800</v>
      </c>
      <c r="AE12" s="51" t="n">
        <f aca="false">Revenue!AE$16*Assumptions!$C$99</f>
        <v>11880</v>
      </c>
      <c r="AF12" s="51" t="n">
        <f aca="false">Revenue!AF$16*Assumptions!$C$99</f>
        <v>13320</v>
      </c>
      <c r="AG12" s="51" t="n">
        <f aca="false">Revenue!AG$16*Assumptions!$C$99</f>
        <v>13500</v>
      </c>
      <c r="AH12" s="51" t="n">
        <f aca="false">Revenue!AH$16*Assumptions!$C$99</f>
        <v>14850</v>
      </c>
      <c r="AI12" s="51" t="n">
        <f aca="false">Revenue!AI$16*Assumptions!$C$99</f>
        <v>16650</v>
      </c>
      <c r="AJ12" s="51" t="n">
        <f aca="false">Revenue!AJ$16*Assumptions!$C$99</f>
        <v>13500</v>
      </c>
      <c r="AK12" s="51" t="n">
        <f aca="false">Revenue!AK$16*Assumptions!$C$99</f>
        <v>14850</v>
      </c>
      <c r="AL12" s="51" t="n">
        <f aca="false">Revenue!AL$16*Assumptions!$C$99</f>
        <v>16650</v>
      </c>
      <c r="AN12" s="52" t="n">
        <f aca="false">SUM(C12:N12)</f>
        <v>18000</v>
      </c>
      <c r="AO12" s="52" t="n">
        <f aca="false">SUM(O12:Z12)</f>
        <v>90000</v>
      </c>
      <c r="AP12" s="52" t="n">
        <f aca="false">SUM(AA12:AL12)</f>
        <v>162000</v>
      </c>
    </row>
    <row r="13" customFormat="false" ht="15" hidden="false" customHeight="false" outlineLevel="0" collapsed="false">
      <c r="A13" s="26" t="s">
        <v>545</v>
      </c>
      <c r="B13" s="24"/>
      <c r="C13" s="51" t="n">
        <f aca="false">Revenue!C$17*Assumptions!$C$100</f>
        <v>0</v>
      </c>
      <c r="D13" s="51" t="n">
        <f aca="false">Revenue!D$17*Assumptions!$C$100</f>
        <v>0</v>
      </c>
      <c r="E13" s="51" t="n">
        <f aca="false">Revenue!E$17*Assumptions!$C$100</f>
        <v>0</v>
      </c>
      <c r="F13" s="51" t="n">
        <f aca="false">Revenue!F$17*Assumptions!$C$100</f>
        <v>3300</v>
      </c>
      <c r="G13" s="51" t="n">
        <f aca="false">Revenue!G$17*Assumptions!$C$100</f>
        <v>3630</v>
      </c>
      <c r="H13" s="51" t="n">
        <f aca="false">Revenue!H$17*Assumptions!$C$100</f>
        <v>4070</v>
      </c>
      <c r="I13" s="51" t="n">
        <f aca="false">Revenue!I$17*Assumptions!$C$100</f>
        <v>3300</v>
      </c>
      <c r="J13" s="51" t="n">
        <f aca="false">Revenue!J$17*Assumptions!$C$100</f>
        <v>3630</v>
      </c>
      <c r="K13" s="51" t="n">
        <f aca="false">Revenue!K$17*Assumptions!$C$100</f>
        <v>4070</v>
      </c>
      <c r="L13" s="51" t="n">
        <f aca="false">Revenue!L$17*Assumptions!$C$100</f>
        <v>6600</v>
      </c>
      <c r="M13" s="51" t="n">
        <f aca="false">Revenue!M$17*Assumptions!$C$100</f>
        <v>7260</v>
      </c>
      <c r="N13" s="51" t="n">
        <f aca="false">Revenue!N$17*Assumptions!$C$100</f>
        <v>8140</v>
      </c>
      <c r="O13" s="51" t="n">
        <f aca="false">Revenue!O$17*Assumptions!$C$100</f>
        <v>6600</v>
      </c>
      <c r="P13" s="51" t="n">
        <f aca="false">Revenue!P$17*Assumptions!$C$100</f>
        <v>7260</v>
      </c>
      <c r="Q13" s="51" t="n">
        <f aca="false">Revenue!Q$17*Assumptions!$C$100</f>
        <v>8140</v>
      </c>
      <c r="R13" s="51" t="n">
        <f aca="false">Revenue!R$17*Assumptions!$C$100</f>
        <v>6600</v>
      </c>
      <c r="S13" s="51" t="n">
        <f aca="false">Revenue!S$17*Assumptions!$C$100</f>
        <v>7260</v>
      </c>
      <c r="T13" s="51" t="n">
        <f aca="false">Revenue!T$17*Assumptions!$C$100</f>
        <v>8140</v>
      </c>
      <c r="U13" s="51" t="n">
        <f aca="false">Revenue!U$17*Assumptions!$C$100</f>
        <v>9900</v>
      </c>
      <c r="V13" s="51" t="n">
        <f aca="false">Revenue!V$17*Assumptions!$C$100</f>
        <v>10890</v>
      </c>
      <c r="W13" s="51" t="n">
        <f aca="false">Revenue!W$17*Assumptions!$C$100</f>
        <v>12210</v>
      </c>
      <c r="X13" s="51" t="n">
        <f aca="false">Revenue!X$17*Assumptions!$C$100</f>
        <v>9900</v>
      </c>
      <c r="Y13" s="51" t="n">
        <f aca="false">Revenue!Y$17*Assumptions!$C$100</f>
        <v>10890</v>
      </c>
      <c r="Z13" s="51" t="n">
        <f aca="false">Revenue!Z$17*Assumptions!$C$100</f>
        <v>12210</v>
      </c>
      <c r="AA13" s="51" t="n">
        <f aca="false">Revenue!AA$17*Assumptions!$C$100</f>
        <v>13200</v>
      </c>
      <c r="AB13" s="51" t="n">
        <f aca="false">Revenue!AB$17*Assumptions!$C$100</f>
        <v>14520</v>
      </c>
      <c r="AC13" s="51" t="n">
        <f aca="false">Revenue!AC$17*Assumptions!$C$100</f>
        <v>16280</v>
      </c>
      <c r="AD13" s="51" t="n">
        <f aca="false">Revenue!AD$17*Assumptions!$C$100</f>
        <v>13200</v>
      </c>
      <c r="AE13" s="51" t="n">
        <f aca="false">Revenue!AE$17*Assumptions!$C$100</f>
        <v>14520</v>
      </c>
      <c r="AF13" s="51" t="n">
        <f aca="false">Revenue!AF$17*Assumptions!$C$100</f>
        <v>16280</v>
      </c>
      <c r="AG13" s="51" t="n">
        <f aca="false">Revenue!AG$17*Assumptions!$C$100</f>
        <v>16500</v>
      </c>
      <c r="AH13" s="51" t="n">
        <f aca="false">Revenue!AH$17*Assumptions!$C$100</f>
        <v>18150</v>
      </c>
      <c r="AI13" s="51" t="n">
        <f aca="false">Revenue!AI$17*Assumptions!$C$100</f>
        <v>20350</v>
      </c>
      <c r="AJ13" s="51" t="n">
        <f aca="false">Revenue!AJ$17*Assumptions!$C$100</f>
        <v>16500</v>
      </c>
      <c r="AK13" s="51" t="n">
        <f aca="false">Revenue!AK$17*Assumptions!$C$100</f>
        <v>18150</v>
      </c>
      <c r="AL13" s="51" t="n">
        <f aca="false">Revenue!AL$17*Assumptions!$C$100</f>
        <v>20350</v>
      </c>
      <c r="AN13" s="52" t="n">
        <f aca="false">SUM(C13:N13)</f>
        <v>44000</v>
      </c>
      <c r="AO13" s="52" t="n">
        <f aca="false">SUM(O13:Z13)</f>
        <v>110000</v>
      </c>
      <c r="AP13" s="52" t="n">
        <f aca="false">SUM(AA13:AL13)</f>
        <v>198000</v>
      </c>
    </row>
    <row r="14" customFormat="false" ht="15" hidden="false" customHeight="false" outlineLevel="0" collapsed="false">
      <c r="A14" s="26" t="s">
        <v>546</v>
      </c>
      <c r="B14" s="24"/>
      <c r="C14" s="51" t="n">
        <f aca="false">Revenue!C$18*Assumptions!$C$101</f>
        <v>0</v>
      </c>
      <c r="D14" s="51" t="n">
        <f aca="false">Revenue!D$18*Assumptions!$C$101</f>
        <v>0</v>
      </c>
      <c r="E14" s="51" t="n">
        <f aca="false">Revenue!E$18*Assumptions!$C$101</f>
        <v>0</v>
      </c>
      <c r="F14" s="51" t="n">
        <f aca="false">Revenue!F$18*Assumptions!$C$101</f>
        <v>0</v>
      </c>
      <c r="G14" s="51" t="n">
        <f aca="false">Revenue!G$18*Assumptions!$C$101</f>
        <v>0</v>
      </c>
      <c r="H14" s="51" t="n">
        <f aca="false">Revenue!H$18*Assumptions!$C$101</f>
        <v>0</v>
      </c>
      <c r="I14" s="51" t="n">
        <f aca="false">Revenue!I$18*Assumptions!$C$101</f>
        <v>0</v>
      </c>
      <c r="J14" s="51" t="n">
        <f aca="false">Revenue!J$18*Assumptions!$C$101</f>
        <v>0</v>
      </c>
      <c r="K14" s="51" t="n">
        <f aca="false">Revenue!K$18*Assumptions!$C$101</f>
        <v>0</v>
      </c>
      <c r="L14" s="51" t="n">
        <f aca="false">Revenue!L$18*Assumptions!$C$101</f>
        <v>3900</v>
      </c>
      <c r="M14" s="51" t="n">
        <f aca="false">Revenue!M$18*Assumptions!$C$101</f>
        <v>4290</v>
      </c>
      <c r="N14" s="51" t="n">
        <f aca="false">Revenue!N$18*Assumptions!$C$101</f>
        <v>4810</v>
      </c>
      <c r="O14" s="51" t="n">
        <f aca="false">Revenue!O$18*Assumptions!$C$101</f>
        <v>3900</v>
      </c>
      <c r="P14" s="51" t="n">
        <f aca="false">Revenue!P$18*Assumptions!$C$101</f>
        <v>4290</v>
      </c>
      <c r="Q14" s="51" t="n">
        <f aca="false">Revenue!Q$18*Assumptions!$C$101</f>
        <v>4810</v>
      </c>
      <c r="R14" s="51" t="n">
        <f aca="false">Revenue!R$18*Assumptions!$C$101</f>
        <v>3900</v>
      </c>
      <c r="S14" s="51" t="n">
        <f aca="false">Revenue!S$18*Assumptions!$C$101</f>
        <v>4290</v>
      </c>
      <c r="T14" s="51" t="n">
        <f aca="false">Revenue!T$18*Assumptions!$C$101</f>
        <v>4810</v>
      </c>
      <c r="U14" s="51" t="n">
        <f aca="false">Revenue!U$18*Assumptions!$C$101</f>
        <v>3900</v>
      </c>
      <c r="V14" s="51" t="n">
        <f aca="false">Revenue!V$18*Assumptions!$C$101</f>
        <v>4290</v>
      </c>
      <c r="W14" s="51" t="n">
        <f aca="false">Revenue!W$18*Assumptions!$C$101</f>
        <v>4810</v>
      </c>
      <c r="X14" s="51" t="n">
        <f aca="false">Revenue!X$18*Assumptions!$C$101</f>
        <v>3900</v>
      </c>
      <c r="Y14" s="51" t="n">
        <f aca="false">Revenue!Y$18*Assumptions!$C$101</f>
        <v>4290</v>
      </c>
      <c r="Z14" s="51" t="n">
        <f aca="false">Revenue!Z$18*Assumptions!$C$101</f>
        <v>4810</v>
      </c>
      <c r="AA14" s="51" t="n">
        <f aca="false">Revenue!AA$18*Assumptions!$C$101</f>
        <v>7800</v>
      </c>
      <c r="AB14" s="51" t="n">
        <f aca="false">Revenue!AB$18*Assumptions!$C$101</f>
        <v>8580</v>
      </c>
      <c r="AC14" s="51" t="n">
        <f aca="false">Revenue!AC$18*Assumptions!$C$101</f>
        <v>9620</v>
      </c>
      <c r="AD14" s="51" t="n">
        <f aca="false">Revenue!AD$18*Assumptions!$C$101</f>
        <v>7800</v>
      </c>
      <c r="AE14" s="51" t="n">
        <f aca="false">Revenue!AE$18*Assumptions!$C$101</f>
        <v>8580</v>
      </c>
      <c r="AF14" s="51" t="n">
        <f aca="false">Revenue!AF$18*Assumptions!$C$101</f>
        <v>9620</v>
      </c>
      <c r="AG14" s="51" t="n">
        <f aca="false">Revenue!AG$18*Assumptions!$C$101</f>
        <v>7800</v>
      </c>
      <c r="AH14" s="51" t="n">
        <f aca="false">Revenue!AH$18*Assumptions!$C$101</f>
        <v>8580</v>
      </c>
      <c r="AI14" s="51" t="n">
        <f aca="false">Revenue!AI$18*Assumptions!$C$101</f>
        <v>9620</v>
      </c>
      <c r="AJ14" s="51" t="n">
        <f aca="false">Revenue!AJ$18*Assumptions!$C$101</f>
        <v>11700</v>
      </c>
      <c r="AK14" s="51" t="n">
        <f aca="false">Revenue!AK$18*Assumptions!$C$101</f>
        <v>12870</v>
      </c>
      <c r="AL14" s="51" t="n">
        <f aca="false">Revenue!AL$18*Assumptions!$C$101</f>
        <v>14430</v>
      </c>
      <c r="AN14" s="52" t="n">
        <f aca="false">SUM(C14:N14)</f>
        <v>13000</v>
      </c>
      <c r="AO14" s="52" t="n">
        <f aca="false">SUM(O14:Z14)</f>
        <v>52000</v>
      </c>
      <c r="AP14" s="52" t="n">
        <f aca="false">SUM(AA14:AL14)</f>
        <v>117000</v>
      </c>
    </row>
    <row r="15" customFormat="false" ht="15" hidden="false" customHeight="false" outlineLevel="0" collapsed="false">
      <c r="A15" s="26" t="s">
        <v>547</v>
      </c>
      <c r="B15" s="24" t="s">
        <v>548</v>
      </c>
      <c r="C15" s="51" t="n">
        <f aca="false">Revenue!C$14*Assumptions!$C$102</f>
        <v>0</v>
      </c>
      <c r="D15" s="51" t="n">
        <f aca="false">Revenue!D$14*Assumptions!$C$102</f>
        <v>0</v>
      </c>
      <c r="E15" s="51" t="n">
        <f aca="false">Revenue!E$14*Assumptions!$C$102</f>
        <v>0</v>
      </c>
      <c r="F15" s="51" t="n">
        <f aca="false">Revenue!F$14*Assumptions!$C$102</f>
        <v>0</v>
      </c>
      <c r="G15" s="51" t="n">
        <f aca="false">Revenue!G$14*Assumptions!$C$102</f>
        <v>0</v>
      </c>
      <c r="H15" s="51" t="n">
        <f aca="false">Revenue!H$14*Assumptions!$C$102</f>
        <v>0</v>
      </c>
      <c r="I15" s="51" t="n">
        <f aca="false">Revenue!I$14*Assumptions!$C$102</f>
        <v>0</v>
      </c>
      <c r="J15" s="51" t="n">
        <f aca="false">Revenue!J$14*Assumptions!$C$102</f>
        <v>0</v>
      </c>
      <c r="K15" s="51" t="n">
        <f aca="false">Revenue!K$14*Assumptions!$C$102</f>
        <v>0</v>
      </c>
      <c r="L15" s="51" t="n">
        <f aca="false">Revenue!L$14*Assumptions!$C$102</f>
        <v>3120</v>
      </c>
      <c r="M15" s="51" t="n">
        <f aca="false">Revenue!M$14*Assumptions!$C$102</f>
        <v>3432</v>
      </c>
      <c r="N15" s="51" t="n">
        <f aca="false">Revenue!N$14*Assumptions!$C$102</f>
        <v>3848</v>
      </c>
      <c r="O15" s="51" t="n">
        <f aca="false">Revenue!O$14*Assumptions!$C$102</f>
        <v>4680</v>
      </c>
      <c r="P15" s="51" t="n">
        <f aca="false">Revenue!P$14*Assumptions!$C$102</f>
        <v>5148</v>
      </c>
      <c r="Q15" s="51" t="n">
        <f aca="false">Revenue!Q$14*Assumptions!$C$102</f>
        <v>5772</v>
      </c>
      <c r="R15" s="51" t="n">
        <f aca="false">Revenue!R$14*Assumptions!$C$102</f>
        <v>6240</v>
      </c>
      <c r="S15" s="51" t="n">
        <f aca="false">Revenue!S$14*Assumptions!$C$102</f>
        <v>6864</v>
      </c>
      <c r="T15" s="51" t="n">
        <f aca="false">Revenue!T$14*Assumptions!$C$102</f>
        <v>7696</v>
      </c>
      <c r="U15" s="51" t="n">
        <f aca="false">Revenue!U$14*Assumptions!$C$102</f>
        <v>9360</v>
      </c>
      <c r="V15" s="51" t="n">
        <f aca="false">Revenue!V$14*Assumptions!$C$102</f>
        <v>10296</v>
      </c>
      <c r="W15" s="51" t="n">
        <f aca="false">Revenue!W$14*Assumptions!$C$102</f>
        <v>11544</v>
      </c>
      <c r="X15" s="51" t="n">
        <f aca="false">Revenue!X$14*Assumptions!$C$102</f>
        <v>12480</v>
      </c>
      <c r="Y15" s="51" t="n">
        <f aca="false">Revenue!Y$14*Assumptions!$C$102</f>
        <v>13728</v>
      </c>
      <c r="Z15" s="51" t="n">
        <f aca="false">Revenue!Z$14*Assumptions!$C$102</f>
        <v>15392</v>
      </c>
      <c r="AA15" s="51" t="n">
        <f aca="false">Revenue!AA$14*Assumptions!$C$102</f>
        <v>18720</v>
      </c>
      <c r="AB15" s="51" t="n">
        <f aca="false">Revenue!AB$14*Assumptions!$C$102</f>
        <v>20592</v>
      </c>
      <c r="AC15" s="51" t="n">
        <f aca="false">Revenue!AC$14*Assumptions!$C$102</f>
        <v>23088</v>
      </c>
      <c r="AD15" s="51" t="n">
        <f aca="false">Revenue!AD$14*Assumptions!$C$102</f>
        <v>23400</v>
      </c>
      <c r="AE15" s="51" t="n">
        <f aca="false">Revenue!AE$14*Assumptions!$C$102</f>
        <v>25740</v>
      </c>
      <c r="AF15" s="51" t="n">
        <f aca="false">Revenue!AF$14*Assumptions!$C$102</f>
        <v>28860</v>
      </c>
      <c r="AG15" s="51" t="n">
        <f aca="false">Revenue!AG$14*Assumptions!$C$102</f>
        <v>28080</v>
      </c>
      <c r="AH15" s="51" t="n">
        <f aca="false">Revenue!AH$14*Assumptions!$C$102</f>
        <v>30888</v>
      </c>
      <c r="AI15" s="51" t="n">
        <f aca="false">Revenue!AI$14*Assumptions!$C$102</f>
        <v>34632</v>
      </c>
      <c r="AJ15" s="51" t="n">
        <f aca="false">Revenue!AJ$14*Assumptions!$C$102</f>
        <v>31200</v>
      </c>
      <c r="AK15" s="51" t="n">
        <f aca="false">Revenue!AK$14*Assumptions!$C$102</f>
        <v>34320</v>
      </c>
      <c r="AL15" s="51" t="n">
        <f aca="false">Revenue!AL$14*Assumptions!$C$102</f>
        <v>38480</v>
      </c>
      <c r="AN15" s="52" t="n">
        <f aca="false">SUM(C15:N15)</f>
        <v>10400</v>
      </c>
      <c r="AO15" s="52" t="n">
        <f aca="false">SUM(O15:Z15)</f>
        <v>109200</v>
      </c>
      <c r="AP15" s="52" t="n">
        <f aca="false">SUM(AA15:AL15)</f>
        <v>338000</v>
      </c>
    </row>
    <row r="16" customFormat="false" ht="15" hidden="false" customHeight="false" outlineLevel="0" collapsed="false">
      <c r="A16" s="26" t="s">
        <v>549</v>
      </c>
      <c r="B16" s="24"/>
      <c r="C16" s="51" t="n">
        <f aca="false">Revenue!C$20*Assumptions!$C$103</f>
        <v>0</v>
      </c>
      <c r="D16" s="51" t="n">
        <f aca="false">Revenue!D$20*Assumptions!$C$103</f>
        <v>0</v>
      </c>
      <c r="E16" s="51" t="n">
        <f aca="false">Revenue!E$20*Assumptions!$C$103</f>
        <v>0</v>
      </c>
      <c r="F16" s="51" t="n">
        <f aca="false">Revenue!F$20*Assumptions!$C$103</f>
        <v>165.6</v>
      </c>
      <c r="G16" s="51" t="n">
        <f aca="false">Revenue!G$20*Assumptions!$C$103</f>
        <v>182.16</v>
      </c>
      <c r="H16" s="51" t="n">
        <f aca="false">Revenue!H$20*Assumptions!$C$103</f>
        <v>204.24</v>
      </c>
      <c r="I16" s="51" t="n">
        <f aca="false">Revenue!I$20*Assumptions!$C$103</f>
        <v>248.4</v>
      </c>
      <c r="J16" s="51" t="n">
        <f aca="false">Revenue!J$20*Assumptions!$C$103</f>
        <v>273.24</v>
      </c>
      <c r="K16" s="51" t="n">
        <f aca="false">Revenue!K$20*Assumptions!$C$103</f>
        <v>306.36</v>
      </c>
      <c r="L16" s="51" t="n">
        <f aca="false">Revenue!L$20*Assumptions!$C$103</f>
        <v>331.2</v>
      </c>
      <c r="M16" s="51" t="n">
        <f aca="false">Revenue!M$20*Assumptions!$C$103</f>
        <v>364.32</v>
      </c>
      <c r="N16" s="51" t="n">
        <f aca="false">Revenue!N$20*Assumptions!$C$103</f>
        <v>408.48</v>
      </c>
      <c r="O16" s="51" t="n">
        <f aca="false">Revenue!O$20*Assumptions!$C$103</f>
        <v>483</v>
      </c>
      <c r="P16" s="51" t="n">
        <f aca="false">Revenue!P$20*Assumptions!$C$103</f>
        <v>531.3</v>
      </c>
      <c r="Q16" s="51" t="n">
        <f aca="false">Revenue!Q$20*Assumptions!$C$103</f>
        <v>595.7</v>
      </c>
      <c r="R16" s="51" t="n">
        <f aca="false">Revenue!R$20*Assumptions!$C$103</f>
        <v>579.6</v>
      </c>
      <c r="S16" s="51" t="n">
        <f aca="false">Revenue!S$20*Assumptions!$C$103</f>
        <v>637.56</v>
      </c>
      <c r="T16" s="51" t="n">
        <f aca="false">Revenue!T$20*Assumptions!$C$103</f>
        <v>714.84</v>
      </c>
      <c r="U16" s="51" t="n">
        <f aca="false">Revenue!U$20*Assumptions!$C$103</f>
        <v>676.2</v>
      </c>
      <c r="V16" s="51" t="n">
        <f aca="false">Revenue!V$20*Assumptions!$C$103</f>
        <v>743.82</v>
      </c>
      <c r="W16" s="51" t="n">
        <f aca="false">Revenue!W$20*Assumptions!$C$103</f>
        <v>833.98</v>
      </c>
      <c r="X16" s="51" t="n">
        <f aca="false">Revenue!X$20*Assumptions!$C$103</f>
        <v>772.8</v>
      </c>
      <c r="Y16" s="51" t="n">
        <f aca="false">Revenue!Y$20*Assumptions!$C$103</f>
        <v>850.08</v>
      </c>
      <c r="Z16" s="51" t="n">
        <f aca="false">Revenue!Z$20*Assumptions!$C$103</f>
        <v>953.12</v>
      </c>
      <c r="AA16" s="51" t="n">
        <f aca="false">Revenue!AA$20*Assumptions!$C$103</f>
        <v>1104</v>
      </c>
      <c r="AB16" s="51" t="n">
        <f aca="false">Revenue!AB$20*Assumptions!$C$103</f>
        <v>1214.4</v>
      </c>
      <c r="AC16" s="51" t="n">
        <f aca="false">Revenue!AC$20*Assumptions!$C$103</f>
        <v>1361.6</v>
      </c>
      <c r="AD16" s="51" t="n">
        <f aca="false">Revenue!AD$20*Assumptions!$C$103</f>
        <v>1214.4</v>
      </c>
      <c r="AE16" s="51" t="n">
        <f aca="false">Revenue!AE$20*Assumptions!$C$103</f>
        <v>1335.84</v>
      </c>
      <c r="AF16" s="51" t="n">
        <f aca="false">Revenue!AF$20*Assumptions!$C$103</f>
        <v>1497.76</v>
      </c>
      <c r="AG16" s="51" t="n">
        <f aca="false">Revenue!AG$20*Assumptions!$C$103</f>
        <v>1324.8</v>
      </c>
      <c r="AH16" s="51" t="n">
        <f aca="false">Revenue!AH$20*Assumptions!$C$103</f>
        <v>1457.28</v>
      </c>
      <c r="AI16" s="51" t="n">
        <f aca="false">Revenue!AI$20*Assumptions!$C$103</f>
        <v>1633.92</v>
      </c>
      <c r="AJ16" s="51" t="n">
        <f aca="false">Revenue!AJ$20*Assumptions!$C$103</f>
        <v>1435.2</v>
      </c>
      <c r="AK16" s="51" t="n">
        <f aca="false">Revenue!AK$20*Assumptions!$C$103</f>
        <v>1578.72</v>
      </c>
      <c r="AL16" s="51" t="n">
        <f aca="false">Revenue!AL$20*Assumptions!$C$103</f>
        <v>1770.08</v>
      </c>
      <c r="AN16" s="52" t="n">
        <f aca="false">SUM(C16:N16)</f>
        <v>2484</v>
      </c>
      <c r="AO16" s="52" t="n">
        <f aca="false">SUM(O16:Z16)</f>
        <v>8372</v>
      </c>
      <c r="AP16" s="52" t="n">
        <f aca="false">SUM(AA16:AL16)</f>
        <v>16928</v>
      </c>
    </row>
    <row r="17" customFormat="false" ht="15" hidden="false" customHeight="false" outlineLevel="0" collapsed="false">
      <c r="A17" s="26" t="s">
        <v>550</v>
      </c>
      <c r="B17" s="24"/>
      <c r="C17" s="51" t="n">
        <f aca="false">Acquisition!C$84*Assumptions!$C$104</f>
        <v>8.80627389230769</v>
      </c>
      <c r="D17" s="51" t="n">
        <f aca="false">Acquisition!D$84*Assumptions!$C$104</f>
        <v>17.2630429594615</v>
      </c>
      <c r="E17" s="51" t="n">
        <f aca="false">Acquisition!E$84*Assumptions!$C$104</f>
        <v>25.4016274185935</v>
      </c>
      <c r="F17" s="51" t="n">
        <f aca="false">Acquisition!F$84*Assumptions!$C$104</f>
        <v>36.4140970770644</v>
      </c>
      <c r="G17" s="51" t="n">
        <f aca="false">Acquisition!G$84*Assumptions!$C$104</f>
        <v>47.3127100009042</v>
      </c>
      <c r="H17" s="51" t="n">
        <f aca="false">Acquisition!H$84*Assumptions!$C$104</f>
        <v>58.2298245431712</v>
      </c>
      <c r="I17" s="51" t="n">
        <f aca="false">Acquisition!I$84*Assumptions!$C$104</f>
        <v>69.1309283310362</v>
      </c>
      <c r="J17" s="51" t="n">
        <f aca="false">Acquisition!J$84*Assumptions!$C$104</f>
        <v>80.0597771484473</v>
      </c>
      <c r="K17" s="51" t="n">
        <f aca="false">Acquisition!K$84*Assumptions!$C$104</f>
        <v>91.1878873690748</v>
      </c>
      <c r="L17" s="51" t="n">
        <f aca="false">Acquisition!L$84*Assumptions!$C$104</f>
        <v>112.000877329774</v>
      </c>
      <c r="M17" s="51" t="n">
        <f aca="false">Acquisition!M$84*Assumptions!$C$104</f>
        <v>133.535077342242</v>
      </c>
      <c r="N17" s="51" t="n">
        <f aca="false">Acquisition!N$84*Assumptions!$C$104</f>
        <v>156.310631154149</v>
      </c>
      <c r="O17" s="51" t="n">
        <f aca="false">Acquisition!O$84*Assumptions!$C$104</f>
        <v>204.041821740168</v>
      </c>
      <c r="P17" s="51" t="n">
        <f aca="false">Acquisition!P$84*Assumptions!$C$104</f>
        <v>252.517642293817</v>
      </c>
      <c r="Q17" s="51" t="n">
        <f aca="false">Acquisition!Q$84*Assumptions!$C$104</f>
        <v>302.668762314551</v>
      </c>
      <c r="R17" s="51" t="n">
        <f aca="false">Acquisition!R$84*Assumptions!$C$104</f>
        <v>349.887912518352</v>
      </c>
      <c r="S17" s="51" t="n">
        <f aca="false">Acquisition!S$84*Assumptions!$C$104</f>
        <v>398.482142058982</v>
      </c>
      <c r="T17" s="51" t="n">
        <f aca="false">Acquisition!T$84*Assumptions!$C$104</f>
        <v>449.556219398284</v>
      </c>
      <c r="U17" s="51" t="n">
        <f aca="false">Acquisition!U$84*Assumptions!$C$104</f>
        <v>505.375115073317</v>
      </c>
      <c r="V17" s="51" t="n">
        <f aca="false">Acquisition!V$84*Assumptions!$C$104</f>
        <v>563.703069642974</v>
      </c>
      <c r="W17" s="51" t="n">
        <f aca="false">Acquisition!W$84*Assumptions!$C$104</f>
        <v>626.100811856996</v>
      </c>
      <c r="X17" s="51" t="n">
        <f aca="false">Acquisition!X$84*Assumptions!$C$104</f>
        <v>684.800770951388</v>
      </c>
      <c r="Y17" s="51" t="n">
        <f aca="false">Acquisition!Y$84*Assumptions!$C$104</f>
        <v>746.962698094531</v>
      </c>
      <c r="Z17" s="51" t="n">
        <f aca="false">Acquisition!Z$84*Assumptions!$C$104</f>
        <v>814.465293460233</v>
      </c>
      <c r="AA17" s="51" t="n">
        <f aca="false">Acquisition!AA$84*Assumptions!$C$104</f>
        <v>950.841238549028</v>
      </c>
      <c r="AB17" s="51" t="n">
        <f aca="false">Acquisition!AB$84*Assumptions!$C$104</f>
        <v>1092.28628940883</v>
      </c>
      <c r="AC17" s="51" t="n">
        <f aca="false">Acquisition!AC$84*Assumptions!$C$104</f>
        <v>1242.30767737994</v>
      </c>
      <c r="AD17" s="51" t="n">
        <f aca="false">Acquisition!AD$84*Assumptions!$C$104</f>
        <v>1380.45961119234</v>
      </c>
      <c r="AE17" s="51" t="n">
        <f aca="false">Acquisition!AE$84*Assumptions!$C$104</f>
        <v>1525.70362088319</v>
      </c>
      <c r="AF17" s="51" t="n">
        <f aca="false">Acquisition!AF$84*Assumptions!$C$104</f>
        <v>1682.15686733796</v>
      </c>
      <c r="AG17" s="51" t="n">
        <f aca="false">Acquisition!AG$84*Assumptions!$C$104</f>
        <v>1826.08196860225</v>
      </c>
      <c r="AH17" s="51" t="n">
        <f aca="false">Acquisition!AH$84*Assumptions!$C$104</f>
        <v>1979.39599130966</v>
      </c>
      <c r="AI17" s="51" t="n">
        <f aca="false">Acquisition!AI$84*Assumptions!$C$104</f>
        <v>2146.96495099523</v>
      </c>
      <c r="AJ17" s="51" t="n">
        <f aca="false">Acquisition!AJ$84*Assumptions!$C$104</f>
        <v>2285.11950049495</v>
      </c>
      <c r="AK17" s="51" t="n">
        <f aca="false">Acquisition!AK$84*Assumptions!$C$104</f>
        <v>2434.43722746718</v>
      </c>
      <c r="AL17" s="51" t="n">
        <f aca="false">Acquisition!AL$84*Assumptions!$C$104</f>
        <v>2600.20916632566</v>
      </c>
      <c r="AN17" s="52" t="n">
        <f aca="false">SUM(C17:N17)</f>
        <v>835.652754566226</v>
      </c>
      <c r="AO17" s="52" t="n">
        <f aca="false">SUM(O17:Z17)</f>
        <v>5898.5622594036</v>
      </c>
      <c r="AP17" s="52" t="n">
        <f aca="false">SUM(AA17:AL17)</f>
        <v>21145.9641099462</v>
      </c>
    </row>
    <row r="18" customFormat="false" ht="15" hidden="false" customHeight="false" outlineLevel="0" collapsed="false">
      <c r="A18" s="26" t="s">
        <v>551</v>
      </c>
      <c r="B18" s="24" t="s">
        <v>552</v>
      </c>
      <c r="C18" s="51" t="n">
        <f aca="false">(Revenue!C$25+Revenue!C$27+Revenue!C$29)*Assumptions!$C$108*Assumptions!$C$109</f>
        <v>90</v>
      </c>
      <c r="D18" s="51" t="n">
        <f aca="false">(Revenue!D$25+Revenue!D$27+Revenue!D$29)*Assumptions!$C$108*Assumptions!$C$109</f>
        <v>99</v>
      </c>
      <c r="E18" s="51" t="n">
        <f aca="false">(Revenue!E$25+Revenue!E$27+Revenue!E$29)*Assumptions!$C$108*Assumptions!$C$109</f>
        <v>111</v>
      </c>
      <c r="F18" s="51" t="n">
        <f aca="false">(Revenue!F$25+Revenue!F$27+Revenue!F$29)*Assumptions!$C$108*Assumptions!$C$109</f>
        <v>540</v>
      </c>
      <c r="G18" s="51" t="n">
        <f aca="false">(Revenue!G$25+Revenue!G$27+Revenue!G$29)*Assumptions!$C$108*Assumptions!$C$109</f>
        <v>594</v>
      </c>
      <c r="H18" s="51" t="n">
        <f aca="false">(Revenue!H$25+Revenue!H$27+Revenue!H$29)*Assumptions!$C$108*Assumptions!$C$109</f>
        <v>666</v>
      </c>
      <c r="I18" s="51" t="n">
        <f aca="false">(Revenue!I$25+Revenue!I$27+Revenue!I$29)*Assumptions!$C$108*Assumptions!$C$109</f>
        <v>1062</v>
      </c>
      <c r="J18" s="51" t="n">
        <f aca="false">(Revenue!J$25+Revenue!J$27+Revenue!J$29)*Assumptions!$C$108*Assumptions!$C$109</f>
        <v>1168.2</v>
      </c>
      <c r="K18" s="51" t="n">
        <f aca="false">(Revenue!K$25+Revenue!K$27+Revenue!K$29)*Assumptions!$C$108*Assumptions!$C$109</f>
        <v>1309.8</v>
      </c>
      <c r="L18" s="51" t="n">
        <f aca="false">(Revenue!L$25+Revenue!L$27+Revenue!L$29)*Assumptions!$C$108*Assumptions!$C$109</f>
        <v>1614</v>
      </c>
      <c r="M18" s="51" t="n">
        <f aca="false">(Revenue!M$25+Revenue!M$27+Revenue!M$29)*Assumptions!$C$108*Assumptions!$C$109</f>
        <v>1775.4</v>
      </c>
      <c r="N18" s="51" t="n">
        <f aca="false">(Revenue!N$25+Revenue!N$27+Revenue!N$29)*Assumptions!$C$108*Assumptions!$C$109</f>
        <v>1990.6</v>
      </c>
      <c r="O18" s="51" t="n">
        <f aca="false">(Revenue!O$25+Revenue!O$27+Revenue!O$29)*Assumptions!$D$108*Assumptions!$C$109</f>
        <v>7959</v>
      </c>
      <c r="P18" s="51" t="n">
        <f aca="false">(Revenue!P$25+Revenue!P$27+Revenue!P$29)*Assumptions!$D$108*Assumptions!$C$109</f>
        <v>8754.9</v>
      </c>
      <c r="Q18" s="51" t="n">
        <f aca="false">(Revenue!Q$25+Revenue!Q$27+Revenue!Q$29)*Assumptions!$D$108*Assumptions!$C$109</f>
        <v>9816.1</v>
      </c>
      <c r="R18" s="51" t="n">
        <f aca="false">(Revenue!R$25+Revenue!R$27+Revenue!R$29)*Assumptions!$D$108*Assumptions!$C$109</f>
        <v>9433.2</v>
      </c>
      <c r="S18" s="51" t="n">
        <f aca="false">(Revenue!S$25+Revenue!S$27+Revenue!S$29)*Assumptions!$D$108*Assumptions!$C$109</f>
        <v>10376.52</v>
      </c>
      <c r="T18" s="51" t="n">
        <f aca="false">(Revenue!T$25+Revenue!T$27+Revenue!T$29)*Assumptions!$D$108*Assumptions!$C$109</f>
        <v>11634.28</v>
      </c>
      <c r="U18" s="51" t="n">
        <f aca="false">(Revenue!U$25+Revenue!U$27+Revenue!U$29)*Assumptions!$D$108*Assumptions!$C$109</f>
        <v>11260.2</v>
      </c>
      <c r="V18" s="51" t="n">
        <f aca="false">(Revenue!V$25+Revenue!V$27+Revenue!V$29)*Assumptions!$D$108*Assumptions!$C$109</f>
        <v>12386.22</v>
      </c>
      <c r="W18" s="51" t="n">
        <f aca="false">(Revenue!W$25+Revenue!W$27+Revenue!W$29)*Assumptions!$D$108*Assumptions!$C$109</f>
        <v>13887.58</v>
      </c>
      <c r="X18" s="51" t="n">
        <f aca="false">(Revenue!X$25+Revenue!X$27+Revenue!X$29)*Assumptions!$D$108*Assumptions!$C$109</f>
        <v>12537</v>
      </c>
      <c r="Y18" s="51" t="n">
        <f aca="false">(Revenue!Y$25+Revenue!Y$27+Revenue!Y$29)*Assumptions!$D$108*Assumptions!$C$109</f>
        <v>13790.7</v>
      </c>
      <c r="Z18" s="51" t="n">
        <f aca="false">(Revenue!Z$25+Revenue!Z$27+Revenue!Z$29)*Assumptions!$D$108*Assumptions!$C$109</f>
        <v>15462.3</v>
      </c>
      <c r="AA18" s="51" t="n">
        <f aca="false">(Revenue!AA$25+Revenue!AA$27+Revenue!AA$29)*Assumptions!$E$108*Assumptions!$C$109</f>
        <v>25370.4</v>
      </c>
      <c r="AB18" s="51" t="n">
        <f aca="false">(Revenue!AB$25+Revenue!AB$27+Revenue!AB$29)*Assumptions!$E$108*Assumptions!$C$109</f>
        <v>27907.44</v>
      </c>
      <c r="AC18" s="51" t="n">
        <f aca="false">(Revenue!AC$25+Revenue!AC$27+Revenue!AC$29)*Assumptions!$E$108*Assumptions!$C$109</f>
        <v>31290.16</v>
      </c>
      <c r="AD18" s="51" t="n">
        <f aca="false">(Revenue!AD$25+Revenue!AD$27+Revenue!AD$29)*Assumptions!$E$108*Assumptions!$C$109</f>
        <v>29568</v>
      </c>
      <c r="AE18" s="51" t="n">
        <f aca="false">(Revenue!AE$25+Revenue!AE$27+Revenue!AE$29)*Assumptions!$E$108*Assumptions!$C$109</f>
        <v>32524.8</v>
      </c>
      <c r="AF18" s="51" t="n">
        <f aca="false">(Revenue!AF$25+Revenue!AF$27+Revenue!AF$29)*Assumptions!$E$108*Assumptions!$C$109</f>
        <v>36467.2</v>
      </c>
      <c r="AG18" s="51" t="n">
        <f aca="false">(Revenue!AG$25+Revenue!AG$27+Revenue!AG$29)*Assumptions!$E$108*Assumptions!$C$109</f>
        <v>32214.6</v>
      </c>
      <c r="AH18" s="51" t="n">
        <f aca="false">(Revenue!AH$25+Revenue!AH$27+Revenue!AH$29)*Assumptions!$E$108*Assumptions!$C$109</f>
        <v>35436.06</v>
      </c>
      <c r="AI18" s="51" t="n">
        <f aca="false">(Revenue!AI$25+Revenue!AI$27+Revenue!AI$29)*Assumptions!$E$108*Assumptions!$C$109</f>
        <v>39731.34</v>
      </c>
      <c r="AJ18" s="51" t="n">
        <f aca="false">(Revenue!AJ$25+Revenue!AJ$27+Revenue!AJ$29)*Assumptions!$E$108*Assumptions!$C$109</f>
        <v>36412.2</v>
      </c>
      <c r="AK18" s="51" t="n">
        <f aca="false">(Revenue!AK$25+Revenue!AK$27+Revenue!AK$29)*Assumptions!$E$108*Assumptions!$C$109</f>
        <v>40053.42</v>
      </c>
      <c r="AL18" s="51" t="n">
        <f aca="false">(Revenue!AL$25+Revenue!AL$27+Revenue!AL$29)*Assumptions!$E$108*Assumptions!$C$109</f>
        <v>44908.38</v>
      </c>
      <c r="AN18" s="52" t="n">
        <f aca="false">SUM(C18:N18)</f>
        <v>11020</v>
      </c>
      <c r="AO18" s="52" t="n">
        <f aca="false">SUM(O18:Z18)</f>
        <v>137298</v>
      </c>
      <c r="AP18" s="52" t="n">
        <f aca="false">SUM(AA18:AL18)</f>
        <v>411884</v>
      </c>
    </row>
    <row r="19" customFormat="false" ht="15" hidden="false" customHeight="false" outlineLevel="0" collapsed="false">
      <c r="A19" s="26" t="s">
        <v>553</v>
      </c>
      <c r="B19" s="24" t="s">
        <v>554</v>
      </c>
      <c r="C19" s="51" t="n">
        <f aca="false">Revenue!C$33*Assumptions!$C$110+Revenue!C$35*Assumptions!$C$111</f>
        <v>0</v>
      </c>
      <c r="D19" s="51" t="n">
        <f aca="false">Revenue!D$33*Assumptions!$C$110+Revenue!D$35*Assumptions!$C$111</f>
        <v>0</v>
      </c>
      <c r="E19" s="51" t="n">
        <f aca="false">Revenue!E$33*Assumptions!$C$110+Revenue!E$35*Assumptions!$C$111</f>
        <v>0</v>
      </c>
      <c r="F19" s="51" t="n">
        <f aca="false">Revenue!F$33*Assumptions!$C$110+Revenue!F$35*Assumptions!$C$111</f>
        <v>1404</v>
      </c>
      <c r="G19" s="51" t="n">
        <f aca="false">Revenue!G$33*Assumptions!$C$110+Revenue!G$35*Assumptions!$C$111</f>
        <v>1544.4</v>
      </c>
      <c r="H19" s="51" t="n">
        <f aca="false">Revenue!H$33*Assumptions!$C$110+Revenue!H$35*Assumptions!$C$111</f>
        <v>1731.6</v>
      </c>
      <c r="I19" s="51" t="n">
        <f aca="false">Revenue!I$33*Assumptions!$C$110+Revenue!I$35*Assumptions!$C$111</f>
        <v>1476</v>
      </c>
      <c r="J19" s="51" t="n">
        <f aca="false">Revenue!J$33*Assumptions!$C$110+Revenue!J$35*Assumptions!$C$111</f>
        <v>1623.6</v>
      </c>
      <c r="K19" s="51" t="n">
        <f aca="false">Revenue!K$33*Assumptions!$C$110+Revenue!K$35*Assumptions!$C$111</f>
        <v>1820.4</v>
      </c>
      <c r="L19" s="51" t="n">
        <f aca="false">Revenue!L$33*Assumptions!$C$110+Revenue!L$35*Assumptions!$C$111</f>
        <v>2808</v>
      </c>
      <c r="M19" s="51" t="n">
        <f aca="false">Revenue!M$33*Assumptions!$C$110+Revenue!M$35*Assumptions!$C$111</f>
        <v>3088.8</v>
      </c>
      <c r="N19" s="51" t="n">
        <f aca="false">Revenue!N$33*Assumptions!$C$110+Revenue!N$35*Assumptions!$C$111</f>
        <v>3463.2</v>
      </c>
      <c r="O19" s="51" t="n">
        <f aca="false">Revenue!O$33*Assumptions!$D$110+Revenue!O$35*Assumptions!$D$111</f>
        <v>3321</v>
      </c>
      <c r="P19" s="51" t="n">
        <f aca="false">Revenue!P$33*Assumptions!$D$110+Revenue!P$35*Assumptions!$D$111</f>
        <v>3653.1</v>
      </c>
      <c r="Q19" s="51" t="n">
        <f aca="false">Revenue!Q$33*Assumptions!$D$110+Revenue!Q$35*Assumptions!$D$111</f>
        <v>4095.9</v>
      </c>
      <c r="R19" s="51" t="n">
        <f aca="false">Revenue!R$33*Assumptions!$D$110+Revenue!R$35*Assumptions!$D$111</f>
        <v>3409.2</v>
      </c>
      <c r="S19" s="51" t="n">
        <f aca="false">Revenue!S$33*Assumptions!$D$110+Revenue!S$35*Assumptions!$D$111</f>
        <v>3750.12</v>
      </c>
      <c r="T19" s="51" t="n">
        <f aca="false">Revenue!T$33*Assumptions!$D$110+Revenue!T$35*Assumptions!$D$111</f>
        <v>4204.68</v>
      </c>
      <c r="U19" s="51" t="n">
        <f aca="false">Revenue!U$33*Assumptions!$D$110+Revenue!U$35*Assumptions!$D$111</f>
        <v>4937.4</v>
      </c>
      <c r="V19" s="51" t="n">
        <f aca="false">Revenue!V$33*Assumptions!$D$110+Revenue!V$35*Assumptions!$D$111</f>
        <v>5431.14</v>
      </c>
      <c r="W19" s="51" t="n">
        <f aca="false">Revenue!W$33*Assumptions!$D$110+Revenue!W$35*Assumptions!$D$111</f>
        <v>6089.46</v>
      </c>
      <c r="X19" s="51" t="n">
        <f aca="false">Revenue!X$33*Assumptions!$D$110+Revenue!X$35*Assumptions!$D$111</f>
        <v>5025.6</v>
      </c>
      <c r="Y19" s="51" t="n">
        <f aca="false">Revenue!Y$33*Assumptions!$D$110+Revenue!Y$35*Assumptions!$D$111</f>
        <v>5528.16</v>
      </c>
      <c r="Z19" s="51" t="n">
        <f aca="false">Revenue!Z$33*Assumptions!$D$110+Revenue!Z$35*Assumptions!$D$111</f>
        <v>6198.24</v>
      </c>
      <c r="AA19" s="51" t="n">
        <f aca="false">Revenue!AA$33*Assumptions!$E$110+Revenue!AA$35*Assumptions!$E$111</f>
        <v>7104</v>
      </c>
      <c r="AB19" s="51" t="n">
        <f aca="false">Revenue!AB$33*Assumptions!$E$110+Revenue!AB$35*Assumptions!$E$111</f>
        <v>7814.4</v>
      </c>
      <c r="AC19" s="51" t="n">
        <f aca="false">Revenue!AC$33*Assumptions!$E$110+Revenue!AC$35*Assumptions!$E$111</f>
        <v>8761.6</v>
      </c>
      <c r="AD19" s="51" t="n">
        <f aca="false">Revenue!AD$33*Assumptions!$E$110+Revenue!AD$35*Assumptions!$E$111</f>
        <v>7209.6</v>
      </c>
      <c r="AE19" s="51" t="n">
        <f aca="false">Revenue!AE$33*Assumptions!$E$110+Revenue!AE$35*Assumptions!$E$111</f>
        <v>7930.56</v>
      </c>
      <c r="AF19" s="51" t="n">
        <f aca="false">Revenue!AF$33*Assumptions!$E$110+Revenue!AF$35*Assumptions!$E$111</f>
        <v>8891.84</v>
      </c>
      <c r="AG19" s="51" t="n">
        <f aca="false">Revenue!AG$33*Assumptions!$E$110+Revenue!AG$35*Assumptions!$E$111</f>
        <v>8827.2</v>
      </c>
      <c r="AH19" s="51" t="n">
        <f aca="false">Revenue!AH$33*Assumptions!$E$110+Revenue!AH$35*Assumptions!$E$111</f>
        <v>9709.92</v>
      </c>
      <c r="AI19" s="51" t="n">
        <f aca="false">Revenue!AI$33*Assumptions!$E$110+Revenue!AI$35*Assumptions!$E$111</f>
        <v>10886.88</v>
      </c>
      <c r="AJ19" s="51" t="n">
        <f aca="false">Revenue!AJ$33*Assumptions!$E$110+Revenue!AJ$35*Assumptions!$E$111</f>
        <v>8932.8</v>
      </c>
      <c r="AK19" s="51" t="n">
        <f aca="false">Revenue!AK$33*Assumptions!$E$110+Revenue!AK$35*Assumptions!$E$111</f>
        <v>9826.08</v>
      </c>
      <c r="AL19" s="51" t="n">
        <f aca="false">Revenue!AL$33*Assumptions!$E$110+Revenue!AL$35*Assumptions!$E$111</f>
        <v>11017.12</v>
      </c>
      <c r="AN19" s="52" t="n">
        <f aca="false">SUM(C19:N19)</f>
        <v>18960</v>
      </c>
      <c r="AO19" s="52" t="n">
        <f aca="false">SUM(O19:Z19)</f>
        <v>55644</v>
      </c>
      <c r="AP19" s="52" t="n">
        <f aca="false">SUM(AA19:AL19)</f>
        <v>106912</v>
      </c>
    </row>
    <row r="20" customFormat="false" ht="15" hidden="false" customHeight="false" outlineLevel="0" collapsed="false">
      <c r="A20" s="26" t="s">
        <v>555</v>
      </c>
      <c r="B20" s="24" t="s">
        <v>556</v>
      </c>
      <c r="C20" s="51" t="n">
        <f aca="false">Revenue!C$30*Assumptions!$C$112+Revenue!C$44*Assumptions!$C$113</f>
        <v>3.17494712668269</v>
      </c>
      <c r="D20" s="51" t="n">
        <f aca="false">Revenue!D$30*Assumptions!$C$112+Revenue!D$44*Assumptions!$C$113</f>
        <v>6.36675905805289</v>
      </c>
      <c r="E20" s="51" t="n">
        <f aca="false">Revenue!E$30*Assumptions!$C$112+Revenue!E$44*Assumptions!$C$113</f>
        <v>9.58105739567308</v>
      </c>
      <c r="F20" s="51" t="n">
        <f aca="false">Revenue!F$30*Assumptions!$C$112+Revenue!F$44*Assumptions!$C$113</f>
        <v>13.9635245379808</v>
      </c>
      <c r="G20" s="51" t="n">
        <f aca="false">Revenue!G$30*Assumptions!$C$112+Revenue!G$44*Assumptions!$C$113</f>
        <v>18.4836084865385</v>
      </c>
      <c r="H20" s="51" t="n">
        <f aca="false">Revenue!H$30*Assumptions!$C$112+Revenue!H$44*Assumptions!$C$113</f>
        <v>23.1871815100962</v>
      </c>
      <c r="I20" s="51" t="n">
        <f aca="false">Revenue!I$30*Assumptions!$C$112+Revenue!I$44*Assumptions!$C$113</f>
        <v>28.0621009492788</v>
      </c>
      <c r="J20" s="51" t="n">
        <f aca="false">Revenue!J$30*Assumptions!$C$112+Revenue!J$44*Assumptions!$C$113</f>
        <v>33.123882424399</v>
      </c>
      <c r="K20" s="51" t="n">
        <f aca="false">Revenue!K$30*Assumptions!$C$112+Revenue!K$44*Assumptions!$C$113</f>
        <v>38.4348132807692</v>
      </c>
      <c r="L20" s="51" t="n">
        <f aca="false">Revenue!L$30*Assumptions!$C$112+Revenue!L$44*Assumptions!$C$113</f>
        <v>1103.41799914183</v>
      </c>
      <c r="M20" s="51" t="n">
        <f aca="false">Revenue!M$30*Assumptions!$C$112+Revenue!M$44*Assumptions!$C$113</f>
        <v>1218.59887368101</v>
      </c>
      <c r="N20" s="51" t="n">
        <f aca="false">Revenue!N$30*Assumptions!$C$112+Revenue!N$44*Assumptions!$C$113</f>
        <v>1369.77666645769</v>
      </c>
      <c r="O20" s="51" t="n">
        <f aca="false">Revenue!O$30*Assumptions!$D$112+Revenue!O$44*Assumptions!$C$113</f>
        <v>1523.94633754831</v>
      </c>
      <c r="P20" s="51" t="n">
        <f aca="false">Revenue!P$30*Assumptions!$D$112+Revenue!P$44*Assumptions!$C$113</f>
        <v>1685.54199591637</v>
      </c>
      <c r="Q20" s="51" t="n">
        <f aca="false">Revenue!Q$30*Assumptions!$D$112+Revenue!Q$44*Assumptions!$C$113</f>
        <v>1896.50563732101</v>
      </c>
      <c r="R20" s="51" t="n">
        <f aca="false">Revenue!R$30*Assumptions!$D$112+Revenue!R$44*Assumptions!$C$113</f>
        <v>2058.057689466</v>
      </c>
      <c r="S20" s="51" t="n">
        <f aca="false">Revenue!S$30*Assumptions!$D$112+Revenue!S$44*Assumptions!$C$113</f>
        <v>2268.73396699387</v>
      </c>
      <c r="T20" s="51" t="n">
        <f aca="false">Revenue!T$30*Assumptions!$D$112+Revenue!T$44*Assumptions!$C$113</f>
        <v>2544.9092116989</v>
      </c>
      <c r="U20" s="51" t="n">
        <f aca="false">Revenue!U$30*Assumptions!$D$112+Revenue!U$44*Assumptions!$C$113</f>
        <v>3079.45239446827</v>
      </c>
      <c r="V20" s="51" t="n">
        <f aca="false">Revenue!V$30*Assumptions!$D$112+Revenue!V$44*Assumptions!$C$113</f>
        <v>3391.61891568295</v>
      </c>
      <c r="W20" s="51" t="n">
        <f aca="false">Revenue!W$30*Assumptions!$D$112+Revenue!W$44*Assumptions!$C$113</f>
        <v>3801.94988815805</v>
      </c>
      <c r="X20" s="51" t="n">
        <f aca="false">Revenue!X$30*Assumptions!$D$112+Revenue!X$44*Assumptions!$C$113</f>
        <v>4112.28777334804</v>
      </c>
      <c r="Y20" s="51" t="n">
        <f aca="false">Revenue!Y$30*Assumptions!$D$112+Revenue!Y$44*Assumptions!$C$113</f>
        <v>4520.22846722541</v>
      </c>
      <c r="Z20" s="51" t="n">
        <f aca="false">Revenue!Z$30*Assumptions!$D$112+Revenue!Z$44*Assumptions!$C$113</f>
        <v>5058.30623935262</v>
      </c>
      <c r="AA20" s="51" t="n">
        <f aca="false">Revenue!AA$30*Assumptions!$E$112+Revenue!AA$44*Assumptions!$C$113</f>
        <v>4900.94341991568</v>
      </c>
      <c r="AB20" s="51" t="n">
        <f aca="false">Revenue!AB$30*Assumptions!$E$112+Revenue!AB$44*Assumptions!$C$113</f>
        <v>5400.17788295444</v>
      </c>
      <c r="AC20" s="51" t="n">
        <f aca="false">Revenue!AC$30*Assumptions!$E$112+Revenue!AC$44*Assumptions!$C$113</f>
        <v>6054.60872262744</v>
      </c>
      <c r="AD20" s="51" t="n">
        <f aca="false">Revenue!AD$30*Assumptions!$E$112+Revenue!AD$44*Assumptions!$C$113</f>
        <v>6178.23760062051</v>
      </c>
      <c r="AE20" s="51" t="n">
        <f aca="false">Revenue!AE$30*Assumptions!$E$112+Revenue!AE$44*Assumptions!$C$113</f>
        <v>6796.80293083227</v>
      </c>
      <c r="AF20" s="51" t="n">
        <f aca="false">Revenue!AF$30*Assumptions!$E$112+Revenue!AF$44*Assumptions!$C$113</f>
        <v>7609.08353066894</v>
      </c>
      <c r="AG20" s="51" t="n">
        <f aca="false">Revenue!AG$30*Assumptions!$E$112+Revenue!AG$44*Assumptions!$C$113</f>
        <v>7471.84633463138</v>
      </c>
      <c r="AH20" s="51" t="n">
        <f aca="false">Revenue!AH$30*Assumptions!$E$112+Revenue!AH$44*Assumptions!$C$113</f>
        <v>8207.91898340945</v>
      </c>
      <c r="AI20" s="51" t="n">
        <f aca="false">Revenue!AI$30*Assumptions!$E$112+Revenue!AI$44*Assumptions!$C$113</f>
        <v>9176.00475860835</v>
      </c>
      <c r="AJ20" s="51" t="n">
        <f aca="false">Revenue!AJ$30*Assumptions!$E$112+Revenue!AJ$44*Assumptions!$C$113</f>
        <v>8397.72514979079</v>
      </c>
      <c r="AK20" s="51" t="n">
        <f aca="false">Revenue!AK$30*Assumptions!$E$112+Revenue!AK$44*Assumptions!$C$113</f>
        <v>9211.11114451086</v>
      </c>
      <c r="AL20" s="51" t="n">
        <f aca="false">Revenue!AL$30*Assumptions!$E$112+Revenue!AL$44*Assumptions!$C$113</f>
        <v>10281.9179439478</v>
      </c>
      <c r="AN20" s="52" t="n">
        <f aca="false">SUM(C20:N20)</f>
        <v>3866.17141405</v>
      </c>
      <c r="AO20" s="52" t="n">
        <f aca="false">SUM(O20:Z20)</f>
        <v>35941.5385171798</v>
      </c>
      <c r="AP20" s="52" t="n">
        <f aca="false">SUM(AA20:AL20)</f>
        <v>89686.3784025179</v>
      </c>
    </row>
    <row r="21" customFormat="false" ht="15" hidden="false" customHeight="false" outlineLevel="0" collapsed="false">
      <c r="A21" s="53" t="s">
        <v>557</v>
      </c>
      <c r="B21" s="54"/>
      <c r="C21" s="55" t="n">
        <f aca="false">SUM(C7:C20)</f>
        <v>3386.98122101899</v>
      </c>
      <c r="D21" s="55" t="n">
        <f aca="false">SUM(D7:D20)</f>
        <v>3736.12980201752</v>
      </c>
      <c r="E21" s="55" t="n">
        <f aca="false">SUM(E7:E20)</f>
        <v>4197.48268481427</v>
      </c>
      <c r="F21" s="55" t="n">
        <f aca="false">SUM(F7:F20)</f>
        <v>10715.977621615</v>
      </c>
      <c r="G21" s="55" t="n">
        <f aca="false">SUM(G7:G20)</f>
        <v>11797.9563184874</v>
      </c>
      <c r="H21" s="55" t="n">
        <f aca="false">SUM(H7:H20)</f>
        <v>13235.6570060533</v>
      </c>
      <c r="I21" s="55" t="n">
        <f aca="false">SUM(I7:I20)</f>
        <v>17469.5930292803</v>
      </c>
      <c r="J21" s="55" t="n">
        <f aca="false">SUM(J7:J20)</f>
        <v>19222.8236595728</v>
      </c>
      <c r="K21" s="55" t="n">
        <f aca="false">SUM(K7:K20)</f>
        <v>21555.5827006498</v>
      </c>
      <c r="L21" s="55" t="n">
        <f aca="false">SUM(L7:L20)</f>
        <v>36244.6188764716</v>
      </c>
      <c r="M21" s="55" t="n">
        <f aca="false">SUM(M7:M20)</f>
        <v>39884.2539510233</v>
      </c>
      <c r="N21" s="55" t="n">
        <f aca="false">SUM(N7:N20)</f>
        <v>44728.7672976118</v>
      </c>
      <c r="O21" s="55" t="n">
        <f aca="false">SUM(O7:O20)</f>
        <v>52436.9881592885</v>
      </c>
      <c r="P21" s="55" t="n">
        <f aca="false">SUM(P7:P20)</f>
        <v>57717.9596382102</v>
      </c>
      <c r="Q21" s="55" t="n">
        <f aca="false">SUM(Q7:Q20)</f>
        <v>64740.2743996356</v>
      </c>
      <c r="R21" s="55" t="n">
        <f aca="false">SUM(R7:R20)</f>
        <v>60508.9456019844</v>
      </c>
      <c r="S21" s="55" t="n">
        <f aca="false">SUM(S7:S20)</f>
        <v>66578.3161090529</v>
      </c>
      <c r="T21" s="55" t="n">
        <f aca="false">SUM(T7:T20)</f>
        <v>74652.3654310972</v>
      </c>
      <c r="U21" s="55" t="n">
        <f aca="false">SUM(U7:U20)</f>
        <v>78214.6275095416</v>
      </c>
      <c r="V21" s="55" t="n">
        <f aca="false">SUM(V7:V20)</f>
        <v>86048.1019853259</v>
      </c>
      <c r="W21" s="55" t="n">
        <f aca="false">SUM(W7:W20)</f>
        <v>96471.470700015</v>
      </c>
      <c r="X21" s="55" t="n">
        <f aca="false">SUM(X7:X20)</f>
        <v>87728.4885442994</v>
      </c>
      <c r="Y21" s="55" t="n">
        <f aca="false">SUM(Y7:Y20)</f>
        <v>96491.7311653199</v>
      </c>
      <c r="Z21" s="55" t="n">
        <f aca="false">SUM(Z7:Z20)</f>
        <v>108154.831532813</v>
      </c>
      <c r="AA21" s="55" t="n">
        <f aca="false">SUM(AA7:AA20)</f>
        <v>127303.184658465</v>
      </c>
      <c r="AB21" s="55" t="n">
        <f aca="false">SUM(AB7:AB20)</f>
        <v>140089.004172363</v>
      </c>
      <c r="AC21" s="55" t="n">
        <f aca="false">SUM(AC7:AC20)</f>
        <v>157086.976400007</v>
      </c>
      <c r="AD21" s="55" t="n">
        <f aca="false">SUM(AD7:AD20)</f>
        <v>144583.697211813</v>
      </c>
      <c r="AE21" s="55" t="n">
        <f aca="false">SUM(AE7:AE20)</f>
        <v>159050.006551715</v>
      </c>
      <c r="AF21" s="55" t="n">
        <f aca="false">SUM(AF7:AF20)</f>
        <v>178288.740398007</v>
      </c>
      <c r="AG21" s="55" t="n">
        <f aca="false">SUM(AG7:AG20)</f>
        <v>164794.528303234</v>
      </c>
      <c r="AH21" s="55" t="n">
        <f aca="false">SUM(AH7:AH20)</f>
        <v>181233.574974719</v>
      </c>
      <c r="AI21" s="55" t="n">
        <f aca="false">SUM(AI7:AI20)</f>
        <v>203102.109709604</v>
      </c>
      <c r="AJ21" s="55" t="n">
        <f aca="false">SUM(AJ7:AJ20)</f>
        <v>184093.044650286</v>
      </c>
      <c r="AK21" s="55" t="n">
        <f aca="false">SUM(AK7:AK20)</f>
        <v>202396.768371978</v>
      </c>
      <c r="AL21" s="55" t="n">
        <f aca="false">SUM(AL7:AL20)</f>
        <v>226754.707110273</v>
      </c>
      <c r="AN21" s="52" t="n">
        <f aca="false">SUM(C21:N21)</f>
        <v>226175.824168616</v>
      </c>
      <c r="AO21" s="52" t="n">
        <f aca="false">SUM(O21:Z21)</f>
        <v>929744.100776583</v>
      </c>
      <c r="AP21" s="52" t="n">
        <f aca="false">SUM(AA21:AL21)</f>
        <v>2068776.34251246</v>
      </c>
    </row>
    <row r="22" customFormat="false" ht="15" hidden="false" customHeight="false" outlineLevel="0" collapsed="false">
      <c r="A22" s="13" t="s">
        <v>65</v>
      </c>
      <c r="B22" s="69"/>
      <c r="C22" s="70" t="n">
        <f aca="false">Revenue!C$49-C21</f>
        <v>-1046.26844597091</v>
      </c>
      <c r="D22" s="70" t="n">
        <f aca="false">Revenue!D$49-D21</f>
        <v>-1079.22240035886</v>
      </c>
      <c r="E22" s="70" t="n">
        <f aca="false">Revenue!E$49-E21</f>
        <v>-1148.73818779504</v>
      </c>
      <c r="F22" s="70" t="n">
        <f aca="false">Revenue!F$49-F21</f>
        <v>13022.9802223273</v>
      </c>
      <c r="G22" s="70" t="n">
        <f aca="false">Revenue!G$49-G21</f>
        <v>14404.1467811279</v>
      </c>
      <c r="H22" s="70" t="n">
        <f aca="false">Revenue!H$49-H21</f>
        <v>16212.8338942352</v>
      </c>
      <c r="I22" s="70" t="n">
        <f aca="false">Revenue!I$49-I21</f>
        <v>30942.1812835562</v>
      </c>
      <c r="J22" s="70" t="n">
        <f aca="false">Revenue!J$49-J21</f>
        <v>34094.5729811243</v>
      </c>
      <c r="K22" s="70" t="n">
        <f aca="false">Revenue!K$49-K21</f>
        <v>38261.5548216578</v>
      </c>
      <c r="L22" s="70" t="n">
        <f aca="false">Revenue!L$49-L21</f>
        <v>73440.1810990092</v>
      </c>
      <c r="M22" s="70" t="n">
        <f aca="false">Revenue!M$49-M21</f>
        <v>80907.2852970056</v>
      </c>
      <c r="N22" s="70" t="n">
        <f aca="false">Revenue!N$49-N21</f>
        <v>90803.2803154651</v>
      </c>
      <c r="O22" s="70" t="n">
        <f aca="false">Revenue!O$49-O21</f>
        <v>102571.478627806</v>
      </c>
      <c r="P22" s="70" t="n">
        <f aca="false">Revenue!P$49-P21</f>
        <v>113054.240245115</v>
      </c>
      <c r="Q22" s="70" t="n">
        <f aca="false">Revenue!Q$49-Q21</f>
        <v>126921.743809536</v>
      </c>
      <c r="R22" s="70" t="n">
        <f aca="false">Revenue!R$49-R21</f>
        <v>117207.55981133</v>
      </c>
      <c r="S22" s="70" t="n">
        <f aca="false">Revenue!S$49-S21</f>
        <v>129048.997233629</v>
      </c>
      <c r="T22" s="70" t="n">
        <f aca="false">Revenue!T$49-T21</f>
        <v>144720.983474586</v>
      </c>
      <c r="U22" s="70" t="n">
        <f aca="false">Revenue!U$49-U21</f>
        <v>159288.012332409</v>
      </c>
      <c r="V22" s="70" t="n">
        <f aca="false">Revenue!V$49-V21</f>
        <v>175325.40989133</v>
      </c>
      <c r="W22" s="70" t="n">
        <f aca="false">Revenue!W$49-W21</f>
        <v>196561.554675929</v>
      </c>
      <c r="X22" s="70" t="n">
        <f aca="false">Revenue!X$49-X21</f>
        <v>177607.162122788</v>
      </c>
      <c r="Y22" s="70" t="n">
        <f aca="false">Revenue!Y$49-Y21</f>
        <v>195283.539326835</v>
      </c>
      <c r="Z22" s="70" t="n">
        <f aca="false">Revenue!Z$49-Z21</f>
        <v>218706.318162976</v>
      </c>
      <c r="AA22" s="70" t="n">
        <f aca="false">Revenue!AA$49-AA21</f>
        <v>249903.770196269</v>
      </c>
      <c r="AB22" s="70" t="n">
        <f aca="false">Revenue!AB$49-AB21</f>
        <v>275099.792483478</v>
      </c>
      <c r="AC22" s="70" t="n">
        <f aca="false">Revenue!AC$49-AC21</f>
        <v>308423.844246491</v>
      </c>
      <c r="AD22" s="70" t="n">
        <f aca="false">Revenue!AD$49-AD21</f>
        <v>276953.37709163</v>
      </c>
      <c r="AE22" s="70" t="n">
        <f aca="false">Revenue!AE$49-AE21</f>
        <v>304661.962900635</v>
      </c>
      <c r="AF22" s="70" t="n">
        <f aca="false">Revenue!AF$49-AF21</f>
        <v>341300.046192534</v>
      </c>
      <c r="AG22" s="70" t="n">
        <f aca="false">Revenue!AG$49-AG21</f>
        <v>324488.795543377</v>
      </c>
      <c r="AH22" s="70" t="n">
        <f aca="false">Revenue!AH$49-AH21</f>
        <v>356660.595979837</v>
      </c>
      <c r="AI22" s="70" t="n">
        <f aca="false">Revenue!AI$49-AI21</f>
        <v>399225.254822064</v>
      </c>
      <c r="AJ22" s="70" t="n">
        <f aca="false">Revenue!AJ$49-AJ21</f>
        <v>362879.959629451</v>
      </c>
      <c r="AK22" s="70" t="n">
        <f aca="false">Revenue!AK$49-AK21</f>
        <v>398519.635756904</v>
      </c>
      <c r="AL22" s="70" t="n">
        <f aca="false">Revenue!AL$49-AL21</f>
        <v>445694.57700252</v>
      </c>
      <c r="AN22" s="52" t="n">
        <f aca="false">SUM(C22:N22)</f>
        <v>388814.787661384</v>
      </c>
      <c r="AO22" s="52" t="n">
        <f aca="false">SUM(O22:Z22)</f>
        <v>1856296.99971427</v>
      </c>
      <c r="AP22" s="52" t="n">
        <f aca="false">SUM(AA22:AL22)</f>
        <v>4043811.61184519</v>
      </c>
    </row>
    <row r="23" customFormat="false" ht="15" hidden="false" customHeight="false" outlineLevel="0" collapsed="false">
      <c r="A23" s="26" t="s">
        <v>558</v>
      </c>
      <c r="B23" s="24"/>
      <c r="C23" s="75" t="n">
        <f aca="false">IFERROR(C22/Revenue!C$49,0)</f>
        <v>-0.446987113123875</v>
      </c>
      <c r="D23" s="75" t="n">
        <f aca="false">IFERROR(D22/Revenue!D$49,0)</f>
        <v>-0.406194961738269</v>
      </c>
      <c r="E23" s="75" t="n">
        <f aca="false">IFERROR(E22/Revenue!E$49,0)</f>
        <v>-0.376790573601088</v>
      </c>
      <c r="F23" s="75" t="n">
        <f aca="false">IFERROR(F22/Revenue!F$49,0)</f>
        <v>0.548591067389694</v>
      </c>
      <c r="G23" s="75" t="n">
        <f aca="false">IFERROR(G22/Revenue!G$49,0)</f>
        <v>0.549732467136937</v>
      </c>
      <c r="H23" s="75" t="n">
        <f aca="false">IFERROR(H22/Revenue!H$49,0)</f>
        <v>0.550548887178337</v>
      </c>
      <c r="I23" s="75" t="n">
        <f aca="false">IFERROR(I22/Revenue!I$49,0)</f>
        <v>0.639145780603042</v>
      </c>
      <c r="J23" s="75" t="n">
        <f aca="false">IFERROR(J22/Revenue!J$49,0)</f>
        <v>0.639464323640662</v>
      </c>
      <c r="K23" s="75" t="n">
        <f aca="false">IFERROR(K22/Revenue!K$49,0)</f>
        <v>0.639642022445305</v>
      </c>
      <c r="L23" s="75" t="n">
        <f aca="false">IFERROR(L22/Revenue!L$49,0)</f>
        <v>0.669556594126316</v>
      </c>
      <c r="M23" s="75" t="n">
        <f aca="false">IFERROR(M22/Revenue!M$49,0)</f>
        <v>0.669809208498234</v>
      </c>
      <c r="N23" s="75" t="n">
        <f aca="false">IFERROR(N22/Revenue!N$49,0)</f>
        <v>0.66997645143453</v>
      </c>
      <c r="O23" s="75" t="n">
        <f aca="false">IFERROR(O22/Revenue!O$49,0)</f>
        <v>0.661715329193527</v>
      </c>
      <c r="P23" s="75" t="n">
        <f aca="false">IFERROR(P22/Revenue!P$49,0)</f>
        <v>0.66201782446063</v>
      </c>
      <c r="Q23" s="75" t="n">
        <f aca="false">IFERROR(Q22/Revenue!Q$49,0)</f>
        <v>0.662216463102351</v>
      </c>
      <c r="R23" s="75" t="n">
        <f aca="false">IFERROR(R22/Revenue!R$49,0)</f>
        <v>0.659519832098549</v>
      </c>
      <c r="S23" s="75" t="n">
        <f aca="false">IFERROR(S22/Revenue!S$49,0)</f>
        <v>0.6596675843908</v>
      </c>
      <c r="T23" s="75" t="n">
        <f aca="false">IFERROR(T22/Revenue!T$49,0)</f>
        <v>0.65970175591752</v>
      </c>
      <c r="U23" s="75" t="n">
        <f aca="false">IFERROR(U22/Revenue!U$49,0)</f>
        <v>0.670678913036122</v>
      </c>
      <c r="V23" s="75" t="n">
        <f aca="false">IFERROR(V22/Revenue!V$49,0)</f>
        <v>0.670784918611291</v>
      </c>
      <c r="W23" s="75" t="n">
        <f aca="false">IFERROR(W22/Revenue!W$49,0)</f>
        <v>0.670782941355338</v>
      </c>
      <c r="X23" s="75" t="n">
        <f aca="false">IFERROR(X22/Revenue!X$49,0)</f>
        <v>0.669367880555293</v>
      </c>
      <c r="Y23" s="75" t="n">
        <f aca="false">IFERROR(Y22/Revenue!Y$49,0)</f>
        <v>0.669294347658177</v>
      </c>
      <c r="Z23" s="75" t="n">
        <f aca="false">IFERROR(Z22/Revenue!Z$49,0)</f>
        <v>0.669110777975685</v>
      </c>
      <c r="AA23" s="75" t="n">
        <f aca="false">IFERROR(AA22/Revenue!AA$49,0)</f>
        <v>0.662511035334726</v>
      </c>
      <c r="AB23" s="75" t="n">
        <f aca="false">IFERROR(AB22/Revenue!AB$49,0)</f>
        <v>0.662589633196471</v>
      </c>
      <c r="AC23" s="75" t="n">
        <f aca="false">IFERROR(AC22/Revenue!AC$49,0)</f>
        <v>0.662549248196109</v>
      </c>
      <c r="AD23" s="75" t="n">
        <f aca="false">IFERROR(AD22/Revenue!AD$49,0)</f>
        <v>0.657008348670811</v>
      </c>
      <c r="AE23" s="75" t="n">
        <f aca="false">IFERROR(AE22/Revenue!AE$49,0)</f>
        <v>0.6570068986152</v>
      </c>
      <c r="AF23" s="75" t="n">
        <f aca="false">IFERROR(AF22/Revenue!AF$49,0)</f>
        <v>0.656865688792267</v>
      </c>
      <c r="AG23" s="75" t="n">
        <f aca="false">IFERROR(AG22/Revenue!AG$49,0)</f>
        <v>0.663192019283093</v>
      </c>
      <c r="AH23" s="75" t="n">
        <f aca="false">IFERROR(AH22/Revenue!AH$49,0)</f>
        <v>0.663068341764888</v>
      </c>
      <c r="AI23" s="75" t="n">
        <f aca="false">IFERROR(AI22/Revenue!AI$49,0)</f>
        <v>0.662804445440523</v>
      </c>
      <c r="AJ23" s="75" t="n">
        <f aca="false">IFERROR(AJ22/Revenue!AJ$49,0)</f>
        <v>0.663433033788016</v>
      </c>
      <c r="AK23" s="75" t="n">
        <f aca="false">IFERROR(AK22/Revenue!AK$49,0)</f>
        <v>0.663186481544995</v>
      </c>
      <c r="AL23" s="75" t="n">
        <f aca="false">IFERROR(AL22/Revenue!AL$49,0)</f>
        <v>0.662792849263798</v>
      </c>
      <c r="AN23" s="72" t="n">
        <f aca="false">IFERROR(AVERAGE(C23:N23),0)</f>
        <v>0.362207846165819</v>
      </c>
      <c r="AO23" s="72" t="n">
        <f aca="false">IFERROR(AVERAGE(O23:Z23),0)</f>
        <v>0.665404880696274</v>
      </c>
      <c r="AP23" s="72" t="n">
        <f aca="false">IFERROR(AVERAGE(AA23:AL23),0)</f>
        <v>0.661417335324241</v>
      </c>
    </row>
    <row r="25" customFormat="false" ht="16.5" hidden="false" customHeight="true" outlineLevel="0" collapsed="false">
      <c r="A25" s="21" t="s">
        <v>559</v>
      </c>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row>
    <row r="26" customFormat="false" ht="15.75" hidden="false" customHeight="true" outlineLevel="0" collapsed="false">
      <c r="A26" s="36" t="s">
        <v>345</v>
      </c>
      <c r="B26" s="36" t="s">
        <v>346</v>
      </c>
      <c r="C26" s="47" t="s">
        <v>347</v>
      </c>
      <c r="D26" s="47" t="s">
        <v>348</v>
      </c>
      <c r="E26" s="47" t="s">
        <v>349</v>
      </c>
      <c r="F26" s="47" t="s">
        <v>350</v>
      </c>
      <c r="G26" s="47" t="s">
        <v>351</v>
      </c>
      <c r="H26" s="47" t="s">
        <v>352</v>
      </c>
      <c r="I26" s="47" t="s">
        <v>353</v>
      </c>
      <c r="J26" s="47" t="s">
        <v>354</v>
      </c>
      <c r="K26" s="47" t="s">
        <v>355</v>
      </c>
      <c r="L26" s="47" t="s">
        <v>356</v>
      </c>
      <c r="M26" s="47" t="s">
        <v>357</v>
      </c>
      <c r="N26" s="47" t="s">
        <v>358</v>
      </c>
      <c r="O26" s="48" t="s">
        <v>359</v>
      </c>
      <c r="P26" s="48" t="s">
        <v>360</v>
      </c>
      <c r="Q26" s="48" t="s">
        <v>361</v>
      </c>
      <c r="R26" s="48" t="s">
        <v>362</v>
      </c>
      <c r="S26" s="48" t="s">
        <v>363</v>
      </c>
      <c r="T26" s="48" t="s">
        <v>364</v>
      </c>
      <c r="U26" s="48" t="s">
        <v>365</v>
      </c>
      <c r="V26" s="48" t="s">
        <v>366</v>
      </c>
      <c r="W26" s="48" t="s">
        <v>367</v>
      </c>
      <c r="X26" s="48" t="s">
        <v>368</v>
      </c>
      <c r="Y26" s="48" t="s">
        <v>369</v>
      </c>
      <c r="Z26" s="48" t="s">
        <v>370</v>
      </c>
      <c r="AA26" s="47" t="s">
        <v>371</v>
      </c>
      <c r="AB26" s="47" t="s">
        <v>372</v>
      </c>
      <c r="AC26" s="47" t="s">
        <v>373</v>
      </c>
      <c r="AD26" s="47" t="s">
        <v>374</v>
      </c>
      <c r="AE26" s="47" t="s">
        <v>375</v>
      </c>
      <c r="AF26" s="47" t="s">
        <v>376</v>
      </c>
      <c r="AG26" s="47" t="s">
        <v>377</v>
      </c>
      <c r="AH26" s="47" t="s">
        <v>378</v>
      </c>
      <c r="AI26" s="47" t="s">
        <v>379</v>
      </c>
      <c r="AJ26" s="47" t="s">
        <v>380</v>
      </c>
      <c r="AK26" s="47" t="s">
        <v>381</v>
      </c>
      <c r="AL26" s="47" t="s">
        <v>382</v>
      </c>
      <c r="AM26" s="49"/>
      <c r="AN26" s="50" t="s">
        <v>383</v>
      </c>
      <c r="AO26" s="50" t="s">
        <v>384</v>
      </c>
      <c r="AP26" s="50" t="s">
        <v>385</v>
      </c>
    </row>
    <row r="27" customFormat="false" ht="15" hidden="false" customHeight="false" outlineLevel="0" collapsed="false">
      <c r="A27" s="26" t="s">
        <v>560</v>
      </c>
      <c r="B27" s="24" t="s">
        <v>561</v>
      </c>
      <c r="C27" s="65" t="n">
        <f aca="false">HR_Model!C$50</f>
        <v>17325</v>
      </c>
      <c r="D27" s="65" t="n">
        <f aca="false">HR_Model!D$50</f>
        <v>17325</v>
      </c>
      <c r="E27" s="65" t="n">
        <f aca="false">HR_Model!E$50</f>
        <v>17325</v>
      </c>
      <c r="F27" s="65" t="n">
        <f aca="false">HR_Model!F$50</f>
        <v>17325</v>
      </c>
      <c r="G27" s="65" t="n">
        <f aca="false">HR_Model!G$50</f>
        <v>17325</v>
      </c>
      <c r="H27" s="65" t="n">
        <f aca="false">HR_Model!H$50</f>
        <v>17325</v>
      </c>
      <c r="I27" s="65" t="n">
        <f aca="false">HR_Model!I$50</f>
        <v>17325</v>
      </c>
      <c r="J27" s="65" t="n">
        <f aca="false">HR_Model!J$50</f>
        <v>17325</v>
      </c>
      <c r="K27" s="65" t="n">
        <f aca="false">HR_Model!K$50</f>
        <v>17325</v>
      </c>
      <c r="L27" s="65" t="n">
        <f aca="false">HR_Model!L$50</f>
        <v>17325</v>
      </c>
      <c r="M27" s="65" t="n">
        <f aca="false">HR_Model!M$50</f>
        <v>17325</v>
      </c>
      <c r="N27" s="65" t="n">
        <f aca="false">HR_Model!N$50</f>
        <v>17325</v>
      </c>
      <c r="O27" s="65" t="n">
        <f aca="false">HR_Model!O$50</f>
        <v>30436.56</v>
      </c>
      <c r="P27" s="65" t="n">
        <f aca="false">HR_Model!P$50</f>
        <v>30436.56</v>
      </c>
      <c r="Q27" s="65" t="n">
        <f aca="false">HR_Model!Q$50</f>
        <v>30436.56</v>
      </c>
      <c r="R27" s="65" t="n">
        <f aca="false">HR_Model!R$50</f>
        <v>30436.56</v>
      </c>
      <c r="S27" s="65" t="n">
        <f aca="false">HR_Model!S$50</f>
        <v>30436.56</v>
      </c>
      <c r="T27" s="65" t="n">
        <f aca="false">HR_Model!T$50</f>
        <v>30436.56</v>
      </c>
      <c r="U27" s="65" t="n">
        <f aca="false">HR_Model!U$50</f>
        <v>30436.56</v>
      </c>
      <c r="V27" s="65" t="n">
        <f aca="false">HR_Model!V$50</f>
        <v>30436.56</v>
      </c>
      <c r="W27" s="65" t="n">
        <f aca="false">HR_Model!W$50</f>
        <v>30436.56</v>
      </c>
      <c r="X27" s="65" t="n">
        <f aca="false">HR_Model!X$50</f>
        <v>30436.56</v>
      </c>
      <c r="Y27" s="65" t="n">
        <f aca="false">HR_Model!Y$50</f>
        <v>30436.56</v>
      </c>
      <c r="Z27" s="65" t="n">
        <f aca="false">HR_Model!Z$50</f>
        <v>30436.56</v>
      </c>
      <c r="AA27" s="65" t="n">
        <f aca="false">HR_Model!AA$50</f>
        <v>40011.6024</v>
      </c>
      <c r="AB27" s="65" t="n">
        <f aca="false">HR_Model!AB$50</f>
        <v>40011.6024</v>
      </c>
      <c r="AC27" s="65" t="n">
        <f aca="false">HR_Model!AC$50</f>
        <v>40011.6024</v>
      </c>
      <c r="AD27" s="65" t="n">
        <f aca="false">HR_Model!AD$50</f>
        <v>40011.6024</v>
      </c>
      <c r="AE27" s="65" t="n">
        <f aca="false">HR_Model!AE$50</f>
        <v>40011.6024</v>
      </c>
      <c r="AF27" s="65" t="n">
        <f aca="false">HR_Model!AF$50</f>
        <v>40011.6024</v>
      </c>
      <c r="AG27" s="65" t="n">
        <f aca="false">HR_Model!AG$50</f>
        <v>40011.6024</v>
      </c>
      <c r="AH27" s="65" t="n">
        <f aca="false">HR_Model!AH$50</f>
        <v>40011.6024</v>
      </c>
      <c r="AI27" s="65" t="n">
        <f aca="false">HR_Model!AI$50</f>
        <v>40011.6024</v>
      </c>
      <c r="AJ27" s="65" t="n">
        <f aca="false">HR_Model!AJ$50</f>
        <v>40011.6024</v>
      </c>
      <c r="AK27" s="65" t="n">
        <f aca="false">HR_Model!AK$50</f>
        <v>40011.6024</v>
      </c>
      <c r="AL27" s="65" t="n">
        <f aca="false">HR_Model!AL$50</f>
        <v>40011.6024</v>
      </c>
      <c r="AN27" s="52" t="n">
        <f aca="false">SUM(C27:N27)</f>
        <v>207900</v>
      </c>
      <c r="AO27" s="52" t="n">
        <f aca="false">SUM(O27:Z27)</f>
        <v>365238.72</v>
      </c>
      <c r="AP27" s="52" t="n">
        <f aca="false">SUM(AA27:AL27)</f>
        <v>480139.2288</v>
      </c>
    </row>
    <row r="28" customFormat="false" ht="15" hidden="false" customHeight="false" outlineLevel="0" collapsed="false">
      <c r="A28" s="26" t="s">
        <v>562</v>
      </c>
      <c r="B28" s="24" t="s">
        <v>563</v>
      </c>
      <c r="C28" s="51" t="n">
        <f aca="false">Revenue!C$36*Assumptions!$C$129</f>
        <v>135</v>
      </c>
      <c r="D28" s="51" t="n">
        <f aca="false">Revenue!D$36*Assumptions!$C$129</f>
        <v>148.5</v>
      </c>
      <c r="E28" s="51" t="n">
        <f aca="false">Revenue!E$36*Assumptions!$C$129</f>
        <v>166.5</v>
      </c>
      <c r="F28" s="51" t="n">
        <f aca="false">Revenue!F$36*Assumptions!$C$129</f>
        <v>1400.4</v>
      </c>
      <c r="G28" s="51" t="n">
        <f aca="false">Revenue!G$36*Assumptions!$C$129</f>
        <v>1540.44</v>
      </c>
      <c r="H28" s="51" t="n">
        <f aca="false">Revenue!H$36*Assumptions!$C$129</f>
        <v>1727.16</v>
      </c>
      <c r="I28" s="51" t="n">
        <f aca="false">Revenue!I$36*Assumptions!$C$129</f>
        <v>2856.6</v>
      </c>
      <c r="J28" s="51" t="n">
        <f aca="false">Revenue!J$36*Assumptions!$C$129</f>
        <v>3142.26</v>
      </c>
      <c r="K28" s="51" t="n">
        <f aca="false">Revenue!K$36*Assumptions!$C$129</f>
        <v>3523.14</v>
      </c>
      <c r="L28" s="51" t="n">
        <f aca="false">Revenue!L$36*Assumptions!$C$129</f>
        <v>6499.8</v>
      </c>
      <c r="M28" s="51" t="n">
        <f aca="false">Revenue!M$36*Assumptions!$C$129</f>
        <v>7149.78</v>
      </c>
      <c r="N28" s="51" t="n">
        <f aca="false">Revenue!N$36*Assumptions!$C$129</f>
        <v>8016.42</v>
      </c>
      <c r="O28" s="51" t="n">
        <f aca="false">Revenue!O$36*Assumptions!$C$129</f>
        <v>9156.6</v>
      </c>
      <c r="P28" s="51" t="n">
        <f aca="false">Revenue!P$36*Assumptions!$C$129</f>
        <v>10072.26</v>
      </c>
      <c r="Q28" s="51" t="n">
        <f aca="false">Revenue!Q$36*Assumptions!$C$129</f>
        <v>11293.14</v>
      </c>
      <c r="R28" s="51" t="n">
        <f aca="false">Revenue!R$36*Assumptions!$C$129</f>
        <v>10426.32</v>
      </c>
      <c r="S28" s="51" t="n">
        <f aca="false">Revenue!S$36*Assumptions!$C$129</f>
        <v>11468.952</v>
      </c>
      <c r="T28" s="51" t="n">
        <f aca="false">Revenue!T$36*Assumptions!$C$129</f>
        <v>12859.128</v>
      </c>
      <c r="U28" s="51" t="n">
        <f aca="false">Revenue!U$36*Assumptions!$C$129</f>
        <v>13908.24</v>
      </c>
      <c r="V28" s="51" t="n">
        <f aca="false">Revenue!V$36*Assumptions!$C$129</f>
        <v>15299.064</v>
      </c>
      <c r="W28" s="51" t="n">
        <f aca="false">Revenue!W$36*Assumptions!$C$129</f>
        <v>17153.496</v>
      </c>
      <c r="X28" s="51" t="n">
        <f aca="false">Revenue!X$36*Assumptions!$C$129</f>
        <v>15453.36</v>
      </c>
      <c r="Y28" s="51" t="n">
        <f aca="false">Revenue!Y$36*Assumptions!$C$129</f>
        <v>16998.696</v>
      </c>
      <c r="Z28" s="51" t="n">
        <f aca="false">Revenue!Z$36*Assumptions!$C$129</f>
        <v>19059.144</v>
      </c>
      <c r="AA28" s="51" t="n">
        <f aca="false">Revenue!AA$36*Assumptions!$C$129</f>
        <v>22006.8</v>
      </c>
      <c r="AB28" s="51" t="n">
        <f aca="false">Revenue!AB$36*Assumptions!$C$129</f>
        <v>24207.48</v>
      </c>
      <c r="AC28" s="51" t="n">
        <f aca="false">Revenue!AC$36*Assumptions!$C$129</f>
        <v>27141.72</v>
      </c>
      <c r="AD28" s="51" t="n">
        <f aca="false">Revenue!AD$36*Assumptions!$C$129</f>
        <v>24420.96</v>
      </c>
      <c r="AE28" s="51" t="n">
        <f aca="false">Revenue!AE$36*Assumptions!$C$129</f>
        <v>26863.056</v>
      </c>
      <c r="AF28" s="51" t="n">
        <f aca="false">Revenue!AF$36*Assumptions!$C$129</f>
        <v>30119.184</v>
      </c>
      <c r="AG28" s="51" t="n">
        <f aca="false">Revenue!AG$36*Assumptions!$C$129</f>
        <v>28212.12</v>
      </c>
      <c r="AH28" s="51" t="n">
        <f aca="false">Revenue!AH$36*Assumptions!$C$129</f>
        <v>31033.332</v>
      </c>
      <c r="AI28" s="51" t="n">
        <f aca="false">Revenue!AI$36*Assumptions!$C$129</f>
        <v>34794.948</v>
      </c>
      <c r="AJ28" s="51" t="n">
        <f aca="false">Revenue!AJ$36*Assumptions!$C$129</f>
        <v>31382.28</v>
      </c>
      <c r="AK28" s="51" t="n">
        <f aca="false">Revenue!AK$36*Assumptions!$C$129</f>
        <v>34520.508</v>
      </c>
      <c r="AL28" s="51" t="n">
        <f aca="false">Revenue!AL$36*Assumptions!$C$129</f>
        <v>38704.812</v>
      </c>
      <c r="AN28" s="52" t="n">
        <f aca="false">SUM(C28:N28)</f>
        <v>36306</v>
      </c>
      <c r="AO28" s="52" t="n">
        <f aca="false">SUM(O28:Z28)</f>
        <v>163148.4</v>
      </c>
      <c r="AP28" s="52" t="n">
        <f aca="false">SUM(AA28:AL28)</f>
        <v>353407.2</v>
      </c>
    </row>
    <row r="29" customFormat="false" ht="15" hidden="false" customHeight="false" outlineLevel="0" collapsed="false">
      <c r="A29" s="26" t="s">
        <v>564</v>
      </c>
      <c r="B29" s="24" t="s">
        <v>565</v>
      </c>
      <c r="C29" s="51" t="n">
        <f aca="false">Assumptions!$C$131*Assumptions!$C$130*Assumptions!$C$132/12</f>
        <v>875</v>
      </c>
      <c r="D29" s="51" t="n">
        <f aca="false">Assumptions!$C$131*Assumptions!$C$130*Assumptions!$C$132/12</f>
        <v>875</v>
      </c>
      <c r="E29" s="51" t="n">
        <f aca="false">Assumptions!$C$131*Assumptions!$C$130*Assumptions!$C$132/12</f>
        <v>875</v>
      </c>
      <c r="F29" s="51" t="n">
        <f aca="false">Assumptions!$C$131*Assumptions!$C$130*Assumptions!$C$132/12</f>
        <v>875</v>
      </c>
      <c r="G29" s="51" t="n">
        <f aca="false">Assumptions!$C$131*Assumptions!$C$130*Assumptions!$C$132/12</f>
        <v>875</v>
      </c>
      <c r="H29" s="51" t="n">
        <f aca="false">Assumptions!$C$131*Assumptions!$C$130*Assumptions!$C$132/12</f>
        <v>875</v>
      </c>
      <c r="I29" s="51" t="n">
        <f aca="false">Assumptions!$C$131*Assumptions!$C$130*Assumptions!$C$132/12</f>
        <v>875</v>
      </c>
      <c r="J29" s="51" t="n">
        <f aca="false">Assumptions!$C$131*Assumptions!$C$130*Assumptions!$C$132/12</f>
        <v>875</v>
      </c>
      <c r="K29" s="51" t="n">
        <f aca="false">Assumptions!$C$131*Assumptions!$C$130*Assumptions!$C$132/12</f>
        <v>875</v>
      </c>
      <c r="L29" s="51" t="n">
        <f aca="false">Assumptions!$C$131*Assumptions!$C$130*Assumptions!$C$132/12</f>
        <v>875</v>
      </c>
      <c r="M29" s="51" t="n">
        <f aca="false">Assumptions!$C$131*Assumptions!$C$130*Assumptions!$C$132/12</f>
        <v>875</v>
      </c>
      <c r="N29" s="51" t="n">
        <f aca="false">Assumptions!$C$131*Assumptions!$C$130*Assumptions!$C$132/12</f>
        <v>875</v>
      </c>
      <c r="O29" s="51" t="n">
        <f aca="false">Assumptions!$D$131*Assumptions!$C$130*Assumptions!$C$132/12</f>
        <v>2333.33333333333</v>
      </c>
      <c r="P29" s="51" t="n">
        <f aca="false">Assumptions!$D$131*Assumptions!$C$130*Assumptions!$C$132/12</f>
        <v>2333.33333333333</v>
      </c>
      <c r="Q29" s="51" t="n">
        <f aca="false">Assumptions!$D$131*Assumptions!$C$130*Assumptions!$C$132/12</f>
        <v>2333.33333333333</v>
      </c>
      <c r="R29" s="51" t="n">
        <f aca="false">Assumptions!$D$131*Assumptions!$C$130*Assumptions!$C$132/12</f>
        <v>2333.33333333333</v>
      </c>
      <c r="S29" s="51" t="n">
        <f aca="false">Assumptions!$D$131*Assumptions!$C$130*Assumptions!$C$132/12</f>
        <v>2333.33333333333</v>
      </c>
      <c r="T29" s="51" t="n">
        <f aca="false">Assumptions!$D$131*Assumptions!$C$130*Assumptions!$C$132/12</f>
        <v>2333.33333333333</v>
      </c>
      <c r="U29" s="51" t="n">
        <f aca="false">Assumptions!$D$131*Assumptions!$C$130*Assumptions!$C$132/12</f>
        <v>2333.33333333333</v>
      </c>
      <c r="V29" s="51" t="n">
        <f aca="false">Assumptions!$D$131*Assumptions!$C$130*Assumptions!$C$132/12</f>
        <v>2333.33333333333</v>
      </c>
      <c r="W29" s="51" t="n">
        <f aca="false">Assumptions!$D$131*Assumptions!$C$130*Assumptions!$C$132/12</f>
        <v>2333.33333333333</v>
      </c>
      <c r="X29" s="51" t="n">
        <f aca="false">Assumptions!$D$131*Assumptions!$C$130*Assumptions!$C$132/12</f>
        <v>2333.33333333333</v>
      </c>
      <c r="Y29" s="51" t="n">
        <f aca="false">Assumptions!$D$131*Assumptions!$C$130*Assumptions!$C$132/12</f>
        <v>2333.33333333333</v>
      </c>
      <c r="Z29" s="51" t="n">
        <f aca="false">Assumptions!$D$131*Assumptions!$C$130*Assumptions!$C$132/12</f>
        <v>2333.33333333333</v>
      </c>
      <c r="AA29" s="51" t="n">
        <f aca="false">Assumptions!$E$131*Assumptions!$C$130*Assumptions!$C$132/12</f>
        <v>4958.33333333333</v>
      </c>
      <c r="AB29" s="51" t="n">
        <f aca="false">Assumptions!$E$131*Assumptions!$C$130*Assumptions!$C$132/12</f>
        <v>4958.33333333333</v>
      </c>
      <c r="AC29" s="51" t="n">
        <f aca="false">Assumptions!$E$131*Assumptions!$C$130*Assumptions!$C$132/12</f>
        <v>4958.33333333333</v>
      </c>
      <c r="AD29" s="51" t="n">
        <f aca="false">Assumptions!$E$131*Assumptions!$C$130*Assumptions!$C$132/12</f>
        <v>4958.33333333333</v>
      </c>
      <c r="AE29" s="51" t="n">
        <f aca="false">Assumptions!$E$131*Assumptions!$C$130*Assumptions!$C$132/12</f>
        <v>4958.33333333333</v>
      </c>
      <c r="AF29" s="51" t="n">
        <f aca="false">Assumptions!$E$131*Assumptions!$C$130*Assumptions!$C$132/12</f>
        <v>4958.33333333333</v>
      </c>
      <c r="AG29" s="51" t="n">
        <f aca="false">Assumptions!$E$131*Assumptions!$C$130*Assumptions!$C$132/12</f>
        <v>4958.33333333333</v>
      </c>
      <c r="AH29" s="51" t="n">
        <f aca="false">Assumptions!$E$131*Assumptions!$C$130*Assumptions!$C$132/12</f>
        <v>4958.33333333333</v>
      </c>
      <c r="AI29" s="51" t="n">
        <f aca="false">Assumptions!$E$131*Assumptions!$C$130*Assumptions!$C$132/12</f>
        <v>4958.33333333333</v>
      </c>
      <c r="AJ29" s="51" t="n">
        <f aca="false">Assumptions!$E$131*Assumptions!$C$130*Assumptions!$C$132/12</f>
        <v>4958.33333333333</v>
      </c>
      <c r="AK29" s="51" t="n">
        <f aca="false">Assumptions!$E$131*Assumptions!$C$130*Assumptions!$C$132/12</f>
        <v>4958.33333333333</v>
      </c>
      <c r="AL29" s="51" t="n">
        <f aca="false">Assumptions!$E$131*Assumptions!$C$130*Assumptions!$C$132/12</f>
        <v>4958.33333333333</v>
      </c>
      <c r="AN29" s="52" t="n">
        <f aca="false">SUM(C29:N29)</f>
        <v>10500</v>
      </c>
      <c r="AO29" s="52" t="n">
        <f aca="false">SUM(O29:Z29)</f>
        <v>28000</v>
      </c>
      <c r="AP29" s="52" t="n">
        <f aca="false">SUM(AA29:AL29)</f>
        <v>59500</v>
      </c>
    </row>
    <row r="30" customFormat="false" ht="15" hidden="false" customHeight="false" outlineLevel="0" collapsed="false">
      <c r="A30" s="26" t="s">
        <v>566</v>
      </c>
      <c r="B30" s="24" t="s">
        <v>567</v>
      </c>
      <c r="C30" s="65" t="n">
        <f aca="false">Acquisition!C$31</f>
        <v>4930</v>
      </c>
      <c r="D30" s="65" t="n">
        <f aca="false">Acquisition!D$31</f>
        <v>4930</v>
      </c>
      <c r="E30" s="65" t="n">
        <f aca="false">Acquisition!E$31</f>
        <v>4930</v>
      </c>
      <c r="F30" s="65" t="n">
        <f aca="false">Acquisition!F$31</f>
        <v>4930</v>
      </c>
      <c r="G30" s="65" t="n">
        <f aca="false">Acquisition!G$31</f>
        <v>4930</v>
      </c>
      <c r="H30" s="65" t="n">
        <f aca="false">Acquisition!H$31</f>
        <v>4930</v>
      </c>
      <c r="I30" s="65" t="n">
        <f aca="false">Acquisition!I$31</f>
        <v>4930</v>
      </c>
      <c r="J30" s="65" t="n">
        <f aca="false">Acquisition!J$31</f>
        <v>4930</v>
      </c>
      <c r="K30" s="65" t="n">
        <f aca="false">Acquisition!K$31</f>
        <v>4930</v>
      </c>
      <c r="L30" s="65" t="n">
        <f aca="false">Acquisition!L$31</f>
        <v>4930</v>
      </c>
      <c r="M30" s="65" t="n">
        <f aca="false">Acquisition!M$31</f>
        <v>4930</v>
      </c>
      <c r="N30" s="65" t="n">
        <f aca="false">Acquisition!N$31</f>
        <v>4930</v>
      </c>
      <c r="O30" s="65" t="n">
        <f aca="false">Acquisition!O$31</f>
        <v>11930</v>
      </c>
      <c r="P30" s="65" t="n">
        <f aca="false">Acquisition!P$31</f>
        <v>11930</v>
      </c>
      <c r="Q30" s="65" t="n">
        <f aca="false">Acquisition!Q$31</f>
        <v>11930</v>
      </c>
      <c r="R30" s="65" t="n">
        <f aca="false">Acquisition!R$31</f>
        <v>11930</v>
      </c>
      <c r="S30" s="65" t="n">
        <f aca="false">Acquisition!S$31</f>
        <v>11930</v>
      </c>
      <c r="T30" s="65" t="n">
        <f aca="false">Acquisition!T$31</f>
        <v>11930</v>
      </c>
      <c r="U30" s="65" t="n">
        <f aca="false">Acquisition!U$31</f>
        <v>11930</v>
      </c>
      <c r="V30" s="65" t="n">
        <f aca="false">Acquisition!V$31</f>
        <v>11930</v>
      </c>
      <c r="W30" s="65" t="n">
        <f aca="false">Acquisition!W$31</f>
        <v>11930</v>
      </c>
      <c r="X30" s="65" t="n">
        <f aca="false">Acquisition!X$31</f>
        <v>11930</v>
      </c>
      <c r="Y30" s="65" t="n">
        <f aca="false">Acquisition!Y$31</f>
        <v>11930</v>
      </c>
      <c r="Z30" s="65" t="n">
        <f aca="false">Acquisition!Z$31</f>
        <v>11930</v>
      </c>
      <c r="AA30" s="65" t="n">
        <f aca="false">Acquisition!AA$31</f>
        <v>20740</v>
      </c>
      <c r="AB30" s="65" t="n">
        <f aca="false">Acquisition!AB$31</f>
        <v>20740</v>
      </c>
      <c r="AC30" s="65" t="n">
        <f aca="false">Acquisition!AC$31</f>
        <v>20740</v>
      </c>
      <c r="AD30" s="65" t="n">
        <f aca="false">Acquisition!AD$31</f>
        <v>20740</v>
      </c>
      <c r="AE30" s="65" t="n">
        <f aca="false">Acquisition!AE$31</f>
        <v>20740</v>
      </c>
      <c r="AF30" s="65" t="n">
        <f aca="false">Acquisition!AF$31</f>
        <v>20740</v>
      </c>
      <c r="AG30" s="65" t="n">
        <f aca="false">Acquisition!AG$31</f>
        <v>20740</v>
      </c>
      <c r="AH30" s="65" t="n">
        <f aca="false">Acquisition!AH$31</f>
        <v>20740</v>
      </c>
      <c r="AI30" s="65" t="n">
        <f aca="false">Acquisition!AI$31</f>
        <v>20740</v>
      </c>
      <c r="AJ30" s="65" t="n">
        <f aca="false">Acquisition!AJ$31</f>
        <v>20740</v>
      </c>
      <c r="AK30" s="65" t="n">
        <f aca="false">Acquisition!AK$31</f>
        <v>20740</v>
      </c>
      <c r="AL30" s="65" t="n">
        <f aca="false">Acquisition!AL$31</f>
        <v>20740</v>
      </c>
      <c r="AN30" s="52" t="n">
        <f aca="false">SUM(C30:N30)</f>
        <v>59160</v>
      </c>
      <c r="AO30" s="52" t="n">
        <f aca="false">SUM(O30:Z30)</f>
        <v>143160</v>
      </c>
      <c r="AP30" s="52" t="n">
        <f aca="false">SUM(AA30:AL30)</f>
        <v>248880</v>
      </c>
    </row>
    <row r="31" customFormat="false" ht="15" hidden="false" customHeight="false" outlineLevel="0" collapsed="false">
      <c r="A31" s="26" t="s">
        <v>568</v>
      </c>
      <c r="B31" s="24" t="s">
        <v>567</v>
      </c>
      <c r="C31" s="65" t="n">
        <f aca="false">Acquisition!C$55</f>
        <v>5310</v>
      </c>
      <c r="D31" s="65" t="n">
        <f aca="false">Acquisition!D$55</f>
        <v>5310</v>
      </c>
      <c r="E31" s="65" t="n">
        <f aca="false">Acquisition!E$55</f>
        <v>5310</v>
      </c>
      <c r="F31" s="65" t="n">
        <f aca="false">Acquisition!F$55</f>
        <v>5310</v>
      </c>
      <c r="G31" s="65" t="n">
        <f aca="false">Acquisition!G$55</f>
        <v>5310</v>
      </c>
      <c r="H31" s="65" t="n">
        <f aca="false">Acquisition!H$55</f>
        <v>5310</v>
      </c>
      <c r="I31" s="65" t="n">
        <f aca="false">Acquisition!I$55</f>
        <v>5310</v>
      </c>
      <c r="J31" s="65" t="n">
        <f aca="false">Acquisition!J$55</f>
        <v>5310</v>
      </c>
      <c r="K31" s="65" t="n">
        <f aca="false">Acquisition!K$55</f>
        <v>5310</v>
      </c>
      <c r="L31" s="65" t="n">
        <f aca="false">Acquisition!L$55</f>
        <v>5310</v>
      </c>
      <c r="M31" s="65" t="n">
        <f aca="false">Acquisition!M$55</f>
        <v>5310</v>
      </c>
      <c r="N31" s="65" t="n">
        <f aca="false">Acquisition!N$55</f>
        <v>5310</v>
      </c>
      <c r="O31" s="65" t="n">
        <f aca="false">Acquisition!O$55</f>
        <v>11650</v>
      </c>
      <c r="P31" s="65" t="n">
        <f aca="false">Acquisition!P$55</f>
        <v>11650</v>
      </c>
      <c r="Q31" s="65" t="n">
        <f aca="false">Acquisition!Q$55</f>
        <v>11650</v>
      </c>
      <c r="R31" s="65" t="n">
        <f aca="false">Acquisition!R$55</f>
        <v>11650</v>
      </c>
      <c r="S31" s="65" t="n">
        <f aca="false">Acquisition!S$55</f>
        <v>11650</v>
      </c>
      <c r="T31" s="65" t="n">
        <f aca="false">Acquisition!T$55</f>
        <v>11650</v>
      </c>
      <c r="U31" s="65" t="n">
        <f aca="false">Acquisition!U$55</f>
        <v>11650</v>
      </c>
      <c r="V31" s="65" t="n">
        <f aca="false">Acquisition!V$55</f>
        <v>11650</v>
      </c>
      <c r="W31" s="65" t="n">
        <f aca="false">Acquisition!W$55</f>
        <v>11650</v>
      </c>
      <c r="X31" s="65" t="n">
        <f aca="false">Acquisition!X$55</f>
        <v>11650</v>
      </c>
      <c r="Y31" s="65" t="n">
        <f aca="false">Acquisition!Y$55</f>
        <v>11650</v>
      </c>
      <c r="Z31" s="65" t="n">
        <f aca="false">Acquisition!Z$55</f>
        <v>11650</v>
      </c>
      <c r="AA31" s="65" t="n">
        <f aca="false">Acquisition!AA$55</f>
        <v>22650</v>
      </c>
      <c r="AB31" s="65" t="n">
        <f aca="false">Acquisition!AB$55</f>
        <v>22650</v>
      </c>
      <c r="AC31" s="65" t="n">
        <f aca="false">Acquisition!AC$55</f>
        <v>22650</v>
      </c>
      <c r="AD31" s="65" t="n">
        <f aca="false">Acquisition!AD$55</f>
        <v>22650</v>
      </c>
      <c r="AE31" s="65" t="n">
        <f aca="false">Acquisition!AE$55</f>
        <v>22650</v>
      </c>
      <c r="AF31" s="65" t="n">
        <f aca="false">Acquisition!AF$55</f>
        <v>22650</v>
      </c>
      <c r="AG31" s="65" t="n">
        <f aca="false">Acquisition!AG$55</f>
        <v>22650</v>
      </c>
      <c r="AH31" s="65" t="n">
        <f aca="false">Acquisition!AH$55</f>
        <v>22650</v>
      </c>
      <c r="AI31" s="65" t="n">
        <f aca="false">Acquisition!AI$55</f>
        <v>22650</v>
      </c>
      <c r="AJ31" s="65" t="n">
        <f aca="false">Acquisition!AJ$55</f>
        <v>22650</v>
      </c>
      <c r="AK31" s="65" t="n">
        <f aca="false">Acquisition!AK$55</f>
        <v>22650</v>
      </c>
      <c r="AL31" s="65" t="n">
        <f aca="false">Acquisition!AL$55</f>
        <v>22650</v>
      </c>
      <c r="AN31" s="52" t="n">
        <f aca="false">SUM(C31:N31)</f>
        <v>63720</v>
      </c>
      <c r="AO31" s="52" t="n">
        <f aca="false">SUM(O31:Z31)</f>
        <v>139800</v>
      </c>
      <c r="AP31" s="52" t="n">
        <f aca="false">SUM(AA31:AL31)</f>
        <v>271800</v>
      </c>
    </row>
    <row r="32" customFormat="false" ht="15" hidden="false" customHeight="false" outlineLevel="0" collapsed="false">
      <c r="A32" s="26" t="s">
        <v>569</v>
      </c>
      <c r="B32" s="24" t="s">
        <v>570</v>
      </c>
      <c r="C32" s="51" t="n">
        <f aca="false">Assumptions!$C$117+Assumptions!$C$118</f>
        <v>1400</v>
      </c>
      <c r="D32" s="51" t="n">
        <f aca="false">Assumptions!$C$117+Assumptions!$C$118</f>
        <v>1400</v>
      </c>
      <c r="E32" s="51" t="n">
        <f aca="false">Assumptions!$C$117+Assumptions!$C$118</f>
        <v>1400</v>
      </c>
      <c r="F32" s="51" t="n">
        <f aca="false">Assumptions!$C$117+Assumptions!$C$118</f>
        <v>1400</v>
      </c>
      <c r="G32" s="51" t="n">
        <f aca="false">Assumptions!$C$117+Assumptions!$C$118</f>
        <v>1400</v>
      </c>
      <c r="H32" s="51" t="n">
        <f aca="false">Assumptions!$C$117+Assumptions!$C$118</f>
        <v>1400</v>
      </c>
      <c r="I32" s="51" t="n">
        <f aca="false">Assumptions!$C$117+Assumptions!$C$118</f>
        <v>1400</v>
      </c>
      <c r="J32" s="51" t="n">
        <f aca="false">Assumptions!$C$117+Assumptions!$C$118</f>
        <v>1400</v>
      </c>
      <c r="K32" s="51" t="n">
        <f aca="false">Assumptions!$C$117+Assumptions!$C$118</f>
        <v>1400</v>
      </c>
      <c r="L32" s="51" t="n">
        <f aca="false">Assumptions!$C$117+Assumptions!$C$118</f>
        <v>1400</v>
      </c>
      <c r="M32" s="51" t="n">
        <f aca="false">Assumptions!$C$117+Assumptions!$C$118</f>
        <v>1400</v>
      </c>
      <c r="N32" s="51" t="n">
        <f aca="false">Assumptions!$C$117+Assumptions!$C$118</f>
        <v>1400</v>
      </c>
      <c r="O32" s="51" t="n">
        <f aca="false">Assumptions!$D$117+Assumptions!$D$118</f>
        <v>4000</v>
      </c>
      <c r="P32" s="51" t="n">
        <f aca="false">Assumptions!$D$117+Assumptions!$D$118</f>
        <v>4000</v>
      </c>
      <c r="Q32" s="51" t="n">
        <f aca="false">Assumptions!$D$117+Assumptions!$D$118</f>
        <v>4000</v>
      </c>
      <c r="R32" s="51" t="n">
        <f aca="false">Assumptions!$D$117+Assumptions!$D$118</f>
        <v>4000</v>
      </c>
      <c r="S32" s="51" t="n">
        <f aca="false">Assumptions!$D$117+Assumptions!$D$118</f>
        <v>4000</v>
      </c>
      <c r="T32" s="51" t="n">
        <f aca="false">Assumptions!$D$117+Assumptions!$D$118</f>
        <v>4000</v>
      </c>
      <c r="U32" s="51" t="n">
        <f aca="false">Assumptions!$D$117+Assumptions!$D$118</f>
        <v>4000</v>
      </c>
      <c r="V32" s="51" t="n">
        <f aca="false">Assumptions!$D$117+Assumptions!$D$118</f>
        <v>4000</v>
      </c>
      <c r="W32" s="51" t="n">
        <f aca="false">Assumptions!$D$117+Assumptions!$D$118</f>
        <v>4000</v>
      </c>
      <c r="X32" s="51" t="n">
        <f aca="false">Assumptions!$D$117+Assumptions!$D$118</f>
        <v>4000</v>
      </c>
      <c r="Y32" s="51" t="n">
        <f aca="false">Assumptions!$D$117+Assumptions!$D$118</f>
        <v>4000</v>
      </c>
      <c r="Z32" s="51" t="n">
        <f aca="false">Assumptions!$D$117+Assumptions!$D$118</f>
        <v>4000</v>
      </c>
      <c r="AA32" s="51" t="n">
        <f aca="false">Assumptions!$E$117+Assumptions!$E$118</f>
        <v>6400</v>
      </c>
      <c r="AB32" s="51" t="n">
        <f aca="false">Assumptions!$E$117+Assumptions!$E$118</f>
        <v>6400</v>
      </c>
      <c r="AC32" s="51" t="n">
        <f aca="false">Assumptions!$E$117+Assumptions!$E$118</f>
        <v>6400</v>
      </c>
      <c r="AD32" s="51" t="n">
        <f aca="false">Assumptions!$E$117+Assumptions!$E$118</f>
        <v>6400</v>
      </c>
      <c r="AE32" s="51" t="n">
        <f aca="false">Assumptions!$E$117+Assumptions!$E$118</f>
        <v>6400</v>
      </c>
      <c r="AF32" s="51" t="n">
        <f aca="false">Assumptions!$E$117+Assumptions!$E$118</f>
        <v>6400</v>
      </c>
      <c r="AG32" s="51" t="n">
        <f aca="false">Assumptions!$E$117+Assumptions!$E$118</f>
        <v>6400</v>
      </c>
      <c r="AH32" s="51" t="n">
        <f aca="false">Assumptions!$E$117+Assumptions!$E$118</f>
        <v>6400</v>
      </c>
      <c r="AI32" s="51" t="n">
        <f aca="false">Assumptions!$E$117+Assumptions!$E$118</f>
        <v>6400</v>
      </c>
      <c r="AJ32" s="51" t="n">
        <f aca="false">Assumptions!$E$117+Assumptions!$E$118</f>
        <v>6400</v>
      </c>
      <c r="AK32" s="51" t="n">
        <f aca="false">Assumptions!$E$117+Assumptions!$E$118</f>
        <v>6400</v>
      </c>
      <c r="AL32" s="51" t="n">
        <f aca="false">Assumptions!$E$117+Assumptions!$E$118</f>
        <v>6400</v>
      </c>
      <c r="AN32" s="52" t="n">
        <f aca="false">SUM(C32:N32)</f>
        <v>16800</v>
      </c>
      <c r="AO32" s="52" t="n">
        <f aca="false">SUM(O32:Z32)</f>
        <v>48000</v>
      </c>
      <c r="AP32" s="52" t="n">
        <f aca="false">SUM(AA32:AL32)</f>
        <v>76800</v>
      </c>
    </row>
    <row r="33" customFormat="false" ht="15" hidden="false" customHeight="false" outlineLevel="0" collapsed="false">
      <c r="A33" s="26" t="s">
        <v>254</v>
      </c>
      <c r="B33" s="24"/>
      <c r="C33" s="51" t="n">
        <f aca="false">Assumptions!$C$119</f>
        <v>420</v>
      </c>
      <c r="D33" s="51" t="n">
        <f aca="false">Assumptions!$C$119</f>
        <v>420</v>
      </c>
      <c r="E33" s="51" t="n">
        <f aca="false">Assumptions!$C$119</f>
        <v>420</v>
      </c>
      <c r="F33" s="51" t="n">
        <f aca="false">Assumptions!$C$119</f>
        <v>420</v>
      </c>
      <c r="G33" s="51" t="n">
        <f aca="false">Assumptions!$C$119</f>
        <v>420</v>
      </c>
      <c r="H33" s="51" t="n">
        <f aca="false">Assumptions!$C$119</f>
        <v>420</v>
      </c>
      <c r="I33" s="51" t="n">
        <f aca="false">Assumptions!$C$119</f>
        <v>420</v>
      </c>
      <c r="J33" s="51" t="n">
        <f aca="false">Assumptions!$C$119</f>
        <v>420</v>
      </c>
      <c r="K33" s="51" t="n">
        <f aca="false">Assumptions!$C$119</f>
        <v>420</v>
      </c>
      <c r="L33" s="51" t="n">
        <f aca="false">Assumptions!$C$119</f>
        <v>420</v>
      </c>
      <c r="M33" s="51" t="n">
        <f aca="false">Assumptions!$C$119</f>
        <v>420</v>
      </c>
      <c r="N33" s="51" t="n">
        <f aca="false">Assumptions!$C$119</f>
        <v>420</v>
      </c>
      <c r="O33" s="51" t="n">
        <f aca="false">Assumptions!$D$119</f>
        <v>760</v>
      </c>
      <c r="P33" s="51" t="n">
        <f aca="false">Assumptions!$D$119</f>
        <v>760</v>
      </c>
      <c r="Q33" s="51" t="n">
        <f aca="false">Assumptions!$D$119</f>
        <v>760</v>
      </c>
      <c r="R33" s="51" t="n">
        <f aca="false">Assumptions!$D$119</f>
        <v>760</v>
      </c>
      <c r="S33" s="51" t="n">
        <f aca="false">Assumptions!$D$119</f>
        <v>760</v>
      </c>
      <c r="T33" s="51" t="n">
        <f aca="false">Assumptions!$D$119</f>
        <v>760</v>
      </c>
      <c r="U33" s="51" t="n">
        <f aca="false">Assumptions!$D$119</f>
        <v>760</v>
      </c>
      <c r="V33" s="51" t="n">
        <f aca="false">Assumptions!$D$119</f>
        <v>760</v>
      </c>
      <c r="W33" s="51" t="n">
        <f aca="false">Assumptions!$D$119</f>
        <v>760</v>
      </c>
      <c r="X33" s="51" t="n">
        <f aca="false">Assumptions!$D$119</f>
        <v>760</v>
      </c>
      <c r="Y33" s="51" t="n">
        <f aca="false">Assumptions!$D$119</f>
        <v>760</v>
      </c>
      <c r="Z33" s="51" t="n">
        <f aca="false">Assumptions!$D$119</f>
        <v>760</v>
      </c>
      <c r="AA33" s="51" t="n">
        <f aca="false">Assumptions!$E$119</f>
        <v>1250</v>
      </c>
      <c r="AB33" s="51" t="n">
        <f aca="false">Assumptions!$E$119</f>
        <v>1250</v>
      </c>
      <c r="AC33" s="51" t="n">
        <f aca="false">Assumptions!$E$119</f>
        <v>1250</v>
      </c>
      <c r="AD33" s="51" t="n">
        <f aca="false">Assumptions!$E$119</f>
        <v>1250</v>
      </c>
      <c r="AE33" s="51" t="n">
        <f aca="false">Assumptions!$E$119</f>
        <v>1250</v>
      </c>
      <c r="AF33" s="51" t="n">
        <f aca="false">Assumptions!$E$119</f>
        <v>1250</v>
      </c>
      <c r="AG33" s="51" t="n">
        <f aca="false">Assumptions!$E$119</f>
        <v>1250</v>
      </c>
      <c r="AH33" s="51" t="n">
        <f aca="false">Assumptions!$E$119</f>
        <v>1250</v>
      </c>
      <c r="AI33" s="51" t="n">
        <f aca="false">Assumptions!$E$119</f>
        <v>1250</v>
      </c>
      <c r="AJ33" s="51" t="n">
        <f aca="false">Assumptions!$E$119</f>
        <v>1250</v>
      </c>
      <c r="AK33" s="51" t="n">
        <f aca="false">Assumptions!$E$119</f>
        <v>1250</v>
      </c>
      <c r="AL33" s="51" t="n">
        <f aca="false">Assumptions!$E$119</f>
        <v>1250</v>
      </c>
      <c r="AN33" s="52" t="n">
        <f aca="false">SUM(C33:N33)</f>
        <v>5040</v>
      </c>
      <c r="AO33" s="52" t="n">
        <f aca="false">SUM(O33:Z33)</f>
        <v>9120</v>
      </c>
      <c r="AP33" s="52" t="n">
        <f aca="false">SUM(AA33:AL33)</f>
        <v>15000</v>
      </c>
    </row>
    <row r="34" customFormat="false" ht="15" hidden="false" customHeight="false" outlineLevel="0" collapsed="false">
      <c r="A34" s="26" t="s">
        <v>571</v>
      </c>
      <c r="B34" s="24" t="s">
        <v>572</v>
      </c>
      <c r="C34" s="51" t="n">
        <f aca="false">Assumptions!$C$120+(Acquisition!C$79+Acquisition!C$84)*Assumptions!$C$121</f>
        <v>1046.27707461168</v>
      </c>
      <c r="D34" s="51" t="n">
        <f aca="false">Assumptions!$C$120+(Acquisition!D$79+Acquisition!D$84)*Assumptions!$C$121</f>
        <v>1047.5941931821</v>
      </c>
      <c r="E34" s="51" t="n">
        <f aca="false">Assumptions!$C$120+(Acquisition!E$79+Acquisition!E$84)*Assumptions!$C$121</f>
        <v>1048.97999829186</v>
      </c>
      <c r="F34" s="51" t="n">
        <f aca="false">Assumptions!$C$120+(Acquisition!F$79+Acquisition!F$84)*Assumptions!$C$121</f>
        <v>1072.35883151543</v>
      </c>
      <c r="G34" s="51" t="n">
        <f aca="false">Assumptions!$C$120+(Acquisition!G$79+Acquisition!G$84)*Assumptions!$C$121</f>
        <v>1076.24647331894</v>
      </c>
      <c r="H34" s="51" t="n">
        <f aca="false">Assumptions!$C$120+(Acquisition!H$79+Acquisition!H$84)*Assumptions!$C$121</f>
        <v>1081.00329934129</v>
      </c>
      <c r="I34" s="51" t="n">
        <f aca="false">Assumptions!$C$120+(Acquisition!I$79+Acquisition!I$84)*Assumptions!$C$121</f>
        <v>1085.52873520514</v>
      </c>
      <c r="J34" s="51" t="n">
        <f aca="false">Assumptions!$C$120+(Acquisition!J$79+Acquisition!J$84)*Assumptions!$C$121</f>
        <v>1090.35069652386</v>
      </c>
      <c r="K34" s="51" t="n">
        <f aca="false">Assumptions!$C$120+(Acquisition!K$79+Acquisition!K$84)*Assumptions!$C$121</f>
        <v>1096.37343175824</v>
      </c>
      <c r="L34" s="51" t="n">
        <f aca="false">Assumptions!$C$120+(Acquisition!L$79+Acquisition!L$84)*Assumptions!$C$121</f>
        <v>1168.23727085082</v>
      </c>
      <c r="M34" s="51" t="n">
        <f aca="false">Assumptions!$C$120+(Acquisition!M$79+Acquisition!M$84)*Assumptions!$C$121</f>
        <v>1182.07600279674</v>
      </c>
      <c r="N34" s="51" t="n">
        <f aca="false">Assumptions!$C$120+(Acquisition!N$79+Acquisition!N$84)*Assumptions!$C$121</f>
        <v>1199.82678345509</v>
      </c>
      <c r="O34" s="51" t="n">
        <f aca="false">Assumptions!$D$120+(Acquisition!O$79+Acquisition!O$84)*Assumptions!$C$121</f>
        <v>2610.95379260013</v>
      </c>
      <c r="P34" s="51" t="n">
        <f aca="false">Assumptions!$D$120+(Acquisition!P$79+Acquisition!P$84)*Assumptions!$C$121</f>
        <v>2631.7343825266</v>
      </c>
      <c r="Q34" s="51" t="n">
        <f aca="false">Assumptions!$D$120+(Acquisition!Q$79+Acquisition!Q$84)*Assumptions!$C$121</f>
        <v>2657.73200086238</v>
      </c>
      <c r="R34" s="51" t="n">
        <f aca="false">Assumptions!$D$120+(Acquisition!R$79+Acquisition!R$84)*Assumptions!$C$121</f>
        <v>2659.79173387255</v>
      </c>
      <c r="S34" s="51" t="n">
        <f aca="false">Assumptions!$D$120+(Acquisition!S$79+Acquisition!S$84)*Assumptions!$C$121</f>
        <v>2683.74830263776</v>
      </c>
      <c r="T34" s="51" t="n">
        <f aca="false">Assumptions!$D$120+(Acquisition!T$79+Acquisition!T$84)*Assumptions!$C$121</f>
        <v>2714.07088121254</v>
      </c>
      <c r="U34" s="51" t="n">
        <f aca="false">Assumptions!$D$120+(Acquisition!U$79+Acquisition!U$84)*Assumptions!$C$121</f>
        <v>2757.32536195196</v>
      </c>
      <c r="V34" s="51" t="n">
        <f aca="false">Assumptions!$D$120+(Acquisition!V$79+Acquisition!V$84)*Assumptions!$C$121</f>
        <v>2790.3488010331</v>
      </c>
      <c r="W34" s="51" t="n">
        <f aca="false">Assumptions!$D$120+(Acquisition!W$79+Acquisition!W$84)*Assumptions!$C$121</f>
        <v>2832.56520115558</v>
      </c>
      <c r="X34" s="51" t="n">
        <f aca="false">Assumptions!$D$120+(Acquisition!X$79+Acquisition!X$84)*Assumptions!$C$121</f>
        <v>2834.86255743756</v>
      </c>
      <c r="Y34" s="51" t="n">
        <f aca="false">Assumptions!$D$120+(Acquisition!Y$79+Acquisition!Y$84)*Assumptions!$C$121</f>
        <v>2873.97411828085</v>
      </c>
      <c r="Z34" s="51" t="n">
        <f aca="false">Assumptions!$D$120+(Acquisition!Z$79+Acquisition!Z$84)*Assumptions!$C$121</f>
        <v>2924.30717467819</v>
      </c>
      <c r="AA34" s="51" t="n">
        <f aca="false">Assumptions!$E$120+(Acquisition!AA$79+Acquisition!AA$84)*Assumptions!$C$121</f>
        <v>5789.83492033237</v>
      </c>
      <c r="AB34" s="51" t="n">
        <f aca="false">Assumptions!$E$120+(Acquisition!AB$79+Acquisition!AB$84)*Assumptions!$C$121</f>
        <v>5852.19104439221</v>
      </c>
      <c r="AC34" s="51" t="n">
        <f aca="false">Assumptions!$E$120+(Acquisition!AC$79+Acquisition!AC$84)*Assumptions!$C$121</f>
        <v>5930.77890269435</v>
      </c>
      <c r="AD34" s="51" t="n">
        <f aca="false">Assumptions!$E$120+(Acquisition!AD$79+Acquisition!AD$84)*Assumptions!$C$121</f>
        <v>5926.23375599165</v>
      </c>
      <c r="AE34" s="51" t="n">
        <f aca="false">Assumptions!$E$120+(Acquisition!AE$79+Acquisition!AE$84)*Assumptions!$C$121</f>
        <v>5997.60636824682</v>
      </c>
      <c r="AF34" s="51" t="n">
        <f aca="false">Assumptions!$E$120+(Acquisition!AF$79+Acquisition!AF$84)*Assumptions!$C$121</f>
        <v>6088.37754317551</v>
      </c>
      <c r="AG34" s="51" t="n">
        <f aca="false">Assumptions!$E$120+(Acquisition!AG$79+Acquisition!AG$84)*Assumptions!$C$121</f>
        <v>6083.00945096365</v>
      </c>
      <c r="AH34" s="51" t="n">
        <f aca="false">Assumptions!$E$120+(Acquisition!AH$79+Acquisition!AH$84)*Assumptions!$C$121</f>
        <v>6165.75152308883</v>
      </c>
      <c r="AI34" s="51" t="n">
        <f aca="false">Assumptions!$E$120+(Acquisition!AI$79+Acquisition!AI$84)*Assumptions!$C$121</f>
        <v>6271.72396971838</v>
      </c>
      <c r="AJ34" s="51" t="n">
        <f aca="false">Assumptions!$E$120+(Acquisition!AJ$79+Acquisition!AJ$84)*Assumptions!$C$121</f>
        <v>6198.91138181209</v>
      </c>
      <c r="AK34" s="51" t="n">
        <f aca="false">Assumptions!$E$120+(Acquisition!AK$79+Acquisition!AK$84)*Assumptions!$C$121</f>
        <v>6287.35266902409</v>
      </c>
      <c r="AL34" s="51" t="n">
        <f aca="false">Assumptions!$E$120+(Acquisition!AL$79+Acquisition!AL$84)*Assumptions!$C$121</f>
        <v>6401.34096736155</v>
      </c>
      <c r="AN34" s="52" t="n">
        <f aca="false">SUM(C34:N34)</f>
        <v>13194.8527908512</v>
      </c>
      <c r="AO34" s="52" t="n">
        <f aca="false">SUM(O34:Z34)</f>
        <v>32971.4143082492</v>
      </c>
      <c r="AP34" s="52" t="n">
        <f aca="false">SUM(AA34:AL34)</f>
        <v>72993.1124968015</v>
      </c>
    </row>
    <row r="35" customFormat="false" ht="15" hidden="false" customHeight="false" outlineLevel="0" collapsed="false">
      <c r="A35" s="26" t="s">
        <v>573</v>
      </c>
      <c r="B35" s="24" t="s">
        <v>574</v>
      </c>
      <c r="C35" s="51" t="n">
        <f aca="false">HR_Model!C$72*Assumptions!$C$122</f>
        <v>1080</v>
      </c>
      <c r="D35" s="51" t="n">
        <f aca="false">HR_Model!D$72*Assumptions!$C$122</f>
        <v>1080</v>
      </c>
      <c r="E35" s="51" t="n">
        <f aca="false">HR_Model!E$72*Assumptions!$C$122</f>
        <v>1080</v>
      </c>
      <c r="F35" s="51" t="n">
        <f aca="false">HR_Model!F$72*Assumptions!$C$122</f>
        <v>1080</v>
      </c>
      <c r="G35" s="51" t="n">
        <f aca="false">HR_Model!G$72*Assumptions!$C$122</f>
        <v>1080</v>
      </c>
      <c r="H35" s="51" t="n">
        <f aca="false">HR_Model!H$72*Assumptions!$C$122</f>
        <v>1080</v>
      </c>
      <c r="I35" s="51" t="n">
        <f aca="false">HR_Model!I$72*Assumptions!$C$122</f>
        <v>1080</v>
      </c>
      <c r="J35" s="51" t="n">
        <f aca="false">HR_Model!J$72*Assumptions!$C$122</f>
        <v>1080</v>
      </c>
      <c r="K35" s="51" t="n">
        <f aca="false">HR_Model!K$72*Assumptions!$C$122</f>
        <v>1080</v>
      </c>
      <c r="L35" s="51" t="n">
        <f aca="false">HR_Model!L$72*Assumptions!$C$122</f>
        <v>1080</v>
      </c>
      <c r="M35" s="51" t="n">
        <f aca="false">HR_Model!M$72*Assumptions!$C$122</f>
        <v>1080</v>
      </c>
      <c r="N35" s="51" t="n">
        <f aca="false">HR_Model!N$72*Assumptions!$C$122</f>
        <v>1080</v>
      </c>
      <c r="O35" s="51" t="n">
        <f aca="false">HR_Model!O$72*Assumptions!$D$122</f>
        <v>1755</v>
      </c>
      <c r="P35" s="51" t="n">
        <f aca="false">HR_Model!P$72*Assumptions!$D$122</f>
        <v>1755</v>
      </c>
      <c r="Q35" s="51" t="n">
        <f aca="false">HR_Model!Q$72*Assumptions!$D$122</f>
        <v>1755</v>
      </c>
      <c r="R35" s="51" t="n">
        <f aca="false">HR_Model!R$72*Assumptions!$D$122</f>
        <v>1755</v>
      </c>
      <c r="S35" s="51" t="n">
        <f aca="false">HR_Model!S$72*Assumptions!$D$122</f>
        <v>1755</v>
      </c>
      <c r="T35" s="51" t="n">
        <f aca="false">HR_Model!T$72*Assumptions!$D$122</f>
        <v>1755</v>
      </c>
      <c r="U35" s="51" t="n">
        <f aca="false">HR_Model!U$72*Assumptions!$D$122</f>
        <v>1755</v>
      </c>
      <c r="V35" s="51" t="n">
        <f aca="false">HR_Model!V$72*Assumptions!$D$122</f>
        <v>1755</v>
      </c>
      <c r="W35" s="51" t="n">
        <f aca="false">HR_Model!W$72*Assumptions!$D$122</f>
        <v>1755</v>
      </c>
      <c r="X35" s="51" t="n">
        <f aca="false">HR_Model!X$72*Assumptions!$D$122</f>
        <v>1755</v>
      </c>
      <c r="Y35" s="51" t="n">
        <f aca="false">HR_Model!Y$72*Assumptions!$D$122</f>
        <v>1755</v>
      </c>
      <c r="Z35" s="51" t="n">
        <f aca="false">HR_Model!Z$72*Assumptions!$D$122</f>
        <v>1755</v>
      </c>
      <c r="AA35" s="51" t="n">
        <f aca="false">HR_Model!AA$72*Assumptions!$E$122</f>
        <v>2520</v>
      </c>
      <c r="AB35" s="51" t="n">
        <f aca="false">HR_Model!AB$72*Assumptions!$E$122</f>
        <v>2520</v>
      </c>
      <c r="AC35" s="51" t="n">
        <f aca="false">HR_Model!AC$72*Assumptions!$E$122</f>
        <v>2520</v>
      </c>
      <c r="AD35" s="51" t="n">
        <f aca="false">HR_Model!AD$72*Assumptions!$E$122</f>
        <v>2520</v>
      </c>
      <c r="AE35" s="51" t="n">
        <f aca="false">HR_Model!AE$72*Assumptions!$E$122</f>
        <v>2520</v>
      </c>
      <c r="AF35" s="51" t="n">
        <f aca="false">HR_Model!AF$72*Assumptions!$E$122</f>
        <v>2520</v>
      </c>
      <c r="AG35" s="51" t="n">
        <f aca="false">HR_Model!AG$72*Assumptions!$E$122</f>
        <v>2520</v>
      </c>
      <c r="AH35" s="51" t="n">
        <f aca="false">HR_Model!AH$72*Assumptions!$E$122</f>
        <v>2520</v>
      </c>
      <c r="AI35" s="51" t="n">
        <f aca="false">HR_Model!AI$72*Assumptions!$E$122</f>
        <v>2520</v>
      </c>
      <c r="AJ35" s="51" t="n">
        <f aca="false">HR_Model!AJ$72*Assumptions!$E$122</f>
        <v>2520</v>
      </c>
      <c r="AK35" s="51" t="n">
        <f aca="false">HR_Model!AK$72*Assumptions!$E$122</f>
        <v>2520</v>
      </c>
      <c r="AL35" s="51" t="n">
        <f aca="false">HR_Model!AL$72*Assumptions!$E$122</f>
        <v>2520</v>
      </c>
      <c r="AN35" s="52" t="n">
        <f aca="false">SUM(C35:N35)</f>
        <v>12960</v>
      </c>
      <c r="AO35" s="52" t="n">
        <f aca="false">SUM(O35:Z35)</f>
        <v>21060</v>
      </c>
      <c r="AP35" s="52" t="n">
        <f aca="false">SUM(AA35:AL35)</f>
        <v>30240</v>
      </c>
    </row>
    <row r="36" customFormat="false" ht="15" hidden="false" customHeight="false" outlineLevel="0" collapsed="false">
      <c r="A36" s="26" t="s">
        <v>575</v>
      </c>
      <c r="B36" s="24" t="s">
        <v>576</v>
      </c>
      <c r="C36" s="51" t="n">
        <f aca="false">HR_Model!C$74*Assumptions!$C$123</f>
        <v>1250</v>
      </c>
      <c r="D36" s="51" t="n">
        <f aca="false">HR_Model!D$74*Assumptions!$C$123</f>
        <v>1250</v>
      </c>
      <c r="E36" s="51" t="n">
        <f aca="false">HR_Model!E$74*Assumptions!$C$123</f>
        <v>1250</v>
      </c>
      <c r="F36" s="51" t="n">
        <f aca="false">HR_Model!F$74*Assumptions!$C$123</f>
        <v>1250</v>
      </c>
      <c r="G36" s="51" t="n">
        <f aca="false">HR_Model!G$74*Assumptions!$C$123</f>
        <v>1250</v>
      </c>
      <c r="H36" s="51" t="n">
        <f aca="false">HR_Model!H$74*Assumptions!$C$123</f>
        <v>1250</v>
      </c>
      <c r="I36" s="51" t="n">
        <f aca="false">HR_Model!I$74*Assumptions!$C$123</f>
        <v>1250</v>
      </c>
      <c r="J36" s="51" t="n">
        <f aca="false">HR_Model!J$74*Assumptions!$C$123</f>
        <v>1250</v>
      </c>
      <c r="K36" s="51" t="n">
        <f aca="false">HR_Model!K$74*Assumptions!$C$123</f>
        <v>1250</v>
      </c>
      <c r="L36" s="51" t="n">
        <f aca="false">HR_Model!L$74*Assumptions!$C$123</f>
        <v>1250</v>
      </c>
      <c r="M36" s="51" t="n">
        <f aca="false">HR_Model!M$74*Assumptions!$C$123</f>
        <v>1250</v>
      </c>
      <c r="N36" s="51" t="n">
        <f aca="false">HR_Model!N$74*Assumptions!$C$123</f>
        <v>1250</v>
      </c>
      <c r="O36" s="51" t="n">
        <f aca="false">HR_Model!O$74*Assumptions!$D$123</f>
        <v>2900</v>
      </c>
      <c r="P36" s="51" t="n">
        <f aca="false">HR_Model!P$74*Assumptions!$D$123</f>
        <v>2900</v>
      </c>
      <c r="Q36" s="51" t="n">
        <f aca="false">HR_Model!Q$74*Assumptions!$D$123</f>
        <v>2900</v>
      </c>
      <c r="R36" s="51" t="n">
        <f aca="false">HR_Model!R$74*Assumptions!$D$123</f>
        <v>2900</v>
      </c>
      <c r="S36" s="51" t="n">
        <f aca="false">HR_Model!S$74*Assumptions!$D$123</f>
        <v>2900</v>
      </c>
      <c r="T36" s="51" t="n">
        <f aca="false">HR_Model!T$74*Assumptions!$D$123</f>
        <v>2900</v>
      </c>
      <c r="U36" s="51" t="n">
        <f aca="false">HR_Model!U$74*Assumptions!$D$123</f>
        <v>2900</v>
      </c>
      <c r="V36" s="51" t="n">
        <f aca="false">HR_Model!V$74*Assumptions!$D$123</f>
        <v>2900</v>
      </c>
      <c r="W36" s="51" t="n">
        <f aca="false">HR_Model!W$74*Assumptions!$D$123</f>
        <v>2900</v>
      </c>
      <c r="X36" s="51" t="n">
        <f aca="false">HR_Model!X$74*Assumptions!$D$123</f>
        <v>2900</v>
      </c>
      <c r="Y36" s="51" t="n">
        <f aca="false">HR_Model!Y$74*Assumptions!$D$123</f>
        <v>2900</v>
      </c>
      <c r="Z36" s="51" t="n">
        <f aca="false">HR_Model!Z$74*Assumptions!$D$123</f>
        <v>2900</v>
      </c>
      <c r="AA36" s="51" t="n">
        <f aca="false">HR_Model!AA$74*Assumptions!$E$123</f>
        <v>6600</v>
      </c>
      <c r="AB36" s="51" t="n">
        <f aca="false">HR_Model!AB$74*Assumptions!$E$123</f>
        <v>6600</v>
      </c>
      <c r="AC36" s="51" t="n">
        <f aca="false">HR_Model!AC$74*Assumptions!$E$123</f>
        <v>6600</v>
      </c>
      <c r="AD36" s="51" t="n">
        <f aca="false">HR_Model!AD$74*Assumptions!$E$123</f>
        <v>6600</v>
      </c>
      <c r="AE36" s="51" t="n">
        <f aca="false">HR_Model!AE$74*Assumptions!$E$123</f>
        <v>6600</v>
      </c>
      <c r="AF36" s="51" t="n">
        <f aca="false">HR_Model!AF$74*Assumptions!$E$123</f>
        <v>6600</v>
      </c>
      <c r="AG36" s="51" t="n">
        <f aca="false">HR_Model!AG$74*Assumptions!$E$123</f>
        <v>6600</v>
      </c>
      <c r="AH36" s="51" t="n">
        <f aca="false">HR_Model!AH$74*Assumptions!$E$123</f>
        <v>6600</v>
      </c>
      <c r="AI36" s="51" t="n">
        <f aca="false">HR_Model!AI$74*Assumptions!$E$123</f>
        <v>6600</v>
      </c>
      <c r="AJ36" s="51" t="n">
        <f aca="false">HR_Model!AJ$74*Assumptions!$E$123</f>
        <v>6600</v>
      </c>
      <c r="AK36" s="51" t="n">
        <f aca="false">HR_Model!AK$74*Assumptions!$E$123</f>
        <v>6600</v>
      </c>
      <c r="AL36" s="51" t="n">
        <f aca="false">HR_Model!AL$74*Assumptions!$E$123</f>
        <v>6600</v>
      </c>
      <c r="AN36" s="52" t="n">
        <f aca="false">SUM(C36:N36)</f>
        <v>15000</v>
      </c>
      <c r="AO36" s="52" t="n">
        <f aca="false">SUM(O36:Z36)</f>
        <v>34800</v>
      </c>
      <c r="AP36" s="52" t="n">
        <f aca="false">SUM(AA36:AL36)</f>
        <v>79200</v>
      </c>
    </row>
    <row r="37" customFormat="false" ht="15" hidden="false" customHeight="false" outlineLevel="0" collapsed="false">
      <c r="A37" s="26" t="s">
        <v>577</v>
      </c>
      <c r="B37" s="24" t="s">
        <v>578</v>
      </c>
      <c r="C37" s="51" t="n">
        <f aca="false">Assumptions!$C$124</f>
        <v>3800</v>
      </c>
      <c r="D37" s="51" t="n">
        <f aca="false">Assumptions!$C$124</f>
        <v>3800</v>
      </c>
      <c r="E37" s="51" t="n">
        <f aca="false">Assumptions!$C$124</f>
        <v>3800</v>
      </c>
      <c r="F37" s="51" t="n">
        <f aca="false">Assumptions!$C$124</f>
        <v>3800</v>
      </c>
      <c r="G37" s="51" t="n">
        <f aca="false">Assumptions!$C$124</f>
        <v>3800</v>
      </c>
      <c r="H37" s="51" t="n">
        <f aca="false">Assumptions!$C$124</f>
        <v>3800</v>
      </c>
      <c r="I37" s="51" t="n">
        <f aca="false">Assumptions!$C$124</f>
        <v>3800</v>
      </c>
      <c r="J37" s="51" t="n">
        <f aca="false">Assumptions!$C$124</f>
        <v>3800</v>
      </c>
      <c r="K37" s="51" t="n">
        <f aca="false">Assumptions!$C$124</f>
        <v>3800</v>
      </c>
      <c r="L37" s="51" t="n">
        <f aca="false">Assumptions!$C$124</f>
        <v>3800</v>
      </c>
      <c r="M37" s="51" t="n">
        <f aca="false">Assumptions!$C$124</f>
        <v>3800</v>
      </c>
      <c r="N37" s="51" t="n">
        <f aca="false">Assumptions!$C$124</f>
        <v>3800</v>
      </c>
      <c r="O37" s="51" t="n">
        <f aca="false">Assumptions!$D$124</f>
        <v>5300</v>
      </c>
      <c r="P37" s="51" t="n">
        <f aca="false">Assumptions!$D$124</f>
        <v>5300</v>
      </c>
      <c r="Q37" s="51" t="n">
        <f aca="false">Assumptions!$D$124</f>
        <v>5300</v>
      </c>
      <c r="R37" s="51" t="n">
        <f aca="false">Assumptions!$D$124</f>
        <v>5300</v>
      </c>
      <c r="S37" s="51" t="n">
        <f aca="false">Assumptions!$D$124</f>
        <v>5300</v>
      </c>
      <c r="T37" s="51" t="n">
        <f aca="false">Assumptions!$D$124</f>
        <v>5300</v>
      </c>
      <c r="U37" s="51" t="n">
        <f aca="false">Assumptions!$D$124</f>
        <v>5300</v>
      </c>
      <c r="V37" s="51" t="n">
        <f aca="false">Assumptions!$D$124</f>
        <v>5300</v>
      </c>
      <c r="W37" s="51" t="n">
        <f aca="false">Assumptions!$D$124</f>
        <v>5300</v>
      </c>
      <c r="X37" s="51" t="n">
        <f aca="false">Assumptions!$D$124</f>
        <v>5300</v>
      </c>
      <c r="Y37" s="51" t="n">
        <f aca="false">Assumptions!$D$124</f>
        <v>5300</v>
      </c>
      <c r="Z37" s="51" t="n">
        <f aca="false">Assumptions!$D$124</f>
        <v>5300</v>
      </c>
      <c r="AA37" s="51" t="n">
        <f aca="false">Assumptions!$E$124</f>
        <v>9600</v>
      </c>
      <c r="AB37" s="51" t="n">
        <f aca="false">Assumptions!$E$124</f>
        <v>9600</v>
      </c>
      <c r="AC37" s="51" t="n">
        <f aca="false">Assumptions!$E$124</f>
        <v>9600</v>
      </c>
      <c r="AD37" s="51" t="n">
        <f aca="false">Assumptions!$E$124</f>
        <v>9600</v>
      </c>
      <c r="AE37" s="51" t="n">
        <f aca="false">Assumptions!$E$124</f>
        <v>9600</v>
      </c>
      <c r="AF37" s="51" t="n">
        <f aca="false">Assumptions!$E$124</f>
        <v>9600</v>
      </c>
      <c r="AG37" s="51" t="n">
        <f aca="false">Assumptions!$E$124</f>
        <v>9600</v>
      </c>
      <c r="AH37" s="51" t="n">
        <f aca="false">Assumptions!$E$124</f>
        <v>9600</v>
      </c>
      <c r="AI37" s="51" t="n">
        <f aca="false">Assumptions!$E$124</f>
        <v>9600</v>
      </c>
      <c r="AJ37" s="51" t="n">
        <f aca="false">Assumptions!$E$124</f>
        <v>9600</v>
      </c>
      <c r="AK37" s="51" t="n">
        <f aca="false">Assumptions!$E$124</f>
        <v>9600</v>
      </c>
      <c r="AL37" s="51" t="n">
        <f aca="false">Assumptions!$E$124</f>
        <v>9600</v>
      </c>
      <c r="AN37" s="52" t="n">
        <f aca="false">SUM(C37:N37)</f>
        <v>45600</v>
      </c>
      <c r="AO37" s="52" t="n">
        <f aca="false">SUM(O37:Z37)</f>
        <v>63600</v>
      </c>
      <c r="AP37" s="52" t="n">
        <f aca="false">SUM(AA37:AL37)</f>
        <v>115200</v>
      </c>
    </row>
    <row r="38" customFormat="false" ht="15" hidden="false" customHeight="false" outlineLevel="0" collapsed="false">
      <c r="A38" s="26" t="s">
        <v>579</v>
      </c>
      <c r="B38" s="24" t="s">
        <v>580</v>
      </c>
      <c r="C38" s="51" t="n">
        <f aca="false">Assumptions!$C$125</f>
        <v>1150</v>
      </c>
      <c r="D38" s="51" t="n">
        <f aca="false">Assumptions!$C$125</f>
        <v>1150</v>
      </c>
      <c r="E38" s="51" t="n">
        <f aca="false">Assumptions!$C$125</f>
        <v>1150</v>
      </c>
      <c r="F38" s="51" t="n">
        <f aca="false">Assumptions!$C$125</f>
        <v>1150</v>
      </c>
      <c r="G38" s="51" t="n">
        <f aca="false">Assumptions!$C$125</f>
        <v>1150</v>
      </c>
      <c r="H38" s="51" t="n">
        <f aca="false">Assumptions!$C$125</f>
        <v>1150</v>
      </c>
      <c r="I38" s="51" t="n">
        <f aca="false">Assumptions!$C$125</f>
        <v>1150</v>
      </c>
      <c r="J38" s="51" t="n">
        <f aca="false">Assumptions!$C$125</f>
        <v>1150</v>
      </c>
      <c r="K38" s="51" t="n">
        <f aca="false">Assumptions!$C$125</f>
        <v>1150</v>
      </c>
      <c r="L38" s="51" t="n">
        <f aca="false">Assumptions!$C$125</f>
        <v>1150</v>
      </c>
      <c r="M38" s="51" t="n">
        <f aca="false">Assumptions!$C$125</f>
        <v>1150</v>
      </c>
      <c r="N38" s="51" t="n">
        <f aca="false">Assumptions!$C$125</f>
        <v>1150</v>
      </c>
      <c r="O38" s="51" t="n">
        <f aca="false">Assumptions!$D$125</f>
        <v>2500</v>
      </c>
      <c r="P38" s="51" t="n">
        <f aca="false">Assumptions!$D$125</f>
        <v>2500</v>
      </c>
      <c r="Q38" s="51" t="n">
        <f aca="false">Assumptions!$D$125</f>
        <v>2500</v>
      </c>
      <c r="R38" s="51" t="n">
        <f aca="false">Assumptions!$D$125</f>
        <v>2500</v>
      </c>
      <c r="S38" s="51" t="n">
        <f aca="false">Assumptions!$D$125</f>
        <v>2500</v>
      </c>
      <c r="T38" s="51" t="n">
        <f aca="false">Assumptions!$D$125</f>
        <v>2500</v>
      </c>
      <c r="U38" s="51" t="n">
        <f aca="false">Assumptions!$D$125</f>
        <v>2500</v>
      </c>
      <c r="V38" s="51" t="n">
        <f aca="false">Assumptions!$D$125</f>
        <v>2500</v>
      </c>
      <c r="W38" s="51" t="n">
        <f aca="false">Assumptions!$D$125</f>
        <v>2500</v>
      </c>
      <c r="X38" s="51" t="n">
        <f aca="false">Assumptions!$D$125</f>
        <v>2500</v>
      </c>
      <c r="Y38" s="51" t="n">
        <f aca="false">Assumptions!$D$125</f>
        <v>2500</v>
      </c>
      <c r="Z38" s="51" t="n">
        <f aca="false">Assumptions!$D$125</f>
        <v>2500</v>
      </c>
      <c r="AA38" s="51" t="n">
        <f aca="false">Assumptions!$E$125</f>
        <v>4800</v>
      </c>
      <c r="AB38" s="51" t="n">
        <f aca="false">Assumptions!$E$125</f>
        <v>4800</v>
      </c>
      <c r="AC38" s="51" t="n">
        <f aca="false">Assumptions!$E$125</f>
        <v>4800</v>
      </c>
      <c r="AD38" s="51" t="n">
        <f aca="false">Assumptions!$E$125</f>
        <v>4800</v>
      </c>
      <c r="AE38" s="51" t="n">
        <f aca="false">Assumptions!$E$125</f>
        <v>4800</v>
      </c>
      <c r="AF38" s="51" t="n">
        <f aca="false">Assumptions!$E$125</f>
        <v>4800</v>
      </c>
      <c r="AG38" s="51" t="n">
        <f aca="false">Assumptions!$E$125</f>
        <v>4800</v>
      </c>
      <c r="AH38" s="51" t="n">
        <f aca="false">Assumptions!$E$125</f>
        <v>4800</v>
      </c>
      <c r="AI38" s="51" t="n">
        <f aca="false">Assumptions!$E$125</f>
        <v>4800</v>
      </c>
      <c r="AJ38" s="51" t="n">
        <f aca="false">Assumptions!$E$125</f>
        <v>4800</v>
      </c>
      <c r="AK38" s="51" t="n">
        <f aca="false">Assumptions!$E$125</f>
        <v>4800</v>
      </c>
      <c r="AL38" s="51" t="n">
        <f aca="false">Assumptions!$E$125</f>
        <v>4800</v>
      </c>
      <c r="AN38" s="52" t="n">
        <f aca="false">SUM(C38:N38)</f>
        <v>13800</v>
      </c>
      <c r="AO38" s="52" t="n">
        <f aca="false">SUM(O38:Z38)</f>
        <v>30000</v>
      </c>
      <c r="AP38" s="52" t="n">
        <f aca="false">SUM(AA38:AL38)</f>
        <v>57600</v>
      </c>
    </row>
    <row r="39" customFormat="false" ht="15" hidden="false" customHeight="false" outlineLevel="0" collapsed="false">
      <c r="A39" s="26" t="s">
        <v>581</v>
      </c>
      <c r="B39" s="24" t="s">
        <v>582</v>
      </c>
      <c r="C39" s="51" t="n">
        <f aca="false">Assumptions!$C$126</f>
        <v>600</v>
      </c>
      <c r="D39" s="51" t="n">
        <f aca="false">Assumptions!$C$126</f>
        <v>600</v>
      </c>
      <c r="E39" s="51" t="n">
        <f aca="false">Assumptions!$C$126</f>
        <v>600</v>
      </c>
      <c r="F39" s="51" t="n">
        <f aca="false">Assumptions!$C$126</f>
        <v>600</v>
      </c>
      <c r="G39" s="51" t="n">
        <f aca="false">Assumptions!$C$126</f>
        <v>600</v>
      </c>
      <c r="H39" s="51" t="n">
        <f aca="false">Assumptions!$C$126</f>
        <v>600</v>
      </c>
      <c r="I39" s="51" t="n">
        <f aca="false">Assumptions!$C$126</f>
        <v>600</v>
      </c>
      <c r="J39" s="51" t="n">
        <f aca="false">Assumptions!$C$126</f>
        <v>600</v>
      </c>
      <c r="K39" s="51" t="n">
        <f aca="false">Assumptions!$C$126</f>
        <v>600</v>
      </c>
      <c r="L39" s="51" t="n">
        <f aca="false">Assumptions!$C$126</f>
        <v>600</v>
      </c>
      <c r="M39" s="51" t="n">
        <f aca="false">Assumptions!$C$126</f>
        <v>600</v>
      </c>
      <c r="N39" s="51" t="n">
        <f aca="false">Assumptions!$C$126</f>
        <v>600</v>
      </c>
      <c r="O39" s="51" t="n">
        <f aca="false">Assumptions!$D$126</f>
        <v>3200</v>
      </c>
      <c r="P39" s="51" t="n">
        <f aca="false">Assumptions!$D$126</f>
        <v>3200</v>
      </c>
      <c r="Q39" s="51" t="n">
        <f aca="false">Assumptions!$D$126</f>
        <v>3200</v>
      </c>
      <c r="R39" s="51" t="n">
        <f aca="false">Assumptions!$D$126</f>
        <v>3200</v>
      </c>
      <c r="S39" s="51" t="n">
        <f aca="false">Assumptions!$D$126</f>
        <v>3200</v>
      </c>
      <c r="T39" s="51" t="n">
        <f aca="false">Assumptions!$D$126</f>
        <v>3200</v>
      </c>
      <c r="U39" s="51" t="n">
        <f aca="false">Assumptions!$D$126</f>
        <v>3200</v>
      </c>
      <c r="V39" s="51" t="n">
        <f aca="false">Assumptions!$D$126</f>
        <v>3200</v>
      </c>
      <c r="W39" s="51" t="n">
        <f aca="false">Assumptions!$D$126</f>
        <v>3200</v>
      </c>
      <c r="X39" s="51" t="n">
        <f aca="false">Assumptions!$D$126</f>
        <v>3200</v>
      </c>
      <c r="Y39" s="51" t="n">
        <f aca="false">Assumptions!$D$126</f>
        <v>3200</v>
      </c>
      <c r="Z39" s="51" t="n">
        <f aca="false">Assumptions!$D$126</f>
        <v>3200</v>
      </c>
      <c r="AA39" s="51" t="n">
        <f aca="false">Assumptions!$E$126</f>
        <v>11600</v>
      </c>
      <c r="AB39" s="51" t="n">
        <f aca="false">Assumptions!$E$126</f>
        <v>11600</v>
      </c>
      <c r="AC39" s="51" t="n">
        <f aca="false">Assumptions!$E$126</f>
        <v>11600</v>
      </c>
      <c r="AD39" s="51" t="n">
        <f aca="false">Assumptions!$E$126</f>
        <v>11600</v>
      </c>
      <c r="AE39" s="51" t="n">
        <f aca="false">Assumptions!$E$126</f>
        <v>11600</v>
      </c>
      <c r="AF39" s="51" t="n">
        <f aca="false">Assumptions!$E$126</f>
        <v>11600</v>
      </c>
      <c r="AG39" s="51" t="n">
        <f aca="false">Assumptions!$E$126</f>
        <v>11600</v>
      </c>
      <c r="AH39" s="51" t="n">
        <f aca="false">Assumptions!$E$126</f>
        <v>11600</v>
      </c>
      <c r="AI39" s="51" t="n">
        <f aca="false">Assumptions!$E$126</f>
        <v>11600</v>
      </c>
      <c r="AJ39" s="51" t="n">
        <f aca="false">Assumptions!$E$126</f>
        <v>11600</v>
      </c>
      <c r="AK39" s="51" t="n">
        <f aca="false">Assumptions!$E$126</f>
        <v>11600</v>
      </c>
      <c r="AL39" s="51" t="n">
        <f aca="false">Assumptions!$E$126</f>
        <v>11600</v>
      </c>
      <c r="AN39" s="52" t="n">
        <f aca="false">SUM(C39:N39)</f>
        <v>7200</v>
      </c>
      <c r="AO39" s="52" t="n">
        <f aca="false">SUM(O39:Z39)</f>
        <v>38400</v>
      </c>
      <c r="AP39" s="52" t="n">
        <f aca="false">SUM(AA39:AL39)</f>
        <v>139200</v>
      </c>
    </row>
    <row r="40" customFormat="false" ht="15" hidden="false" customHeight="false" outlineLevel="0" collapsed="false">
      <c r="A40" s="26" t="s">
        <v>263</v>
      </c>
      <c r="B40" s="24"/>
      <c r="C40" s="51" t="n">
        <f aca="false">Assumptions!$C$127</f>
        <v>380</v>
      </c>
      <c r="D40" s="51" t="n">
        <f aca="false">Assumptions!$C$127</f>
        <v>380</v>
      </c>
      <c r="E40" s="51" t="n">
        <f aca="false">Assumptions!$C$127</f>
        <v>380</v>
      </c>
      <c r="F40" s="51" t="n">
        <f aca="false">Assumptions!$C$127</f>
        <v>380</v>
      </c>
      <c r="G40" s="51" t="n">
        <f aca="false">Assumptions!$C$127</f>
        <v>380</v>
      </c>
      <c r="H40" s="51" t="n">
        <f aca="false">Assumptions!$C$127</f>
        <v>380</v>
      </c>
      <c r="I40" s="51" t="n">
        <f aca="false">Assumptions!$C$127</f>
        <v>380</v>
      </c>
      <c r="J40" s="51" t="n">
        <f aca="false">Assumptions!$C$127</f>
        <v>380</v>
      </c>
      <c r="K40" s="51" t="n">
        <f aca="false">Assumptions!$C$127</f>
        <v>380</v>
      </c>
      <c r="L40" s="51" t="n">
        <f aca="false">Assumptions!$C$127</f>
        <v>380</v>
      </c>
      <c r="M40" s="51" t="n">
        <f aca="false">Assumptions!$C$127</f>
        <v>380</v>
      </c>
      <c r="N40" s="51" t="n">
        <f aca="false">Assumptions!$C$127</f>
        <v>380</v>
      </c>
      <c r="O40" s="51" t="n">
        <f aca="false">Assumptions!$D$127</f>
        <v>620</v>
      </c>
      <c r="P40" s="51" t="n">
        <f aca="false">Assumptions!$D$127</f>
        <v>620</v>
      </c>
      <c r="Q40" s="51" t="n">
        <f aca="false">Assumptions!$D$127</f>
        <v>620</v>
      </c>
      <c r="R40" s="51" t="n">
        <f aca="false">Assumptions!$D$127</f>
        <v>620</v>
      </c>
      <c r="S40" s="51" t="n">
        <f aca="false">Assumptions!$D$127</f>
        <v>620</v>
      </c>
      <c r="T40" s="51" t="n">
        <f aca="false">Assumptions!$D$127</f>
        <v>620</v>
      </c>
      <c r="U40" s="51" t="n">
        <f aca="false">Assumptions!$D$127</f>
        <v>620</v>
      </c>
      <c r="V40" s="51" t="n">
        <f aca="false">Assumptions!$D$127</f>
        <v>620</v>
      </c>
      <c r="W40" s="51" t="n">
        <f aca="false">Assumptions!$D$127</f>
        <v>620</v>
      </c>
      <c r="X40" s="51" t="n">
        <f aca="false">Assumptions!$D$127</f>
        <v>620</v>
      </c>
      <c r="Y40" s="51" t="n">
        <f aca="false">Assumptions!$D$127</f>
        <v>620</v>
      </c>
      <c r="Z40" s="51" t="n">
        <f aca="false">Assumptions!$D$127</f>
        <v>620</v>
      </c>
      <c r="AA40" s="51" t="n">
        <f aca="false">Assumptions!$E$127</f>
        <v>1100</v>
      </c>
      <c r="AB40" s="51" t="n">
        <f aca="false">Assumptions!$E$127</f>
        <v>1100</v>
      </c>
      <c r="AC40" s="51" t="n">
        <f aca="false">Assumptions!$E$127</f>
        <v>1100</v>
      </c>
      <c r="AD40" s="51" t="n">
        <f aca="false">Assumptions!$E$127</f>
        <v>1100</v>
      </c>
      <c r="AE40" s="51" t="n">
        <f aca="false">Assumptions!$E$127</f>
        <v>1100</v>
      </c>
      <c r="AF40" s="51" t="n">
        <f aca="false">Assumptions!$E$127</f>
        <v>1100</v>
      </c>
      <c r="AG40" s="51" t="n">
        <f aca="false">Assumptions!$E$127</f>
        <v>1100</v>
      </c>
      <c r="AH40" s="51" t="n">
        <f aca="false">Assumptions!$E$127</f>
        <v>1100</v>
      </c>
      <c r="AI40" s="51" t="n">
        <f aca="false">Assumptions!$E$127</f>
        <v>1100</v>
      </c>
      <c r="AJ40" s="51" t="n">
        <f aca="false">Assumptions!$E$127</f>
        <v>1100</v>
      </c>
      <c r="AK40" s="51" t="n">
        <f aca="false">Assumptions!$E$127</f>
        <v>1100</v>
      </c>
      <c r="AL40" s="51" t="n">
        <f aca="false">Assumptions!$E$127</f>
        <v>1100</v>
      </c>
      <c r="AN40" s="52" t="n">
        <f aca="false">SUM(C40:N40)</f>
        <v>4560</v>
      </c>
      <c r="AO40" s="52" t="n">
        <f aca="false">SUM(O40:Z40)</f>
        <v>7440</v>
      </c>
      <c r="AP40" s="52" t="n">
        <f aca="false">SUM(AA40:AL40)</f>
        <v>13200</v>
      </c>
    </row>
    <row r="41" customFormat="false" ht="15" hidden="false" customHeight="false" outlineLevel="0" collapsed="false">
      <c r="A41" s="26" t="s">
        <v>583</v>
      </c>
      <c r="B41" s="24" t="s">
        <v>584</v>
      </c>
      <c r="C41" s="51" t="n">
        <f aca="false">SUM(C27:C40)*Assumptions!$C$128</f>
        <v>3176.10216596893</v>
      </c>
      <c r="D41" s="51" t="n">
        <f aca="false">SUM(D27:D40)*Assumptions!$C$128</f>
        <v>3177.28753545457</v>
      </c>
      <c r="E41" s="51" t="n">
        <f aca="false">SUM(E27:E40)*Assumptions!$C$128</f>
        <v>3178.83839986335</v>
      </c>
      <c r="F41" s="51" t="n">
        <f aca="false">SUM(F27:F40)*Assumptions!$C$128</f>
        <v>3279.42070652123</v>
      </c>
      <c r="G41" s="51" t="n">
        <f aca="false">SUM(G27:G40)*Assumptions!$C$128</f>
        <v>3290.93491786552</v>
      </c>
      <c r="H41" s="51" t="n">
        <f aca="false">SUM(H27:H40)*Assumptions!$C$128</f>
        <v>3306.2530639473</v>
      </c>
      <c r="I41" s="51" t="n">
        <f aca="false">SUM(I27:I40)*Assumptions!$C$128</f>
        <v>3396.97029881641</v>
      </c>
      <c r="J41" s="51" t="n">
        <f aca="false">SUM(J27:J40)*Assumptions!$C$128</f>
        <v>3420.20885572191</v>
      </c>
      <c r="K41" s="51" t="n">
        <f aca="false">SUM(K27:K40)*Assumptions!$C$128</f>
        <v>3451.16107454066</v>
      </c>
      <c r="L41" s="51" t="n">
        <f aca="false">SUM(L27:L40)*Assumptions!$C$128</f>
        <v>3695.04298166807</v>
      </c>
      <c r="M41" s="51" t="n">
        <f aca="false">SUM(M27:M40)*Assumptions!$C$128</f>
        <v>3748.14848022374</v>
      </c>
      <c r="N41" s="51" t="n">
        <f aca="false">SUM(N27:N40)*Assumptions!$C$128</f>
        <v>3818.89974267641</v>
      </c>
      <c r="O41" s="51" t="n">
        <f aca="false">SUM(O27:O40)*Assumptions!$C$128</f>
        <v>7132.19577007468</v>
      </c>
      <c r="P41" s="51" t="n">
        <f aca="false">SUM(P27:P40)*Assumptions!$C$128</f>
        <v>7207.1110172688</v>
      </c>
      <c r="Q41" s="51" t="n">
        <f aca="false">SUM(Q27:Q40)*Assumptions!$C$128</f>
        <v>7306.86122673566</v>
      </c>
      <c r="R41" s="51" t="n">
        <f aca="false">SUM(R27:R40)*Assumptions!$C$128</f>
        <v>7237.68040537647</v>
      </c>
      <c r="S41" s="51" t="n">
        <f aca="false">SUM(S27:S40)*Assumptions!$C$128</f>
        <v>7323.00749087769</v>
      </c>
      <c r="T41" s="51" t="n">
        <f aca="false">SUM(T27:T40)*Assumptions!$C$128</f>
        <v>7436.64737716367</v>
      </c>
      <c r="U41" s="51" t="n">
        <f aca="false">SUM(U27:U40)*Assumptions!$C$128</f>
        <v>7524.03669562282</v>
      </c>
      <c r="V41" s="51" t="n">
        <f aca="false">SUM(V27:V40)*Assumptions!$C$128</f>
        <v>7637.94449074931</v>
      </c>
      <c r="W41" s="51" t="n">
        <f aca="false">SUM(W27:W40)*Assumptions!$C$128</f>
        <v>7789.67636275911</v>
      </c>
      <c r="X41" s="51" t="n">
        <f aca="false">SUM(X27:X40)*Assumptions!$C$128</f>
        <v>7653.84927126167</v>
      </c>
      <c r="Y41" s="51" t="n">
        <f aca="false">SUM(Y27:Y40)*Assumptions!$C$128</f>
        <v>7780.60507612913</v>
      </c>
      <c r="Z41" s="51" t="n">
        <f aca="false">SUM(Z27:Z40)*Assumptions!$C$128</f>
        <v>7949.46756064092</v>
      </c>
      <c r="AA41" s="51" t="n">
        <f aca="false">SUM(AA27:AA40)*Assumptions!$C$128</f>
        <v>12802.1256522933</v>
      </c>
      <c r="AB41" s="51" t="n">
        <f aca="false">SUM(AB27:AB40)*Assumptions!$C$128</f>
        <v>12983.168542218</v>
      </c>
      <c r="AC41" s="51" t="n">
        <f aca="false">SUM(AC27:AC40)*Assumptions!$C$128</f>
        <v>13224.1947708822</v>
      </c>
      <c r="AD41" s="51" t="n">
        <f aca="false">SUM(AD27:AD40)*Assumptions!$C$128</f>
        <v>13006.170359146</v>
      </c>
      <c r="AE41" s="51" t="n">
        <f aca="false">SUM(AE27:AE40)*Assumptions!$C$128</f>
        <v>13207.2478481264</v>
      </c>
      <c r="AF41" s="51" t="n">
        <f aca="false">SUM(AF27:AF40)*Assumptions!$C$128</f>
        <v>13474.9997821207</v>
      </c>
      <c r="AG41" s="51" t="n">
        <f aca="false">SUM(AG27:AG40)*Assumptions!$C$128</f>
        <v>13322.0052147438</v>
      </c>
      <c r="AH41" s="51" t="n">
        <f aca="false">SUM(AH27:AH40)*Assumptions!$C$128</f>
        <v>13554.3215405138</v>
      </c>
      <c r="AI41" s="51" t="n">
        <f aca="false">SUM(AI27:AI40)*Assumptions!$C$128</f>
        <v>13863.7286162441</v>
      </c>
      <c r="AJ41" s="51" t="n">
        <f aca="false">SUM(AJ27:AJ40)*Assumptions!$C$128</f>
        <v>13584.8901692116</v>
      </c>
      <c r="AK41" s="51" t="n">
        <f aca="false">SUM(AK27:AK40)*Assumptions!$C$128</f>
        <v>13843.0237121886</v>
      </c>
      <c r="AL41" s="51" t="n">
        <f aca="false">SUM(AL27:AL40)*Assumptions!$C$128</f>
        <v>14186.8870960556</v>
      </c>
      <c r="AN41" s="52" t="n">
        <f aca="false">SUM(C41:N41)</f>
        <v>40939.2682232681</v>
      </c>
      <c r="AO41" s="52" t="n">
        <f aca="false">SUM(O41:Z41)</f>
        <v>89979.0827446599</v>
      </c>
      <c r="AP41" s="52" t="n">
        <f aca="false">SUM(AA41:AL41)</f>
        <v>161052.763303744</v>
      </c>
    </row>
    <row r="42" customFormat="false" ht="15" hidden="false" customHeight="false" outlineLevel="0" collapsed="false">
      <c r="A42" s="53" t="s">
        <v>585</v>
      </c>
      <c r="B42" s="54"/>
      <c r="C42" s="55" t="n">
        <f aca="false">SUM(C27:C40)+C41</f>
        <v>42877.3792405806</v>
      </c>
      <c r="D42" s="55" t="n">
        <f aca="false">SUM(D27:D40)+D41</f>
        <v>42893.3817286367</v>
      </c>
      <c r="E42" s="55" t="n">
        <f aca="false">SUM(E27:E40)+E41</f>
        <v>42914.3183981552</v>
      </c>
      <c r="F42" s="55" t="n">
        <f aca="false">SUM(F27:F40)+F41</f>
        <v>44272.1795380367</v>
      </c>
      <c r="G42" s="55" t="n">
        <f aca="false">SUM(G27:G40)+G41</f>
        <v>44427.6213911845</v>
      </c>
      <c r="H42" s="55" t="n">
        <f aca="false">SUM(H27:H40)+H41</f>
        <v>44634.4163632886</v>
      </c>
      <c r="I42" s="55" t="n">
        <f aca="false">SUM(I27:I40)+I41</f>
        <v>45859.0990340216</v>
      </c>
      <c r="J42" s="55" t="n">
        <f aca="false">SUM(J27:J40)+J41</f>
        <v>46172.8195522458</v>
      </c>
      <c r="K42" s="55" t="n">
        <f aca="false">SUM(K27:K40)+K41</f>
        <v>46590.6745062989</v>
      </c>
      <c r="L42" s="55" t="n">
        <f aca="false">SUM(L27:L40)+L41</f>
        <v>49883.0802525189</v>
      </c>
      <c r="M42" s="55" t="n">
        <f aca="false">SUM(M27:M40)+M41</f>
        <v>50600.0044830205</v>
      </c>
      <c r="N42" s="55" t="n">
        <f aca="false">SUM(N27:N40)+N41</f>
        <v>51555.1465261315</v>
      </c>
      <c r="O42" s="55" t="n">
        <f aca="false">SUM(O27:O40)+O41</f>
        <v>96284.6428960081</v>
      </c>
      <c r="P42" s="55" t="n">
        <f aca="false">SUM(P27:P40)+P41</f>
        <v>97295.9987331287</v>
      </c>
      <c r="Q42" s="55" t="n">
        <f aca="false">SUM(Q27:Q40)+Q41</f>
        <v>98642.6265609314</v>
      </c>
      <c r="R42" s="55" t="n">
        <f aca="false">SUM(R27:R40)+R41</f>
        <v>97708.6854725824</v>
      </c>
      <c r="S42" s="55" t="n">
        <f aca="false">SUM(S27:S40)+S41</f>
        <v>98860.6011268488</v>
      </c>
      <c r="T42" s="55" t="n">
        <f aca="false">SUM(T27:T40)+T41</f>
        <v>100394.73959171</v>
      </c>
      <c r="U42" s="55" t="n">
        <f aca="false">SUM(U27:U40)+U41</f>
        <v>101574.495390908</v>
      </c>
      <c r="V42" s="55" t="n">
        <f aca="false">SUM(V27:V40)+V41</f>
        <v>103112.250625116</v>
      </c>
      <c r="W42" s="55" t="n">
        <f aca="false">SUM(W27:W40)+W41</f>
        <v>105160.630897248</v>
      </c>
      <c r="X42" s="55" t="n">
        <f aca="false">SUM(X27:X40)+X41</f>
        <v>103326.965162033</v>
      </c>
      <c r="Y42" s="55" t="n">
        <f aca="false">SUM(Y27:Y40)+Y41</f>
        <v>105038.168527743</v>
      </c>
      <c r="Z42" s="55" t="n">
        <f aca="false">SUM(Z27:Z40)+Z41</f>
        <v>107317.812068652</v>
      </c>
      <c r="AA42" s="55" t="n">
        <f aca="false">SUM(AA27:AA40)+AA41</f>
        <v>172828.696305959</v>
      </c>
      <c r="AB42" s="55" t="n">
        <f aca="false">SUM(AB27:AB40)+AB41</f>
        <v>175272.775319944</v>
      </c>
      <c r="AC42" s="55" t="n">
        <f aca="false">SUM(AC27:AC40)+AC41</f>
        <v>178526.62940691</v>
      </c>
      <c r="AD42" s="55" t="n">
        <f aca="false">SUM(AD27:AD40)+AD41</f>
        <v>175583.299848471</v>
      </c>
      <c r="AE42" s="55" t="n">
        <f aca="false">SUM(AE27:AE40)+AE41</f>
        <v>178297.845949707</v>
      </c>
      <c r="AF42" s="55" t="n">
        <f aca="false">SUM(AF27:AF40)+AF41</f>
        <v>181912.49705863</v>
      </c>
      <c r="AG42" s="55" t="n">
        <f aca="false">SUM(AG27:AG40)+AG41</f>
        <v>179847.070399041</v>
      </c>
      <c r="AH42" s="55" t="n">
        <f aca="false">SUM(AH27:AH40)+AH41</f>
        <v>182983.340796936</v>
      </c>
      <c r="AI42" s="55" t="n">
        <f aca="false">SUM(AI27:AI40)+AI41</f>
        <v>187160.336319296</v>
      </c>
      <c r="AJ42" s="55" t="n">
        <f aca="false">SUM(AJ27:AJ40)+AJ41</f>
        <v>183396.017284357</v>
      </c>
      <c r="AK42" s="55" t="n">
        <f aca="false">SUM(AK27:AK40)+AK41</f>
        <v>186880.820114546</v>
      </c>
      <c r="AL42" s="55" t="n">
        <f aca="false">SUM(AL27:AL40)+AL41</f>
        <v>191522.97579675</v>
      </c>
      <c r="AN42" s="52" t="n">
        <f aca="false">SUM(C42:N42)</f>
        <v>552680.121014119</v>
      </c>
      <c r="AO42" s="52" t="n">
        <f aca="false">SUM(O42:Z42)</f>
        <v>1214717.61705291</v>
      </c>
      <c r="AP42" s="52" t="n">
        <f aca="false">SUM(AA42:AL42)</f>
        <v>2174212.30460055</v>
      </c>
    </row>
    <row r="43" customFormat="false" ht="15" hidden="false" customHeight="false" outlineLevel="0" collapsed="false">
      <c r="A43" s="26" t="s">
        <v>586</v>
      </c>
      <c r="B43" s="24" t="s">
        <v>587</v>
      </c>
      <c r="C43" s="65" t="n">
        <f aca="false">Depreciation!C$18</f>
        <v>0</v>
      </c>
      <c r="D43" s="65" t="n">
        <f aca="false">Depreciation!D$18</f>
        <v>4491.30555555556</v>
      </c>
      <c r="E43" s="65" t="n">
        <f aca="false">Depreciation!E$18</f>
        <v>4689.22222222222</v>
      </c>
      <c r="F43" s="65" t="n">
        <f aca="false">Depreciation!F$18</f>
        <v>4689.22222222222</v>
      </c>
      <c r="G43" s="65" t="n">
        <f aca="false">Depreciation!G$18</f>
        <v>4689.22222222222</v>
      </c>
      <c r="H43" s="65" t="n">
        <f aca="false">Depreciation!H$18</f>
        <v>4689.22222222222</v>
      </c>
      <c r="I43" s="65" t="n">
        <f aca="false">Depreciation!I$18</f>
        <v>4689.22222222222</v>
      </c>
      <c r="J43" s="65" t="n">
        <f aca="false">Depreciation!J$18</f>
        <v>4689.22222222222</v>
      </c>
      <c r="K43" s="65" t="n">
        <f aca="false">Depreciation!K$18</f>
        <v>4689.22222222222</v>
      </c>
      <c r="L43" s="65" t="n">
        <f aca="false">Depreciation!L$18</f>
        <v>4689.22222222222</v>
      </c>
      <c r="M43" s="65" t="n">
        <f aca="false">Depreciation!M$18</f>
        <v>4689.22222222222</v>
      </c>
      <c r="N43" s="65" t="n">
        <f aca="false">Depreciation!N$18</f>
        <v>4689.22222222222</v>
      </c>
      <c r="O43" s="65" t="n">
        <f aca="false">Depreciation!O$18</f>
        <v>4689.22222222222</v>
      </c>
      <c r="P43" s="65" t="n">
        <f aca="false">Depreciation!P$18</f>
        <v>4905.01388888889</v>
      </c>
      <c r="Q43" s="65" t="n">
        <f aca="false">Depreciation!Q$18</f>
        <v>5046.68055555556</v>
      </c>
      <c r="R43" s="65" t="n">
        <f aca="false">Depreciation!R$18</f>
        <v>5046.68055555556</v>
      </c>
      <c r="S43" s="65" t="n">
        <f aca="false">Depreciation!S$18</f>
        <v>5046.68055555556</v>
      </c>
      <c r="T43" s="65" t="n">
        <f aca="false">Depreciation!T$18</f>
        <v>5046.68055555556</v>
      </c>
      <c r="U43" s="65" t="n">
        <f aca="false">Depreciation!U$18</f>
        <v>5046.68055555556</v>
      </c>
      <c r="V43" s="65" t="n">
        <f aca="false">Depreciation!V$18</f>
        <v>5046.68055555556</v>
      </c>
      <c r="W43" s="65" t="n">
        <f aca="false">Depreciation!W$18</f>
        <v>5046.68055555556</v>
      </c>
      <c r="X43" s="65" t="n">
        <f aca="false">Depreciation!X$18</f>
        <v>5046.68055555556</v>
      </c>
      <c r="Y43" s="65" t="n">
        <f aca="false">Depreciation!Y$18</f>
        <v>5046.68055555556</v>
      </c>
      <c r="Z43" s="65" t="n">
        <f aca="false">Depreciation!Z$18</f>
        <v>5046.68055555556</v>
      </c>
      <c r="AA43" s="65" t="n">
        <f aca="false">Depreciation!AA$18</f>
        <v>5046.68055555556</v>
      </c>
      <c r="AB43" s="65" t="n">
        <f aca="false">Depreciation!AB$18</f>
        <v>5262.47222222222</v>
      </c>
      <c r="AC43" s="65" t="n">
        <f aca="false">Depreciation!AC$18</f>
        <v>5262.47222222222</v>
      </c>
      <c r="AD43" s="65" t="n">
        <f aca="false">Depreciation!AD$18</f>
        <v>5262.47222222222</v>
      </c>
      <c r="AE43" s="65" t="n">
        <f aca="false">Depreciation!AE$18</f>
        <v>5262.47222222222</v>
      </c>
      <c r="AF43" s="65" t="n">
        <f aca="false">Depreciation!AF$18</f>
        <v>5262.47222222222</v>
      </c>
      <c r="AG43" s="65" t="n">
        <f aca="false">Depreciation!AG$18</f>
        <v>5262.47222222222</v>
      </c>
      <c r="AH43" s="65" t="n">
        <f aca="false">Depreciation!AH$18</f>
        <v>5262.47222222222</v>
      </c>
      <c r="AI43" s="65" t="n">
        <f aca="false">Depreciation!AI$18</f>
        <v>5262.47222222222</v>
      </c>
      <c r="AJ43" s="65" t="n">
        <f aca="false">Depreciation!AJ$18</f>
        <v>5262.47222222222</v>
      </c>
      <c r="AK43" s="65" t="n">
        <f aca="false">Depreciation!AK$18</f>
        <v>5067.47222222222</v>
      </c>
      <c r="AL43" s="65" t="n">
        <f aca="false">Depreciation!AL$18</f>
        <v>5067.47222222222</v>
      </c>
      <c r="AN43" s="52" t="n">
        <f aca="false">SUM(C43:N43)</f>
        <v>51383.5277777778</v>
      </c>
      <c r="AO43" s="52" t="n">
        <f aca="false">SUM(O43:Z43)</f>
        <v>60061.0416666667</v>
      </c>
      <c r="AP43" s="52" t="n">
        <f aca="false">SUM(AA43:AL43)</f>
        <v>62543.875</v>
      </c>
    </row>
    <row r="44" customFormat="false" ht="15" hidden="false" customHeight="false" outlineLevel="0" collapsed="false">
      <c r="A44" s="53" t="s">
        <v>588</v>
      </c>
      <c r="B44" s="54"/>
      <c r="C44" s="55" t="n">
        <f aca="false">C42+C43</f>
        <v>42877.3792405806</v>
      </c>
      <c r="D44" s="55" t="n">
        <f aca="false">D42+D43</f>
        <v>47384.6872841922</v>
      </c>
      <c r="E44" s="55" t="n">
        <f aca="false">E42+E43</f>
        <v>47603.5406203774</v>
      </c>
      <c r="F44" s="55" t="n">
        <f aca="false">F42+F43</f>
        <v>48961.4017602589</v>
      </c>
      <c r="G44" s="55" t="n">
        <f aca="false">G42+G43</f>
        <v>49116.8436134067</v>
      </c>
      <c r="H44" s="55" t="n">
        <f aca="false">H42+H43</f>
        <v>49323.6385855108</v>
      </c>
      <c r="I44" s="55" t="n">
        <f aca="false">I42+I43</f>
        <v>50548.3212562438</v>
      </c>
      <c r="J44" s="55" t="n">
        <f aca="false">J42+J43</f>
        <v>50862.041774468</v>
      </c>
      <c r="K44" s="55" t="n">
        <f aca="false">K42+K43</f>
        <v>51279.8967285211</v>
      </c>
      <c r="L44" s="55" t="n">
        <f aca="false">L42+L43</f>
        <v>54572.3024747411</v>
      </c>
      <c r="M44" s="55" t="n">
        <f aca="false">M42+M43</f>
        <v>55289.2267052427</v>
      </c>
      <c r="N44" s="55" t="n">
        <f aca="false">N42+N43</f>
        <v>56244.3687483537</v>
      </c>
      <c r="O44" s="55" t="n">
        <f aca="false">O42+O43</f>
        <v>100973.86511823</v>
      </c>
      <c r="P44" s="55" t="n">
        <f aca="false">P42+P43</f>
        <v>102201.012622018</v>
      </c>
      <c r="Q44" s="55" t="n">
        <f aca="false">Q42+Q43</f>
        <v>103689.307116487</v>
      </c>
      <c r="R44" s="55" t="n">
        <f aca="false">R42+R43</f>
        <v>102755.366028138</v>
      </c>
      <c r="S44" s="55" t="n">
        <f aca="false">S42+S43</f>
        <v>103907.281682404</v>
      </c>
      <c r="T44" s="55" t="n">
        <f aca="false">T42+T43</f>
        <v>105441.420147265</v>
      </c>
      <c r="U44" s="55" t="n">
        <f aca="false">U42+U43</f>
        <v>106621.175946464</v>
      </c>
      <c r="V44" s="55" t="n">
        <f aca="false">V42+V43</f>
        <v>108158.931180671</v>
      </c>
      <c r="W44" s="55" t="n">
        <f aca="false">W42+W43</f>
        <v>110207.311452804</v>
      </c>
      <c r="X44" s="55" t="n">
        <f aca="false">X42+X43</f>
        <v>108373.645717588</v>
      </c>
      <c r="Y44" s="55" t="n">
        <f aca="false">Y42+Y43</f>
        <v>110084.849083299</v>
      </c>
      <c r="Z44" s="55" t="n">
        <f aca="false">Z42+Z43</f>
        <v>112364.492624208</v>
      </c>
      <c r="AA44" s="55" t="n">
        <f aca="false">AA42+AA43</f>
        <v>177875.376861515</v>
      </c>
      <c r="AB44" s="55" t="n">
        <f aca="false">AB42+AB43</f>
        <v>180535.247542166</v>
      </c>
      <c r="AC44" s="55" t="n">
        <f aca="false">AC42+AC43</f>
        <v>183789.101629132</v>
      </c>
      <c r="AD44" s="55" t="n">
        <f aca="false">AD42+AD43</f>
        <v>180845.772070693</v>
      </c>
      <c r="AE44" s="55" t="n">
        <f aca="false">AE42+AE43</f>
        <v>183560.318171929</v>
      </c>
      <c r="AF44" s="55" t="n">
        <f aca="false">AF42+AF43</f>
        <v>187174.969280852</v>
      </c>
      <c r="AG44" s="55" t="n">
        <f aca="false">AG42+AG43</f>
        <v>185109.542621263</v>
      </c>
      <c r="AH44" s="55" t="n">
        <f aca="false">AH42+AH43</f>
        <v>188245.813019158</v>
      </c>
      <c r="AI44" s="55" t="n">
        <f aca="false">AI42+AI43</f>
        <v>192422.808541518</v>
      </c>
      <c r="AJ44" s="55" t="n">
        <f aca="false">AJ42+AJ43</f>
        <v>188658.489506579</v>
      </c>
      <c r="AK44" s="55" t="n">
        <f aca="false">AK42+AK43</f>
        <v>191948.292336768</v>
      </c>
      <c r="AL44" s="55" t="n">
        <f aca="false">AL42+AL43</f>
        <v>196590.448018973</v>
      </c>
      <c r="AN44" s="52" t="n">
        <f aca="false">SUM(C44:N44)</f>
        <v>604063.648791897</v>
      </c>
      <c r="AO44" s="52" t="n">
        <f aca="false">SUM(O44:Z44)</f>
        <v>1274778.65871958</v>
      </c>
      <c r="AP44" s="52" t="n">
        <f aca="false">SUM(AA44:AL44)</f>
        <v>2236756.17960055</v>
      </c>
    </row>
    <row r="46" customFormat="false" ht="16.5" hidden="false" customHeight="true" outlineLevel="0" collapsed="false">
      <c r="A46" s="21" t="s">
        <v>589</v>
      </c>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row>
    <row r="47" customFormat="false" ht="15.75" hidden="false" customHeight="true" outlineLevel="0" collapsed="false">
      <c r="A47" s="36" t="s">
        <v>345</v>
      </c>
      <c r="B47" s="36" t="s">
        <v>346</v>
      </c>
      <c r="C47" s="47" t="s">
        <v>347</v>
      </c>
      <c r="D47" s="47" t="s">
        <v>348</v>
      </c>
      <c r="E47" s="47" t="s">
        <v>349</v>
      </c>
      <c r="F47" s="47" t="s">
        <v>350</v>
      </c>
      <c r="G47" s="47" t="s">
        <v>351</v>
      </c>
      <c r="H47" s="47" t="s">
        <v>352</v>
      </c>
      <c r="I47" s="47" t="s">
        <v>353</v>
      </c>
      <c r="J47" s="47" t="s">
        <v>354</v>
      </c>
      <c r="K47" s="47" t="s">
        <v>355</v>
      </c>
      <c r="L47" s="47" t="s">
        <v>356</v>
      </c>
      <c r="M47" s="47" t="s">
        <v>357</v>
      </c>
      <c r="N47" s="47" t="s">
        <v>358</v>
      </c>
      <c r="O47" s="48" t="s">
        <v>359</v>
      </c>
      <c r="P47" s="48" t="s">
        <v>360</v>
      </c>
      <c r="Q47" s="48" t="s">
        <v>361</v>
      </c>
      <c r="R47" s="48" t="s">
        <v>362</v>
      </c>
      <c r="S47" s="48" t="s">
        <v>363</v>
      </c>
      <c r="T47" s="48" t="s">
        <v>364</v>
      </c>
      <c r="U47" s="48" t="s">
        <v>365</v>
      </c>
      <c r="V47" s="48" t="s">
        <v>366</v>
      </c>
      <c r="W47" s="48" t="s">
        <v>367</v>
      </c>
      <c r="X47" s="48" t="s">
        <v>368</v>
      </c>
      <c r="Y47" s="48" t="s">
        <v>369</v>
      </c>
      <c r="Z47" s="48" t="s">
        <v>370</v>
      </c>
      <c r="AA47" s="47" t="s">
        <v>371</v>
      </c>
      <c r="AB47" s="47" t="s">
        <v>372</v>
      </c>
      <c r="AC47" s="47" t="s">
        <v>373</v>
      </c>
      <c r="AD47" s="47" t="s">
        <v>374</v>
      </c>
      <c r="AE47" s="47" t="s">
        <v>375</v>
      </c>
      <c r="AF47" s="47" t="s">
        <v>376</v>
      </c>
      <c r="AG47" s="47" t="s">
        <v>377</v>
      </c>
      <c r="AH47" s="47" t="s">
        <v>378</v>
      </c>
      <c r="AI47" s="47" t="s">
        <v>379</v>
      </c>
      <c r="AJ47" s="47" t="s">
        <v>380</v>
      </c>
      <c r="AK47" s="47" t="s">
        <v>381</v>
      </c>
      <c r="AL47" s="47" t="s">
        <v>382</v>
      </c>
      <c r="AM47" s="49"/>
      <c r="AN47" s="50" t="s">
        <v>383</v>
      </c>
      <c r="AO47" s="50" t="s">
        <v>384</v>
      </c>
      <c r="AP47" s="50" t="s">
        <v>385</v>
      </c>
    </row>
    <row r="48" customFormat="false" ht="15" hidden="false" customHeight="false" outlineLevel="0" collapsed="false">
      <c r="A48" s="13" t="s">
        <v>66</v>
      </c>
      <c r="B48" s="69"/>
      <c r="C48" s="70" t="n">
        <f aca="false">C22-C42</f>
        <v>-43923.6476865515</v>
      </c>
      <c r="D48" s="70" t="n">
        <f aca="false">D22-D42</f>
        <v>-43972.6041289955</v>
      </c>
      <c r="E48" s="70" t="n">
        <f aca="false">E22-E42</f>
        <v>-44063.0565859503</v>
      </c>
      <c r="F48" s="70" t="n">
        <f aca="false">F22-F42</f>
        <v>-31249.1993157094</v>
      </c>
      <c r="G48" s="70" t="n">
        <f aca="false">G22-G42</f>
        <v>-30023.4746100565</v>
      </c>
      <c r="H48" s="70" t="n">
        <f aca="false">H22-H42</f>
        <v>-28421.5824690534</v>
      </c>
      <c r="I48" s="70" t="n">
        <f aca="false">I22-I42</f>
        <v>-14916.9177504653</v>
      </c>
      <c r="J48" s="70" t="n">
        <f aca="false">J22-J42</f>
        <v>-12078.2465711215</v>
      </c>
      <c r="K48" s="70" t="n">
        <f aca="false">K22-K42</f>
        <v>-8329.11968464105</v>
      </c>
      <c r="L48" s="70" t="n">
        <f aca="false">L22-L42</f>
        <v>23557.1008464903</v>
      </c>
      <c r="M48" s="70" t="n">
        <f aca="false">M22-M42</f>
        <v>30307.2808139851</v>
      </c>
      <c r="N48" s="70" t="n">
        <f aca="false">N22-N42</f>
        <v>39248.1337893336</v>
      </c>
      <c r="O48" s="70" t="n">
        <f aca="false">O22-O42</f>
        <v>6286.835731798</v>
      </c>
      <c r="P48" s="70" t="n">
        <f aca="false">P22-P42</f>
        <v>15758.2415119858</v>
      </c>
      <c r="Q48" s="70" t="n">
        <f aca="false">Q22-Q42</f>
        <v>28279.1172486047</v>
      </c>
      <c r="R48" s="70" t="n">
        <f aca="false">R22-R42</f>
        <v>19498.8743387476</v>
      </c>
      <c r="S48" s="70" t="n">
        <f aca="false">S22-S42</f>
        <v>30188.3961067803</v>
      </c>
      <c r="T48" s="70" t="n">
        <f aca="false">T22-T42</f>
        <v>44326.2438828762</v>
      </c>
      <c r="U48" s="70" t="n">
        <f aca="false">U22-U42</f>
        <v>57713.5169415009</v>
      </c>
      <c r="V48" s="70" t="n">
        <f aca="false">V22-V42</f>
        <v>72213.1592662141</v>
      </c>
      <c r="W48" s="70" t="n">
        <f aca="false">W22-W42</f>
        <v>91400.9237786812</v>
      </c>
      <c r="X48" s="70" t="n">
        <f aca="false">X22-X42</f>
        <v>74280.196960755</v>
      </c>
      <c r="Y48" s="70" t="n">
        <f aca="false">Y22-Y42</f>
        <v>90245.3707990914</v>
      </c>
      <c r="Z48" s="70" t="n">
        <f aca="false">Z22-Z42</f>
        <v>111388.506094324</v>
      </c>
      <c r="AA48" s="70" t="n">
        <f aca="false">AA22-AA42</f>
        <v>77075.0738903101</v>
      </c>
      <c r="AB48" s="70" t="n">
        <f aca="false">AB22-AB42</f>
        <v>99827.0171635342</v>
      </c>
      <c r="AC48" s="70" t="n">
        <f aca="false">AC22-AC42</f>
        <v>129897.214839581</v>
      </c>
      <c r="AD48" s="70" t="n">
        <f aca="false">AD22-AD42</f>
        <v>101370.077243159</v>
      </c>
      <c r="AE48" s="70" t="n">
        <f aca="false">AE22-AE42</f>
        <v>126364.116950928</v>
      </c>
      <c r="AF48" s="70" t="n">
        <f aca="false">AF22-AF42</f>
        <v>159387.549133905</v>
      </c>
      <c r="AG48" s="70" t="n">
        <f aca="false">AG22-AG42</f>
        <v>144641.725144336</v>
      </c>
      <c r="AH48" s="70" t="n">
        <f aca="false">AH22-AH42</f>
        <v>173677.255182901</v>
      </c>
      <c r="AI48" s="70" t="n">
        <f aca="false">AI22-AI42</f>
        <v>212064.918502768</v>
      </c>
      <c r="AJ48" s="70" t="n">
        <f aca="false">AJ22-AJ42</f>
        <v>179483.942345094</v>
      </c>
      <c r="AK48" s="70" t="n">
        <f aca="false">AK22-AK42</f>
        <v>211638.815642358</v>
      </c>
      <c r="AL48" s="70" t="n">
        <f aca="false">AL22-AL42</f>
        <v>254171.601205769</v>
      </c>
      <c r="AN48" s="52" t="n">
        <f aca="false">SUM(C48:N48)</f>
        <v>-163865.333352736</v>
      </c>
      <c r="AO48" s="52" t="n">
        <f aca="false">SUM(O48:Z48)</f>
        <v>641579.382661359</v>
      </c>
      <c r="AP48" s="52" t="n">
        <f aca="false">SUM(AA48:AL48)</f>
        <v>1869599.30724464</v>
      </c>
    </row>
    <row r="49" customFormat="false" ht="15" hidden="false" customHeight="false" outlineLevel="0" collapsed="false">
      <c r="A49" s="13" t="s">
        <v>590</v>
      </c>
      <c r="B49" s="69"/>
      <c r="C49" s="70" t="n">
        <f aca="false">C48-C43</f>
        <v>-43923.6476865515</v>
      </c>
      <c r="D49" s="70" t="n">
        <f aca="false">D48-D43</f>
        <v>-48463.9096845511</v>
      </c>
      <c r="E49" s="70" t="n">
        <f aca="false">E48-E43</f>
        <v>-48752.2788081725</v>
      </c>
      <c r="F49" s="70" t="n">
        <f aca="false">F48-F43</f>
        <v>-35938.4215379316</v>
      </c>
      <c r="G49" s="70" t="n">
        <f aca="false">G48-G43</f>
        <v>-34712.6968322787</v>
      </c>
      <c r="H49" s="70" t="n">
        <f aca="false">H48-H43</f>
        <v>-33110.8046912756</v>
      </c>
      <c r="I49" s="70" t="n">
        <f aca="false">I48-I43</f>
        <v>-19606.1399726875</v>
      </c>
      <c r="J49" s="70" t="n">
        <f aca="false">J48-J43</f>
        <v>-16767.4687933437</v>
      </c>
      <c r="K49" s="70" t="n">
        <f aca="false">K48-K43</f>
        <v>-13018.3419068633</v>
      </c>
      <c r="L49" s="70" t="n">
        <f aca="false">L48-L43</f>
        <v>18867.8786242681</v>
      </c>
      <c r="M49" s="70" t="n">
        <f aca="false">M48-M43</f>
        <v>25618.0585917629</v>
      </c>
      <c r="N49" s="70" t="n">
        <f aca="false">N48-N43</f>
        <v>34558.9115671114</v>
      </c>
      <c r="O49" s="70" t="n">
        <f aca="false">O48-O43</f>
        <v>1597.61350957578</v>
      </c>
      <c r="P49" s="70" t="n">
        <f aca="false">P48-P43</f>
        <v>10853.227623097</v>
      </c>
      <c r="Q49" s="70" t="n">
        <f aca="false">Q48-Q43</f>
        <v>23232.4366930491</v>
      </c>
      <c r="R49" s="70" t="n">
        <f aca="false">R48-R43</f>
        <v>14452.193783192</v>
      </c>
      <c r="S49" s="70" t="n">
        <f aca="false">S48-S43</f>
        <v>25141.7155512248</v>
      </c>
      <c r="T49" s="70" t="n">
        <f aca="false">T48-T43</f>
        <v>39279.5633273207</v>
      </c>
      <c r="U49" s="70" t="n">
        <f aca="false">U48-U43</f>
        <v>52666.8363859454</v>
      </c>
      <c r="V49" s="70" t="n">
        <f aca="false">V48-V43</f>
        <v>67166.4787106586</v>
      </c>
      <c r="W49" s="70" t="n">
        <f aca="false">W48-W43</f>
        <v>86354.2432231257</v>
      </c>
      <c r="X49" s="70" t="n">
        <f aca="false">X48-X43</f>
        <v>69233.5164051995</v>
      </c>
      <c r="Y49" s="70" t="n">
        <f aca="false">Y48-Y43</f>
        <v>85198.6902435358</v>
      </c>
      <c r="Z49" s="70" t="n">
        <f aca="false">Z48-Z43</f>
        <v>106341.825538768</v>
      </c>
      <c r="AA49" s="70" t="n">
        <f aca="false">AA48-AA43</f>
        <v>72028.3933347545</v>
      </c>
      <c r="AB49" s="70" t="n">
        <f aca="false">AB48-AB43</f>
        <v>94564.5449413119</v>
      </c>
      <c r="AC49" s="70" t="n">
        <f aca="false">AC48-AC43</f>
        <v>124634.742617359</v>
      </c>
      <c r="AD49" s="70" t="n">
        <f aca="false">AD48-AD43</f>
        <v>96107.605020937</v>
      </c>
      <c r="AE49" s="70" t="n">
        <f aca="false">AE48-AE43</f>
        <v>121101.644728706</v>
      </c>
      <c r="AF49" s="70" t="n">
        <f aca="false">AF48-AF43</f>
        <v>154125.076911682</v>
      </c>
      <c r="AG49" s="70" t="n">
        <f aca="false">AG48-AG43</f>
        <v>139379.252922114</v>
      </c>
      <c r="AH49" s="70" t="n">
        <f aca="false">AH48-AH43</f>
        <v>168414.782960678</v>
      </c>
      <c r="AI49" s="70" t="n">
        <f aca="false">AI48-AI43</f>
        <v>206802.446280545</v>
      </c>
      <c r="AJ49" s="70" t="n">
        <f aca="false">AJ48-AJ43</f>
        <v>174221.470122872</v>
      </c>
      <c r="AK49" s="70" t="n">
        <f aca="false">AK48-AK43</f>
        <v>206571.343420135</v>
      </c>
      <c r="AL49" s="70" t="n">
        <f aca="false">AL48-AL43</f>
        <v>249104.128983547</v>
      </c>
      <c r="AN49" s="52" t="n">
        <f aca="false">SUM(C49:N49)</f>
        <v>-215248.861130513</v>
      </c>
      <c r="AO49" s="52" t="n">
        <f aca="false">SUM(O49:Z49)</f>
        <v>581518.340994692</v>
      </c>
      <c r="AP49" s="52" t="n">
        <f aca="false">SUM(AA49:AL49)</f>
        <v>1807055.43224464</v>
      </c>
    </row>
    <row r="50" customFormat="false" ht="15" hidden="false" customHeight="false" outlineLevel="0" collapsed="false">
      <c r="A50" s="26" t="s">
        <v>591</v>
      </c>
      <c r="B50" s="24" t="s">
        <v>592</v>
      </c>
      <c r="C50" s="51" t="n">
        <f aca="false">C42-HR_Model!C$50</f>
        <v>25552.3792405806</v>
      </c>
      <c r="D50" s="51" t="n">
        <f aca="false">D42-HR_Model!D$50</f>
        <v>25568.3817286367</v>
      </c>
      <c r="E50" s="51" t="n">
        <f aca="false">E42-HR_Model!E$50</f>
        <v>25589.3183981552</v>
      </c>
      <c r="F50" s="51" t="n">
        <f aca="false">F42-HR_Model!F$50</f>
        <v>26947.1795380367</v>
      </c>
      <c r="G50" s="51" t="n">
        <f aca="false">G42-HR_Model!G$50</f>
        <v>27102.6213911845</v>
      </c>
      <c r="H50" s="51" t="n">
        <f aca="false">H42-HR_Model!H$50</f>
        <v>27309.4163632886</v>
      </c>
      <c r="I50" s="51" t="n">
        <f aca="false">I42-HR_Model!I$50</f>
        <v>28534.0990340216</v>
      </c>
      <c r="J50" s="51" t="n">
        <f aca="false">J42-HR_Model!J$50</f>
        <v>28847.8195522458</v>
      </c>
      <c r="K50" s="51" t="n">
        <f aca="false">K42-HR_Model!K$50</f>
        <v>29265.6745062989</v>
      </c>
      <c r="L50" s="51" t="n">
        <f aca="false">L42-HR_Model!L$50</f>
        <v>32558.0802525189</v>
      </c>
      <c r="M50" s="51" t="n">
        <f aca="false">M42-HR_Model!M$50</f>
        <v>33275.0044830205</v>
      </c>
      <c r="N50" s="51" t="n">
        <f aca="false">N42-HR_Model!N$50</f>
        <v>34230.1465261315</v>
      </c>
      <c r="O50" s="51" t="n">
        <f aca="false">O42-HR_Model!O$50</f>
        <v>65848.0828960081</v>
      </c>
      <c r="P50" s="51" t="n">
        <f aca="false">P42-HR_Model!P$50</f>
        <v>66859.4387331287</v>
      </c>
      <c r="Q50" s="51" t="n">
        <f aca="false">Q42-HR_Model!Q$50</f>
        <v>68206.0665609314</v>
      </c>
      <c r="R50" s="51" t="n">
        <f aca="false">R42-HR_Model!R$50</f>
        <v>67272.1254725824</v>
      </c>
      <c r="S50" s="51" t="n">
        <f aca="false">S42-HR_Model!S$50</f>
        <v>68424.0411268488</v>
      </c>
      <c r="T50" s="51" t="n">
        <f aca="false">T42-HR_Model!T$50</f>
        <v>69958.1795917095</v>
      </c>
      <c r="U50" s="51" t="n">
        <f aca="false">U42-HR_Model!U$50</f>
        <v>71137.9353909081</v>
      </c>
      <c r="V50" s="51" t="n">
        <f aca="false">V42-HR_Model!V$50</f>
        <v>72675.6906251158</v>
      </c>
      <c r="W50" s="51" t="n">
        <f aca="false">W42-HR_Model!W$50</f>
        <v>74724.070897248</v>
      </c>
      <c r="X50" s="51" t="n">
        <f aca="false">X42-HR_Model!X$50</f>
        <v>72890.4051620326</v>
      </c>
      <c r="Y50" s="51" t="n">
        <f aca="false">Y42-HR_Model!Y$50</f>
        <v>74601.6085277433</v>
      </c>
      <c r="Z50" s="51" t="n">
        <f aca="false">Z42-HR_Model!Z$50</f>
        <v>76881.2520686525</v>
      </c>
      <c r="AA50" s="51" t="n">
        <f aca="false">AA42-HR_Model!AA$50</f>
        <v>132817.093905959</v>
      </c>
      <c r="AB50" s="51" t="n">
        <f aca="false">AB42-HR_Model!AB$50</f>
        <v>135261.172919944</v>
      </c>
      <c r="AC50" s="51" t="n">
        <f aca="false">AC42-HR_Model!AC$50</f>
        <v>138515.02700691</v>
      </c>
      <c r="AD50" s="51" t="n">
        <f aca="false">AD42-HR_Model!AD$50</f>
        <v>135571.697448471</v>
      </c>
      <c r="AE50" s="51" t="n">
        <f aca="false">AE42-HR_Model!AE$50</f>
        <v>138286.243549707</v>
      </c>
      <c r="AF50" s="51" t="n">
        <f aca="false">AF42-HR_Model!AF$50</f>
        <v>141900.89465863</v>
      </c>
      <c r="AG50" s="51" t="n">
        <f aca="false">AG42-HR_Model!AG$50</f>
        <v>139835.467999041</v>
      </c>
      <c r="AH50" s="51" t="n">
        <f aca="false">AH42-HR_Model!AH$50</f>
        <v>142971.738396936</v>
      </c>
      <c r="AI50" s="51" t="n">
        <f aca="false">AI42-HR_Model!AI$50</f>
        <v>147148.733919296</v>
      </c>
      <c r="AJ50" s="51" t="n">
        <f aca="false">AJ42-HR_Model!AJ$50</f>
        <v>143384.414884357</v>
      </c>
      <c r="AK50" s="51" t="n">
        <f aca="false">AK42-HR_Model!AK$50</f>
        <v>146869.217714546</v>
      </c>
      <c r="AL50" s="51" t="n">
        <f aca="false">AL42-HR_Model!AL$50</f>
        <v>151511.37339675</v>
      </c>
      <c r="AN50" s="52" t="n">
        <f aca="false">SUM(C50:N50)</f>
        <v>344780.121014119</v>
      </c>
      <c r="AO50" s="52" t="n">
        <f aca="false">SUM(O50:Z50)</f>
        <v>849478.897052909</v>
      </c>
      <c r="AP50" s="52" t="n">
        <f aca="false">SUM(AA50:AL50)</f>
        <v>1694073.07580055</v>
      </c>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593</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594</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595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75" hidden="false" customHeight="true" outlineLevel="0" collapsed="false">
      <c r="A6" s="36" t="s">
        <v>345</v>
      </c>
      <c r="B6" s="36" t="s">
        <v>346</v>
      </c>
      <c r="C6" s="47" t="s">
        <v>347</v>
      </c>
      <c r="D6" s="47" t="s">
        <v>348</v>
      </c>
      <c r="E6" s="47" t="s">
        <v>349</v>
      </c>
      <c r="F6" s="47" t="s">
        <v>350</v>
      </c>
      <c r="G6" s="47" t="s">
        <v>351</v>
      </c>
      <c r="H6" s="47" t="s">
        <v>352</v>
      </c>
      <c r="I6" s="47" t="s">
        <v>353</v>
      </c>
      <c r="J6" s="47" t="s">
        <v>354</v>
      </c>
      <c r="K6" s="47" t="s">
        <v>355</v>
      </c>
      <c r="L6" s="47" t="s">
        <v>356</v>
      </c>
      <c r="M6" s="47" t="s">
        <v>357</v>
      </c>
      <c r="N6" s="47" t="s">
        <v>358</v>
      </c>
      <c r="O6" s="48" t="s">
        <v>359</v>
      </c>
      <c r="P6" s="48" t="s">
        <v>360</v>
      </c>
      <c r="Q6" s="48" t="s">
        <v>361</v>
      </c>
      <c r="R6" s="48" t="s">
        <v>362</v>
      </c>
      <c r="S6" s="48" t="s">
        <v>363</v>
      </c>
      <c r="T6" s="48" t="s">
        <v>364</v>
      </c>
      <c r="U6" s="48" t="s">
        <v>365</v>
      </c>
      <c r="V6" s="48" t="s">
        <v>366</v>
      </c>
      <c r="W6" s="48" t="s">
        <v>367</v>
      </c>
      <c r="X6" s="48" t="s">
        <v>368</v>
      </c>
      <c r="Y6" s="48" t="s">
        <v>369</v>
      </c>
      <c r="Z6" s="48" t="s">
        <v>370</v>
      </c>
      <c r="AA6" s="47" t="s">
        <v>371</v>
      </c>
      <c r="AB6" s="47" t="s">
        <v>372</v>
      </c>
      <c r="AC6" s="47" t="s">
        <v>373</v>
      </c>
      <c r="AD6" s="47" t="s">
        <v>374</v>
      </c>
      <c r="AE6" s="47" t="s">
        <v>375</v>
      </c>
      <c r="AF6" s="47" t="s">
        <v>376</v>
      </c>
      <c r="AG6" s="47" t="s">
        <v>377</v>
      </c>
      <c r="AH6" s="47" t="s">
        <v>378</v>
      </c>
      <c r="AI6" s="47" t="s">
        <v>379</v>
      </c>
      <c r="AJ6" s="47" t="s">
        <v>380</v>
      </c>
      <c r="AK6" s="47" t="s">
        <v>381</v>
      </c>
      <c r="AL6" s="47" t="s">
        <v>382</v>
      </c>
      <c r="AM6" s="49"/>
      <c r="AN6" s="50" t="s">
        <v>383</v>
      </c>
      <c r="AO6" s="50" t="s">
        <v>384</v>
      </c>
      <c r="AP6" s="50" t="s">
        <v>385</v>
      </c>
    </row>
    <row r="7" customFormat="false" ht="15" hidden="false" customHeight="false" outlineLevel="0" collapsed="false">
      <c r="A7" s="26" t="s">
        <v>291</v>
      </c>
      <c r="B7" s="24" t="s">
        <v>596</v>
      </c>
      <c r="C7" s="51" t="n">
        <f aca="false">0</f>
        <v>0</v>
      </c>
      <c r="D7" s="51" t="n">
        <f aca="false">MIN(Capex!C$22/Assumptions!$E$148,Capex!C$22-C22)</f>
        <v>233.333333333333</v>
      </c>
      <c r="E7" s="51" t="n">
        <f aca="false">MIN(Capex!D$22/Assumptions!$E$148,Capex!D$22-D22)</f>
        <v>233.333333333333</v>
      </c>
      <c r="F7" s="51" t="n">
        <f aca="false">MIN(Capex!E$22/Assumptions!$E$148,Capex!E$22-E22)</f>
        <v>233.333333333333</v>
      </c>
      <c r="G7" s="51" t="n">
        <f aca="false">MIN(Capex!F$22/Assumptions!$E$148,Capex!F$22-F22)</f>
        <v>233.333333333333</v>
      </c>
      <c r="H7" s="51" t="n">
        <f aca="false">MIN(Capex!G$22/Assumptions!$E$148,Capex!G$22-G22)</f>
        <v>233.333333333333</v>
      </c>
      <c r="I7" s="51" t="n">
        <f aca="false">MIN(Capex!H$22/Assumptions!$E$148,Capex!H$22-H22)</f>
        <v>233.333333333333</v>
      </c>
      <c r="J7" s="51" t="n">
        <f aca="false">MIN(Capex!I$22/Assumptions!$E$148,Capex!I$22-I22)</f>
        <v>233.333333333333</v>
      </c>
      <c r="K7" s="51" t="n">
        <f aca="false">MIN(Capex!J$22/Assumptions!$E$148,Capex!J$22-J22)</f>
        <v>233.333333333333</v>
      </c>
      <c r="L7" s="51" t="n">
        <f aca="false">MIN(Capex!K$22/Assumptions!$E$148,Capex!K$22-K22)</f>
        <v>233.333333333333</v>
      </c>
      <c r="M7" s="51" t="n">
        <f aca="false">MIN(Capex!L$22/Assumptions!$E$148,Capex!L$22-L22)</f>
        <v>233.333333333333</v>
      </c>
      <c r="N7" s="51" t="n">
        <f aca="false">MIN(Capex!M$22/Assumptions!$E$148,Capex!M$22-M22)</f>
        <v>233.333333333333</v>
      </c>
      <c r="O7" s="51" t="n">
        <f aca="false">MIN(Capex!N$22/Assumptions!$E$148,Capex!N$22-N22)</f>
        <v>233.333333333333</v>
      </c>
      <c r="P7" s="51" t="n">
        <f aca="false">MIN(Capex!O$22/Assumptions!$E$148,Capex!O$22-O22)</f>
        <v>350</v>
      </c>
      <c r="Q7" s="51" t="n">
        <f aca="false">MIN(Capex!P$22/Assumptions!$E$148,Capex!P$22-P22)</f>
        <v>350</v>
      </c>
      <c r="R7" s="51" t="n">
        <f aca="false">MIN(Capex!Q$22/Assumptions!$E$148,Capex!Q$22-Q22)</f>
        <v>350</v>
      </c>
      <c r="S7" s="51" t="n">
        <f aca="false">MIN(Capex!R$22/Assumptions!$E$148,Capex!R$22-R22)</f>
        <v>350</v>
      </c>
      <c r="T7" s="51" t="n">
        <f aca="false">MIN(Capex!S$22/Assumptions!$E$148,Capex!S$22-S22)</f>
        <v>350</v>
      </c>
      <c r="U7" s="51" t="n">
        <f aca="false">MIN(Capex!T$22/Assumptions!$E$148,Capex!T$22-T22)</f>
        <v>350</v>
      </c>
      <c r="V7" s="51" t="n">
        <f aca="false">MIN(Capex!U$22/Assumptions!$E$148,Capex!U$22-U22)</f>
        <v>350</v>
      </c>
      <c r="W7" s="51" t="n">
        <f aca="false">MIN(Capex!V$22/Assumptions!$E$148,Capex!V$22-V22)</f>
        <v>350</v>
      </c>
      <c r="X7" s="51" t="n">
        <f aca="false">MIN(Capex!W$22/Assumptions!$E$148,Capex!W$22-W22)</f>
        <v>350</v>
      </c>
      <c r="Y7" s="51" t="n">
        <f aca="false">MIN(Capex!X$22/Assumptions!$E$148,Capex!X$22-X22)</f>
        <v>350</v>
      </c>
      <c r="Z7" s="51" t="n">
        <f aca="false">MIN(Capex!Y$22/Assumptions!$E$148,Capex!Y$22-Y22)</f>
        <v>350</v>
      </c>
      <c r="AA7" s="51" t="n">
        <f aca="false">MIN(Capex!Z$22/Assumptions!$E$148,Capex!Z$22-Z22)</f>
        <v>350</v>
      </c>
      <c r="AB7" s="51" t="n">
        <f aca="false">MIN(Capex!AA$22/Assumptions!$E$148,Capex!AA$22-AA22)</f>
        <v>466.666666666667</v>
      </c>
      <c r="AC7" s="51" t="n">
        <f aca="false">MIN(Capex!AB$22/Assumptions!$E$148,Capex!AB$22-AB22)</f>
        <v>466.666666666667</v>
      </c>
      <c r="AD7" s="51" t="n">
        <f aca="false">MIN(Capex!AC$22/Assumptions!$E$148,Capex!AC$22-AC22)</f>
        <v>466.666666666667</v>
      </c>
      <c r="AE7" s="51" t="n">
        <f aca="false">MIN(Capex!AD$22/Assumptions!$E$148,Capex!AD$22-AD22)</f>
        <v>466.666666666667</v>
      </c>
      <c r="AF7" s="51" t="n">
        <f aca="false">MIN(Capex!AE$22/Assumptions!$E$148,Capex!AE$22-AE22)</f>
        <v>466.666666666667</v>
      </c>
      <c r="AG7" s="51" t="n">
        <f aca="false">MIN(Capex!AF$22/Assumptions!$E$148,Capex!AF$22-AF22)</f>
        <v>466.666666666667</v>
      </c>
      <c r="AH7" s="51" t="n">
        <f aca="false">MIN(Capex!AG$22/Assumptions!$E$148,Capex!AG$22-AG22)</f>
        <v>466.666666666667</v>
      </c>
      <c r="AI7" s="51" t="n">
        <f aca="false">MIN(Capex!AH$22/Assumptions!$E$148,Capex!AH$22-AH22)</f>
        <v>466.666666666667</v>
      </c>
      <c r="AJ7" s="51" t="n">
        <f aca="false">MIN(Capex!AI$22/Assumptions!$E$148,Capex!AI$22-AI22)</f>
        <v>466.666666666667</v>
      </c>
      <c r="AK7" s="51" t="n">
        <f aca="false">MIN(Capex!AJ$22/Assumptions!$E$148,Capex!AJ$22-AJ22)</f>
        <v>466.666666666667</v>
      </c>
      <c r="AL7" s="51" t="n">
        <f aca="false">MIN(Capex!AK$22/Assumptions!$E$148,Capex!AK$22-AK22)</f>
        <v>466.666666666667</v>
      </c>
      <c r="AN7" s="52" t="n">
        <f aca="false">SUM(C7:N7)</f>
        <v>2566.66666666667</v>
      </c>
      <c r="AO7" s="52" t="n">
        <f aca="false">SUM(O7:Z7)</f>
        <v>4083.33333333333</v>
      </c>
      <c r="AP7" s="52" t="n">
        <f aca="false">SUM(AA7:AL7)</f>
        <v>5483.33333333333</v>
      </c>
    </row>
    <row r="8" customFormat="false" ht="15" hidden="false" customHeight="false" outlineLevel="0" collapsed="false">
      <c r="A8" s="26" t="s">
        <v>292</v>
      </c>
      <c r="B8" s="24" t="s">
        <v>597</v>
      </c>
      <c r="C8" s="51" t="n">
        <f aca="false">0</f>
        <v>0</v>
      </c>
      <c r="D8" s="51" t="n">
        <f aca="false">MIN(Capex!C$23/Assumptions!$E$149,Capex!C$23-C23)</f>
        <v>62</v>
      </c>
      <c r="E8" s="51" t="n">
        <f aca="false">MIN(Capex!D$23/Assumptions!$E$149,Capex!D$23-D23)</f>
        <v>62</v>
      </c>
      <c r="F8" s="51" t="n">
        <f aca="false">MIN(Capex!E$23/Assumptions!$E$149,Capex!E$23-E23)</f>
        <v>62</v>
      </c>
      <c r="G8" s="51" t="n">
        <f aca="false">MIN(Capex!F$23/Assumptions!$E$149,Capex!F$23-F23)</f>
        <v>62</v>
      </c>
      <c r="H8" s="51" t="n">
        <f aca="false">MIN(Capex!G$23/Assumptions!$E$149,Capex!G$23-G23)</f>
        <v>62</v>
      </c>
      <c r="I8" s="51" t="n">
        <f aca="false">MIN(Capex!H$23/Assumptions!$E$149,Capex!H$23-H23)</f>
        <v>62</v>
      </c>
      <c r="J8" s="51" t="n">
        <f aca="false">MIN(Capex!I$23/Assumptions!$E$149,Capex!I$23-I23)</f>
        <v>62</v>
      </c>
      <c r="K8" s="51" t="n">
        <f aca="false">MIN(Capex!J$23/Assumptions!$E$149,Capex!J$23-J23)</f>
        <v>62</v>
      </c>
      <c r="L8" s="51" t="n">
        <f aca="false">MIN(Capex!K$23/Assumptions!$E$149,Capex!K$23-K23)</f>
        <v>62</v>
      </c>
      <c r="M8" s="51" t="n">
        <f aca="false">MIN(Capex!L$23/Assumptions!$E$149,Capex!L$23-L23)</f>
        <v>62</v>
      </c>
      <c r="N8" s="51" t="n">
        <f aca="false">MIN(Capex!M$23/Assumptions!$E$149,Capex!M$23-M23)</f>
        <v>62</v>
      </c>
      <c r="O8" s="51" t="n">
        <f aca="false">MIN(Capex!N$23/Assumptions!$E$149,Capex!N$23-N23)</f>
        <v>62</v>
      </c>
      <c r="P8" s="51" t="n">
        <f aca="false">MIN(Capex!O$23/Assumptions!$E$149,Capex!O$23-O23)</f>
        <v>93</v>
      </c>
      <c r="Q8" s="51" t="n">
        <f aca="false">MIN(Capex!P$23/Assumptions!$E$149,Capex!P$23-P23)</f>
        <v>93</v>
      </c>
      <c r="R8" s="51" t="n">
        <f aca="false">MIN(Capex!Q$23/Assumptions!$E$149,Capex!Q$23-Q23)</f>
        <v>93</v>
      </c>
      <c r="S8" s="51" t="n">
        <f aca="false">MIN(Capex!R$23/Assumptions!$E$149,Capex!R$23-R23)</f>
        <v>93</v>
      </c>
      <c r="T8" s="51" t="n">
        <f aca="false">MIN(Capex!S$23/Assumptions!$E$149,Capex!S$23-S23)</f>
        <v>93</v>
      </c>
      <c r="U8" s="51" t="n">
        <f aca="false">MIN(Capex!T$23/Assumptions!$E$149,Capex!T$23-T23)</f>
        <v>93</v>
      </c>
      <c r="V8" s="51" t="n">
        <f aca="false">MIN(Capex!U$23/Assumptions!$E$149,Capex!U$23-U23)</f>
        <v>93</v>
      </c>
      <c r="W8" s="51" t="n">
        <f aca="false">MIN(Capex!V$23/Assumptions!$E$149,Capex!V$23-V23)</f>
        <v>93</v>
      </c>
      <c r="X8" s="51" t="n">
        <f aca="false">MIN(Capex!W$23/Assumptions!$E$149,Capex!W$23-W23)</f>
        <v>93</v>
      </c>
      <c r="Y8" s="51" t="n">
        <f aca="false">MIN(Capex!X$23/Assumptions!$E$149,Capex!X$23-X23)</f>
        <v>93</v>
      </c>
      <c r="Z8" s="51" t="n">
        <f aca="false">MIN(Capex!Y$23/Assumptions!$E$149,Capex!Y$23-Y23)</f>
        <v>93</v>
      </c>
      <c r="AA8" s="51" t="n">
        <f aca="false">MIN(Capex!Z$23/Assumptions!$E$149,Capex!Z$23-Z23)</f>
        <v>93</v>
      </c>
      <c r="AB8" s="51" t="n">
        <f aca="false">MIN(Capex!AA$23/Assumptions!$E$149,Capex!AA$23-AA23)</f>
        <v>124</v>
      </c>
      <c r="AC8" s="51" t="n">
        <f aca="false">MIN(Capex!AB$23/Assumptions!$E$149,Capex!AB$23-AB23)</f>
        <v>124</v>
      </c>
      <c r="AD8" s="51" t="n">
        <f aca="false">MIN(Capex!AC$23/Assumptions!$E$149,Capex!AC$23-AC23)</f>
        <v>124</v>
      </c>
      <c r="AE8" s="51" t="n">
        <f aca="false">MIN(Capex!AD$23/Assumptions!$E$149,Capex!AD$23-AD23)</f>
        <v>124</v>
      </c>
      <c r="AF8" s="51" t="n">
        <f aca="false">MIN(Capex!AE$23/Assumptions!$E$149,Capex!AE$23-AE23)</f>
        <v>124</v>
      </c>
      <c r="AG8" s="51" t="n">
        <f aca="false">MIN(Capex!AF$23/Assumptions!$E$149,Capex!AF$23-AF23)</f>
        <v>124</v>
      </c>
      <c r="AH8" s="51" t="n">
        <f aca="false">MIN(Capex!AG$23/Assumptions!$E$149,Capex!AG$23-AG23)</f>
        <v>124</v>
      </c>
      <c r="AI8" s="51" t="n">
        <f aca="false">MIN(Capex!AH$23/Assumptions!$E$149,Capex!AH$23-AH23)</f>
        <v>124</v>
      </c>
      <c r="AJ8" s="51" t="n">
        <f aca="false">MIN(Capex!AI$23/Assumptions!$E$149,Capex!AI$23-AI23)</f>
        <v>124</v>
      </c>
      <c r="AK8" s="51" t="n">
        <f aca="false">MIN(Capex!AJ$23/Assumptions!$E$149,Capex!AJ$23-AJ23)</f>
        <v>124</v>
      </c>
      <c r="AL8" s="51" t="n">
        <f aca="false">MIN(Capex!AK$23/Assumptions!$E$149,Capex!AK$23-AK23)</f>
        <v>124</v>
      </c>
      <c r="AN8" s="52" t="n">
        <f aca="false">SUM(C8:N8)</f>
        <v>682</v>
      </c>
      <c r="AO8" s="52" t="n">
        <f aca="false">SUM(O8:Z8)</f>
        <v>1085</v>
      </c>
      <c r="AP8" s="52" t="n">
        <f aca="false">SUM(AA8:AL8)</f>
        <v>1457</v>
      </c>
    </row>
    <row r="9" customFormat="false" ht="15" hidden="false" customHeight="false" outlineLevel="0" collapsed="false">
      <c r="A9" s="26" t="s">
        <v>293</v>
      </c>
      <c r="B9" s="24" t="s">
        <v>598</v>
      </c>
      <c r="C9" s="51" t="n">
        <f aca="false">0</f>
        <v>0</v>
      </c>
      <c r="D9" s="51" t="n">
        <f aca="false">MIN(Capex!C$24/Assumptions!$E$150,Capex!C$24-C24)</f>
        <v>38.75</v>
      </c>
      <c r="E9" s="51" t="n">
        <f aca="false">MIN(Capex!D$24/Assumptions!$E$150,Capex!D$24-D24)</f>
        <v>38.75</v>
      </c>
      <c r="F9" s="51" t="n">
        <f aca="false">MIN(Capex!E$24/Assumptions!$E$150,Capex!E$24-E24)</f>
        <v>38.75</v>
      </c>
      <c r="G9" s="51" t="n">
        <f aca="false">MIN(Capex!F$24/Assumptions!$E$150,Capex!F$24-F24)</f>
        <v>38.75</v>
      </c>
      <c r="H9" s="51" t="n">
        <f aca="false">MIN(Capex!G$24/Assumptions!$E$150,Capex!G$24-G24)</f>
        <v>38.75</v>
      </c>
      <c r="I9" s="51" t="n">
        <f aca="false">MIN(Capex!H$24/Assumptions!$E$150,Capex!H$24-H24)</f>
        <v>38.75</v>
      </c>
      <c r="J9" s="51" t="n">
        <f aca="false">MIN(Capex!I$24/Assumptions!$E$150,Capex!I$24-I24)</f>
        <v>38.75</v>
      </c>
      <c r="K9" s="51" t="n">
        <f aca="false">MIN(Capex!J$24/Assumptions!$E$150,Capex!J$24-J24)</f>
        <v>38.75</v>
      </c>
      <c r="L9" s="51" t="n">
        <f aca="false">MIN(Capex!K$24/Assumptions!$E$150,Capex!K$24-K24)</f>
        <v>38.75</v>
      </c>
      <c r="M9" s="51" t="n">
        <f aca="false">MIN(Capex!L$24/Assumptions!$E$150,Capex!L$24-L24)</f>
        <v>38.75</v>
      </c>
      <c r="N9" s="51" t="n">
        <f aca="false">MIN(Capex!M$24/Assumptions!$E$150,Capex!M$24-M24)</f>
        <v>38.75</v>
      </c>
      <c r="O9" s="51" t="n">
        <f aca="false">MIN(Capex!N$24/Assumptions!$E$150,Capex!N$24-N24)</f>
        <v>38.75</v>
      </c>
      <c r="P9" s="51" t="n">
        <f aca="false">MIN(Capex!O$24/Assumptions!$E$150,Capex!O$24-O24)</f>
        <v>58.125</v>
      </c>
      <c r="Q9" s="51" t="n">
        <f aca="false">MIN(Capex!P$24/Assumptions!$E$150,Capex!P$24-P24)</f>
        <v>58.125</v>
      </c>
      <c r="R9" s="51" t="n">
        <f aca="false">MIN(Capex!Q$24/Assumptions!$E$150,Capex!Q$24-Q24)</f>
        <v>58.125</v>
      </c>
      <c r="S9" s="51" t="n">
        <f aca="false">MIN(Capex!R$24/Assumptions!$E$150,Capex!R$24-R24)</f>
        <v>58.125</v>
      </c>
      <c r="T9" s="51" t="n">
        <f aca="false">MIN(Capex!S$24/Assumptions!$E$150,Capex!S$24-S24)</f>
        <v>58.125</v>
      </c>
      <c r="U9" s="51" t="n">
        <f aca="false">MIN(Capex!T$24/Assumptions!$E$150,Capex!T$24-T24)</f>
        <v>58.125</v>
      </c>
      <c r="V9" s="51" t="n">
        <f aca="false">MIN(Capex!U$24/Assumptions!$E$150,Capex!U$24-U24)</f>
        <v>58.125</v>
      </c>
      <c r="W9" s="51" t="n">
        <f aca="false">MIN(Capex!V$24/Assumptions!$E$150,Capex!V$24-V24)</f>
        <v>58.125</v>
      </c>
      <c r="X9" s="51" t="n">
        <f aca="false">MIN(Capex!W$24/Assumptions!$E$150,Capex!W$24-W24)</f>
        <v>58.125</v>
      </c>
      <c r="Y9" s="51" t="n">
        <f aca="false">MIN(Capex!X$24/Assumptions!$E$150,Capex!X$24-X24)</f>
        <v>58.125</v>
      </c>
      <c r="Z9" s="51" t="n">
        <f aca="false">MIN(Capex!Y$24/Assumptions!$E$150,Capex!Y$24-Y24)</f>
        <v>58.125</v>
      </c>
      <c r="AA9" s="51" t="n">
        <f aca="false">MIN(Capex!Z$24/Assumptions!$E$150,Capex!Z$24-Z24)</f>
        <v>58.125</v>
      </c>
      <c r="AB9" s="51" t="n">
        <f aca="false">MIN(Capex!AA$24/Assumptions!$E$150,Capex!AA$24-AA24)</f>
        <v>77.5</v>
      </c>
      <c r="AC9" s="51" t="n">
        <f aca="false">MIN(Capex!AB$24/Assumptions!$E$150,Capex!AB$24-AB24)</f>
        <v>77.5</v>
      </c>
      <c r="AD9" s="51" t="n">
        <f aca="false">MIN(Capex!AC$24/Assumptions!$E$150,Capex!AC$24-AC24)</f>
        <v>77.5</v>
      </c>
      <c r="AE9" s="51" t="n">
        <f aca="false">MIN(Capex!AD$24/Assumptions!$E$150,Capex!AD$24-AD24)</f>
        <v>77.5</v>
      </c>
      <c r="AF9" s="51" t="n">
        <f aca="false">MIN(Capex!AE$24/Assumptions!$E$150,Capex!AE$24-AE24)</f>
        <v>77.5</v>
      </c>
      <c r="AG9" s="51" t="n">
        <f aca="false">MIN(Capex!AF$24/Assumptions!$E$150,Capex!AF$24-AF24)</f>
        <v>77.5</v>
      </c>
      <c r="AH9" s="51" t="n">
        <f aca="false">MIN(Capex!AG$24/Assumptions!$E$150,Capex!AG$24-AG24)</f>
        <v>77.5</v>
      </c>
      <c r="AI9" s="51" t="n">
        <f aca="false">MIN(Capex!AH$24/Assumptions!$E$150,Capex!AH$24-AH24)</f>
        <v>77.5</v>
      </c>
      <c r="AJ9" s="51" t="n">
        <f aca="false">MIN(Capex!AI$24/Assumptions!$E$150,Capex!AI$24-AI24)</f>
        <v>77.5</v>
      </c>
      <c r="AK9" s="51" t="n">
        <f aca="false">MIN(Capex!AJ$24/Assumptions!$E$150,Capex!AJ$24-AJ24)</f>
        <v>77.5</v>
      </c>
      <c r="AL9" s="51" t="n">
        <f aca="false">MIN(Capex!AK$24/Assumptions!$E$150,Capex!AK$24-AK24)</f>
        <v>77.5</v>
      </c>
      <c r="AN9" s="52" t="n">
        <f aca="false">SUM(C9:N9)</f>
        <v>426.25</v>
      </c>
      <c r="AO9" s="52" t="n">
        <f aca="false">SUM(O9:Z9)</f>
        <v>678.125</v>
      </c>
      <c r="AP9" s="52" t="n">
        <f aca="false">SUM(AA9:AL9)</f>
        <v>910.625</v>
      </c>
    </row>
    <row r="10" customFormat="false" ht="15" hidden="false" customHeight="false" outlineLevel="0" collapsed="false">
      <c r="A10" s="26" t="s">
        <v>294</v>
      </c>
      <c r="B10" s="24" t="s">
        <v>599</v>
      </c>
      <c r="C10" s="51" t="n">
        <f aca="false">0</f>
        <v>0</v>
      </c>
      <c r="D10" s="51" t="n">
        <f aca="false">MIN(Capex!C$25/Assumptions!$E$151,Capex!C$25-C25)</f>
        <v>97.5</v>
      </c>
      <c r="E10" s="51" t="n">
        <f aca="false">MIN(Capex!D$25/Assumptions!$E$151,Capex!D$25-D25)</f>
        <v>97.5</v>
      </c>
      <c r="F10" s="51" t="n">
        <f aca="false">MIN(Capex!E$25/Assumptions!$E$151,Capex!E$25-E25)</f>
        <v>97.5</v>
      </c>
      <c r="G10" s="51" t="n">
        <f aca="false">MIN(Capex!F$25/Assumptions!$E$151,Capex!F$25-F25)</f>
        <v>97.5</v>
      </c>
      <c r="H10" s="51" t="n">
        <f aca="false">MIN(Capex!G$25/Assumptions!$E$151,Capex!G$25-G25)</f>
        <v>97.5</v>
      </c>
      <c r="I10" s="51" t="n">
        <f aca="false">MIN(Capex!H$25/Assumptions!$E$151,Capex!H$25-H25)</f>
        <v>97.5</v>
      </c>
      <c r="J10" s="51" t="n">
        <f aca="false">MIN(Capex!I$25/Assumptions!$E$151,Capex!I$25-I25)</f>
        <v>97.5</v>
      </c>
      <c r="K10" s="51" t="n">
        <f aca="false">MIN(Capex!J$25/Assumptions!$E$151,Capex!J$25-J25)</f>
        <v>97.5</v>
      </c>
      <c r="L10" s="51" t="n">
        <f aca="false">MIN(Capex!K$25/Assumptions!$E$151,Capex!K$25-K25)</f>
        <v>97.5</v>
      </c>
      <c r="M10" s="51" t="n">
        <f aca="false">MIN(Capex!L$25/Assumptions!$E$151,Capex!L$25-L25)</f>
        <v>97.5</v>
      </c>
      <c r="N10" s="51" t="n">
        <f aca="false">MIN(Capex!M$25/Assumptions!$E$151,Capex!M$25-M25)</f>
        <v>97.5</v>
      </c>
      <c r="O10" s="51" t="n">
        <f aca="false">MIN(Capex!N$25/Assumptions!$E$151,Capex!N$25-N25)</f>
        <v>97.5</v>
      </c>
      <c r="P10" s="51" t="n">
        <f aca="false">MIN(Capex!O$25/Assumptions!$E$151,Capex!O$25-O25)</f>
        <v>146.25</v>
      </c>
      <c r="Q10" s="51" t="n">
        <f aca="false">MIN(Capex!P$25/Assumptions!$E$151,Capex!P$25-P25)</f>
        <v>146.25</v>
      </c>
      <c r="R10" s="51" t="n">
        <f aca="false">MIN(Capex!Q$25/Assumptions!$E$151,Capex!Q$25-Q25)</f>
        <v>146.25</v>
      </c>
      <c r="S10" s="51" t="n">
        <f aca="false">MIN(Capex!R$25/Assumptions!$E$151,Capex!R$25-R25)</f>
        <v>146.25</v>
      </c>
      <c r="T10" s="51" t="n">
        <f aca="false">MIN(Capex!S$25/Assumptions!$E$151,Capex!S$25-S25)</f>
        <v>146.25</v>
      </c>
      <c r="U10" s="51" t="n">
        <f aca="false">MIN(Capex!T$25/Assumptions!$E$151,Capex!T$25-T25)</f>
        <v>146.25</v>
      </c>
      <c r="V10" s="51" t="n">
        <f aca="false">MIN(Capex!U$25/Assumptions!$E$151,Capex!U$25-U25)</f>
        <v>146.25</v>
      </c>
      <c r="W10" s="51" t="n">
        <f aca="false">MIN(Capex!V$25/Assumptions!$E$151,Capex!V$25-V25)</f>
        <v>146.25</v>
      </c>
      <c r="X10" s="51" t="n">
        <f aca="false">MIN(Capex!W$25/Assumptions!$E$151,Capex!W$25-W25)</f>
        <v>146.25</v>
      </c>
      <c r="Y10" s="51" t="n">
        <f aca="false">MIN(Capex!X$25/Assumptions!$E$151,Capex!X$25-X25)</f>
        <v>146.25</v>
      </c>
      <c r="Z10" s="51" t="n">
        <f aca="false">MIN(Capex!Y$25/Assumptions!$E$151,Capex!Y$25-Y25)</f>
        <v>146.25</v>
      </c>
      <c r="AA10" s="51" t="n">
        <f aca="false">MIN(Capex!Z$25/Assumptions!$E$151,Capex!Z$25-Z25)</f>
        <v>146.25</v>
      </c>
      <c r="AB10" s="51" t="n">
        <f aca="false">MIN(Capex!AA$25/Assumptions!$E$151,Capex!AA$25-AA25)</f>
        <v>195</v>
      </c>
      <c r="AC10" s="51" t="n">
        <f aca="false">MIN(Capex!AB$25/Assumptions!$E$151,Capex!AB$25-AB25)</f>
        <v>195</v>
      </c>
      <c r="AD10" s="51" t="n">
        <f aca="false">MIN(Capex!AC$25/Assumptions!$E$151,Capex!AC$25-AC25)</f>
        <v>195</v>
      </c>
      <c r="AE10" s="51" t="n">
        <f aca="false">MIN(Capex!AD$25/Assumptions!$E$151,Capex!AD$25-AD25)</f>
        <v>195</v>
      </c>
      <c r="AF10" s="51" t="n">
        <f aca="false">MIN(Capex!AE$25/Assumptions!$E$151,Capex!AE$25-AE25)</f>
        <v>195</v>
      </c>
      <c r="AG10" s="51" t="n">
        <f aca="false">MIN(Capex!AF$25/Assumptions!$E$151,Capex!AF$25-AF25)</f>
        <v>195</v>
      </c>
      <c r="AH10" s="51" t="n">
        <f aca="false">MIN(Capex!AG$25/Assumptions!$E$151,Capex!AG$25-AG25)</f>
        <v>195</v>
      </c>
      <c r="AI10" s="51" t="n">
        <f aca="false">MIN(Capex!AH$25/Assumptions!$E$151,Capex!AH$25-AH25)</f>
        <v>195</v>
      </c>
      <c r="AJ10" s="51" t="n">
        <f aca="false">MIN(Capex!AI$25/Assumptions!$E$151,Capex!AI$25-AI25)</f>
        <v>195</v>
      </c>
      <c r="AK10" s="51" t="n">
        <f aca="false">MIN(Capex!AJ$25/Assumptions!$E$151,Capex!AJ$25-AJ25)</f>
        <v>0</v>
      </c>
      <c r="AL10" s="51" t="n">
        <f aca="false">MIN(Capex!AK$25/Assumptions!$E$151,Capex!AK$25-AK25)</f>
        <v>0</v>
      </c>
      <c r="AN10" s="52" t="n">
        <f aca="false">SUM(C10:N10)</f>
        <v>1072.5</v>
      </c>
      <c r="AO10" s="52" t="n">
        <f aca="false">SUM(O10:Z10)</f>
        <v>1706.25</v>
      </c>
      <c r="AP10" s="52" t="n">
        <f aca="false">SUM(AA10:AL10)</f>
        <v>1901.25</v>
      </c>
    </row>
    <row r="11" customFormat="false" ht="15" hidden="false" customHeight="false" outlineLevel="0" collapsed="false">
      <c r="A11" s="26" t="s">
        <v>298</v>
      </c>
      <c r="B11" s="24" t="s">
        <v>597</v>
      </c>
      <c r="C11" s="51" t="n">
        <f aca="false">0</f>
        <v>0</v>
      </c>
      <c r="D11" s="51" t="n">
        <f aca="false">MIN(Capex!C$26/Assumptions!$E$155,Capex!C$26-C26)</f>
        <v>233.333333333333</v>
      </c>
      <c r="E11" s="51" t="n">
        <f aca="false">MIN(Capex!D$26/Assumptions!$E$155,Capex!D$26-D26)</f>
        <v>233.333333333333</v>
      </c>
      <c r="F11" s="51" t="n">
        <f aca="false">MIN(Capex!E$26/Assumptions!$E$155,Capex!E$26-E26)</f>
        <v>233.333333333333</v>
      </c>
      <c r="G11" s="51" t="n">
        <f aca="false">MIN(Capex!F$26/Assumptions!$E$155,Capex!F$26-F26)</f>
        <v>233.333333333333</v>
      </c>
      <c r="H11" s="51" t="n">
        <f aca="false">MIN(Capex!G$26/Assumptions!$E$155,Capex!G$26-G26)</f>
        <v>233.333333333333</v>
      </c>
      <c r="I11" s="51" t="n">
        <f aca="false">MIN(Capex!H$26/Assumptions!$E$155,Capex!H$26-H26)</f>
        <v>233.333333333333</v>
      </c>
      <c r="J11" s="51" t="n">
        <f aca="false">MIN(Capex!I$26/Assumptions!$E$155,Capex!I$26-I26)</f>
        <v>233.333333333333</v>
      </c>
      <c r="K11" s="51" t="n">
        <f aca="false">MIN(Capex!J$26/Assumptions!$E$155,Capex!J$26-J26)</f>
        <v>233.333333333333</v>
      </c>
      <c r="L11" s="51" t="n">
        <f aca="false">MIN(Capex!K$26/Assumptions!$E$155,Capex!K$26-K26)</f>
        <v>233.333333333333</v>
      </c>
      <c r="M11" s="51" t="n">
        <f aca="false">MIN(Capex!L$26/Assumptions!$E$155,Capex!L$26-L26)</f>
        <v>233.333333333333</v>
      </c>
      <c r="N11" s="51" t="n">
        <f aca="false">MIN(Capex!M$26/Assumptions!$E$155,Capex!M$26-M26)</f>
        <v>233.333333333333</v>
      </c>
      <c r="O11" s="51" t="n">
        <f aca="false">MIN(Capex!N$26/Assumptions!$E$155,Capex!N$26-N26)</f>
        <v>233.333333333333</v>
      </c>
      <c r="P11" s="51" t="n">
        <f aca="false">MIN(Capex!O$26/Assumptions!$E$155,Capex!O$26-O26)</f>
        <v>233.333333333333</v>
      </c>
      <c r="Q11" s="51" t="n">
        <f aca="false">MIN(Capex!P$26/Assumptions!$E$155,Capex!P$26-P26)</f>
        <v>233.333333333333</v>
      </c>
      <c r="R11" s="51" t="n">
        <f aca="false">MIN(Capex!Q$26/Assumptions!$E$155,Capex!Q$26-Q26)</f>
        <v>233.333333333333</v>
      </c>
      <c r="S11" s="51" t="n">
        <f aca="false">MIN(Capex!R$26/Assumptions!$E$155,Capex!R$26-R26)</f>
        <v>233.333333333333</v>
      </c>
      <c r="T11" s="51" t="n">
        <f aca="false">MIN(Capex!S$26/Assumptions!$E$155,Capex!S$26-S26)</f>
        <v>233.333333333333</v>
      </c>
      <c r="U11" s="51" t="n">
        <f aca="false">MIN(Capex!T$26/Assumptions!$E$155,Capex!T$26-T26)</f>
        <v>233.333333333333</v>
      </c>
      <c r="V11" s="51" t="n">
        <f aca="false">MIN(Capex!U$26/Assumptions!$E$155,Capex!U$26-U26)</f>
        <v>233.333333333333</v>
      </c>
      <c r="W11" s="51" t="n">
        <f aca="false">MIN(Capex!V$26/Assumptions!$E$155,Capex!V$26-V26)</f>
        <v>233.333333333333</v>
      </c>
      <c r="X11" s="51" t="n">
        <f aca="false">MIN(Capex!W$26/Assumptions!$E$155,Capex!W$26-W26)</f>
        <v>233.333333333333</v>
      </c>
      <c r="Y11" s="51" t="n">
        <f aca="false">MIN(Capex!X$26/Assumptions!$E$155,Capex!X$26-X26)</f>
        <v>233.333333333333</v>
      </c>
      <c r="Z11" s="51" t="n">
        <f aca="false">MIN(Capex!Y$26/Assumptions!$E$155,Capex!Y$26-Y26)</f>
        <v>233.333333333333</v>
      </c>
      <c r="AA11" s="51" t="n">
        <f aca="false">MIN(Capex!Z$26/Assumptions!$E$155,Capex!Z$26-Z26)</f>
        <v>233.333333333333</v>
      </c>
      <c r="AB11" s="51" t="n">
        <f aca="false">MIN(Capex!AA$26/Assumptions!$E$155,Capex!AA$26-AA26)</f>
        <v>233.333333333333</v>
      </c>
      <c r="AC11" s="51" t="n">
        <f aca="false">MIN(Capex!AB$26/Assumptions!$E$155,Capex!AB$26-AB26)</f>
        <v>233.333333333333</v>
      </c>
      <c r="AD11" s="51" t="n">
        <f aca="false">MIN(Capex!AC$26/Assumptions!$E$155,Capex!AC$26-AC26)</f>
        <v>233.333333333333</v>
      </c>
      <c r="AE11" s="51" t="n">
        <f aca="false">MIN(Capex!AD$26/Assumptions!$E$155,Capex!AD$26-AD26)</f>
        <v>233.333333333333</v>
      </c>
      <c r="AF11" s="51" t="n">
        <f aca="false">MIN(Capex!AE$26/Assumptions!$E$155,Capex!AE$26-AE26)</f>
        <v>233.333333333333</v>
      </c>
      <c r="AG11" s="51" t="n">
        <f aca="false">MIN(Capex!AF$26/Assumptions!$E$155,Capex!AF$26-AF26)</f>
        <v>233.333333333333</v>
      </c>
      <c r="AH11" s="51" t="n">
        <f aca="false">MIN(Capex!AG$26/Assumptions!$E$155,Capex!AG$26-AG26)</f>
        <v>233.333333333333</v>
      </c>
      <c r="AI11" s="51" t="n">
        <f aca="false">MIN(Capex!AH$26/Assumptions!$E$155,Capex!AH$26-AH26)</f>
        <v>233.333333333333</v>
      </c>
      <c r="AJ11" s="51" t="n">
        <f aca="false">MIN(Capex!AI$26/Assumptions!$E$155,Capex!AI$26-AI26)</f>
        <v>233.333333333333</v>
      </c>
      <c r="AK11" s="51" t="n">
        <f aca="false">MIN(Capex!AJ$26/Assumptions!$E$155,Capex!AJ$26-AJ26)</f>
        <v>233.333333333333</v>
      </c>
      <c r="AL11" s="51" t="n">
        <f aca="false">MIN(Capex!AK$26/Assumptions!$E$155,Capex!AK$26-AK26)</f>
        <v>233.333333333333</v>
      </c>
      <c r="AN11" s="52" t="n">
        <f aca="false">SUM(C11:N11)</f>
        <v>2566.66666666667</v>
      </c>
      <c r="AO11" s="52" t="n">
        <f aca="false">SUM(O11:Z11)</f>
        <v>2800</v>
      </c>
      <c r="AP11" s="52" t="n">
        <f aca="false">SUM(AA11:AL11)</f>
        <v>2800</v>
      </c>
    </row>
    <row r="12" customFormat="false" ht="15" hidden="false" customHeight="false" outlineLevel="0" collapsed="false">
      <c r="A12" s="26" t="s">
        <v>299</v>
      </c>
      <c r="B12" s="24" t="s">
        <v>598</v>
      </c>
      <c r="C12" s="51" t="n">
        <f aca="false">0</f>
        <v>0</v>
      </c>
      <c r="D12" s="51" t="n">
        <f aca="false">MIN(Capex!C$27/Assumptions!$E$156,Capex!C$27-C27)</f>
        <v>0</v>
      </c>
      <c r="E12" s="51" t="n">
        <f aca="false">MIN(Capex!D$27/Assumptions!$E$156,Capex!D$27-D27)</f>
        <v>197.916666666667</v>
      </c>
      <c r="F12" s="51" t="n">
        <f aca="false">MIN(Capex!E$27/Assumptions!$E$156,Capex!E$27-E27)</f>
        <v>197.916666666667</v>
      </c>
      <c r="G12" s="51" t="n">
        <f aca="false">MIN(Capex!F$27/Assumptions!$E$156,Capex!F$27-F27)</f>
        <v>197.916666666667</v>
      </c>
      <c r="H12" s="51" t="n">
        <f aca="false">MIN(Capex!G$27/Assumptions!$E$156,Capex!G$27-G27)</f>
        <v>197.916666666667</v>
      </c>
      <c r="I12" s="51" t="n">
        <f aca="false">MIN(Capex!H$27/Assumptions!$E$156,Capex!H$27-H27)</f>
        <v>197.916666666667</v>
      </c>
      <c r="J12" s="51" t="n">
        <f aca="false">MIN(Capex!I$27/Assumptions!$E$156,Capex!I$27-I27)</f>
        <v>197.916666666667</v>
      </c>
      <c r="K12" s="51" t="n">
        <f aca="false">MIN(Capex!J$27/Assumptions!$E$156,Capex!J$27-J27)</f>
        <v>197.916666666667</v>
      </c>
      <c r="L12" s="51" t="n">
        <f aca="false">MIN(Capex!K$27/Assumptions!$E$156,Capex!K$27-K27)</f>
        <v>197.916666666667</v>
      </c>
      <c r="M12" s="51" t="n">
        <f aca="false">MIN(Capex!L$27/Assumptions!$E$156,Capex!L$27-L27)</f>
        <v>197.916666666667</v>
      </c>
      <c r="N12" s="51" t="n">
        <f aca="false">MIN(Capex!M$27/Assumptions!$E$156,Capex!M$27-M27)</f>
        <v>197.916666666667</v>
      </c>
      <c r="O12" s="51" t="n">
        <f aca="false">MIN(Capex!N$27/Assumptions!$E$156,Capex!N$27-N27)</f>
        <v>197.916666666667</v>
      </c>
      <c r="P12" s="51" t="n">
        <f aca="false">MIN(Capex!O$27/Assumptions!$E$156,Capex!O$27-O27)</f>
        <v>197.916666666667</v>
      </c>
      <c r="Q12" s="51" t="n">
        <f aca="false">MIN(Capex!P$27/Assumptions!$E$156,Capex!P$27-P27)</f>
        <v>197.916666666667</v>
      </c>
      <c r="R12" s="51" t="n">
        <f aca="false">MIN(Capex!Q$27/Assumptions!$E$156,Capex!Q$27-Q27)</f>
        <v>197.916666666667</v>
      </c>
      <c r="S12" s="51" t="n">
        <f aca="false">MIN(Capex!R$27/Assumptions!$E$156,Capex!R$27-R27)</f>
        <v>197.916666666667</v>
      </c>
      <c r="T12" s="51" t="n">
        <f aca="false">MIN(Capex!S$27/Assumptions!$E$156,Capex!S$27-S27)</f>
        <v>197.916666666667</v>
      </c>
      <c r="U12" s="51" t="n">
        <f aca="false">MIN(Capex!T$27/Assumptions!$E$156,Capex!T$27-T27)</f>
        <v>197.916666666667</v>
      </c>
      <c r="V12" s="51" t="n">
        <f aca="false">MIN(Capex!U$27/Assumptions!$E$156,Capex!U$27-U27)</f>
        <v>197.916666666667</v>
      </c>
      <c r="W12" s="51" t="n">
        <f aca="false">MIN(Capex!V$27/Assumptions!$E$156,Capex!V$27-V27)</f>
        <v>197.916666666667</v>
      </c>
      <c r="X12" s="51" t="n">
        <f aca="false">MIN(Capex!W$27/Assumptions!$E$156,Capex!W$27-W27)</f>
        <v>197.916666666667</v>
      </c>
      <c r="Y12" s="51" t="n">
        <f aca="false">MIN(Capex!X$27/Assumptions!$E$156,Capex!X$27-X27)</f>
        <v>197.916666666667</v>
      </c>
      <c r="Z12" s="51" t="n">
        <f aca="false">MIN(Capex!Y$27/Assumptions!$E$156,Capex!Y$27-Y27)</f>
        <v>197.916666666667</v>
      </c>
      <c r="AA12" s="51" t="n">
        <f aca="false">MIN(Capex!Z$27/Assumptions!$E$156,Capex!Z$27-Z27)</f>
        <v>197.916666666667</v>
      </c>
      <c r="AB12" s="51" t="n">
        <f aca="false">MIN(Capex!AA$27/Assumptions!$E$156,Capex!AA$27-AA27)</f>
        <v>197.916666666667</v>
      </c>
      <c r="AC12" s="51" t="n">
        <f aca="false">MIN(Capex!AB$27/Assumptions!$E$156,Capex!AB$27-AB27)</f>
        <v>197.916666666667</v>
      </c>
      <c r="AD12" s="51" t="n">
        <f aca="false">MIN(Capex!AC$27/Assumptions!$E$156,Capex!AC$27-AC27)</f>
        <v>197.916666666667</v>
      </c>
      <c r="AE12" s="51" t="n">
        <f aca="false">MIN(Capex!AD$27/Assumptions!$E$156,Capex!AD$27-AD27)</f>
        <v>197.916666666667</v>
      </c>
      <c r="AF12" s="51" t="n">
        <f aca="false">MIN(Capex!AE$27/Assumptions!$E$156,Capex!AE$27-AE27)</f>
        <v>197.916666666667</v>
      </c>
      <c r="AG12" s="51" t="n">
        <f aca="false">MIN(Capex!AF$27/Assumptions!$E$156,Capex!AF$27-AF27)</f>
        <v>197.916666666667</v>
      </c>
      <c r="AH12" s="51" t="n">
        <f aca="false">MIN(Capex!AG$27/Assumptions!$E$156,Capex!AG$27-AG27)</f>
        <v>197.916666666667</v>
      </c>
      <c r="AI12" s="51" t="n">
        <f aca="false">MIN(Capex!AH$27/Assumptions!$E$156,Capex!AH$27-AH27)</f>
        <v>197.916666666667</v>
      </c>
      <c r="AJ12" s="51" t="n">
        <f aca="false">MIN(Capex!AI$27/Assumptions!$E$156,Capex!AI$27-AI27)</f>
        <v>197.916666666667</v>
      </c>
      <c r="AK12" s="51" t="n">
        <f aca="false">MIN(Capex!AJ$27/Assumptions!$E$156,Capex!AJ$27-AJ27)</f>
        <v>197.916666666667</v>
      </c>
      <c r="AL12" s="51" t="n">
        <f aca="false">MIN(Capex!AK$27/Assumptions!$E$156,Capex!AK$27-AK27)</f>
        <v>197.916666666667</v>
      </c>
      <c r="AN12" s="52" t="n">
        <f aca="false">SUM(C12:N12)</f>
        <v>1979.16666666667</v>
      </c>
      <c r="AO12" s="52" t="n">
        <f aca="false">SUM(O12:Z12)</f>
        <v>2375</v>
      </c>
      <c r="AP12" s="52" t="n">
        <f aca="false">SUM(AA12:AL12)</f>
        <v>2375</v>
      </c>
    </row>
    <row r="13" customFormat="false" ht="15" hidden="false" customHeight="false" outlineLevel="0" collapsed="false">
      <c r="A13" s="26" t="s">
        <v>300</v>
      </c>
      <c r="B13" s="24" t="s">
        <v>597</v>
      </c>
      <c r="C13" s="51" t="n">
        <f aca="false">0</f>
        <v>0</v>
      </c>
      <c r="D13" s="51" t="n">
        <f aca="false">MIN(Capex!C$28/Assumptions!$E$157,Capex!C$28-C28)</f>
        <v>0</v>
      </c>
      <c r="E13" s="51" t="n">
        <f aca="false">MIN(Capex!D$28/Assumptions!$E$157,Capex!D$28-D28)</f>
        <v>0</v>
      </c>
      <c r="F13" s="51" t="n">
        <f aca="false">MIN(Capex!E$28/Assumptions!$E$157,Capex!E$28-E28)</f>
        <v>0</v>
      </c>
      <c r="G13" s="51" t="n">
        <f aca="false">MIN(Capex!F$28/Assumptions!$E$157,Capex!F$28-F28)</f>
        <v>0</v>
      </c>
      <c r="H13" s="51" t="n">
        <f aca="false">MIN(Capex!G$28/Assumptions!$E$157,Capex!G$28-G28)</f>
        <v>0</v>
      </c>
      <c r="I13" s="51" t="n">
        <f aca="false">MIN(Capex!H$28/Assumptions!$E$157,Capex!H$28-H28)</f>
        <v>0</v>
      </c>
      <c r="J13" s="51" t="n">
        <f aca="false">MIN(Capex!I$28/Assumptions!$E$157,Capex!I$28-I28)</f>
        <v>0</v>
      </c>
      <c r="K13" s="51" t="n">
        <f aca="false">MIN(Capex!J$28/Assumptions!$E$157,Capex!J$28-J28)</f>
        <v>0</v>
      </c>
      <c r="L13" s="51" t="n">
        <f aca="false">MIN(Capex!K$28/Assumptions!$E$157,Capex!K$28-K28)</f>
        <v>0</v>
      </c>
      <c r="M13" s="51" t="n">
        <f aca="false">MIN(Capex!L$28/Assumptions!$E$157,Capex!L$28-L28)</f>
        <v>0</v>
      </c>
      <c r="N13" s="51" t="n">
        <f aca="false">MIN(Capex!M$28/Assumptions!$E$157,Capex!M$28-M28)</f>
        <v>0</v>
      </c>
      <c r="O13" s="51" t="n">
        <f aca="false">MIN(Capex!N$28/Assumptions!$E$157,Capex!N$28-N28)</f>
        <v>0</v>
      </c>
      <c r="P13" s="51" t="n">
        <f aca="false">MIN(Capex!O$28/Assumptions!$E$157,Capex!O$28-O28)</f>
        <v>0</v>
      </c>
      <c r="Q13" s="51" t="n">
        <f aca="false">MIN(Capex!P$28/Assumptions!$E$157,Capex!P$28-P28)</f>
        <v>141.666666666667</v>
      </c>
      <c r="R13" s="51" t="n">
        <f aca="false">MIN(Capex!Q$28/Assumptions!$E$157,Capex!Q$28-Q28)</f>
        <v>141.666666666667</v>
      </c>
      <c r="S13" s="51" t="n">
        <f aca="false">MIN(Capex!R$28/Assumptions!$E$157,Capex!R$28-R28)</f>
        <v>141.666666666667</v>
      </c>
      <c r="T13" s="51" t="n">
        <f aca="false">MIN(Capex!S$28/Assumptions!$E$157,Capex!S$28-S28)</f>
        <v>141.666666666667</v>
      </c>
      <c r="U13" s="51" t="n">
        <f aca="false">MIN(Capex!T$28/Assumptions!$E$157,Capex!T$28-T28)</f>
        <v>141.666666666667</v>
      </c>
      <c r="V13" s="51" t="n">
        <f aca="false">MIN(Capex!U$28/Assumptions!$E$157,Capex!U$28-U28)</f>
        <v>141.666666666667</v>
      </c>
      <c r="W13" s="51" t="n">
        <f aca="false">MIN(Capex!V$28/Assumptions!$E$157,Capex!V$28-V28)</f>
        <v>141.666666666667</v>
      </c>
      <c r="X13" s="51" t="n">
        <f aca="false">MIN(Capex!W$28/Assumptions!$E$157,Capex!W$28-W28)</f>
        <v>141.666666666667</v>
      </c>
      <c r="Y13" s="51" t="n">
        <f aca="false">MIN(Capex!X$28/Assumptions!$E$157,Capex!X$28-X28)</f>
        <v>141.666666666667</v>
      </c>
      <c r="Z13" s="51" t="n">
        <f aca="false">MIN(Capex!Y$28/Assumptions!$E$157,Capex!Y$28-Y28)</f>
        <v>141.666666666667</v>
      </c>
      <c r="AA13" s="51" t="n">
        <f aca="false">MIN(Capex!Z$28/Assumptions!$E$157,Capex!Z$28-Z28)</f>
        <v>141.666666666667</v>
      </c>
      <c r="AB13" s="51" t="n">
        <f aca="false">MIN(Capex!AA$28/Assumptions!$E$157,Capex!AA$28-AA28)</f>
        <v>141.666666666667</v>
      </c>
      <c r="AC13" s="51" t="n">
        <f aca="false">MIN(Capex!AB$28/Assumptions!$E$157,Capex!AB$28-AB28)</f>
        <v>141.666666666667</v>
      </c>
      <c r="AD13" s="51" t="n">
        <f aca="false">MIN(Capex!AC$28/Assumptions!$E$157,Capex!AC$28-AC28)</f>
        <v>141.666666666667</v>
      </c>
      <c r="AE13" s="51" t="n">
        <f aca="false">MIN(Capex!AD$28/Assumptions!$E$157,Capex!AD$28-AD28)</f>
        <v>141.666666666667</v>
      </c>
      <c r="AF13" s="51" t="n">
        <f aca="false">MIN(Capex!AE$28/Assumptions!$E$157,Capex!AE$28-AE28)</f>
        <v>141.666666666667</v>
      </c>
      <c r="AG13" s="51" t="n">
        <f aca="false">MIN(Capex!AF$28/Assumptions!$E$157,Capex!AF$28-AF28)</f>
        <v>141.666666666667</v>
      </c>
      <c r="AH13" s="51" t="n">
        <f aca="false">MIN(Capex!AG$28/Assumptions!$E$157,Capex!AG$28-AG28)</f>
        <v>141.666666666667</v>
      </c>
      <c r="AI13" s="51" t="n">
        <f aca="false">MIN(Capex!AH$28/Assumptions!$E$157,Capex!AH$28-AH28)</f>
        <v>141.666666666667</v>
      </c>
      <c r="AJ13" s="51" t="n">
        <f aca="false">MIN(Capex!AI$28/Assumptions!$E$157,Capex!AI$28-AI28)</f>
        <v>141.666666666667</v>
      </c>
      <c r="AK13" s="51" t="n">
        <f aca="false">MIN(Capex!AJ$28/Assumptions!$E$157,Capex!AJ$28-AJ28)</f>
        <v>141.666666666667</v>
      </c>
      <c r="AL13" s="51" t="n">
        <f aca="false">MIN(Capex!AK$28/Assumptions!$E$157,Capex!AK$28-AK28)</f>
        <v>141.666666666667</v>
      </c>
      <c r="AN13" s="52" t="n">
        <f aca="false">SUM(C13:N13)</f>
        <v>0</v>
      </c>
      <c r="AO13" s="52" t="n">
        <f aca="false">SUM(O13:Z13)</f>
        <v>1416.66666666667</v>
      </c>
      <c r="AP13" s="52" t="n">
        <f aca="false">SUM(AA13:AL13)</f>
        <v>1700</v>
      </c>
    </row>
    <row r="14" customFormat="false" ht="15" hidden="false" customHeight="false" outlineLevel="0" collapsed="false">
      <c r="A14" s="26" t="s">
        <v>301</v>
      </c>
      <c r="B14" s="24" t="s">
        <v>598</v>
      </c>
      <c r="C14" s="51" t="n">
        <f aca="false">0</f>
        <v>0</v>
      </c>
      <c r="D14" s="51" t="n">
        <f aca="false">MIN(Capex!C$29/Assumptions!$E$158,Capex!C$29-C29)</f>
        <v>87.5</v>
      </c>
      <c r="E14" s="51" t="n">
        <f aca="false">MIN(Capex!D$29/Assumptions!$E$158,Capex!D$29-D29)</f>
        <v>87.5</v>
      </c>
      <c r="F14" s="51" t="n">
        <f aca="false">MIN(Capex!E$29/Assumptions!$E$158,Capex!E$29-E29)</f>
        <v>87.5</v>
      </c>
      <c r="G14" s="51" t="n">
        <f aca="false">MIN(Capex!F$29/Assumptions!$E$158,Capex!F$29-F29)</f>
        <v>87.5</v>
      </c>
      <c r="H14" s="51" t="n">
        <f aca="false">MIN(Capex!G$29/Assumptions!$E$158,Capex!G$29-G29)</f>
        <v>87.5</v>
      </c>
      <c r="I14" s="51" t="n">
        <f aca="false">MIN(Capex!H$29/Assumptions!$E$158,Capex!H$29-H29)</f>
        <v>87.5</v>
      </c>
      <c r="J14" s="51" t="n">
        <f aca="false">MIN(Capex!I$29/Assumptions!$E$158,Capex!I$29-I29)</f>
        <v>87.5</v>
      </c>
      <c r="K14" s="51" t="n">
        <f aca="false">MIN(Capex!J$29/Assumptions!$E$158,Capex!J$29-J29)</f>
        <v>87.5</v>
      </c>
      <c r="L14" s="51" t="n">
        <f aca="false">MIN(Capex!K$29/Assumptions!$E$158,Capex!K$29-K29)</f>
        <v>87.5</v>
      </c>
      <c r="M14" s="51" t="n">
        <f aca="false">MIN(Capex!L$29/Assumptions!$E$158,Capex!L$29-L29)</f>
        <v>87.5</v>
      </c>
      <c r="N14" s="51" t="n">
        <f aca="false">MIN(Capex!M$29/Assumptions!$E$158,Capex!M$29-M29)</f>
        <v>87.5</v>
      </c>
      <c r="O14" s="51" t="n">
        <f aca="false">MIN(Capex!N$29/Assumptions!$E$158,Capex!N$29-N29)</f>
        <v>87.5</v>
      </c>
      <c r="P14" s="51" t="n">
        <f aca="false">MIN(Capex!O$29/Assumptions!$E$158,Capex!O$29-O29)</f>
        <v>87.5</v>
      </c>
      <c r="Q14" s="51" t="n">
        <f aca="false">MIN(Capex!P$29/Assumptions!$E$158,Capex!P$29-P29)</f>
        <v>87.5</v>
      </c>
      <c r="R14" s="51" t="n">
        <f aca="false">MIN(Capex!Q$29/Assumptions!$E$158,Capex!Q$29-Q29)</f>
        <v>87.5</v>
      </c>
      <c r="S14" s="51" t="n">
        <f aca="false">MIN(Capex!R$29/Assumptions!$E$158,Capex!R$29-R29)</f>
        <v>87.5</v>
      </c>
      <c r="T14" s="51" t="n">
        <f aca="false">MIN(Capex!S$29/Assumptions!$E$158,Capex!S$29-S29)</f>
        <v>87.5</v>
      </c>
      <c r="U14" s="51" t="n">
        <f aca="false">MIN(Capex!T$29/Assumptions!$E$158,Capex!T$29-T29)</f>
        <v>87.5</v>
      </c>
      <c r="V14" s="51" t="n">
        <f aca="false">MIN(Capex!U$29/Assumptions!$E$158,Capex!U$29-U29)</f>
        <v>87.5</v>
      </c>
      <c r="W14" s="51" t="n">
        <f aca="false">MIN(Capex!V$29/Assumptions!$E$158,Capex!V$29-V29)</f>
        <v>87.5</v>
      </c>
      <c r="X14" s="51" t="n">
        <f aca="false">MIN(Capex!W$29/Assumptions!$E$158,Capex!W$29-W29)</f>
        <v>87.5</v>
      </c>
      <c r="Y14" s="51" t="n">
        <f aca="false">MIN(Capex!X$29/Assumptions!$E$158,Capex!X$29-X29)</f>
        <v>87.5</v>
      </c>
      <c r="Z14" s="51" t="n">
        <f aca="false">MIN(Capex!Y$29/Assumptions!$E$158,Capex!Y$29-Y29)</f>
        <v>87.5</v>
      </c>
      <c r="AA14" s="51" t="n">
        <f aca="false">MIN(Capex!Z$29/Assumptions!$E$158,Capex!Z$29-Z29)</f>
        <v>87.5</v>
      </c>
      <c r="AB14" s="51" t="n">
        <f aca="false">MIN(Capex!AA$29/Assumptions!$E$158,Capex!AA$29-AA29)</f>
        <v>87.5</v>
      </c>
      <c r="AC14" s="51" t="n">
        <f aca="false">MIN(Capex!AB$29/Assumptions!$E$158,Capex!AB$29-AB29)</f>
        <v>87.5</v>
      </c>
      <c r="AD14" s="51" t="n">
        <f aca="false">MIN(Capex!AC$29/Assumptions!$E$158,Capex!AC$29-AC29)</f>
        <v>87.5</v>
      </c>
      <c r="AE14" s="51" t="n">
        <f aca="false">MIN(Capex!AD$29/Assumptions!$E$158,Capex!AD$29-AD29)</f>
        <v>87.5</v>
      </c>
      <c r="AF14" s="51" t="n">
        <f aca="false">MIN(Capex!AE$29/Assumptions!$E$158,Capex!AE$29-AE29)</f>
        <v>87.5</v>
      </c>
      <c r="AG14" s="51" t="n">
        <f aca="false">MIN(Capex!AF$29/Assumptions!$E$158,Capex!AF$29-AF29)</f>
        <v>87.5</v>
      </c>
      <c r="AH14" s="51" t="n">
        <f aca="false">MIN(Capex!AG$29/Assumptions!$E$158,Capex!AG$29-AG29)</f>
        <v>87.5</v>
      </c>
      <c r="AI14" s="51" t="n">
        <f aca="false">MIN(Capex!AH$29/Assumptions!$E$158,Capex!AH$29-AH29)</f>
        <v>87.5</v>
      </c>
      <c r="AJ14" s="51" t="n">
        <f aca="false">MIN(Capex!AI$29/Assumptions!$E$158,Capex!AI$29-AI29)</f>
        <v>87.5</v>
      </c>
      <c r="AK14" s="51" t="n">
        <f aca="false">MIN(Capex!AJ$29/Assumptions!$E$158,Capex!AJ$29-AJ29)</f>
        <v>87.5</v>
      </c>
      <c r="AL14" s="51" t="n">
        <f aca="false">MIN(Capex!AK$29/Assumptions!$E$158,Capex!AK$29-AK29)</f>
        <v>87.5</v>
      </c>
      <c r="AN14" s="52" t="n">
        <f aca="false">SUM(C14:N14)</f>
        <v>962.5</v>
      </c>
      <c r="AO14" s="52" t="n">
        <f aca="false">SUM(O14:Z14)</f>
        <v>1050</v>
      </c>
      <c r="AP14" s="52" t="n">
        <f aca="false">SUM(AA14:AL14)</f>
        <v>1050</v>
      </c>
    </row>
    <row r="15" customFormat="false" ht="15" hidden="false" customHeight="false" outlineLevel="0" collapsed="false">
      <c r="A15" s="26" t="s">
        <v>302</v>
      </c>
      <c r="B15" s="24" t="s">
        <v>596</v>
      </c>
      <c r="C15" s="51" t="n">
        <f aca="false">0</f>
        <v>0</v>
      </c>
      <c r="D15" s="51" t="n">
        <f aca="false">MIN(Capex!C$30/Assumptions!$E$159,Capex!C$30-C30)</f>
        <v>2388.88888888889</v>
      </c>
      <c r="E15" s="51" t="n">
        <f aca="false">MIN(Capex!D$30/Assumptions!$E$159,Capex!D$30-D30)</f>
        <v>2388.88888888889</v>
      </c>
      <c r="F15" s="51" t="n">
        <f aca="false">MIN(Capex!E$30/Assumptions!$E$159,Capex!E$30-E30)</f>
        <v>2388.88888888889</v>
      </c>
      <c r="G15" s="51" t="n">
        <f aca="false">MIN(Capex!F$30/Assumptions!$E$159,Capex!F$30-F30)</f>
        <v>2388.88888888889</v>
      </c>
      <c r="H15" s="51" t="n">
        <f aca="false">MIN(Capex!G$30/Assumptions!$E$159,Capex!G$30-G30)</f>
        <v>2388.88888888889</v>
      </c>
      <c r="I15" s="51" t="n">
        <f aca="false">MIN(Capex!H$30/Assumptions!$E$159,Capex!H$30-H30)</f>
        <v>2388.88888888889</v>
      </c>
      <c r="J15" s="51" t="n">
        <f aca="false">MIN(Capex!I$30/Assumptions!$E$159,Capex!I$30-I30)</f>
        <v>2388.88888888889</v>
      </c>
      <c r="K15" s="51" t="n">
        <f aca="false">MIN(Capex!J$30/Assumptions!$E$159,Capex!J$30-J30)</f>
        <v>2388.88888888889</v>
      </c>
      <c r="L15" s="51" t="n">
        <f aca="false">MIN(Capex!K$30/Assumptions!$E$159,Capex!K$30-K30)</f>
        <v>2388.88888888889</v>
      </c>
      <c r="M15" s="51" t="n">
        <f aca="false">MIN(Capex!L$30/Assumptions!$E$159,Capex!L$30-L30)</f>
        <v>2388.88888888889</v>
      </c>
      <c r="N15" s="51" t="n">
        <f aca="false">MIN(Capex!M$30/Assumptions!$E$159,Capex!M$30-M30)</f>
        <v>2388.88888888889</v>
      </c>
      <c r="O15" s="51" t="n">
        <f aca="false">MIN(Capex!N$30/Assumptions!$E$159,Capex!N$30-N30)</f>
        <v>2388.88888888889</v>
      </c>
      <c r="P15" s="51" t="n">
        <f aca="false">MIN(Capex!O$30/Assumptions!$E$159,Capex!O$30-O30)</f>
        <v>2388.88888888889</v>
      </c>
      <c r="Q15" s="51" t="n">
        <f aca="false">MIN(Capex!P$30/Assumptions!$E$159,Capex!P$30-P30)</f>
        <v>2388.88888888889</v>
      </c>
      <c r="R15" s="51" t="n">
        <f aca="false">MIN(Capex!Q$30/Assumptions!$E$159,Capex!Q$30-Q30)</f>
        <v>2388.88888888889</v>
      </c>
      <c r="S15" s="51" t="n">
        <f aca="false">MIN(Capex!R$30/Assumptions!$E$159,Capex!R$30-R30)</f>
        <v>2388.88888888889</v>
      </c>
      <c r="T15" s="51" t="n">
        <f aca="false">MIN(Capex!S$30/Assumptions!$E$159,Capex!S$30-S30)</f>
        <v>2388.88888888889</v>
      </c>
      <c r="U15" s="51" t="n">
        <f aca="false">MIN(Capex!T$30/Assumptions!$E$159,Capex!T$30-T30)</f>
        <v>2388.88888888889</v>
      </c>
      <c r="V15" s="51" t="n">
        <f aca="false">MIN(Capex!U$30/Assumptions!$E$159,Capex!U$30-U30)</f>
        <v>2388.88888888889</v>
      </c>
      <c r="W15" s="51" t="n">
        <f aca="false">MIN(Capex!V$30/Assumptions!$E$159,Capex!V$30-V30)</f>
        <v>2388.88888888889</v>
      </c>
      <c r="X15" s="51" t="n">
        <f aca="false">MIN(Capex!W$30/Assumptions!$E$159,Capex!W$30-W30)</f>
        <v>2388.88888888889</v>
      </c>
      <c r="Y15" s="51" t="n">
        <f aca="false">MIN(Capex!X$30/Assumptions!$E$159,Capex!X$30-X30)</f>
        <v>2388.88888888889</v>
      </c>
      <c r="Z15" s="51" t="n">
        <f aca="false">MIN(Capex!Y$30/Assumptions!$E$159,Capex!Y$30-Y30)</f>
        <v>2388.88888888889</v>
      </c>
      <c r="AA15" s="51" t="n">
        <f aca="false">MIN(Capex!Z$30/Assumptions!$E$159,Capex!Z$30-Z30)</f>
        <v>2388.88888888889</v>
      </c>
      <c r="AB15" s="51" t="n">
        <f aca="false">MIN(Capex!AA$30/Assumptions!$E$159,Capex!AA$30-AA30)</f>
        <v>2388.88888888889</v>
      </c>
      <c r="AC15" s="51" t="n">
        <f aca="false">MIN(Capex!AB$30/Assumptions!$E$159,Capex!AB$30-AB30)</f>
        <v>2388.88888888889</v>
      </c>
      <c r="AD15" s="51" t="n">
        <f aca="false">MIN(Capex!AC$30/Assumptions!$E$159,Capex!AC$30-AC30)</f>
        <v>2388.88888888889</v>
      </c>
      <c r="AE15" s="51" t="n">
        <f aca="false">MIN(Capex!AD$30/Assumptions!$E$159,Capex!AD$30-AD30)</f>
        <v>2388.88888888889</v>
      </c>
      <c r="AF15" s="51" t="n">
        <f aca="false">MIN(Capex!AE$30/Assumptions!$E$159,Capex!AE$30-AE30)</f>
        <v>2388.88888888889</v>
      </c>
      <c r="AG15" s="51" t="n">
        <f aca="false">MIN(Capex!AF$30/Assumptions!$E$159,Capex!AF$30-AF30)</f>
        <v>2388.88888888889</v>
      </c>
      <c r="AH15" s="51" t="n">
        <f aca="false">MIN(Capex!AG$30/Assumptions!$E$159,Capex!AG$30-AG30)</f>
        <v>2388.88888888889</v>
      </c>
      <c r="AI15" s="51" t="n">
        <f aca="false">MIN(Capex!AH$30/Assumptions!$E$159,Capex!AH$30-AH30)</f>
        <v>2388.88888888889</v>
      </c>
      <c r="AJ15" s="51" t="n">
        <f aca="false">MIN(Capex!AI$30/Assumptions!$E$159,Capex!AI$30-AI30)</f>
        <v>2388.88888888889</v>
      </c>
      <c r="AK15" s="51" t="n">
        <f aca="false">MIN(Capex!AJ$30/Assumptions!$E$159,Capex!AJ$30-AJ30)</f>
        <v>2388.88888888889</v>
      </c>
      <c r="AL15" s="51" t="n">
        <f aca="false">MIN(Capex!AK$30/Assumptions!$E$159,Capex!AK$30-AK30)</f>
        <v>2388.88888888889</v>
      </c>
      <c r="AN15" s="52" t="n">
        <f aca="false">SUM(C15:N15)</f>
        <v>26277.7777777778</v>
      </c>
      <c r="AO15" s="52" t="n">
        <f aca="false">SUM(O15:Z15)</f>
        <v>28666.6666666667</v>
      </c>
      <c r="AP15" s="52" t="n">
        <f aca="false">SUM(AA15:AL15)</f>
        <v>28666.6666666667</v>
      </c>
    </row>
    <row r="16" customFormat="false" ht="15" hidden="false" customHeight="false" outlineLevel="0" collapsed="false">
      <c r="A16" s="26" t="s">
        <v>303</v>
      </c>
      <c r="B16" s="24" t="s">
        <v>596</v>
      </c>
      <c r="C16" s="51" t="n">
        <f aca="false">0</f>
        <v>0</v>
      </c>
      <c r="D16" s="51" t="n">
        <f aca="false">MIN(Capex!C$31/Assumptions!$E$160,Capex!C$31-C31)</f>
        <v>1166.66666666667</v>
      </c>
      <c r="E16" s="51" t="n">
        <f aca="false">MIN(Capex!D$31/Assumptions!$E$160,Capex!D$31-D31)</f>
        <v>1166.66666666667</v>
      </c>
      <c r="F16" s="51" t="n">
        <f aca="false">MIN(Capex!E$31/Assumptions!$E$160,Capex!E$31-E31)</f>
        <v>1166.66666666667</v>
      </c>
      <c r="G16" s="51" t="n">
        <f aca="false">MIN(Capex!F$31/Assumptions!$E$160,Capex!F$31-F31)</f>
        <v>1166.66666666667</v>
      </c>
      <c r="H16" s="51" t="n">
        <f aca="false">MIN(Capex!G$31/Assumptions!$E$160,Capex!G$31-G31)</f>
        <v>1166.66666666667</v>
      </c>
      <c r="I16" s="51" t="n">
        <f aca="false">MIN(Capex!H$31/Assumptions!$E$160,Capex!H$31-H31)</f>
        <v>1166.66666666667</v>
      </c>
      <c r="J16" s="51" t="n">
        <f aca="false">MIN(Capex!I$31/Assumptions!$E$160,Capex!I$31-I31)</f>
        <v>1166.66666666667</v>
      </c>
      <c r="K16" s="51" t="n">
        <f aca="false">MIN(Capex!J$31/Assumptions!$E$160,Capex!J$31-J31)</f>
        <v>1166.66666666667</v>
      </c>
      <c r="L16" s="51" t="n">
        <f aca="false">MIN(Capex!K$31/Assumptions!$E$160,Capex!K$31-K31)</f>
        <v>1166.66666666667</v>
      </c>
      <c r="M16" s="51" t="n">
        <f aca="false">MIN(Capex!L$31/Assumptions!$E$160,Capex!L$31-L31)</f>
        <v>1166.66666666667</v>
      </c>
      <c r="N16" s="51" t="n">
        <f aca="false">MIN(Capex!M$31/Assumptions!$E$160,Capex!M$31-M31)</f>
        <v>1166.66666666667</v>
      </c>
      <c r="O16" s="51" t="n">
        <f aca="false">MIN(Capex!N$31/Assumptions!$E$160,Capex!N$31-N31)</f>
        <v>1166.66666666667</v>
      </c>
      <c r="P16" s="51" t="n">
        <f aca="false">MIN(Capex!O$31/Assumptions!$E$160,Capex!O$31-O31)</f>
        <v>1166.66666666667</v>
      </c>
      <c r="Q16" s="51" t="n">
        <f aca="false">MIN(Capex!P$31/Assumptions!$E$160,Capex!P$31-P31)</f>
        <v>1166.66666666667</v>
      </c>
      <c r="R16" s="51" t="n">
        <f aca="false">MIN(Capex!Q$31/Assumptions!$E$160,Capex!Q$31-Q31)</f>
        <v>1166.66666666667</v>
      </c>
      <c r="S16" s="51" t="n">
        <f aca="false">MIN(Capex!R$31/Assumptions!$E$160,Capex!R$31-R31)</f>
        <v>1166.66666666667</v>
      </c>
      <c r="T16" s="51" t="n">
        <f aca="false">MIN(Capex!S$31/Assumptions!$E$160,Capex!S$31-S31)</f>
        <v>1166.66666666667</v>
      </c>
      <c r="U16" s="51" t="n">
        <f aca="false">MIN(Capex!T$31/Assumptions!$E$160,Capex!T$31-T31)</f>
        <v>1166.66666666667</v>
      </c>
      <c r="V16" s="51" t="n">
        <f aca="false">MIN(Capex!U$31/Assumptions!$E$160,Capex!U$31-U31)</f>
        <v>1166.66666666667</v>
      </c>
      <c r="W16" s="51" t="n">
        <f aca="false">MIN(Capex!V$31/Assumptions!$E$160,Capex!V$31-V31)</f>
        <v>1166.66666666667</v>
      </c>
      <c r="X16" s="51" t="n">
        <f aca="false">MIN(Capex!W$31/Assumptions!$E$160,Capex!W$31-W31)</f>
        <v>1166.66666666667</v>
      </c>
      <c r="Y16" s="51" t="n">
        <f aca="false">MIN(Capex!X$31/Assumptions!$E$160,Capex!X$31-X31)</f>
        <v>1166.66666666667</v>
      </c>
      <c r="Z16" s="51" t="n">
        <f aca="false">MIN(Capex!Y$31/Assumptions!$E$160,Capex!Y$31-Y31)</f>
        <v>1166.66666666667</v>
      </c>
      <c r="AA16" s="51" t="n">
        <f aca="false">MIN(Capex!Z$31/Assumptions!$E$160,Capex!Z$31-Z31)</f>
        <v>1166.66666666667</v>
      </c>
      <c r="AB16" s="51" t="n">
        <f aca="false">MIN(Capex!AA$31/Assumptions!$E$160,Capex!AA$31-AA31)</f>
        <v>1166.66666666667</v>
      </c>
      <c r="AC16" s="51" t="n">
        <f aca="false">MIN(Capex!AB$31/Assumptions!$E$160,Capex!AB$31-AB31)</f>
        <v>1166.66666666667</v>
      </c>
      <c r="AD16" s="51" t="n">
        <f aca="false">MIN(Capex!AC$31/Assumptions!$E$160,Capex!AC$31-AC31)</f>
        <v>1166.66666666667</v>
      </c>
      <c r="AE16" s="51" t="n">
        <f aca="false">MIN(Capex!AD$31/Assumptions!$E$160,Capex!AD$31-AD31)</f>
        <v>1166.66666666667</v>
      </c>
      <c r="AF16" s="51" t="n">
        <f aca="false">MIN(Capex!AE$31/Assumptions!$E$160,Capex!AE$31-AE31)</f>
        <v>1166.66666666667</v>
      </c>
      <c r="AG16" s="51" t="n">
        <f aca="false">MIN(Capex!AF$31/Assumptions!$E$160,Capex!AF$31-AF31)</f>
        <v>1166.66666666667</v>
      </c>
      <c r="AH16" s="51" t="n">
        <f aca="false">MIN(Capex!AG$31/Assumptions!$E$160,Capex!AG$31-AG31)</f>
        <v>1166.66666666667</v>
      </c>
      <c r="AI16" s="51" t="n">
        <f aca="false">MIN(Capex!AH$31/Assumptions!$E$160,Capex!AH$31-AH31)</f>
        <v>1166.66666666667</v>
      </c>
      <c r="AJ16" s="51" t="n">
        <f aca="false">MIN(Capex!AI$31/Assumptions!$E$160,Capex!AI$31-AI31)</f>
        <v>1166.66666666667</v>
      </c>
      <c r="AK16" s="51" t="n">
        <f aca="false">MIN(Capex!AJ$31/Assumptions!$E$160,Capex!AJ$31-AJ31)</f>
        <v>1166.66666666667</v>
      </c>
      <c r="AL16" s="51" t="n">
        <f aca="false">MIN(Capex!AK$31/Assumptions!$E$160,Capex!AK$31-AK31)</f>
        <v>1166.66666666667</v>
      </c>
      <c r="AN16" s="52" t="n">
        <f aca="false">SUM(C16:N16)</f>
        <v>12833.3333333333</v>
      </c>
      <c r="AO16" s="52" t="n">
        <f aca="false">SUM(O16:Z16)</f>
        <v>14000</v>
      </c>
      <c r="AP16" s="52" t="n">
        <f aca="false">SUM(AA16:AL16)</f>
        <v>14000</v>
      </c>
    </row>
    <row r="17" customFormat="false" ht="15" hidden="false" customHeight="false" outlineLevel="0" collapsed="false">
      <c r="A17" s="26" t="s">
        <v>304</v>
      </c>
      <c r="B17" s="24" t="s">
        <v>597</v>
      </c>
      <c r="C17" s="51" t="n">
        <f aca="false">0</f>
        <v>0</v>
      </c>
      <c r="D17" s="51" t="n">
        <f aca="false">MIN(Capex!C$32/Assumptions!$E$161,Capex!C$32-C32)</f>
        <v>183.333333333333</v>
      </c>
      <c r="E17" s="51" t="n">
        <f aca="false">MIN(Capex!D$32/Assumptions!$E$161,Capex!D$32-D32)</f>
        <v>183.333333333333</v>
      </c>
      <c r="F17" s="51" t="n">
        <f aca="false">MIN(Capex!E$32/Assumptions!$E$161,Capex!E$32-E32)</f>
        <v>183.333333333333</v>
      </c>
      <c r="G17" s="51" t="n">
        <f aca="false">MIN(Capex!F$32/Assumptions!$E$161,Capex!F$32-F32)</f>
        <v>183.333333333333</v>
      </c>
      <c r="H17" s="51" t="n">
        <f aca="false">MIN(Capex!G$32/Assumptions!$E$161,Capex!G$32-G32)</f>
        <v>183.333333333333</v>
      </c>
      <c r="I17" s="51" t="n">
        <f aca="false">MIN(Capex!H$32/Assumptions!$E$161,Capex!H$32-H32)</f>
        <v>183.333333333333</v>
      </c>
      <c r="J17" s="51" t="n">
        <f aca="false">MIN(Capex!I$32/Assumptions!$E$161,Capex!I$32-I32)</f>
        <v>183.333333333333</v>
      </c>
      <c r="K17" s="51" t="n">
        <f aca="false">MIN(Capex!J$32/Assumptions!$E$161,Capex!J$32-J32)</f>
        <v>183.333333333333</v>
      </c>
      <c r="L17" s="51" t="n">
        <f aca="false">MIN(Capex!K$32/Assumptions!$E$161,Capex!K$32-K32)</f>
        <v>183.333333333333</v>
      </c>
      <c r="M17" s="51" t="n">
        <f aca="false">MIN(Capex!L$32/Assumptions!$E$161,Capex!L$32-L32)</f>
        <v>183.333333333333</v>
      </c>
      <c r="N17" s="51" t="n">
        <f aca="false">MIN(Capex!M$32/Assumptions!$E$161,Capex!M$32-M32)</f>
        <v>183.333333333333</v>
      </c>
      <c r="O17" s="51" t="n">
        <f aca="false">MIN(Capex!N$32/Assumptions!$E$161,Capex!N$32-N32)</f>
        <v>183.333333333333</v>
      </c>
      <c r="P17" s="51" t="n">
        <f aca="false">MIN(Capex!O$32/Assumptions!$E$161,Capex!O$32-O32)</f>
        <v>183.333333333333</v>
      </c>
      <c r="Q17" s="51" t="n">
        <f aca="false">MIN(Capex!P$32/Assumptions!$E$161,Capex!P$32-P32)</f>
        <v>183.333333333333</v>
      </c>
      <c r="R17" s="51" t="n">
        <f aca="false">MIN(Capex!Q$32/Assumptions!$E$161,Capex!Q$32-Q32)</f>
        <v>183.333333333333</v>
      </c>
      <c r="S17" s="51" t="n">
        <f aca="false">MIN(Capex!R$32/Assumptions!$E$161,Capex!R$32-R32)</f>
        <v>183.333333333333</v>
      </c>
      <c r="T17" s="51" t="n">
        <f aca="false">MIN(Capex!S$32/Assumptions!$E$161,Capex!S$32-S32)</f>
        <v>183.333333333333</v>
      </c>
      <c r="U17" s="51" t="n">
        <f aca="false">MIN(Capex!T$32/Assumptions!$E$161,Capex!T$32-T32)</f>
        <v>183.333333333333</v>
      </c>
      <c r="V17" s="51" t="n">
        <f aca="false">MIN(Capex!U$32/Assumptions!$E$161,Capex!U$32-U32)</f>
        <v>183.333333333333</v>
      </c>
      <c r="W17" s="51" t="n">
        <f aca="false">MIN(Capex!V$32/Assumptions!$E$161,Capex!V$32-V32)</f>
        <v>183.333333333333</v>
      </c>
      <c r="X17" s="51" t="n">
        <f aca="false">MIN(Capex!W$32/Assumptions!$E$161,Capex!W$32-W32)</f>
        <v>183.333333333333</v>
      </c>
      <c r="Y17" s="51" t="n">
        <f aca="false">MIN(Capex!X$32/Assumptions!$E$161,Capex!X$32-X32)</f>
        <v>183.333333333333</v>
      </c>
      <c r="Z17" s="51" t="n">
        <f aca="false">MIN(Capex!Y$32/Assumptions!$E$161,Capex!Y$32-Y32)</f>
        <v>183.333333333333</v>
      </c>
      <c r="AA17" s="51" t="n">
        <f aca="false">MIN(Capex!Z$32/Assumptions!$E$161,Capex!Z$32-Z32)</f>
        <v>183.333333333333</v>
      </c>
      <c r="AB17" s="51" t="n">
        <f aca="false">MIN(Capex!AA$32/Assumptions!$E$161,Capex!AA$32-AA32)</f>
        <v>183.333333333333</v>
      </c>
      <c r="AC17" s="51" t="n">
        <f aca="false">MIN(Capex!AB$32/Assumptions!$E$161,Capex!AB$32-AB32)</f>
        <v>183.333333333333</v>
      </c>
      <c r="AD17" s="51" t="n">
        <f aca="false">MIN(Capex!AC$32/Assumptions!$E$161,Capex!AC$32-AC32)</f>
        <v>183.333333333333</v>
      </c>
      <c r="AE17" s="51" t="n">
        <f aca="false">MIN(Capex!AD$32/Assumptions!$E$161,Capex!AD$32-AD32)</f>
        <v>183.333333333333</v>
      </c>
      <c r="AF17" s="51" t="n">
        <f aca="false">MIN(Capex!AE$32/Assumptions!$E$161,Capex!AE$32-AE32)</f>
        <v>183.333333333333</v>
      </c>
      <c r="AG17" s="51" t="n">
        <f aca="false">MIN(Capex!AF$32/Assumptions!$E$161,Capex!AF$32-AF32)</f>
        <v>183.333333333333</v>
      </c>
      <c r="AH17" s="51" t="n">
        <f aca="false">MIN(Capex!AG$32/Assumptions!$E$161,Capex!AG$32-AG32)</f>
        <v>183.333333333333</v>
      </c>
      <c r="AI17" s="51" t="n">
        <f aca="false">MIN(Capex!AH$32/Assumptions!$E$161,Capex!AH$32-AH32)</f>
        <v>183.333333333333</v>
      </c>
      <c r="AJ17" s="51" t="n">
        <f aca="false">MIN(Capex!AI$32/Assumptions!$E$161,Capex!AI$32-AI32)</f>
        <v>183.333333333333</v>
      </c>
      <c r="AK17" s="51" t="n">
        <f aca="false">MIN(Capex!AJ$32/Assumptions!$E$161,Capex!AJ$32-AJ32)</f>
        <v>183.333333333333</v>
      </c>
      <c r="AL17" s="51" t="n">
        <f aca="false">MIN(Capex!AK$32/Assumptions!$E$161,Capex!AK$32-AK32)</f>
        <v>183.333333333333</v>
      </c>
      <c r="AN17" s="52" t="n">
        <f aca="false">SUM(C17:N17)</f>
        <v>2016.66666666667</v>
      </c>
      <c r="AO17" s="52" t="n">
        <f aca="false">SUM(O17:Z17)</f>
        <v>2200</v>
      </c>
      <c r="AP17" s="52" t="n">
        <f aca="false">SUM(AA17:AL17)</f>
        <v>2200</v>
      </c>
    </row>
    <row r="18" customFormat="false" ht="15" hidden="false" customHeight="false" outlineLevel="0" collapsed="false">
      <c r="A18" s="53" t="s">
        <v>600</v>
      </c>
      <c r="B18" s="54" t="s">
        <v>601</v>
      </c>
      <c r="C18" s="55" t="n">
        <f aca="false">SUM(C7:C17)</f>
        <v>0</v>
      </c>
      <c r="D18" s="55" t="n">
        <f aca="false">SUM(D7:D17)</f>
        <v>4491.30555555556</v>
      </c>
      <c r="E18" s="55" t="n">
        <f aca="false">SUM(E7:E17)</f>
        <v>4689.22222222222</v>
      </c>
      <c r="F18" s="55" t="n">
        <f aca="false">SUM(F7:F17)</f>
        <v>4689.22222222222</v>
      </c>
      <c r="G18" s="55" t="n">
        <f aca="false">SUM(G7:G17)</f>
        <v>4689.22222222222</v>
      </c>
      <c r="H18" s="55" t="n">
        <f aca="false">SUM(H7:H17)</f>
        <v>4689.22222222222</v>
      </c>
      <c r="I18" s="55" t="n">
        <f aca="false">SUM(I7:I17)</f>
        <v>4689.22222222222</v>
      </c>
      <c r="J18" s="55" t="n">
        <f aca="false">SUM(J7:J17)</f>
        <v>4689.22222222222</v>
      </c>
      <c r="K18" s="55" t="n">
        <f aca="false">SUM(K7:K17)</f>
        <v>4689.22222222222</v>
      </c>
      <c r="L18" s="55" t="n">
        <f aca="false">SUM(L7:L17)</f>
        <v>4689.22222222222</v>
      </c>
      <c r="M18" s="55" t="n">
        <f aca="false">SUM(M7:M17)</f>
        <v>4689.22222222222</v>
      </c>
      <c r="N18" s="55" t="n">
        <f aca="false">SUM(N7:N17)</f>
        <v>4689.22222222222</v>
      </c>
      <c r="O18" s="55" t="n">
        <f aca="false">SUM(O7:O17)</f>
        <v>4689.22222222222</v>
      </c>
      <c r="P18" s="55" t="n">
        <f aca="false">SUM(P7:P17)</f>
        <v>4905.01388888889</v>
      </c>
      <c r="Q18" s="55" t="n">
        <f aca="false">SUM(Q7:Q17)</f>
        <v>5046.68055555556</v>
      </c>
      <c r="R18" s="55" t="n">
        <f aca="false">SUM(R7:R17)</f>
        <v>5046.68055555556</v>
      </c>
      <c r="S18" s="55" t="n">
        <f aca="false">SUM(S7:S17)</f>
        <v>5046.68055555556</v>
      </c>
      <c r="T18" s="55" t="n">
        <f aca="false">SUM(T7:T17)</f>
        <v>5046.68055555556</v>
      </c>
      <c r="U18" s="55" t="n">
        <f aca="false">SUM(U7:U17)</f>
        <v>5046.68055555556</v>
      </c>
      <c r="V18" s="55" t="n">
        <f aca="false">SUM(V7:V17)</f>
        <v>5046.68055555556</v>
      </c>
      <c r="W18" s="55" t="n">
        <f aca="false">SUM(W7:W17)</f>
        <v>5046.68055555556</v>
      </c>
      <c r="X18" s="55" t="n">
        <f aca="false">SUM(X7:X17)</f>
        <v>5046.68055555556</v>
      </c>
      <c r="Y18" s="55" t="n">
        <f aca="false">SUM(Y7:Y17)</f>
        <v>5046.68055555556</v>
      </c>
      <c r="Z18" s="55" t="n">
        <f aca="false">SUM(Z7:Z17)</f>
        <v>5046.68055555556</v>
      </c>
      <c r="AA18" s="55" t="n">
        <f aca="false">SUM(AA7:AA17)</f>
        <v>5046.68055555556</v>
      </c>
      <c r="AB18" s="55" t="n">
        <f aca="false">SUM(AB7:AB17)</f>
        <v>5262.47222222222</v>
      </c>
      <c r="AC18" s="55" t="n">
        <f aca="false">SUM(AC7:AC17)</f>
        <v>5262.47222222222</v>
      </c>
      <c r="AD18" s="55" t="n">
        <f aca="false">SUM(AD7:AD17)</f>
        <v>5262.47222222222</v>
      </c>
      <c r="AE18" s="55" t="n">
        <f aca="false">SUM(AE7:AE17)</f>
        <v>5262.47222222222</v>
      </c>
      <c r="AF18" s="55" t="n">
        <f aca="false">SUM(AF7:AF17)</f>
        <v>5262.47222222222</v>
      </c>
      <c r="AG18" s="55" t="n">
        <f aca="false">SUM(AG7:AG17)</f>
        <v>5262.47222222222</v>
      </c>
      <c r="AH18" s="55" t="n">
        <f aca="false">SUM(AH7:AH17)</f>
        <v>5262.47222222222</v>
      </c>
      <c r="AI18" s="55" t="n">
        <f aca="false">SUM(AI7:AI17)</f>
        <v>5262.47222222222</v>
      </c>
      <c r="AJ18" s="55" t="n">
        <f aca="false">SUM(AJ7:AJ17)</f>
        <v>5262.47222222222</v>
      </c>
      <c r="AK18" s="55" t="n">
        <f aca="false">SUM(AK7:AK17)</f>
        <v>5067.47222222222</v>
      </c>
      <c r="AL18" s="55" t="n">
        <f aca="false">SUM(AL7:AL17)</f>
        <v>5067.47222222222</v>
      </c>
      <c r="AN18" s="52" t="n">
        <f aca="false">SUM(C18:N18)</f>
        <v>51383.5277777778</v>
      </c>
      <c r="AO18" s="52" t="n">
        <f aca="false">SUM(O18:Z18)</f>
        <v>60061.0416666667</v>
      </c>
      <c r="AP18" s="52" t="n">
        <f aca="false">SUM(AA18:AL18)</f>
        <v>62543.875</v>
      </c>
    </row>
    <row r="20" customFormat="false" ht="16.5" hidden="false" customHeight="true" outlineLevel="0" collapsed="false">
      <c r="A20" s="21" t="s">
        <v>602</v>
      </c>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row>
    <row r="21" customFormat="false" ht="15.75" hidden="false" customHeight="true" outlineLevel="0" collapsed="false">
      <c r="A21" s="36" t="s">
        <v>345</v>
      </c>
      <c r="B21" s="36" t="s">
        <v>346</v>
      </c>
      <c r="C21" s="47" t="s">
        <v>347</v>
      </c>
      <c r="D21" s="47" t="s">
        <v>348</v>
      </c>
      <c r="E21" s="47" t="s">
        <v>349</v>
      </c>
      <c r="F21" s="47" t="s">
        <v>350</v>
      </c>
      <c r="G21" s="47" t="s">
        <v>351</v>
      </c>
      <c r="H21" s="47" t="s">
        <v>352</v>
      </c>
      <c r="I21" s="47" t="s">
        <v>353</v>
      </c>
      <c r="J21" s="47" t="s">
        <v>354</v>
      </c>
      <c r="K21" s="47" t="s">
        <v>355</v>
      </c>
      <c r="L21" s="47" t="s">
        <v>356</v>
      </c>
      <c r="M21" s="47" t="s">
        <v>357</v>
      </c>
      <c r="N21" s="47" t="s">
        <v>358</v>
      </c>
      <c r="O21" s="48" t="s">
        <v>359</v>
      </c>
      <c r="P21" s="48" t="s">
        <v>360</v>
      </c>
      <c r="Q21" s="48" t="s">
        <v>361</v>
      </c>
      <c r="R21" s="48" t="s">
        <v>362</v>
      </c>
      <c r="S21" s="48" t="s">
        <v>363</v>
      </c>
      <c r="T21" s="48" t="s">
        <v>364</v>
      </c>
      <c r="U21" s="48" t="s">
        <v>365</v>
      </c>
      <c r="V21" s="48" t="s">
        <v>366</v>
      </c>
      <c r="W21" s="48" t="s">
        <v>367</v>
      </c>
      <c r="X21" s="48" t="s">
        <v>368</v>
      </c>
      <c r="Y21" s="48" t="s">
        <v>369</v>
      </c>
      <c r="Z21" s="48" t="s">
        <v>370</v>
      </c>
      <c r="AA21" s="47" t="s">
        <v>371</v>
      </c>
      <c r="AB21" s="47" t="s">
        <v>372</v>
      </c>
      <c r="AC21" s="47" t="s">
        <v>373</v>
      </c>
      <c r="AD21" s="47" t="s">
        <v>374</v>
      </c>
      <c r="AE21" s="47" t="s">
        <v>375</v>
      </c>
      <c r="AF21" s="47" t="s">
        <v>376</v>
      </c>
      <c r="AG21" s="47" t="s">
        <v>377</v>
      </c>
      <c r="AH21" s="47" t="s">
        <v>378</v>
      </c>
      <c r="AI21" s="47" t="s">
        <v>379</v>
      </c>
      <c r="AJ21" s="47" t="s">
        <v>380</v>
      </c>
      <c r="AK21" s="47" t="s">
        <v>381</v>
      </c>
      <c r="AL21" s="47" t="s">
        <v>382</v>
      </c>
      <c r="AM21" s="49"/>
      <c r="AN21" s="50" t="s">
        <v>383</v>
      </c>
      <c r="AO21" s="50" t="s">
        <v>384</v>
      </c>
      <c r="AP21" s="50" t="s">
        <v>385</v>
      </c>
    </row>
    <row r="22" customFormat="false" ht="15" hidden="false" customHeight="false" outlineLevel="0" collapsed="false">
      <c r="A22" s="26" t="s">
        <v>291</v>
      </c>
      <c r="B22" s="24"/>
      <c r="C22" s="51" t="n">
        <f aca="false">C7</f>
        <v>0</v>
      </c>
      <c r="D22" s="51" t="n">
        <f aca="false">C22+D7</f>
        <v>233.333333333333</v>
      </c>
      <c r="E22" s="51" t="n">
        <f aca="false">D22+E7</f>
        <v>466.666666666667</v>
      </c>
      <c r="F22" s="51" t="n">
        <f aca="false">E22+F7</f>
        <v>700</v>
      </c>
      <c r="G22" s="51" t="n">
        <f aca="false">F22+G7</f>
        <v>933.333333333333</v>
      </c>
      <c r="H22" s="51" t="n">
        <f aca="false">G22+H7</f>
        <v>1166.66666666667</v>
      </c>
      <c r="I22" s="51" t="n">
        <f aca="false">H22+I7</f>
        <v>1400</v>
      </c>
      <c r="J22" s="51" t="n">
        <f aca="false">I22+J7</f>
        <v>1633.33333333333</v>
      </c>
      <c r="K22" s="51" t="n">
        <f aca="false">J22+K7</f>
        <v>1866.66666666667</v>
      </c>
      <c r="L22" s="51" t="n">
        <f aca="false">K22+L7</f>
        <v>2100</v>
      </c>
      <c r="M22" s="51" t="n">
        <f aca="false">L22+M7</f>
        <v>2333.33333333333</v>
      </c>
      <c r="N22" s="51" t="n">
        <f aca="false">M22+N7</f>
        <v>2566.66666666667</v>
      </c>
      <c r="O22" s="51" t="n">
        <f aca="false">N22+O7</f>
        <v>2800</v>
      </c>
      <c r="P22" s="51" t="n">
        <f aca="false">O22+P7</f>
        <v>3150</v>
      </c>
      <c r="Q22" s="51" t="n">
        <f aca="false">P22+Q7</f>
        <v>3500</v>
      </c>
      <c r="R22" s="51" t="n">
        <f aca="false">Q22+R7</f>
        <v>3850</v>
      </c>
      <c r="S22" s="51" t="n">
        <f aca="false">R22+S7</f>
        <v>4200</v>
      </c>
      <c r="T22" s="51" t="n">
        <f aca="false">S22+T7</f>
        <v>4550</v>
      </c>
      <c r="U22" s="51" t="n">
        <f aca="false">T22+U7</f>
        <v>4900</v>
      </c>
      <c r="V22" s="51" t="n">
        <f aca="false">U22+V7</f>
        <v>5250</v>
      </c>
      <c r="W22" s="51" t="n">
        <f aca="false">V22+W7</f>
        <v>5600</v>
      </c>
      <c r="X22" s="51" t="n">
        <f aca="false">W22+X7</f>
        <v>5950</v>
      </c>
      <c r="Y22" s="51" t="n">
        <f aca="false">X22+Y7</f>
        <v>6300</v>
      </c>
      <c r="Z22" s="51" t="n">
        <f aca="false">Y22+Z7</f>
        <v>6650</v>
      </c>
      <c r="AA22" s="51" t="n">
        <f aca="false">Z22+AA7</f>
        <v>7000</v>
      </c>
      <c r="AB22" s="51" t="n">
        <f aca="false">AA22+AB7</f>
        <v>7466.66666666667</v>
      </c>
      <c r="AC22" s="51" t="n">
        <f aca="false">AB22+AC7</f>
        <v>7933.33333333333</v>
      </c>
      <c r="AD22" s="51" t="n">
        <f aca="false">AC22+AD7</f>
        <v>8400</v>
      </c>
      <c r="AE22" s="51" t="n">
        <f aca="false">AD22+AE7</f>
        <v>8866.66666666667</v>
      </c>
      <c r="AF22" s="51" t="n">
        <f aca="false">AE22+AF7</f>
        <v>9333.33333333333</v>
      </c>
      <c r="AG22" s="51" t="n">
        <f aca="false">AF22+AG7</f>
        <v>9800</v>
      </c>
      <c r="AH22" s="51" t="n">
        <f aca="false">AG22+AH7</f>
        <v>10266.6666666667</v>
      </c>
      <c r="AI22" s="51" t="n">
        <f aca="false">AH22+AI7</f>
        <v>10733.3333333333</v>
      </c>
      <c r="AJ22" s="51" t="n">
        <f aca="false">AI22+AJ7</f>
        <v>11200</v>
      </c>
      <c r="AK22" s="51" t="n">
        <f aca="false">AJ22+AK7</f>
        <v>11666.6666666667</v>
      </c>
      <c r="AL22" s="51" t="n">
        <f aca="false">AK22+AL7</f>
        <v>12133.3333333333</v>
      </c>
      <c r="AN22" s="52" t="n">
        <f aca="false">N22</f>
        <v>2566.66666666667</v>
      </c>
      <c r="AO22" s="52" t="n">
        <f aca="false">Z22</f>
        <v>6650</v>
      </c>
      <c r="AP22" s="52" t="n">
        <f aca="false">AL22</f>
        <v>12133.3333333333</v>
      </c>
    </row>
    <row r="23" customFormat="false" ht="15" hidden="false" customHeight="false" outlineLevel="0" collapsed="false">
      <c r="A23" s="26" t="s">
        <v>292</v>
      </c>
      <c r="B23" s="24"/>
      <c r="C23" s="51" t="n">
        <f aca="false">C8</f>
        <v>0</v>
      </c>
      <c r="D23" s="51" t="n">
        <f aca="false">C23+D8</f>
        <v>62</v>
      </c>
      <c r="E23" s="51" t="n">
        <f aca="false">D23+E8</f>
        <v>124</v>
      </c>
      <c r="F23" s="51" t="n">
        <f aca="false">E23+F8</f>
        <v>186</v>
      </c>
      <c r="G23" s="51" t="n">
        <f aca="false">F23+G8</f>
        <v>248</v>
      </c>
      <c r="H23" s="51" t="n">
        <f aca="false">G23+H8</f>
        <v>310</v>
      </c>
      <c r="I23" s="51" t="n">
        <f aca="false">H23+I8</f>
        <v>372</v>
      </c>
      <c r="J23" s="51" t="n">
        <f aca="false">I23+J8</f>
        <v>434</v>
      </c>
      <c r="K23" s="51" t="n">
        <f aca="false">J23+K8</f>
        <v>496</v>
      </c>
      <c r="L23" s="51" t="n">
        <f aca="false">K23+L8</f>
        <v>558</v>
      </c>
      <c r="M23" s="51" t="n">
        <f aca="false">L23+M8</f>
        <v>620</v>
      </c>
      <c r="N23" s="51" t="n">
        <f aca="false">M23+N8</f>
        <v>682</v>
      </c>
      <c r="O23" s="51" t="n">
        <f aca="false">N23+O8</f>
        <v>744</v>
      </c>
      <c r="P23" s="51" t="n">
        <f aca="false">O23+P8</f>
        <v>837</v>
      </c>
      <c r="Q23" s="51" t="n">
        <f aca="false">P23+Q8</f>
        <v>930</v>
      </c>
      <c r="R23" s="51" t="n">
        <f aca="false">Q23+R8</f>
        <v>1023</v>
      </c>
      <c r="S23" s="51" t="n">
        <f aca="false">R23+S8</f>
        <v>1116</v>
      </c>
      <c r="T23" s="51" t="n">
        <f aca="false">S23+T8</f>
        <v>1209</v>
      </c>
      <c r="U23" s="51" t="n">
        <f aca="false">T23+U8</f>
        <v>1302</v>
      </c>
      <c r="V23" s="51" t="n">
        <f aca="false">U23+V8</f>
        <v>1395</v>
      </c>
      <c r="W23" s="51" t="n">
        <f aca="false">V23+W8</f>
        <v>1488</v>
      </c>
      <c r="X23" s="51" t="n">
        <f aca="false">W23+X8</f>
        <v>1581</v>
      </c>
      <c r="Y23" s="51" t="n">
        <f aca="false">X23+Y8</f>
        <v>1674</v>
      </c>
      <c r="Z23" s="51" t="n">
        <f aca="false">Y23+Z8</f>
        <v>1767</v>
      </c>
      <c r="AA23" s="51" t="n">
        <f aca="false">Z23+AA8</f>
        <v>1860</v>
      </c>
      <c r="AB23" s="51" t="n">
        <f aca="false">AA23+AB8</f>
        <v>1984</v>
      </c>
      <c r="AC23" s="51" t="n">
        <f aca="false">AB23+AC8</f>
        <v>2108</v>
      </c>
      <c r="AD23" s="51" t="n">
        <f aca="false">AC23+AD8</f>
        <v>2232</v>
      </c>
      <c r="AE23" s="51" t="n">
        <f aca="false">AD23+AE8</f>
        <v>2356</v>
      </c>
      <c r="AF23" s="51" t="n">
        <f aca="false">AE23+AF8</f>
        <v>2480</v>
      </c>
      <c r="AG23" s="51" t="n">
        <f aca="false">AF23+AG8</f>
        <v>2604</v>
      </c>
      <c r="AH23" s="51" t="n">
        <f aca="false">AG23+AH8</f>
        <v>2728</v>
      </c>
      <c r="AI23" s="51" t="n">
        <f aca="false">AH23+AI8</f>
        <v>2852</v>
      </c>
      <c r="AJ23" s="51" t="n">
        <f aca="false">AI23+AJ8</f>
        <v>2976</v>
      </c>
      <c r="AK23" s="51" t="n">
        <f aca="false">AJ23+AK8</f>
        <v>3100</v>
      </c>
      <c r="AL23" s="51" t="n">
        <f aca="false">AK23+AL8</f>
        <v>3224</v>
      </c>
      <c r="AN23" s="52" t="n">
        <f aca="false">N23</f>
        <v>682</v>
      </c>
      <c r="AO23" s="52" t="n">
        <f aca="false">Z23</f>
        <v>1767</v>
      </c>
      <c r="AP23" s="52" t="n">
        <f aca="false">AL23</f>
        <v>3224</v>
      </c>
    </row>
    <row r="24" customFormat="false" ht="15" hidden="false" customHeight="false" outlineLevel="0" collapsed="false">
      <c r="A24" s="26" t="s">
        <v>293</v>
      </c>
      <c r="B24" s="24"/>
      <c r="C24" s="51" t="n">
        <f aca="false">C9</f>
        <v>0</v>
      </c>
      <c r="D24" s="51" t="n">
        <f aca="false">C24+D9</f>
        <v>38.75</v>
      </c>
      <c r="E24" s="51" t="n">
        <f aca="false">D24+E9</f>
        <v>77.5</v>
      </c>
      <c r="F24" s="51" t="n">
        <f aca="false">E24+F9</f>
        <v>116.25</v>
      </c>
      <c r="G24" s="51" t="n">
        <f aca="false">F24+G9</f>
        <v>155</v>
      </c>
      <c r="H24" s="51" t="n">
        <f aca="false">G24+H9</f>
        <v>193.75</v>
      </c>
      <c r="I24" s="51" t="n">
        <f aca="false">H24+I9</f>
        <v>232.5</v>
      </c>
      <c r="J24" s="51" t="n">
        <f aca="false">I24+J9</f>
        <v>271.25</v>
      </c>
      <c r="K24" s="51" t="n">
        <f aca="false">J24+K9</f>
        <v>310</v>
      </c>
      <c r="L24" s="51" t="n">
        <f aca="false">K24+L9</f>
        <v>348.75</v>
      </c>
      <c r="M24" s="51" t="n">
        <f aca="false">L24+M9</f>
        <v>387.5</v>
      </c>
      <c r="N24" s="51" t="n">
        <f aca="false">M24+N9</f>
        <v>426.25</v>
      </c>
      <c r="O24" s="51" t="n">
        <f aca="false">N24+O9</f>
        <v>465</v>
      </c>
      <c r="P24" s="51" t="n">
        <f aca="false">O24+P9</f>
        <v>523.125</v>
      </c>
      <c r="Q24" s="51" t="n">
        <f aca="false">P24+Q9</f>
        <v>581.25</v>
      </c>
      <c r="R24" s="51" t="n">
        <f aca="false">Q24+R9</f>
        <v>639.375</v>
      </c>
      <c r="S24" s="51" t="n">
        <f aca="false">R24+S9</f>
        <v>697.5</v>
      </c>
      <c r="T24" s="51" t="n">
        <f aca="false">S24+T9</f>
        <v>755.625</v>
      </c>
      <c r="U24" s="51" t="n">
        <f aca="false">T24+U9</f>
        <v>813.75</v>
      </c>
      <c r="V24" s="51" t="n">
        <f aca="false">U24+V9</f>
        <v>871.875</v>
      </c>
      <c r="W24" s="51" t="n">
        <f aca="false">V24+W9</f>
        <v>930</v>
      </c>
      <c r="X24" s="51" t="n">
        <f aca="false">W24+X9</f>
        <v>988.125</v>
      </c>
      <c r="Y24" s="51" t="n">
        <f aca="false">X24+Y9</f>
        <v>1046.25</v>
      </c>
      <c r="Z24" s="51" t="n">
        <f aca="false">Y24+Z9</f>
        <v>1104.375</v>
      </c>
      <c r="AA24" s="51" t="n">
        <f aca="false">Z24+AA9</f>
        <v>1162.5</v>
      </c>
      <c r="AB24" s="51" t="n">
        <f aca="false">AA24+AB9</f>
        <v>1240</v>
      </c>
      <c r="AC24" s="51" t="n">
        <f aca="false">AB24+AC9</f>
        <v>1317.5</v>
      </c>
      <c r="AD24" s="51" t="n">
        <f aca="false">AC24+AD9</f>
        <v>1395</v>
      </c>
      <c r="AE24" s="51" t="n">
        <f aca="false">AD24+AE9</f>
        <v>1472.5</v>
      </c>
      <c r="AF24" s="51" t="n">
        <f aca="false">AE24+AF9</f>
        <v>1550</v>
      </c>
      <c r="AG24" s="51" t="n">
        <f aca="false">AF24+AG9</f>
        <v>1627.5</v>
      </c>
      <c r="AH24" s="51" t="n">
        <f aca="false">AG24+AH9</f>
        <v>1705</v>
      </c>
      <c r="AI24" s="51" t="n">
        <f aca="false">AH24+AI9</f>
        <v>1782.5</v>
      </c>
      <c r="AJ24" s="51" t="n">
        <f aca="false">AI24+AJ9</f>
        <v>1860</v>
      </c>
      <c r="AK24" s="51" t="n">
        <f aca="false">AJ24+AK9</f>
        <v>1937.5</v>
      </c>
      <c r="AL24" s="51" t="n">
        <f aca="false">AK24+AL9</f>
        <v>2015</v>
      </c>
      <c r="AN24" s="52" t="n">
        <f aca="false">N24</f>
        <v>426.25</v>
      </c>
      <c r="AO24" s="52" t="n">
        <f aca="false">Z24</f>
        <v>1104.375</v>
      </c>
      <c r="AP24" s="52" t="n">
        <f aca="false">AL24</f>
        <v>2015</v>
      </c>
    </row>
    <row r="25" customFormat="false" ht="15" hidden="false" customHeight="false" outlineLevel="0" collapsed="false">
      <c r="A25" s="26" t="s">
        <v>294</v>
      </c>
      <c r="B25" s="24"/>
      <c r="C25" s="51" t="n">
        <f aca="false">C10</f>
        <v>0</v>
      </c>
      <c r="D25" s="51" t="n">
        <f aca="false">C25+D10</f>
        <v>97.5</v>
      </c>
      <c r="E25" s="51" t="n">
        <f aca="false">D25+E10</f>
        <v>195</v>
      </c>
      <c r="F25" s="51" t="n">
        <f aca="false">E25+F10</f>
        <v>292.5</v>
      </c>
      <c r="G25" s="51" t="n">
        <f aca="false">F25+G10</f>
        <v>390</v>
      </c>
      <c r="H25" s="51" t="n">
        <f aca="false">G25+H10</f>
        <v>487.5</v>
      </c>
      <c r="I25" s="51" t="n">
        <f aca="false">H25+I10</f>
        <v>585</v>
      </c>
      <c r="J25" s="51" t="n">
        <f aca="false">I25+J10</f>
        <v>682.5</v>
      </c>
      <c r="K25" s="51" t="n">
        <f aca="false">J25+K10</f>
        <v>780</v>
      </c>
      <c r="L25" s="51" t="n">
        <f aca="false">K25+L10</f>
        <v>877.5</v>
      </c>
      <c r="M25" s="51" t="n">
        <f aca="false">L25+M10</f>
        <v>975</v>
      </c>
      <c r="N25" s="51" t="n">
        <f aca="false">M25+N10</f>
        <v>1072.5</v>
      </c>
      <c r="O25" s="51" t="n">
        <f aca="false">N25+O10</f>
        <v>1170</v>
      </c>
      <c r="P25" s="51" t="n">
        <f aca="false">O25+P10</f>
        <v>1316.25</v>
      </c>
      <c r="Q25" s="51" t="n">
        <f aca="false">P25+Q10</f>
        <v>1462.5</v>
      </c>
      <c r="R25" s="51" t="n">
        <f aca="false">Q25+R10</f>
        <v>1608.75</v>
      </c>
      <c r="S25" s="51" t="n">
        <f aca="false">R25+S10</f>
        <v>1755</v>
      </c>
      <c r="T25" s="51" t="n">
        <f aca="false">S25+T10</f>
        <v>1901.25</v>
      </c>
      <c r="U25" s="51" t="n">
        <f aca="false">T25+U10</f>
        <v>2047.5</v>
      </c>
      <c r="V25" s="51" t="n">
        <f aca="false">U25+V10</f>
        <v>2193.75</v>
      </c>
      <c r="W25" s="51" t="n">
        <f aca="false">V25+W10</f>
        <v>2340</v>
      </c>
      <c r="X25" s="51" t="n">
        <f aca="false">W25+X10</f>
        <v>2486.25</v>
      </c>
      <c r="Y25" s="51" t="n">
        <f aca="false">X25+Y10</f>
        <v>2632.5</v>
      </c>
      <c r="Z25" s="51" t="n">
        <f aca="false">Y25+Z10</f>
        <v>2778.75</v>
      </c>
      <c r="AA25" s="51" t="n">
        <f aca="false">Z25+AA10</f>
        <v>2925</v>
      </c>
      <c r="AB25" s="51" t="n">
        <f aca="false">AA25+AB10</f>
        <v>3120</v>
      </c>
      <c r="AC25" s="51" t="n">
        <f aca="false">AB25+AC10</f>
        <v>3315</v>
      </c>
      <c r="AD25" s="51" t="n">
        <f aca="false">AC25+AD10</f>
        <v>3510</v>
      </c>
      <c r="AE25" s="51" t="n">
        <f aca="false">AD25+AE10</f>
        <v>3705</v>
      </c>
      <c r="AF25" s="51" t="n">
        <f aca="false">AE25+AF10</f>
        <v>3900</v>
      </c>
      <c r="AG25" s="51" t="n">
        <f aca="false">AF25+AG10</f>
        <v>4095</v>
      </c>
      <c r="AH25" s="51" t="n">
        <f aca="false">AG25+AH10</f>
        <v>4290</v>
      </c>
      <c r="AI25" s="51" t="n">
        <f aca="false">AH25+AI10</f>
        <v>4485</v>
      </c>
      <c r="AJ25" s="51" t="n">
        <f aca="false">AI25+AJ10</f>
        <v>4680</v>
      </c>
      <c r="AK25" s="51" t="n">
        <f aca="false">AJ25+AK10</f>
        <v>4680</v>
      </c>
      <c r="AL25" s="51" t="n">
        <f aca="false">AK25+AL10</f>
        <v>4680</v>
      </c>
      <c r="AN25" s="52" t="n">
        <f aca="false">N25</f>
        <v>1072.5</v>
      </c>
      <c r="AO25" s="52" t="n">
        <f aca="false">Z25</f>
        <v>2778.75</v>
      </c>
      <c r="AP25" s="52" t="n">
        <f aca="false">AL25</f>
        <v>4680</v>
      </c>
    </row>
    <row r="26" customFormat="false" ht="15" hidden="false" customHeight="false" outlineLevel="0" collapsed="false">
      <c r="A26" s="26" t="s">
        <v>298</v>
      </c>
      <c r="B26" s="24"/>
      <c r="C26" s="51" t="n">
        <f aca="false">C11</f>
        <v>0</v>
      </c>
      <c r="D26" s="51" t="n">
        <f aca="false">C26+D11</f>
        <v>233.333333333333</v>
      </c>
      <c r="E26" s="51" t="n">
        <f aca="false">D26+E11</f>
        <v>466.666666666667</v>
      </c>
      <c r="F26" s="51" t="n">
        <f aca="false">E26+F11</f>
        <v>700</v>
      </c>
      <c r="G26" s="51" t="n">
        <f aca="false">F26+G11</f>
        <v>933.333333333333</v>
      </c>
      <c r="H26" s="51" t="n">
        <f aca="false">G26+H11</f>
        <v>1166.66666666667</v>
      </c>
      <c r="I26" s="51" t="n">
        <f aca="false">H26+I11</f>
        <v>1400</v>
      </c>
      <c r="J26" s="51" t="n">
        <f aca="false">I26+J11</f>
        <v>1633.33333333333</v>
      </c>
      <c r="K26" s="51" t="n">
        <f aca="false">J26+K11</f>
        <v>1866.66666666667</v>
      </c>
      <c r="L26" s="51" t="n">
        <f aca="false">K26+L11</f>
        <v>2100</v>
      </c>
      <c r="M26" s="51" t="n">
        <f aca="false">L26+M11</f>
        <v>2333.33333333333</v>
      </c>
      <c r="N26" s="51" t="n">
        <f aca="false">M26+N11</f>
        <v>2566.66666666667</v>
      </c>
      <c r="O26" s="51" t="n">
        <f aca="false">N26+O11</f>
        <v>2800</v>
      </c>
      <c r="P26" s="51" t="n">
        <f aca="false">O26+P11</f>
        <v>3033.33333333333</v>
      </c>
      <c r="Q26" s="51" t="n">
        <f aca="false">P26+Q11</f>
        <v>3266.66666666667</v>
      </c>
      <c r="R26" s="51" t="n">
        <f aca="false">Q26+R11</f>
        <v>3500</v>
      </c>
      <c r="S26" s="51" t="n">
        <f aca="false">R26+S11</f>
        <v>3733.33333333333</v>
      </c>
      <c r="T26" s="51" t="n">
        <f aca="false">S26+T11</f>
        <v>3966.66666666667</v>
      </c>
      <c r="U26" s="51" t="n">
        <f aca="false">T26+U11</f>
        <v>4200</v>
      </c>
      <c r="V26" s="51" t="n">
        <f aca="false">U26+V11</f>
        <v>4433.33333333333</v>
      </c>
      <c r="W26" s="51" t="n">
        <f aca="false">V26+W11</f>
        <v>4666.66666666667</v>
      </c>
      <c r="X26" s="51" t="n">
        <f aca="false">W26+X11</f>
        <v>4900</v>
      </c>
      <c r="Y26" s="51" t="n">
        <f aca="false">X26+Y11</f>
        <v>5133.33333333333</v>
      </c>
      <c r="Z26" s="51" t="n">
        <f aca="false">Y26+Z11</f>
        <v>5366.66666666667</v>
      </c>
      <c r="AA26" s="51" t="n">
        <f aca="false">Z26+AA11</f>
        <v>5600</v>
      </c>
      <c r="AB26" s="51" t="n">
        <f aca="false">AA26+AB11</f>
        <v>5833.33333333333</v>
      </c>
      <c r="AC26" s="51" t="n">
        <f aca="false">AB26+AC11</f>
        <v>6066.66666666667</v>
      </c>
      <c r="AD26" s="51" t="n">
        <f aca="false">AC26+AD11</f>
        <v>6300</v>
      </c>
      <c r="AE26" s="51" t="n">
        <f aca="false">AD26+AE11</f>
        <v>6533.33333333333</v>
      </c>
      <c r="AF26" s="51" t="n">
        <f aca="false">AE26+AF11</f>
        <v>6766.66666666666</v>
      </c>
      <c r="AG26" s="51" t="n">
        <f aca="false">AF26+AG11</f>
        <v>7000</v>
      </c>
      <c r="AH26" s="51" t="n">
        <f aca="false">AG26+AH11</f>
        <v>7233.33333333333</v>
      </c>
      <c r="AI26" s="51" t="n">
        <f aca="false">AH26+AI11</f>
        <v>7466.66666666666</v>
      </c>
      <c r="AJ26" s="51" t="n">
        <f aca="false">AI26+AJ11</f>
        <v>7700</v>
      </c>
      <c r="AK26" s="51" t="n">
        <f aca="false">AJ26+AK11</f>
        <v>7933.33333333333</v>
      </c>
      <c r="AL26" s="51" t="n">
        <f aca="false">AK26+AL11</f>
        <v>8166.66666666666</v>
      </c>
      <c r="AN26" s="52" t="n">
        <f aca="false">N26</f>
        <v>2566.66666666667</v>
      </c>
      <c r="AO26" s="52" t="n">
        <f aca="false">Z26</f>
        <v>5366.66666666667</v>
      </c>
      <c r="AP26" s="52" t="n">
        <f aca="false">AL26</f>
        <v>8166.66666666666</v>
      </c>
    </row>
    <row r="27" customFormat="false" ht="15" hidden="false" customHeight="false" outlineLevel="0" collapsed="false">
      <c r="A27" s="26" t="s">
        <v>299</v>
      </c>
      <c r="B27" s="24"/>
      <c r="C27" s="51" t="n">
        <f aca="false">C12</f>
        <v>0</v>
      </c>
      <c r="D27" s="51" t="n">
        <f aca="false">C27+D12</f>
        <v>0</v>
      </c>
      <c r="E27" s="51" t="n">
        <f aca="false">D27+E12</f>
        <v>197.916666666667</v>
      </c>
      <c r="F27" s="51" t="n">
        <f aca="false">E27+F12</f>
        <v>395.833333333333</v>
      </c>
      <c r="G27" s="51" t="n">
        <f aca="false">F27+G12</f>
        <v>593.75</v>
      </c>
      <c r="H27" s="51" t="n">
        <f aca="false">G27+H12</f>
        <v>791.666666666667</v>
      </c>
      <c r="I27" s="51" t="n">
        <f aca="false">H27+I12</f>
        <v>989.583333333333</v>
      </c>
      <c r="J27" s="51" t="n">
        <f aca="false">I27+J12</f>
        <v>1187.5</v>
      </c>
      <c r="K27" s="51" t="n">
        <f aca="false">J27+K12</f>
        <v>1385.41666666667</v>
      </c>
      <c r="L27" s="51" t="n">
        <f aca="false">K27+L12</f>
        <v>1583.33333333333</v>
      </c>
      <c r="M27" s="51" t="n">
        <f aca="false">L27+M12</f>
        <v>1781.25</v>
      </c>
      <c r="N27" s="51" t="n">
        <f aca="false">M27+N12</f>
        <v>1979.16666666667</v>
      </c>
      <c r="O27" s="51" t="n">
        <f aca="false">N27+O12</f>
        <v>2177.08333333333</v>
      </c>
      <c r="P27" s="51" t="n">
        <f aca="false">O27+P12</f>
        <v>2375</v>
      </c>
      <c r="Q27" s="51" t="n">
        <f aca="false">P27+Q12</f>
        <v>2572.91666666667</v>
      </c>
      <c r="R27" s="51" t="n">
        <f aca="false">Q27+R12</f>
        <v>2770.83333333333</v>
      </c>
      <c r="S27" s="51" t="n">
        <f aca="false">R27+S12</f>
        <v>2968.75</v>
      </c>
      <c r="T27" s="51" t="n">
        <f aca="false">S27+T12</f>
        <v>3166.66666666667</v>
      </c>
      <c r="U27" s="51" t="n">
        <f aca="false">T27+U12</f>
        <v>3364.58333333333</v>
      </c>
      <c r="V27" s="51" t="n">
        <f aca="false">U27+V12</f>
        <v>3562.5</v>
      </c>
      <c r="W27" s="51" t="n">
        <f aca="false">V27+W12</f>
        <v>3760.41666666667</v>
      </c>
      <c r="X27" s="51" t="n">
        <f aca="false">W27+X12</f>
        <v>3958.33333333333</v>
      </c>
      <c r="Y27" s="51" t="n">
        <f aca="false">X27+Y12</f>
        <v>4156.25</v>
      </c>
      <c r="Z27" s="51" t="n">
        <f aca="false">Y27+Z12</f>
        <v>4354.16666666667</v>
      </c>
      <c r="AA27" s="51" t="n">
        <f aca="false">Z27+AA12</f>
        <v>4552.08333333333</v>
      </c>
      <c r="AB27" s="51" t="n">
        <f aca="false">AA27+AB12</f>
        <v>4750</v>
      </c>
      <c r="AC27" s="51" t="n">
        <f aca="false">AB27+AC12</f>
        <v>4947.91666666667</v>
      </c>
      <c r="AD27" s="51" t="n">
        <f aca="false">AC27+AD12</f>
        <v>5145.83333333333</v>
      </c>
      <c r="AE27" s="51" t="n">
        <f aca="false">AD27+AE12</f>
        <v>5343.75</v>
      </c>
      <c r="AF27" s="51" t="n">
        <f aca="false">AE27+AF12</f>
        <v>5541.66666666667</v>
      </c>
      <c r="AG27" s="51" t="n">
        <f aca="false">AF27+AG12</f>
        <v>5739.58333333334</v>
      </c>
      <c r="AH27" s="51" t="n">
        <f aca="false">AG27+AH12</f>
        <v>5937.5</v>
      </c>
      <c r="AI27" s="51" t="n">
        <f aca="false">AH27+AI12</f>
        <v>6135.41666666667</v>
      </c>
      <c r="AJ27" s="51" t="n">
        <f aca="false">AI27+AJ12</f>
        <v>6333.33333333334</v>
      </c>
      <c r="AK27" s="51" t="n">
        <f aca="false">AJ27+AK12</f>
        <v>6531.25</v>
      </c>
      <c r="AL27" s="51" t="n">
        <f aca="false">AK27+AL12</f>
        <v>6729.16666666667</v>
      </c>
      <c r="AN27" s="52" t="n">
        <f aca="false">N27</f>
        <v>1979.16666666667</v>
      </c>
      <c r="AO27" s="52" t="n">
        <f aca="false">Z27</f>
        <v>4354.16666666667</v>
      </c>
      <c r="AP27" s="52" t="n">
        <f aca="false">AL27</f>
        <v>6729.16666666667</v>
      </c>
    </row>
    <row r="28" customFormat="false" ht="15" hidden="false" customHeight="false" outlineLevel="0" collapsed="false">
      <c r="A28" s="26" t="s">
        <v>300</v>
      </c>
      <c r="B28" s="24"/>
      <c r="C28" s="51" t="n">
        <f aca="false">C13</f>
        <v>0</v>
      </c>
      <c r="D28" s="51" t="n">
        <f aca="false">C28+D13</f>
        <v>0</v>
      </c>
      <c r="E28" s="51" t="n">
        <f aca="false">D28+E13</f>
        <v>0</v>
      </c>
      <c r="F28" s="51" t="n">
        <f aca="false">E28+F13</f>
        <v>0</v>
      </c>
      <c r="G28" s="51" t="n">
        <f aca="false">F28+G13</f>
        <v>0</v>
      </c>
      <c r="H28" s="51" t="n">
        <f aca="false">G28+H13</f>
        <v>0</v>
      </c>
      <c r="I28" s="51" t="n">
        <f aca="false">H28+I13</f>
        <v>0</v>
      </c>
      <c r="J28" s="51" t="n">
        <f aca="false">I28+J13</f>
        <v>0</v>
      </c>
      <c r="K28" s="51" t="n">
        <f aca="false">J28+K13</f>
        <v>0</v>
      </c>
      <c r="L28" s="51" t="n">
        <f aca="false">K28+L13</f>
        <v>0</v>
      </c>
      <c r="M28" s="51" t="n">
        <f aca="false">L28+M13</f>
        <v>0</v>
      </c>
      <c r="N28" s="51" t="n">
        <f aca="false">M28+N13</f>
        <v>0</v>
      </c>
      <c r="O28" s="51" t="n">
        <f aca="false">N28+O13</f>
        <v>0</v>
      </c>
      <c r="P28" s="51" t="n">
        <f aca="false">O28+P13</f>
        <v>0</v>
      </c>
      <c r="Q28" s="51" t="n">
        <f aca="false">P28+Q13</f>
        <v>141.666666666667</v>
      </c>
      <c r="R28" s="51" t="n">
        <f aca="false">Q28+R13</f>
        <v>283.333333333333</v>
      </c>
      <c r="S28" s="51" t="n">
        <f aca="false">R28+S13</f>
        <v>425</v>
      </c>
      <c r="T28" s="51" t="n">
        <f aca="false">S28+T13</f>
        <v>566.666666666667</v>
      </c>
      <c r="U28" s="51" t="n">
        <f aca="false">T28+U13</f>
        <v>708.333333333333</v>
      </c>
      <c r="V28" s="51" t="n">
        <f aca="false">U28+V13</f>
        <v>850</v>
      </c>
      <c r="W28" s="51" t="n">
        <f aca="false">V28+W13</f>
        <v>991.666666666667</v>
      </c>
      <c r="X28" s="51" t="n">
        <f aca="false">W28+X13</f>
        <v>1133.33333333333</v>
      </c>
      <c r="Y28" s="51" t="n">
        <f aca="false">X28+Y13</f>
        <v>1275</v>
      </c>
      <c r="Z28" s="51" t="n">
        <f aca="false">Y28+Z13</f>
        <v>1416.66666666667</v>
      </c>
      <c r="AA28" s="51" t="n">
        <f aca="false">Z28+AA13</f>
        <v>1558.33333333333</v>
      </c>
      <c r="AB28" s="51" t="n">
        <f aca="false">AA28+AB13</f>
        <v>1700</v>
      </c>
      <c r="AC28" s="51" t="n">
        <f aca="false">AB28+AC13</f>
        <v>1841.66666666667</v>
      </c>
      <c r="AD28" s="51" t="n">
        <f aca="false">AC28+AD13</f>
        <v>1983.33333333333</v>
      </c>
      <c r="AE28" s="51" t="n">
        <f aca="false">AD28+AE13</f>
        <v>2125</v>
      </c>
      <c r="AF28" s="51" t="n">
        <f aca="false">AE28+AF13</f>
        <v>2266.66666666667</v>
      </c>
      <c r="AG28" s="51" t="n">
        <f aca="false">AF28+AG13</f>
        <v>2408.33333333333</v>
      </c>
      <c r="AH28" s="51" t="n">
        <f aca="false">AG28+AH13</f>
        <v>2550</v>
      </c>
      <c r="AI28" s="51" t="n">
        <f aca="false">AH28+AI13</f>
        <v>2691.66666666667</v>
      </c>
      <c r="AJ28" s="51" t="n">
        <f aca="false">AI28+AJ13</f>
        <v>2833.33333333333</v>
      </c>
      <c r="AK28" s="51" t="n">
        <f aca="false">AJ28+AK13</f>
        <v>2975</v>
      </c>
      <c r="AL28" s="51" t="n">
        <f aca="false">AK28+AL13</f>
        <v>3116.66666666667</v>
      </c>
      <c r="AN28" s="52" t="n">
        <f aca="false">N28</f>
        <v>0</v>
      </c>
      <c r="AO28" s="52" t="n">
        <f aca="false">Z28</f>
        <v>1416.66666666667</v>
      </c>
      <c r="AP28" s="52" t="n">
        <f aca="false">AL28</f>
        <v>3116.66666666667</v>
      </c>
    </row>
    <row r="29" customFormat="false" ht="15" hidden="false" customHeight="false" outlineLevel="0" collapsed="false">
      <c r="A29" s="26" t="s">
        <v>301</v>
      </c>
      <c r="B29" s="24"/>
      <c r="C29" s="51" t="n">
        <f aca="false">C14</f>
        <v>0</v>
      </c>
      <c r="D29" s="51" t="n">
        <f aca="false">C29+D14</f>
        <v>87.5</v>
      </c>
      <c r="E29" s="51" t="n">
        <f aca="false">D29+E14</f>
        <v>175</v>
      </c>
      <c r="F29" s="51" t="n">
        <f aca="false">E29+F14</f>
        <v>262.5</v>
      </c>
      <c r="G29" s="51" t="n">
        <f aca="false">F29+G14</f>
        <v>350</v>
      </c>
      <c r="H29" s="51" t="n">
        <f aca="false">G29+H14</f>
        <v>437.5</v>
      </c>
      <c r="I29" s="51" t="n">
        <f aca="false">H29+I14</f>
        <v>525</v>
      </c>
      <c r="J29" s="51" t="n">
        <f aca="false">I29+J14</f>
        <v>612.5</v>
      </c>
      <c r="K29" s="51" t="n">
        <f aca="false">J29+K14</f>
        <v>700</v>
      </c>
      <c r="L29" s="51" t="n">
        <f aca="false">K29+L14</f>
        <v>787.5</v>
      </c>
      <c r="M29" s="51" t="n">
        <f aca="false">L29+M14</f>
        <v>875</v>
      </c>
      <c r="N29" s="51" t="n">
        <f aca="false">M29+N14</f>
        <v>962.5</v>
      </c>
      <c r="O29" s="51" t="n">
        <f aca="false">N29+O14</f>
        <v>1050</v>
      </c>
      <c r="P29" s="51" t="n">
        <f aca="false">O29+P14</f>
        <v>1137.5</v>
      </c>
      <c r="Q29" s="51" t="n">
        <f aca="false">P29+Q14</f>
        <v>1225</v>
      </c>
      <c r="R29" s="51" t="n">
        <f aca="false">Q29+R14</f>
        <v>1312.5</v>
      </c>
      <c r="S29" s="51" t="n">
        <f aca="false">R29+S14</f>
        <v>1400</v>
      </c>
      <c r="T29" s="51" t="n">
        <f aca="false">S29+T14</f>
        <v>1487.5</v>
      </c>
      <c r="U29" s="51" t="n">
        <f aca="false">T29+U14</f>
        <v>1575</v>
      </c>
      <c r="V29" s="51" t="n">
        <f aca="false">U29+V14</f>
        <v>1662.5</v>
      </c>
      <c r="W29" s="51" t="n">
        <f aca="false">V29+W14</f>
        <v>1750</v>
      </c>
      <c r="X29" s="51" t="n">
        <f aca="false">W29+X14</f>
        <v>1837.5</v>
      </c>
      <c r="Y29" s="51" t="n">
        <f aca="false">X29+Y14</f>
        <v>1925</v>
      </c>
      <c r="Z29" s="51" t="n">
        <f aca="false">Y29+Z14</f>
        <v>2012.5</v>
      </c>
      <c r="AA29" s="51" t="n">
        <f aca="false">Z29+AA14</f>
        <v>2100</v>
      </c>
      <c r="AB29" s="51" t="n">
        <f aca="false">AA29+AB14</f>
        <v>2187.5</v>
      </c>
      <c r="AC29" s="51" t="n">
        <f aca="false">AB29+AC14</f>
        <v>2275</v>
      </c>
      <c r="AD29" s="51" t="n">
        <f aca="false">AC29+AD14</f>
        <v>2362.5</v>
      </c>
      <c r="AE29" s="51" t="n">
        <f aca="false">AD29+AE14</f>
        <v>2450</v>
      </c>
      <c r="AF29" s="51" t="n">
        <f aca="false">AE29+AF14</f>
        <v>2537.5</v>
      </c>
      <c r="AG29" s="51" t="n">
        <f aca="false">AF29+AG14</f>
        <v>2625</v>
      </c>
      <c r="AH29" s="51" t="n">
        <f aca="false">AG29+AH14</f>
        <v>2712.5</v>
      </c>
      <c r="AI29" s="51" t="n">
        <f aca="false">AH29+AI14</f>
        <v>2800</v>
      </c>
      <c r="AJ29" s="51" t="n">
        <f aca="false">AI29+AJ14</f>
        <v>2887.5</v>
      </c>
      <c r="AK29" s="51" t="n">
        <f aca="false">AJ29+AK14</f>
        <v>2975</v>
      </c>
      <c r="AL29" s="51" t="n">
        <f aca="false">AK29+AL14</f>
        <v>3062.5</v>
      </c>
      <c r="AN29" s="52" t="n">
        <f aca="false">N29</f>
        <v>962.5</v>
      </c>
      <c r="AO29" s="52" t="n">
        <f aca="false">Z29</f>
        <v>2012.5</v>
      </c>
      <c r="AP29" s="52" t="n">
        <f aca="false">AL29</f>
        <v>3062.5</v>
      </c>
    </row>
    <row r="30" customFormat="false" ht="15" hidden="false" customHeight="false" outlineLevel="0" collapsed="false">
      <c r="A30" s="26" t="s">
        <v>302</v>
      </c>
      <c r="B30" s="24"/>
      <c r="C30" s="51" t="n">
        <f aca="false">C15</f>
        <v>0</v>
      </c>
      <c r="D30" s="51" t="n">
        <f aca="false">C30+D15</f>
        <v>2388.88888888889</v>
      </c>
      <c r="E30" s="51" t="n">
        <f aca="false">D30+E15</f>
        <v>4777.77777777778</v>
      </c>
      <c r="F30" s="51" t="n">
        <f aca="false">E30+F15</f>
        <v>7166.66666666667</v>
      </c>
      <c r="G30" s="51" t="n">
        <f aca="false">F30+G15</f>
        <v>9555.55555555556</v>
      </c>
      <c r="H30" s="51" t="n">
        <f aca="false">G30+H15</f>
        <v>11944.4444444444</v>
      </c>
      <c r="I30" s="51" t="n">
        <f aca="false">H30+I15</f>
        <v>14333.3333333333</v>
      </c>
      <c r="J30" s="51" t="n">
        <f aca="false">I30+J15</f>
        <v>16722.2222222222</v>
      </c>
      <c r="K30" s="51" t="n">
        <f aca="false">J30+K15</f>
        <v>19111.1111111111</v>
      </c>
      <c r="L30" s="51" t="n">
        <f aca="false">K30+L15</f>
        <v>21500</v>
      </c>
      <c r="M30" s="51" t="n">
        <f aca="false">L30+M15</f>
        <v>23888.8888888889</v>
      </c>
      <c r="N30" s="51" t="n">
        <f aca="false">M30+N15</f>
        <v>26277.7777777778</v>
      </c>
      <c r="O30" s="51" t="n">
        <f aca="false">N30+O15</f>
        <v>28666.6666666667</v>
      </c>
      <c r="P30" s="51" t="n">
        <f aca="false">O30+P15</f>
        <v>31055.5555555556</v>
      </c>
      <c r="Q30" s="51" t="n">
        <f aca="false">P30+Q15</f>
        <v>33444.4444444445</v>
      </c>
      <c r="R30" s="51" t="n">
        <f aca="false">Q30+R15</f>
        <v>35833.3333333333</v>
      </c>
      <c r="S30" s="51" t="n">
        <f aca="false">R30+S15</f>
        <v>38222.2222222222</v>
      </c>
      <c r="T30" s="51" t="n">
        <f aca="false">S30+T15</f>
        <v>40611.1111111111</v>
      </c>
      <c r="U30" s="51" t="n">
        <f aca="false">T30+U15</f>
        <v>43000</v>
      </c>
      <c r="V30" s="51" t="n">
        <f aca="false">U30+V15</f>
        <v>45388.8888888889</v>
      </c>
      <c r="W30" s="51" t="n">
        <f aca="false">V30+W15</f>
        <v>47777.7777777778</v>
      </c>
      <c r="X30" s="51" t="n">
        <f aca="false">W30+X15</f>
        <v>50166.6666666667</v>
      </c>
      <c r="Y30" s="51" t="n">
        <f aca="false">X30+Y15</f>
        <v>52555.5555555556</v>
      </c>
      <c r="Z30" s="51" t="n">
        <f aca="false">Y30+Z15</f>
        <v>54944.4444444445</v>
      </c>
      <c r="AA30" s="51" t="n">
        <f aca="false">Z30+AA15</f>
        <v>57333.3333333334</v>
      </c>
      <c r="AB30" s="51" t="n">
        <f aca="false">AA30+AB15</f>
        <v>59722.2222222223</v>
      </c>
      <c r="AC30" s="51" t="n">
        <f aca="false">AB30+AC15</f>
        <v>62111.1111111111</v>
      </c>
      <c r="AD30" s="51" t="n">
        <f aca="false">AC30+AD15</f>
        <v>64500</v>
      </c>
      <c r="AE30" s="51" t="n">
        <f aca="false">AD30+AE15</f>
        <v>66888.8888888889</v>
      </c>
      <c r="AF30" s="51" t="n">
        <f aca="false">AE30+AF15</f>
        <v>69277.7777777778</v>
      </c>
      <c r="AG30" s="51" t="n">
        <f aca="false">AF30+AG15</f>
        <v>71666.6666666667</v>
      </c>
      <c r="AH30" s="51" t="n">
        <f aca="false">AG30+AH15</f>
        <v>74055.5555555556</v>
      </c>
      <c r="AI30" s="51" t="n">
        <f aca="false">AH30+AI15</f>
        <v>76444.4444444445</v>
      </c>
      <c r="AJ30" s="51" t="n">
        <f aca="false">AI30+AJ15</f>
        <v>78833.3333333334</v>
      </c>
      <c r="AK30" s="51" t="n">
        <f aca="false">AJ30+AK15</f>
        <v>81222.2222222223</v>
      </c>
      <c r="AL30" s="51" t="n">
        <f aca="false">AK30+AL15</f>
        <v>83611.1111111112</v>
      </c>
      <c r="AN30" s="52" t="n">
        <f aca="false">N30</f>
        <v>26277.7777777778</v>
      </c>
      <c r="AO30" s="52" t="n">
        <f aca="false">Z30</f>
        <v>54944.4444444445</v>
      </c>
      <c r="AP30" s="52" t="n">
        <f aca="false">AL30</f>
        <v>83611.1111111112</v>
      </c>
    </row>
    <row r="31" customFormat="false" ht="15" hidden="false" customHeight="false" outlineLevel="0" collapsed="false">
      <c r="A31" s="26" t="s">
        <v>303</v>
      </c>
      <c r="B31" s="24"/>
      <c r="C31" s="51" t="n">
        <f aca="false">C16</f>
        <v>0</v>
      </c>
      <c r="D31" s="51" t="n">
        <f aca="false">C31+D16</f>
        <v>1166.66666666667</v>
      </c>
      <c r="E31" s="51" t="n">
        <f aca="false">D31+E16</f>
        <v>2333.33333333333</v>
      </c>
      <c r="F31" s="51" t="n">
        <f aca="false">E31+F16</f>
        <v>3500</v>
      </c>
      <c r="G31" s="51" t="n">
        <f aca="false">F31+G16</f>
        <v>4666.66666666667</v>
      </c>
      <c r="H31" s="51" t="n">
        <f aca="false">G31+H16</f>
        <v>5833.33333333333</v>
      </c>
      <c r="I31" s="51" t="n">
        <f aca="false">H31+I16</f>
        <v>7000</v>
      </c>
      <c r="J31" s="51" t="n">
        <f aca="false">I31+J16</f>
        <v>8166.66666666667</v>
      </c>
      <c r="K31" s="51" t="n">
        <f aca="false">J31+K16</f>
        <v>9333.33333333333</v>
      </c>
      <c r="L31" s="51" t="n">
        <f aca="false">K31+L16</f>
        <v>10500</v>
      </c>
      <c r="M31" s="51" t="n">
        <f aca="false">L31+M16</f>
        <v>11666.6666666667</v>
      </c>
      <c r="N31" s="51" t="n">
        <f aca="false">M31+N16</f>
        <v>12833.3333333333</v>
      </c>
      <c r="O31" s="51" t="n">
        <f aca="false">N31+O16</f>
        <v>14000</v>
      </c>
      <c r="P31" s="51" t="n">
        <f aca="false">O31+P16</f>
        <v>15166.6666666667</v>
      </c>
      <c r="Q31" s="51" t="n">
        <f aca="false">P31+Q16</f>
        <v>16333.3333333333</v>
      </c>
      <c r="R31" s="51" t="n">
        <f aca="false">Q31+R16</f>
        <v>17500</v>
      </c>
      <c r="S31" s="51" t="n">
        <f aca="false">R31+S16</f>
        <v>18666.6666666667</v>
      </c>
      <c r="T31" s="51" t="n">
        <f aca="false">S31+T16</f>
        <v>19833.3333333333</v>
      </c>
      <c r="U31" s="51" t="n">
        <f aca="false">T31+U16</f>
        <v>21000</v>
      </c>
      <c r="V31" s="51" t="n">
        <f aca="false">U31+V16</f>
        <v>22166.6666666667</v>
      </c>
      <c r="W31" s="51" t="n">
        <f aca="false">V31+W16</f>
        <v>23333.3333333333</v>
      </c>
      <c r="X31" s="51" t="n">
        <f aca="false">W31+X16</f>
        <v>24500</v>
      </c>
      <c r="Y31" s="51" t="n">
        <f aca="false">X31+Y16</f>
        <v>25666.6666666667</v>
      </c>
      <c r="Z31" s="51" t="n">
        <f aca="false">Y31+Z16</f>
        <v>26833.3333333333</v>
      </c>
      <c r="AA31" s="51" t="n">
        <f aca="false">Z31+AA16</f>
        <v>28000</v>
      </c>
      <c r="AB31" s="51" t="n">
        <f aca="false">AA31+AB16</f>
        <v>29166.6666666667</v>
      </c>
      <c r="AC31" s="51" t="n">
        <f aca="false">AB31+AC16</f>
        <v>30333.3333333333</v>
      </c>
      <c r="AD31" s="51" t="n">
        <f aca="false">AC31+AD16</f>
        <v>31500</v>
      </c>
      <c r="AE31" s="51" t="n">
        <f aca="false">AD31+AE16</f>
        <v>32666.6666666667</v>
      </c>
      <c r="AF31" s="51" t="n">
        <f aca="false">AE31+AF16</f>
        <v>33833.3333333333</v>
      </c>
      <c r="AG31" s="51" t="n">
        <f aca="false">AF31+AG16</f>
        <v>35000</v>
      </c>
      <c r="AH31" s="51" t="n">
        <f aca="false">AG31+AH16</f>
        <v>36166.6666666667</v>
      </c>
      <c r="AI31" s="51" t="n">
        <f aca="false">AH31+AI16</f>
        <v>37333.3333333333</v>
      </c>
      <c r="AJ31" s="51" t="n">
        <f aca="false">AI31+AJ16</f>
        <v>38500</v>
      </c>
      <c r="AK31" s="51" t="n">
        <f aca="false">AJ31+AK16</f>
        <v>39666.6666666667</v>
      </c>
      <c r="AL31" s="51" t="n">
        <f aca="false">AK31+AL16</f>
        <v>40833.3333333333</v>
      </c>
      <c r="AN31" s="52" t="n">
        <f aca="false">N31</f>
        <v>12833.3333333333</v>
      </c>
      <c r="AO31" s="52" t="n">
        <f aca="false">Z31</f>
        <v>26833.3333333333</v>
      </c>
      <c r="AP31" s="52" t="n">
        <f aca="false">AL31</f>
        <v>40833.3333333333</v>
      </c>
    </row>
    <row r="32" customFormat="false" ht="15" hidden="false" customHeight="false" outlineLevel="0" collapsed="false">
      <c r="A32" s="26" t="s">
        <v>304</v>
      </c>
      <c r="B32" s="24"/>
      <c r="C32" s="51" t="n">
        <f aca="false">C17</f>
        <v>0</v>
      </c>
      <c r="D32" s="51" t="n">
        <f aca="false">C32+D17</f>
        <v>183.333333333333</v>
      </c>
      <c r="E32" s="51" t="n">
        <f aca="false">D32+E17</f>
        <v>366.666666666667</v>
      </c>
      <c r="F32" s="51" t="n">
        <f aca="false">E32+F17</f>
        <v>550</v>
      </c>
      <c r="G32" s="51" t="n">
        <f aca="false">F32+G17</f>
        <v>733.333333333333</v>
      </c>
      <c r="H32" s="51" t="n">
        <f aca="false">G32+H17</f>
        <v>916.666666666667</v>
      </c>
      <c r="I32" s="51" t="n">
        <f aca="false">H32+I17</f>
        <v>1100</v>
      </c>
      <c r="J32" s="51" t="n">
        <f aca="false">I32+J17</f>
        <v>1283.33333333333</v>
      </c>
      <c r="K32" s="51" t="n">
        <f aca="false">J32+K17</f>
        <v>1466.66666666667</v>
      </c>
      <c r="L32" s="51" t="n">
        <f aca="false">K32+L17</f>
        <v>1650</v>
      </c>
      <c r="M32" s="51" t="n">
        <f aca="false">L32+M17</f>
        <v>1833.33333333333</v>
      </c>
      <c r="N32" s="51" t="n">
        <f aca="false">M32+N17</f>
        <v>2016.66666666667</v>
      </c>
      <c r="O32" s="51" t="n">
        <f aca="false">N32+O17</f>
        <v>2200</v>
      </c>
      <c r="P32" s="51" t="n">
        <f aca="false">O32+P17</f>
        <v>2383.33333333333</v>
      </c>
      <c r="Q32" s="51" t="n">
        <f aca="false">P32+Q17</f>
        <v>2566.66666666667</v>
      </c>
      <c r="R32" s="51" t="n">
        <f aca="false">Q32+R17</f>
        <v>2750</v>
      </c>
      <c r="S32" s="51" t="n">
        <f aca="false">R32+S17</f>
        <v>2933.33333333333</v>
      </c>
      <c r="T32" s="51" t="n">
        <f aca="false">S32+T17</f>
        <v>3116.66666666667</v>
      </c>
      <c r="U32" s="51" t="n">
        <f aca="false">T32+U17</f>
        <v>3300</v>
      </c>
      <c r="V32" s="51" t="n">
        <f aca="false">U32+V17</f>
        <v>3483.33333333333</v>
      </c>
      <c r="W32" s="51" t="n">
        <f aca="false">V32+W17</f>
        <v>3666.66666666667</v>
      </c>
      <c r="X32" s="51" t="n">
        <f aca="false">W32+X17</f>
        <v>3850</v>
      </c>
      <c r="Y32" s="51" t="n">
        <f aca="false">X32+Y17</f>
        <v>4033.33333333333</v>
      </c>
      <c r="Z32" s="51" t="n">
        <f aca="false">Y32+Z17</f>
        <v>4216.66666666667</v>
      </c>
      <c r="AA32" s="51" t="n">
        <f aca="false">Z32+AA17</f>
        <v>4400</v>
      </c>
      <c r="AB32" s="51" t="n">
        <f aca="false">AA32+AB17</f>
        <v>4583.33333333333</v>
      </c>
      <c r="AC32" s="51" t="n">
        <f aca="false">AB32+AC17</f>
        <v>4766.66666666667</v>
      </c>
      <c r="AD32" s="51" t="n">
        <f aca="false">AC32+AD17</f>
        <v>4950</v>
      </c>
      <c r="AE32" s="51" t="n">
        <f aca="false">AD32+AE17</f>
        <v>5133.33333333333</v>
      </c>
      <c r="AF32" s="51" t="n">
        <f aca="false">AE32+AF17</f>
        <v>5316.66666666667</v>
      </c>
      <c r="AG32" s="51" t="n">
        <f aca="false">AF32+AG17</f>
        <v>5500</v>
      </c>
      <c r="AH32" s="51" t="n">
        <f aca="false">AG32+AH17</f>
        <v>5683.33333333333</v>
      </c>
      <c r="AI32" s="51" t="n">
        <f aca="false">AH32+AI17</f>
        <v>5866.66666666667</v>
      </c>
      <c r="AJ32" s="51" t="n">
        <f aca="false">AI32+AJ17</f>
        <v>6050</v>
      </c>
      <c r="AK32" s="51" t="n">
        <f aca="false">AJ32+AK17</f>
        <v>6233.33333333333</v>
      </c>
      <c r="AL32" s="51" t="n">
        <f aca="false">AK32+AL17</f>
        <v>6416.66666666666</v>
      </c>
      <c r="AN32" s="52" t="n">
        <f aca="false">N32</f>
        <v>2016.66666666667</v>
      </c>
      <c r="AO32" s="52" t="n">
        <f aca="false">Z32</f>
        <v>4216.66666666667</v>
      </c>
      <c r="AP32" s="52" t="n">
        <f aca="false">AL32</f>
        <v>6416.66666666666</v>
      </c>
    </row>
    <row r="33" customFormat="false" ht="15" hidden="false" customHeight="false" outlineLevel="0" collapsed="false">
      <c r="A33" s="53" t="s">
        <v>603</v>
      </c>
      <c r="B33" s="54"/>
      <c r="C33" s="55" t="n">
        <f aca="false">SUM(C22:C32)</f>
        <v>0</v>
      </c>
      <c r="D33" s="55" t="n">
        <f aca="false">SUM(D22:D32)</f>
        <v>4491.30555555556</v>
      </c>
      <c r="E33" s="55" t="n">
        <f aca="false">SUM(E22:E32)</f>
        <v>9180.52777777778</v>
      </c>
      <c r="F33" s="55" t="n">
        <f aca="false">SUM(F22:F32)</f>
        <v>13869.75</v>
      </c>
      <c r="G33" s="55" t="n">
        <f aca="false">SUM(G22:G32)</f>
        <v>18558.9722222222</v>
      </c>
      <c r="H33" s="55" t="n">
        <f aca="false">SUM(H22:H32)</f>
        <v>23248.1944444444</v>
      </c>
      <c r="I33" s="55" t="n">
        <f aca="false">SUM(I22:I32)</f>
        <v>27937.4166666667</v>
      </c>
      <c r="J33" s="55" t="n">
        <f aca="false">SUM(J22:J32)</f>
        <v>32626.6388888889</v>
      </c>
      <c r="K33" s="55" t="n">
        <f aca="false">SUM(K22:K32)</f>
        <v>37315.8611111111</v>
      </c>
      <c r="L33" s="55" t="n">
        <f aca="false">SUM(L22:L32)</f>
        <v>42005.0833333333</v>
      </c>
      <c r="M33" s="55" t="n">
        <f aca="false">SUM(M22:M32)</f>
        <v>46694.3055555556</v>
      </c>
      <c r="N33" s="55" t="n">
        <f aca="false">SUM(N22:N32)</f>
        <v>51383.5277777778</v>
      </c>
      <c r="O33" s="55" t="n">
        <f aca="false">SUM(O22:O32)</f>
        <v>56072.75</v>
      </c>
      <c r="P33" s="55" t="n">
        <f aca="false">SUM(P22:P32)</f>
        <v>60977.7638888889</v>
      </c>
      <c r="Q33" s="55" t="n">
        <f aca="false">SUM(Q22:Q32)</f>
        <v>66024.4444444445</v>
      </c>
      <c r="R33" s="55" t="n">
        <f aca="false">SUM(R22:R32)</f>
        <v>71071.125</v>
      </c>
      <c r="S33" s="55" t="n">
        <f aca="false">SUM(S22:S32)</f>
        <v>76117.8055555556</v>
      </c>
      <c r="T33" s="55" t="n">
        <f aca="false">SUM(T22:T32)</f>
        <v>81164.4861111111</v>
      </c>
      <c r="U33" s="55" t="n">
        <f aca="false">SUM(U22:U32)</f>
        <v>86211.1666666667</v>
      </c>
      <c r="V33" s="55" t="n">
        <f aca="false">SUM(V22:V32)</f>
        <v>91257.8472222222</v>
      </c>
      <c r="W33" s="55" t="n">
        <f aca="false">SUM(W22:W32)</f>
        <v>96304.5277777778</v>
      </c>
      <c r="X33" s="55" t="n">
        <f aca="false">SUM(X22:X32)</f>
        <v>101351.208333333</v>
      </c>
      <c r="Y33" s="55" t="n">
        <f aca="false">SUM(Y22:Y32)</f>
        <v>106397.888888889</v>
      </c>
      <c r="Z33" s="55" t="n">
        <f aca="false">SUM(Z22:Z32)</f>
        <v>111444.569444444</v>
      </c>
      <c r="AA33" s="55" t="n">
        <f aca="false">SUM(AA22:AA32)</f>
        <v>116491.25</v>
      </c>
      <c r="AB33" s="55" t="n">
        <f aca="false">SUM(AB22:AB32)</f>
        <v>121753.722222222</v>
      </c>
      <c r="AC33" s="55" t="n">
        <f aca="false">SUM(AC22:AC32)</f>
        <v>127016.194444444</v>
      </c>
      <c r="AD33" s="55" t="n">
        <f aca="false">SUM(AD22:AD32)</f>
        <v>132278.666666667</v>
      </c>
      <c r="AE33" s="55" t="n">
        <f aca="false">SUM(AE22:AE32)</f>
        <v>137541.138888889</v>
      </c>
      <c r="AF33" s="55" t="n">
        <f aca="false">SUM(AF22:AF32)</f>
        <v>142803.611111111</v>
      </c>
      <c r="AG33" s="55" t="n">
        <f aca="false">SUM(AG22:AG32)</f>
        <v>148066.083333333</v>
      </c>
      <c r="AH33" s="55" t="n">
        <f aca="false">SUM(AH22:AH32)</f>
        <v>153328.555555556</v>
      </c>
      <c r="AI33" s="55" t="n">
        <f aca="false">SUM(AI22:AI32)</f>
        <v>158591.027777778</v>
      </c>
      <c r="AJ33" s="55" t="n">
        <f aca="false">SUM(AJ22:AJ32)</f>
        <v>163853.5</v>
      </c>
      <c r="AK33" s="55" t="n">
        <f aca="false">SUM(AK22:AK32)</f>
        <v>168920.972222222</v>
      </c>
      <c r="AL33" s="55" t="n">
        <f aca="false">SUM(AL22:AL32)</f>
        <v>173988.444444444</v>
      </c>
      <c r="AN33" s="52" t="n">
        <f aca="false">N33</f>
        <v>51383.5277777778</v>
      </c>
      <c r="AO33" s="52" t="n">
        <f aca="false">Z33</f>
        <v>111444.569444444</v>
      </c>
      <c r="AP33" s="52" t="n">
        <f aca="false">AL33</f>
        <v>173988.444444444</v>
      </c>
    </row>
    <row r="35" customFormat="false" ht="16.5" hidden="false" customHeight="true" outlineLevel="0" collapsed="false">
      <c r="A35" s="21" t="s">
        <v>604</v>
      </c>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row>
    <row r="36" customFormat="false" ht="15.75" hidden="false" customHeight="true" outlineLevel="0" collapsed="false">
      <c r="A36" s="36" t="s">
        <v>345</v>
      </c>
      <c r="B36" s="36" t="s">
        <v>346</v>
      </c>
      <c r="C36" s="47" t="s">
        <v>347</v>
      </c>
      <c r="D36" s="47" t="s">
        <v>348</v>
      </c>
      <c r="E36" s="47" t="s">
        <v>349</v>
      </c>
      <c r="F36" s="47" t="s">
        <v>350</v>
      </c>
      <c r="G36" s="47" t="s">
        <v>351</v>
      </c>
      <c r="H36" s="47" t="s">
        <v>352</v>
      </c>
      <c r="I36" s="47" t="s">
        <v>353</v>
      </c>
      <c r="J36" s="47" t="s">
        <v>354</v>
      </c>
      <c r="K36" s="47" t="s">
        <v>355</v>
      </c>
      <c r="L36" s="47" t="s">
        <v>356</v>
      </c>
      <c r="M36" s="47" t="s">
        <v>357</v>
      </c>
      <c r="N36" s="47" t="s">
        <v>358</v>
      </c>
      <c r="O36" s="48" t="s">
        <v>359</v>
      </c>
      <c r="P36" s="48" t="s">
        <v>360</v>
      </c>
      <c r="Q36" s="48" t="s">
        <v>361</v>
      </c>
      <c r="R36" s="48" t="s">
        <v>362</v>
      </c>
      <c r="S36" s="48" t="s">
        <v>363</v>
      </c>
      <c r="T36" s="48" t="s">
        <v>364</v>
      </c>
      <c r="U36" s="48" t="s">
        <v>365</v>
      </c>
      <c r="V36" s="48" t="s">
        <v>366</v>
      </c>
      <c r="W36" s="48" t="s">
        <v>367</v>
      </c>
      <c r="X36" s="48" t="s">
        <v>368</v>
      </c>
      <c r="Y36" s="48" t="s">
        <v>369</v>
      </c>
      <c r="Z36" s="48" t="s">
        <v>370</v>
      </c>
      <c r="AA36" s="47" t="s">
        <v>371</v>
      </c>
      <c r="AB36" s="47" t="s">
        <v>372</v>
      </c>
      <c r="AC36" s="47" t="s">
        <v>373</v>
      </c>
      <c r="AD36" s="47" t="s">
        <v>374</v>
      </c>
      <c r="AE36" s="47" t="s">
        <v>375</v>
      </c>
      <c r="AF36" s="47" t="s">
        <v>376</v>
      </c>
      <c r="AG36" s="47" t="s">
        <v>377</v>
      </c>
      <c r="AH36" s="47" t="s">
        <v>378</v>
      </c>
      <c r="AI36" s="47" t="s">
        <v>379</v>
      </c>
      <c r="AJ36" s="47" t="s">
        <v>380</v>
      </c>
      <c r="AK36" s="47" t="s">
        <v>381</v>
      </c>
      <c r="AL36" s="47" t="s">
        <v>382</v>
      </c>
      <c r="AM36" s="49"/>
      <c r="AN36" s="50" t="s">
        <v>383</v>
      </c>
      <c r="AO36" s="50" t="s">
        <v>384</v>
      </c>
      <c r="AP36" s="50" t="s">
        <v>385</v>
      </c>
    </row>
    <row r="37" customFormat="false" ht="15" hidden="false" customHeight="false" outlineLevel="0" collapsed="false">
      <c r="A37" s="26" t="s">
        <v>291</v>
      </c>
      <c r="B37" s="24"/>
      <c r="C37" s="51" t="n">
        <f aca="false">Capex!C$22-C22</f>
        <v>8400</v>
      </c>
      <c r="D37" s="51" t="n">
        <f aca="false">Capex!D$22-D22</f>
        <v>8166.66666666667</v>
      </c>
      <c r="E37" s="51" t="n">
        <f aca="false">Capex!E$22-E22</f>
        <v>7933.33333333333</v>
      </c>
      <c r="F37" s="51" t="n">
        <f aca="false">Capex!F$22-F22</f>
        <v>7700</v>
      </c>
      <c r="G37" s="51" t="n">
        <f aca="false">Capex!G$22-G22</f>
        <v>7466.66666666667</v>
      </c>
      <c r="H37" s="51" t="n">
        <f aca="false">Capex!H$22-H22</f>
        <v>7233.33333333333</v>
      </c>
      <c r="I37" s="51" t="n">
        <f aca="false">Capex!I$22-I22</f>
        <v>7000</v>
      </c>
      <c r="J37" s="51" t="n">
        <f aca="false">Capex!J$22-J22</f>
        <v>6766.66666666667</v>
      </c>
      <c r="K37" s="51" t="n">
        <f aca="false">Capex!K$22-K22</f>
        <v>6533.33333333333</v>
      </c>
      <c r="L37" s="51" t="n">
        <f aca="false">Capex!L$22-L22</f>
        <v>6300</v>
      </c>
      <c r="M37" s="51" t="n">
        <f aca="false">Capex!M$22-M22</f>
        <v>6066.66666666667</v>
      </c>
      <c r="N37" s="51" t="n">
        <f aca="false">Capex!N$22-N22</f>
        <v>5833.33333333333</v>
      </c>
      <c r="O37" s="51" t="n">
        <f aca="false">Capex!O$22-O22</f>
        <v>9800</v>
      </c>
      <c r="P37" s="51" t="n">
        <f aca="false">Capex!P$22-P22</f>
        <v>9450</v>
      </c>
      <c r="Q37" s="51" t="n">
        <f aca="false">Capex!Q$22-Q22</f>
        <v>9100</v>
      </c>
      <c r="R37" s="51" t="n">
        <f aca="false">Capex!R$22-R22</f>
        <v>8750</v>
      </c>
      <c r="S37" s="51" t="n">
        <f aca="false">Capex!S$22-S22</f>
        <v>8400</v>
      </c>
      <c r="T37" s="51" t="n">
        <f aca="false">Capex!T$22-T22</f>
        <v>8050</v>
      </c>
      <c r="U37" s="51" t="n">
        <f aca="false">Capex!U$22-U22</f>
        <v>7700</v>
      </c>
      <c r="V37" s="51" t="n">
        <f aca="false">Capex!V$22-V22</f>
        <v>7350</v>
      </c>
      <c r="W37" s="51" t="n">
        <f aca="false">Capex!W$22-W22</f>
        <v>7000</v>
      </c>
      <c r="X37" s="51" t="n">
        <f aca="false">Capex!X$22-X22</f>
        <v>6650</v>
      </c>
      <c r="Y37" s="51" t="n">
        <f aca="false">Capex!Y$22-Y22</f>
        <v>6300</v>
      </c>
      <c r="Z37" s="51" t="n">
        <f aca="false">Capex!Z$22-Z22</f>
        <v>5950</v>
      </c>
      <c r="AA37" s="51" t="n">
        <f aca="false">Capex!AA$22-AA22</f>
        <v>9800</v>
      </c>
      <c r="AB37" s="51" t="n">
        <f aca="false">Capex!AB$22-AB22</f>
        <v>9333.33333333333</v>
      </c>
      <c r="AC37" s="51" t="n">
        <f aca="false">Capex!AC$22-AC22</f>
        <v>8866.66666666667</v>
      </c>
      <c r="AD37" s="51" t="n">
        <f aca="false">Capex!AD$22-AD22</f>
        <v>8400</v>
      </c>
      <c r="AE37" s="51" t="n">
        <f aca="false">Capex!AE$22-AE22</f>
        <v>7933.33333333333</v>
      </c>
      <c r="AF37" s="51" t="n">
        <f aca="false">Capex!AF$22-AF22</f>
        <v>7466.66666666667</v>
      </c>
      <c r="AG37" s="51" t="n">
        <f aca="false">Capex!AG$22-AG22</f>
        <v>7000</v>
      </c>
      <c r="AH37" s="51" t="n">
        <f aca="false">Capex!AH$22-AH22</f>
        <v>6533.33333333334</v>
      </c>
      <c r="AI37" s="51" t="n">
        <f aca="false">Capex!AI$22-AI22</f>
        <v>6066.66666666667</v>
      </c>
      <c r="AJ37" s="51" t="n">
        <f aca="false">Capex!AJ$22-AJ22</f>
        <v>5600</v>
      </c>
      <c r="AK37" s="51" t="n">
        <f aca="false">Capex!AK$22-AK22</f>
        <v>5133.33333333334</v>
      </c>
      <c r="AL37" s="51" t="n">
        <f aca="false">Capex!AL$22-AL22</f>
        <v>4666.66666666667</v>
      </c>
      <c r="AN37" s="52" t="n">
        <f aca="false">N37</f>
        <v>5833.33333333333</v>
      </c>
      <c r="AO37" s="52" t="n">
        <f aca="false">Z37</f>
        <v>5950</v>
      </c>
      <c r="AP37" s="52" t="n">
        <f aca="false">AL37</f>
        <v>4666.66666666667</v>
      </c>
    </row>
    <row r="38" customFormat="false" ht="15" hidden="false" customHeight="false" outlineLevel="0" collapsed="false">
      <c r="A38" s="26" t="s">
        <v>292</v>
      </c>
      <c r="B38" s="24"/>
      <c r="C38" s="51" t="n">
        <f aca="false">Capex!C$23-C23</f>
        <v>3720</v>
      </c>
      <c r="D38" s="51" t="n">
        <f aca="false">Capex!D$23-D23</f>
        <v>3658</v>
      </c>
      <c r="E38" s="51" t="n">
        <f aca="false">Capex!E$23-E23</f>
        <v>3596</v>
      </c>
      <c r="F38" s="51" t="n">
        <f aca="false">Capex!F$23-F23</f>
        <v>3534</v>
      </c>
      <c r="G38" s="51" t="n">
        <f aca="false">Capex!G$23-G23</f>
        <v>3472</v>
      </c>
      <c r="H38" s="51" t="n">
        <f aca="false">Capex!H$23-H23</f>
        <v>3410</v>
      </c>
      <c r="I38" s="51" t="n">
        <f aca="false">Capex!I$23-I23</f>
        <v>3348</v>
      </c>
      <c r="J38" s="51" t="n">
        <f aca="false">Capex!J$23-J23</f>
        <v>3286</v>
      </c>
      <c r="K38" s="51" t="n">
        <f aca="false">Capex!K$23-K23</f>
        <v>3224</v>
      </c>
      <c r="L38" s="51" t="n">
        <f aca="false">Capex!L$23-L23</f>
        <v>3162</v>
      </c>
      <c r="M38" s="51" t="n">
        <f aca="false">Capex!M$23-M23</f>
        <v>3100</v>
      </c>
      <c r="N38" s="51" t="n">
        <f aca="false">Capex!N$23-N23</f>
        <v>3038</v>
      </c>
      <c r="O38" s="51" t="n">
        <f aca="false">Capex!O$23-O23</f>
        <v>4836</v>
      </c>
      <c r="P38" s="51" t="n">
        <f aca="false">Capex!P$23-P23</f>
        <v>4743</v>
      </c>
      <c r="Q38" s="51" t="n">
        <f aca="false">Capex!Q$23-Q23</f>
        <v>4650</v>
      </c>
      <c r="R38" s="51" t="n">
        <f aca="false">Capex!R$23-R23</f>
        <v>4557</v>
      </c>
      <c r="S38" s="51" t="n">
        <f aca="false">Capex!S$23-S23</f>
        <v>4464</v>
      </c>
      <c r="T38" s="51" t="n">
        <f aca="false">Capex!T$23-T23</f>
        <v>4371</v>
      </c>
      <c r="U38" s="51" t="n">
        <f aca="false">Capex!U$23-U23</f>
        <v>4278</v>
      </c>
      <c r="V38" s="51" t="n">
        <f aca="false">Capex!V$23-V23</f>
        <v>4185</v>
      </c>
      <c r="W38" s="51" t="n">
        <f aca="false">Capex!W$23-W23</f>
        <v>4092</v>
      </c>
      <c r="X38" s="51" t="n">
        <f aca="false">Capex!X$23-X23</f>
        <v>3999</v>
      </c>
      <c r="Y38" s="51" t="n">
        <f aca="false">Capex!Y$23-Y23</f>
        <v>3906</v>
      </c>
      <c r="Z38" s="51" t="n">
        <f aca="false">Capex!Z$23-Z23</f>
        <v>3813</v>
      </c>
      <c r="AA38" s="51" t="n">
        <f aca="false">Capex!AA$23-AA23</f>
        <v>5580</v>
      </c>
      <c r="AB38" s="51" t="n">
        <f aca="false">Capex!AB$23-AB23</f>
        <v>5456</v>
      </c>
      <c r="AC38" s="51" t="n">
        <f aca="false">Capex!AC$23-AC23</f>
        <v>5332</v>
      </c>
      <c r="AD38" s="51" t="n">
        <f aca="false">Capex!AD$23-AD23</f>
        <v>5208</v>
      </c>
      <c r="AE38" s="51" t="n">
        <f aca="false">Capex!AE$23-AE23</f>
        <v>5084</v>
      </c>
      <c r="AF38" s="51" t="n">
        <f aca="false">Capex!AF$23-AF23</f>
        <v>4960</v>
      </c>
      <c r="AG38" s="51" t="n">
        <f aca="false">Capex!AG$23-AG23</f>
        <v>4836</v>
      </c>
      <c r="AH38" s="51" t="n">
        <f aca="false">Capex!AH$23-AH23</f>
        <v>4712</v>
      </c>
      <c r="AI38" s="51" t="n">
        <f aca="false">Capex!AI$23-AI23</f>
        <v>4588</v>
      </c>
      <c r="AJ38" s="51" t="n">
        <f aca="false">Capex!AJ$23-AJ23</f>
        <v>4464</v>
      </c>
      <c r="AK38" s="51" t="n">
        <f aca="false">Capex!AK$23-AK23</f>
        <v>4340</v>
      </c>
      <c r="AL38" s="51" t="n">
        <f aca="false">Capex!AL$23-AL23</f>
        <v>4216</v>
      </c>
      <c r="AN38" s="52" t="n">
        <f aca="false">N38</f>
        <v>3038</v>
      </c>
      <c r="AO38" s="52" t="n">
        <f aca="false">Z38</f>
        <v>3813</v>
      </c>
      <c r="AP38" s="52" t="n">
        <f aca="false">AL38</f>
        <v>4216</v>
      </c>
    </row>
    <row r="39" customFormat="false" ht="15" hidden="false" customHeight="false" outlineLevel="0" collapsed="false">
      <c r="A39" s="26" t="s">
        <v>293</v>
      </c>
      <c r="B39" s="24"/>
      <c r="C39" s="51" t="n">
        <f aca="false">Capex!C$24-C24</f>
        <v>1860</v>
      </c>
      <c r="D39" s="51" t="n">
        <f aca="false">Capex!D$24-D24</f>
        <v>1821.25</v>
      </c>
      <c r="E39" s="51" t="n">
        <f aca="false">Capex!E$24-E24</f>
        <v>1782.5</v>
      </c>
      <c r="F39" s="51" t="n">
        <f aca="false">Capex!F$24-F24</f>
        <v>1743.75</v>
      </c>
      <c r="G39" s="51" t="n">
        <f aca="false">Capex!G$24-G24</f>
        <v>1705</v>
      </c>
      <c r="H39" s="51" t="n">
        <f aca="false">Capex!H$24-H24</f>
        <v>1666.25</v>
      </c>
      <c r="I39" s="51" t="n">
        <f aca="false">Capex!I$24-I24</f>
        <v>1627.5</v>
      </c>
      <c r="J39" s="51" t="n">
        <f aca="false">Capex!J$24-J24</f>
        <v>1588.75</v>
      </c>
      <c r="K39" s="51" t="n">
        <f aca="false">Capex!K$24-K24</f>
        <v>1550</v>
      </c>
      <c r="L39" s="51" t="n">
        <f aca="false">Capex!L$24-L24</f>
        <v>1511.25</v>
      </c>
      <c r="M39" s="51" t="n">
        <f aca="false">Capex!M$24-M24</f>
        <v>1472.5</v>
      </c>
      <c r="N39" s="51" t="n">
        <f aca="false">Capex!N$24-N24</f>
        <v>1433.75</v>
      </c>
      <c r="O39" s="51" t="n">
        <f aca="false">Capex!O$24-O24</f>
        <v>2325</v>
      </c>
      <c r="P39" s="51" t="n">
        <f aca="false">Capex!P$24-P24</f>
        <v>2266.875</v>
      </c>
      <c r="Q39" s="51" t="n">
        <f aca="false">Capex!Q$24-Q24</f>
        <v>2208.75</v>
      </c>
      <c r="R39" s="51" t="n">
        <f aca="false">Capex!R$24-R24</f>
        <v>2150.625</v>
      </c>
      <c r="S39" s="51" t="n">
        <f aca="false">Capex!S$24-S24</f>
        <v>2092.5</v>
      </c>
      <c r="T39" s="51" t="n">
        <f aca="false">Capex!T$24-T24</f>
        <v>2034.375</v>
      </c>
      <c r="U39" s="51" t="n">
        <f aca="false">Capex!U$24-U24</f>
        <v>1976.25</v>
      </c>
      <c r="V39" s="51" t="n">
        <f aca="false">Capex!V$24-V24</f>
        <v>1918.125</v>
      </c>
      <c r="W39" s="51" t="n">
        <f aca="false">Capex!W$24-W24</f>
        <v>1860</v>
      </c>
      <c r="X39" s="51" t="n">
        <f aca="false">Capex!X$24-X24</f>
        <v>1801.875</v>
      </c>
      <c r="Y39" s="51" t="n">
        <f aca="false">Capex!Y$24-Y24</f>
        <v>1743.75</v>
      </c>
      <c r="Z39" s="51" t="n">
        <f aca="false">Capex!Z$24-Z24</f>
        <v>1685.625</v>
      </c>
      <c r="AA39" s="51" t="n">
        <f aca="false">Capex!AA$24-AA24</f>
        <v>2557.5</v>
      </c>
      <c r="AB39" s="51" t="n">
        <f aca="false">Capex!AB$24-AB24</f>
        <v>2480</v>
      </c>
      <c r="AC39" s="51" t="n">
        <f aca="false">Capex!AC$24-AC24</f>
        <v>2402.5</v>
      </c>
      <c r="AD39" s="51" t="n">
        <f aca="false">Capex!AD$24-AD24</f>
        <v>2325</v>
      </c>
      <c r="AE39" s="51" t="n">
        <f aca="false">Capex!AE$24-AE24</f>
        <v>2247.5</v>
      </c>
      <c r="AF39" s="51" t="n">
        <f aca="false">Capex!AF$24-AF24</f>
        <v>2170</v>
      </c>
      <c r="AG39" s="51" t="n">
        <f aca="false">Capex!AG$24-AG24</f>
        <v>2092.5</v>
      </c>
      <c r="AH39" s="51" t="n">
        <f aca="false">Capex!AH$24-AH24</f>
        <v>2015</v>
      </c>
      <c r="AI39" s="51" t="n">
        <f aca="false">Capex!AI$24-AI24</f>
        <v>1937.5</v>
      </c>
      <c r="AJ39" s="51" t="n">
        <f aca="false">Capex!AJ$24-AJ24</f>
        <v>1860</v>
      </c>
      <c r="AK39" s="51" t="n">
        <f aca="false">Capex!AK$24-AK24</f>
        <v>1782.5</v>
      </c>
      <c r="AL39" s="51" t="n">
        <f aca="false">Capex!AL$24-AL24</f>
        <v>1705</v>
      </c>
      <c r="AN39" s="52" t="n">
        <f aca="false">N39</f>
        <v>1433.75</v>
      </c>
      <c r="AO39" s="52" t="n">
        <f aca="false">Z39</f>
        <v>1685.625</v>
      </c>
      <c r="AP39" s="52" t="n">
        <f aca="false">AL39</f>
        <v>1705</v>
      </c>
    </row>
    <row r="40" customFormat="false" ht="15" hidden="false" customHeight="false" outlineLevel="0" collapsed="false">
      <c r="A40" s="26" t="s">
        <v>294</v>
      </c>
      <c r="B40" s="24"/>
      <c r="C40" s="51" t="n">
        <f aca="false">Capex!C$25-C25</f>
        <v>2340</v>
      </c>
      <c r="D40" s="51" t="n">
        <f aca="false">Capex!D$25-D25</f>
        <v>2242.5</v>
      </c>
      <c r="E40" s="51" t="n">
        <f aca="false">Capex!E$25-E25</f>
        <v>2145</v>
      </c>
      <c r="F40" s="51" t="n">
        <f aca="false">Capex!F$25-F25</f>
        <v>2047.5</v>
      </c>
      <c r="G40" s="51" t="n">
        <f aca="false">Capex!G$25-G25</f>
        <v>1950</v>
      </c>
      <c r="H40" s="51" t="n">
        <f aca="false">Capex!H$25-H25</f>
        <v>1852.5</v>
      </c>
      <c r="I40" s="51" t="n">
        <f aca="false">Capex!I$25-I25</f>
        <v>1755</v>
      </c>
      <c r="J40" s="51" t="n">
        <f aca="false">Capex!J$25-J25</f>
        <v>1657.5</v>
      </c>
      <c r="K40" s="51" t="n">
        <f aca="false">Capex!K$25-K25</f>
        <v>1560</v>
      </c>
      <c r="L40" s="51" t="n">
        <f aca="false">Capex!L$25-L25</f>
        <v>1462.5</v>
      </c>
      <c r="M40" s="51" t="n">
        <f aca="false">Capex!M$25-M25</f>
        <v>1365</v>
      </c>
      <c r="N40" s="51" t="n">
        <f aca="false">Capex!N$25-N25</f>
        <v>1267.5</v>
      </c>
      <c r="O40" s="51" t="n">
        <f aca="false">Capex!O$25-O25</f>
        <v>2340</v>
      </c>
      <c r="P40" s="51" t="n">
        <f aca="false">Capex!P$25-P25</f>
        <v>2193.75</v>
      </c>
      <c r="Q40" s="51" t="n">
        <f aca="false">Capex!Q$25-Q25</f>
        <v>2047.5</v>
      </c>
      <c r="R40" s="51" t="n">
        <f aca="false">Capex!R$25-R25</f>
        <v>1901.25</v>
      </c>
      <c r="S40" s="51" t="n">
        <f aca="false">Capex!S$25-S25</f>
        <v>1755</v>
      </c>
      <c r="T40" s="51" t="n">
        <f aca="false">Capex!T$25-T25</f>
        <v>1608.75</v>
      </c>
      <c r="U40" s="51" t="n">
        <f aca="false">Capex!U$25-U25</f>
        <v>1462.5</v>
      </c>
      <c r="V40" s="51" t="n">
        <f aca="false">Capex!V$25-V25</f>
        <v>1316.25</v>
      </c>
      <c r="W40" s="51" t="n">
        <f aca="false">Capex!W$25-W25</f>
        <v>1170</v>
      </c>
      <c r="X40" s="51" t="n">
        <f aca="false">Capex!X$25-X25</f>
        <v>1023.75</v>
      </c>
      <c r="Y40" s="51" t="n">
        <f aca="false">Capex!Y$25-Y25</f>
        <v>877.5</v>
      </c>
      <c r="Z40" s="51" t="n">
        <f aca="false">Capex!Z$25-Z25</f>
        <v>731.25</v>
      </c>
      <c r="AA40" s="51" t="n">
        <f aca="false">Capex!AA$25-AA25</f>
        <v>1755</v>
      </c>
      <c r="AB40" s="51" t="n">
        <f aca="false">Capex!AB$25-AB25</f>
        <v>1560</v>
      </c>
      <c r="AC40" s="51" t="n">
        <f aca="false">Capex!AC$25-AC25</f>
        <v>1365</v>
      </c>
      <c r="AD40" s="51" t="n">
        <f aca="false">Capex!AD$25-AD25</f>
        <v>1170</v>
      </c>
      <c r="AE40" s="51" t="n">
        <f aca="false">Capex!AE$25-AE25</f>
        <v>975</v>
      </c>
      <c r="AF40" s="51" t="n">
        <f aca="false">Capex!AF$25-AF25</f>
        <v>780</v>
      </c>
      <c r="AG40" s="51" t="n">
        <f aca="false">Capex!AG$25-AG25</f>
        <v>585</v>
      </c>
      <c r="AH40" s="51" t="n">
        <f aca="false">Capex!AH$25-AH25</f>
        <v>390</v>
      </c>
      <c r="AI40" s="51" t="n">
        <f aca="false">Capex!AI$25-AI25</f>
        <v>195</v>
      </c>
      <c r="AJ40" s="51" t="n">
        <f aca="false">Capex!AJ$25-AJ25</f>
        <v>0</v>
      </c>
      <c r="AK40" s="51" t="n">
        <f aca="false">Capex!AK$25-AK25</f>
        <v>0</v>
      </c>
      <c r="AL40" s="51" t="n">
        <f aca="false">Capex!AL$25-AL25</f>
        <v>0</v>
      </c>
      <c r="AN40" s="52" t="n">
        <f aca="false">N40</f>
        <v>1267.5</v>
      </c>
      <c r="AO40" s="52" t="n">
        <f aca="false">Z40</f>
        <v>731.25</v>
      </c>
      <c r="AP40" s="52" t="n">
        <f aca="false">AL40</f>
        <v>0</v>
      </c>
    </row>
    <row r="41" customFormat="false" ht="15" hidden="false" customHeight="false" outlineLevel="0" collapsed="false">
      <c r="A41" s="26" t="s">
        <v>298</v>
      </c>
      <c r="B41" s="24"/>
      <c r="C41" s="51" t="n">
        <f aca="false">Capex!C$26-C26</f>
        <v>14000</v>
      </c>
      <c r="D41" s="51" t="n">
        <f aca="false">Capex!D$26-D26</f>
        <v>13766.6666666667</v>
      </c>
      <c r="E41" s="51" t="n">
        <f aca="false">Capex!E$26-E26</f>
        <v>13533.3333333333</v>
      </c>
      <c r="F41" s="51" t="n">
        <f aca="false">Capex!F$26-F26</f>
        <v>13300</v>
      </c>
      <c r="G41" s="51" t="n">
        <f aca="false">Capex!G$26-G26</f>
        <v>13066.6666666667</v>
      </c>
      <c r="H41" s="51" t="n">
        <f aca="false">Capex!H$26-H26</f>
        <v>12833.3333333333</v>
      </c>
      <c r="I41" s="51" t="n">
        <f aca="false">Capex!I$26-I26</f>
        <v>12600</v>
      </c>
      <c r="J41" s="51" t="n">
        <f aca="false">Capex!J$26-J26</f>
        <v>12366.6666666667</v>
      </c>
      <c r="K41" s="51" t="n">
        <f aca="false">Capex!K$26-K26</f>
        <v>12133.3333333333</v>
      </c>
      <c r="L41" s="51" t="n">
        <f aca="false">Capex!L$26-L26</f>
        <v>11900</v>
      </c>
      <c r="M41" s="51" t="n">
        <f aca="false">Capex!M$26-M26</f>
        <v>11666.6666666667</v>
      </c>
      <c r="N41" s="51" t="n">
        <f aca="false">Capex!N$26-N26</f>
        <v>11433.3333333333</v>
      </c>
      <c r="O41" s="51" t="n">
        <f aca="false">Capex!O$26-O26</f>
        <v>11200</v>
      </c>
      <c r="P41" s="51" t="n">
        <f aca="false">Capex!P$26-P26</f>
        <v>10966.6666666667</v>
      </c>
      <c r="Q41" s="51" t="n">
        <f aca="false">Capex!Q$26-Q26</f>
        <v>10733.3333333333</v>
      </c>
      <c r="R41" s="51" t="n">
        <f aca="false">Capex!R$26-R26</f>
        <v>10500</v>
      </c>
      <c r="S41" s="51" t="n">
        <f aca="false">Capex!S$26-S26</f>
        <v>10266.6666666667</v>
      </c>
      <c r="T41" s="51" t="n">
        <f aca="false">Capex!T$26-T26</f>
        <v>10033.3333333333</v>
      </c>
      <c r="U41" s="51" t="n">
        <f aca="false">Capex!U$26-U26</f>
        <v>9800</v>
      </c>
      <c r="V41" s="51" t="n">
        <f aca="false">Capex!V$26-V26</f>
        <v>9566.66666666667</v>
      </c>
      <c r="W41" s="51" t="n">
        <f aca="false">Capex!W$26-W26</f>
        <v>9333.33333333333</v>
      </c>
      <c r="X41" s="51" t="n">
        <f aca="false">Capex!X$26-X26</f>
        <v>9100</v>
      </c>
      <c r="Y41" s="51" t="n">
        <f aca="false">Capex!Y$26-Y26</f>
        <v>8866.66666666667</v>
      </c>
      <c r="Z41" s="51" t="n">
        <f aca="false">Capex!Z$26-Z26</f>
        <v>8633.33333333333</v>
      </c>
      <c r="AA41" s="51" t="n">
        <f aca="false">Capex!AA$26-AA26</f>
        <v>8400</v>
      </c>
      <c r="AB41" s="51" t="n">
        <f aca="false">Capex!AB$26-AB26</f>
        <v>8166.66666666667</v>
      </c>
      <c r="AC41" s="51" t="n">
        <f aca="false">Capex!AC$26-AC26</f>
        <v>7933.33333333334</v>
      </c>
      <c r="AD41" s="51" t="n">
        <f aca="false">Capex!AD$26-AD26</f>
        <v>7700</v>
      </c>
      <c r="AE41" s="51" t="n">
        <f aca="false">Capex!AE$26-AE26</f>
        <v>7466.66666666667</v>
      </c>
      <c r="AF41" s="51" t="n">
        <f aca="false">Capex!AF$26-AF26</f>
        <v>7233.33333333334</v>
      </c>
      <c r="AG41" s="51" t="n">
        <f aca="false">Capex!AG$26-AG26</f>
        <v>7000</v>
      </c>
      <c r="AH41" s="51" t="n">
        <f aca="false">Capex!AH$26-AH26</f>
        <v>6766.66666666667</v>
      </c>
      <c r="AI41" s="51" t="n">
        <f aca="false">Capex!AI$26-AI26</f>
        <v>6533.33333333334</v>
      </c>
      <c r="AJ41" s="51" t="n">
        <f aca="false">Capex!AJ$26-AJ26</f>
        <v>6300</v>
      </c>
      <c r="AK41" s="51" t="n">
        <f aca="false">Capex!AK$26-AK26</f>
        <v>6066.66666666667</v>
      </c>
      <c r="AL41" s="51" t="n">
        <f aca="false">Capex!AL$26-AL26</f>
        <v>5833.33333333334</v>
      </c>
      <c r="AN41" s="52" t="n">
        <f aca="false">N41</f>
        <v>11433.3333333333</v>
      </c>
      <c r="AO41" s="52" t="n">
        <f aca="false">Z41</f>
        <v>8633.33333333333</v>
      </c>
      <c r="AP41" s="52" t="n">
        <f aca="false">AL41</f>
        <v>5833.33333333334</v>
      </c>
    </row>
    <row r="42" customFormat="false" ht="15" hidden="false" customHeight="false" outlineLevel="0" collapsed="false">
      <c r="A42" s="26" t="s">
        <v>299</v>
      </c>
      <c r="B42" s="24"/>
      <c r="C42" s="51" t="n">
        <f aca="false">Capex!C$27-C27</f>
        <v>0</v>
      </c>
      <c r="D42" s="51" t="n">
        <f aca="false">Capex!D$27-D27</f>
        <v>9500</v>
      </c>
      <c r="E42" s="51" t="n">
        <f aca="false">Capex!E$27-E27</f>
        <v>9302.08333333333</v>
      </c>
      <c r="F42" s="51" t="n">
        <f aca="false">Capex!F$27-F27</f>
        <v>9104.16666666667</v>
      </c>
      <c r="G42" s="51" t="n">
        <f aca="false">Capex!G$27-G27</f>
        <v>8906.25</v>
      </c>
      <c r="H42" s="51" t="n">
        <f aca="false">Capex!H$27-H27</f>
        <v>8708.33333333333</v>
      </c>
      <c r="I42" s="51" t="n">
        <f aca="false">Capex!I$27-I27</f>
        <v>8510.41666666667</v>
      </c>
      <c r="J42" s="51" t="n">
        <f aca="false">Capex!J$27-J27</f>
        <v>8312.5</v>
      </c>
      <c r="K42" s="51" t="n">
        <f aca="false">Capex!K$27-K27</f>
        <v>8114.58333333333</v>
      </c>
      <c r="L42" s="51" t="n">
        <f aca="false">Capex!L$27-L27</f>
        <v>7916.66666666667</v>
      </c>
      <c r="M42" s="51" t="n">
        <f aca="false">Capex!M$27-M27</f>
        <v>7718.75</v>
      </c>
      <c r="N42" s="51" t="n">
        <f aca="false">Capex!N$27-N27</f>
        <v>7520.83333333333</v>
      </c>
      <c r="O42" s="51" t="n">
        <f aca="false">Capex!O$27-O27</f>
        <v>7322.91666666667</v>
      </c>
      <c r="P42" s="51" t="n">
        <f aca="false">Capex!P$27-P27</f>
        <v>7125</v>
      </c>
      <c r="Q42" s="51" t="n">
        <f aca="false">Capex!Q$27-Q27</f>
        <v>6927.08333333333</v>
      </c>
      <c r="R42" s="51" t="n">
        <f aca="false">Capex!R$27-R27</f>
        <v>6729.16666666667</v>
      </c>
      <c r="S42" s="51" t="n">
        <f aca="false">Capex!S$27-S27</f>
        <v>6531.25</v>
      </c>
      <c r="T42" s="51" t="n">
        <f aca="false">Capex!T$27-T27</f>
        <v>6333.33333333333</v>
      </c>
      <c r="U42" s="51" t="n">
        <f aca="false">Capex!U$27-U27</f>
        <v>6135.41666666667</v>
      </c>
      <c r="V42" s="51" t="n">
        <f aca="false">Capex!V$27-V27</f>
        <v>5937.5</v>
      </c>
      <c r="W42" s="51" t="n">
        <f aca="false">Capex!W$27-W27</f>
        <v>5739.58333333333</v>
      </c>
      <c r="X42" s="51" t="n">
        <f aca="false">Capex!X$27-X27</f>
        <v>5541.66666666667</v>
      </c>
      <c r="Y42" s="51" t="n">
        <f aca="false">Capex!Y$27-Y27</f>
        <v>5343.75</v>
      </c>
      <c r="Z42" s="51" t="n">
        <f aca="false">Capex!Z$27-Z27</f>
        <v>5145.83333333333</v>
      </c>
      <c r="AA42" s="51" t="n">
        <f aca="false">Capex!AA$27-AA27</f>
        <v>4947.91666666667</v>
      </c>
      <c r="AB42" s="51" t="n">
        <f aca="false">Capex!AB$27-AB27</f>
        <v>4750</v>
      </c>
      <c r="AC42" s="51" t="n">
        <f aca="false">Capex!AC$27-AC27</f>
        <v>4552.08333333333</v>
      </c>
      <c r="AD42" s="51" t="n">
        <f aca="false">Capex!AD$27-AD27</f>
        <v>4354.16666666667</v>
      </c>
      <c r="AE42" s="51" t="n">
        <f aca="false">Capex!AE$27-AE27</f>
        <v>4156.25</v>
      </c>
      <c r="AF42" s="51" t="n">
        <f aca="false">Capex!AF$27-AF27</f>
        <v>3958.33333333333</v>
      </c>
      <c r="AG42" s="51" t="n">
        <f aca="false">Capex!AG$27-AG27</f>
        <v>3760.41666666667</v>
      </c>
      <c r="AH42" s="51" t="n">
        <f aca="false">Capex!AH$27-AH27</f>
        <v>3562.5</v>
      </c>
      <c r="AI42" s="51" t="n">
        <f aca="false">Capex!AI$27-AI27</f>
        <v>3364.58333333333</v>
      </c>
      <c r="AJ42" s="51" t="n">
        <f aca="false">Capex!AJ$27-AJ27</f>
        <v>3166.66666666666</v>
      </c>
      <c r="AK42" s="51" t="n">
        <f aca="false">Capex!AK$27-AK27</f>
        <v>2968.75</v>
      </c>
      <c r="AL42" s="51" t="n">
        <f aca="false">Capex!AL$27-AL27</f>
        <v>2770.83333333333</v>
      </c>
      <c r="AN42" s="52" t="n">
        <f aca="false">N42</f>
        <v>7520.83333333333</v>
      </c>
      <c r="AO42" s="52" t="n">
        <f aca="false">Z42</f>
        <v>5145.83333333333</v>
      </c>
      <c r="AP42" s="52" t="n">
        <f aca="false">AL42</f>
        <v>2770.83333333333</v>
      </c>
    </row>
    <row r="43" customFormat="false" ht="15" hidden="false" customHeight="false" outlineLevel="0" collapsed="false">
      <c r="A43" s="26" t="s">
        <v>300</v>
      </c>
      <c r="B43" s="24"/>
      <c r="C43" s="51" t="n">
        <f aca="false">Capex!C$28-C28</f>
        <v>0</v>
      </c>
      <c r="D43" s="51" t="n">
        <f aca="false">Capex!D$28-D28</f>
        <v>0</v>
      </c>
      <c r="E43" s="51" t="n">
        <f aca="false">Capex!E$28-E28</f>
        <v>0</v>
      </c>
      <c r="F43" s="51" t="n">
        <f aca="false">Capex!F$28-F28</f>
        <v>0</v>
      </c>
      <c r="G43" s="51" t="n">
        <f aca="false">Capex!G$28-G28</f>
        <v>0</v>
      </c>
      <c r="H43" s="51" t="n">
        <f aca="false">Capex!H$28-H28</f>
        <v>0</v>
      </c>
      <c r="I43" s="51" t="n">
        <f aca="false">Capex!I$28-I28</f>
        <v>0</v>
      </c>
      <c r="J43" s="51" t="n">
        <f aca="false">Capex!J$28-J28</f>
        <v>0</v>
      </c>
      <c r="K43" s="51" t="n">
        <f aca="false">Capex!K$28-K28</f>
        <v>0</v>
      </c>
      <c r="L43" s="51" t="n">
        <f aca="false">Capex!L$28-L28</f>
        <v>0</v>
      </c>
      <c r="M43" s="51" t="n">
        <f aca="false">Capex!M$28-M28</f>
        <v>0</v>
      </c>
      <c r="N43" s="51" t="n">
        <f aca="false">Capex!N$28-N28</f>
        <v>0</v>
      </c>
      <c r="O43" s="51" t="n">
        <f aca="false">Capex!O$28-O28</f>
        <v>0</v>
      </c>
      <c r="P43" s="51" t="n">
        <f aca="false">Capex!P$28-P28</f>
        <v>8500</v>
      </c>
      <c r="Q43" s="51" t="n">
        <f aca="false">Capex!Q$28-Q28</f>
        <v>8358.33333333333</v>
      </c>
      <c r="R43" s="51" t="n">
        <f aca="false">Capex!R$28-R28</f>
        <v>8216.66666666667</v>
      </c>
      <c r="S43" s="51" t="n">
        <f aca="false">Capex!S$28-S28</f>
        <v>8075</v>
      </c>
      <c r="T43" s="51" t="n">
        <f aca="false">Capex!T$28-T28</f>
        <v>7933.33333333333</v>
      </c>
      <c r="U43" s="51" t="n">
        <f aca="false">Capex!U$28-U28</f>
        <v>7791.66666666667</v>
      </c>
      <c r="V43" s="51" t="n">
        <f aca="false">Capex!V$28-V28</f>
        <v>7650</v>
      </c>
      <c r="W43" s="51" t="n">
        <f aca="false">Capex!W$28-W28</f>
        <v>7508.33333333333</v>
      </c>
      <c r="X43" s="51" t="n">
        <f aca="false">Capex!X$28-X28</f>
        <v>7366.66666666667</v>
      </c>
      <c r="Y43" s="51" t="n">
        <f aca="false">Capex!Y$28-Y28</f>
        <v>7225</v>
      </c>
      <c r="Z43" s="51" t="n">
        <f aca="false">Capex!Z$28-Z28</f>
        <v>7083.33333333333</v>
      </c>
      <c r="AA43" s="51" t="n">
        <f aca="false">Capex!AA$28-AA28</f>
        <v>6941.66666666667</v>
      </c>
      <c r="AB43" s="51" t="n">
        <f aca="false">Capex!AB$28-AB28</f>
        <v>6800</v>
      </c>
      <c r="AC43" s="51" t="n">
        <f aca="false">Capex!AC$28-AC28</f>
        <v>6658.33333333333</v>
      </c>
      <c r="AD43" s="51" t="n">
        <f aca="false">Capex!AD$28-AD28</f>
        <v>6516.66666666667</v>
      </c>
      <c r="AE43" s="51" t="n">
        <f aca="false">Capex!AE$28-AE28</f>
        <v>6375</v>
      </c>
      <c r="AF43" s="51" t="n">
        <f aca="false">Capex!AF$28-AF28</f>
        <v>6233.33333333333</v>
      </c>
      <c r="AG43" s="51" t="n">
        <f aca="false">Capex!AG$28-AG28</f>
        <v>6091.66666666667</v>
      </c>
      <c r="AH43" s="51" t="n">
        <f aca="false">Capex!AH$28-AH28</f>
        <v>5950</v>
      </c>
      <c r="AI43" s="51" t="n">
        <f aca="false">Capex!AI$28-AI28</f>
        <v>5808.33333333333</v>
      </c>
      <c r="AJ43" s="51" t="n">
        <f aca="false">Capex!AJ$28-AJ28</f>
        <v>5666.66666666667</v>
      </c>
      <c r="AK43" s="51" t="n">
        <f aca="false">Capex!AK$28-AK28</f>
        <v>5525</v>
      </c>
      <c r="AL43" s="51" t="n">
        <f aca="false">Capex!AL$28-AL28</f>
        <v>5383.33333333333</v>
      </c>
      <c r="AN43" s="52" t="n">
        <f aca="false">N43</f>
        <v>0</v>
      </c>
      <c r="AO43" s="52" t="n">
        <f aca="false">Z43</f>
        <v>7083.33333333333</v>
      </c>
      <c r="AP43" s="52" t="n">
        <f aca="false">AL43</f>
        <v>5383.33333333333</v>
      </c>
    </row>
    <row r="44" customFormat="false" ht="15" hidden="false" customHeight="false" outlineLevel="0" collapsed="false">
      <c r="A44" s="26" t="s">
        <v>301</v>
      </c>
      <c r="B44" s="24"/>
      <c r="C44" s="51" t="n">
        <f aca="false">Capex!C$29-C29</f>
        <v>4200</v>
      </c>
      <c r="D44" s="51" t="n">
        <f aca="false">Capex!D$29-D29</f>
        <v>4112.5</v>
      </c>
      <c r="E44" s="51" t="n">
        <f aca="false">Capex!E$29-E29</f>
        <v>4025</v>
      </c>
      <c r="F44" s="51" t="n">
        <f aca="false">Capex!F$29-F29</f>
        <v>3937.5</v>
      </c>
      <c r="G44" s="51" t="n">
        <f aca="false">Capex!G$29-G29</f>
        <v>3850</v>
      </c>
      <c r="H44" s="51" t="n">
        <f aca="false">Capex!H$29-H29</f>
        <v>3762.5</v>
      </c>
      <c r="I44" s="51" t="n">
        <f aca="false">Capex!I$29-I29</f>
        <v>3675</v>
      </c>
      <c r="J44" s="51" t="n">
        <f aca="false">Capex!J$29-J29</f>
        <v>3587.5</v>
      </c>
      <c r="K44" s="51" t="n">
        <f aca="false">Capex!K$29-K29</f>
        <v>3500</v>
      </c>
      <c r="L44" s="51" t="n">
        <f aca="false">Capex!L$29-L29</f>
        <v>3412.5</v>
      </c>
      <c r="M44" s="51" t="n">
        <f aca="false">Capex!M$29-M29</f>
        <v>3325</v>
      </c>
      <c r="N44" s="51" t="n">
        <f aca="false">Capex!N$29-N29</f>
        <v>3237.5</v>
      </c>
      <c r="O44" s="51" t="n">
        <f aca="false">Capex!O$29-O29</f>
        <v>3150</v>
      </c>
      <c r="P44" s="51" t="n">
        <f aca="false">Capex!P$29-P29</f>
        <v>3062.5</v>
      </c>
      <c r="Q44" s="51" t="n">
        <f aca="false">Capex!Q$29-Q29</f>
        <v>2975</v>
      </c>
      <c r="R44" s="51" t="n">
        <f aca="false">Capex!R$29-R29</f>
        <v>2887.5</v>
      </c>
      <c r="S44" s="51" t="n">
        <f aca="false">Capex!S$29-S29</f>
        <v>2800</v>
      </c>
      <c r="T44" s="51" t="n">
        <f aca="false">Capex!T$29-T29</f>
        <v>2712.5</v>
      </c>
      <c r="U44" s="51" t="n">
        <f aca="false">Capex!U$29-U29</f>
        <v>2625</v>
      </c>
      <c r="V44" s="51" t="n">
        <f aca="false">Capex!V$29-V29</f>
        <v>2537.5</v>
      </c>
      <c r="W44" s="51" t="n">
        <f aca="false">Capex!W$29-W29</f>
        <v>2450</v>
      </c>
      <c r="X44" s="51" t="n">
        <f aca="false">Capex!X$29-X29</f>
        <v>2362.5</v>
      </c>
      <c r="Y44" s="51" t="n">
        <f aca="false">Capex!Y$29-Y29</f>
        <v>2275</v>
      </c>
      <c r="Z44" s="51" t="n">
        <f aca="false">Capex!Z$29-Z29</f>
        <v>2187.5</v>
      </c>
      <c r="AA44" s="51" t="n">
        <f aca="false">Capex!AA$29-AA29</f>
        <v>2100</v>
      </c>
      <c r="AB44" s="51" t="n">
        <f aca="false">Capex!AB$29-AB29</f>
        <v>2012.5</v>
      </c>
      <c r="AC44" s="51" t="n">
        <f aca="false">Capex!AC$29-AC29</f>
        <v>1925</v>
      </c>
      <c r="AD44" s="51" t="n">
        <f aca="false">Capex!AD$29-AD29</f>
        <v>1837.5</v>
      </c>
      <c r="AE44" s="51" t="n">
        <f aca="false">Capex!AE$29-AE29</f>
        <v>1750</v>
      </c>
      <c r="AF44" s="51" t="n">
        <f aca="false">Capex!AF$29-AF29</f>
        <v>1662.5</v>
      </c>
      <c r="AG44" s="51" t="n">
        <f aca="false">Capex!AG$29-AG29</f>
        <v>1575</v>
      </c>
      <c r="AH44" s="51" t="n">
        <f aca="false">Capex!AH$29-AH29</f>
        <v>1487.5</v>
      </c>
      <c r="AI44" s="51" t="n">
        <f aca="false">Capex!AI$29-AI29</f>
        <v>1400</v>
      </c>
      <c r="AJ44" s="51" t="n">
        <f aca="false">Capex!AJ$29-AJ29</f>
        <v>1312.5</v>
      </c>
      <c r="AK44" s="51" t="n">
        <f aca="false">Capex!AK$29-AK29</f>
        <v>1225</v>
      </c>
      <c r="AL44" s="51" t="n">
        <f aca="false">Capex!AL$29-AL29</f>
        <v>1137.5</v>
      </c>
      <c r="AN44" s="52" t="n">
        <f aca="false">N44</f>
        <v>3237.5</v>
      </c>
      <c r="AO44" s="52" t="n">
        <f aca="false">Z44</f>
        <v>2187.5</v>
      </c>
      <c r="AP44" s="52" t="n">
        <f aca="false">AL44</f>
        <v>1137.5</v>
      </c>
    </row>
    <row r="45" customFormat="false" ht="15" hidden="false" customHeight="false" outlineLevel="0" collapsed="false">
      <c r="A45" s="26" t="s">
        <v>302</v>
      </c>
      <c r="B45" s="24"/>
      <c r="C45" s="51" t="n">
        <f aca="false">Capex!C$30-C30</f>
        <v>86000</v>
      </c>
      <c r="D45" s="51" t="n">
        <f aca="false">Capex!D$30-D30</f>
        <v>83611.1111111111</v>
      </c>
      <c r="E45" s="51" t="n">
        <f aca="false">Capex!E$30-E30</f>
        <v>81222.2222222222</v>
      </c>
      <c r="F45" s="51" t="n">
        <f aca="false">Capex!F$30-F30</f>
        <v>78833.3333333333</v>
      </c>
      <c r="G45" s="51" t="n">
        <f aca="false">Capex!G$30-G30</f>
        <v>76444.4444444444</v>
      </c>
      <c r="H45" s="51" t="n">
        <f aca="false">Capex!H$30-H30</f>
        <v>74055.5555555556</v>
      </c>
      <c r="I45" s="51" t="n">
        <f aca="false">Capex!I$30-I30</f>
        <v>71666.6666666667</v>
      </c>
      <c r="J45" s="51" t="n">
        <f aca="false">Capex!J$30-J30</f>
        <v>69277.7777777778</v>
      </c>
      <c r="K45" s="51" t="n">
        <f aca="false">Capex!K$30-K30</f>
        <v>66888.8888888889</v>
      </c>
      <c r="L45" s="51" t="n">
        <f aca="false">Capex!L$30-L30</f>
        <v>64500</v>
      </c>
      <c r="M45" s="51" t="n">
        <f aca="false">Capex!M$30-M30</f>
        <v>62111.1111111111</v>
      </c>
      <c r="N45" s="51" t="n">
        <f aca="false">Capex!N$30-N30</f>
        <v>59722.2222222222</v>
      </c>
      <c r="O45" s="51" t="n">
        <f aca="false">Capex!O$30-O30</f>
        <v>57333.3333333333</v>
      </c>
      <c r="P45" s="51" t="n">
        <f aca="false">Capex!P$30-P30</f>
        <v>54944.4444444444</v>
      </c>
      <c r="Q45" s="51" t="n">
        <f aca="false">Capex!Q$30-Q30</f>
        <v>52555.5555555556</v>
      </c>
      <c r="R45" s="51" t="n">
        <f aca="false">Capex!R$30-R30</f>
        <v>50166.6666666667</v>
      </c>
      <c r="S45" s="51" t="n">
        <f aca="false">Capex!S$30-S30</f>
        <v>47777.7777777778</v>
      </c>
      <c r="T45" s="51" t="n">
        <f aca="false">Capex!T$30-T30</f>
        <v>45388.8888888889</v>
      </c>
      <c r="U45" s="51" t="n">
        <f aca="false">Capex!U$30-U30</f>
        <v>43000</v>
      </c>
      <c r="V45" s="51" t="n">
        <f aca="false">Capex!V$30-V30</f>
        <v>40611.1111111111</v>
      </c>
      <c r="W45" s="51" t="n">
        <f aca="false">Capex!W$30-W30</f>
        <v>38222.2222222222</v>
      </c>
      <c r="X45" s="51" t="n">
        <f aca="false">Capex!X$30-X30</f>
        <v>35833.3333333333</v>
      </c>
      <c r="Y45" s="51" t="n">
        <f aca="false">Capex!Y$30-Y30</f>
        <v>33444.4444444444</v>
      </c>
      <c r="Z45" s="51" t="n">
        <f aca="false">Capex!Z$30-Z30</f>
        <v>31055.5555555555</v>
      </c>
      <c r="AA45" s="51" t="n">
        <f aca="false">Capex!AA$30-AA30</f>
        <v>28666.6666666666</v>
      </c>
      <c r="AB45" s="51" t="n">
        <f aca="false">Capex!AB$30-AB30</f>
        <v>26277.7777777778</v>
      </c>
      <c r="AC45" s="51" t="n">
        <f aca="false">Capex!AC$30-AC30</f>
        <v>23888.8888888889</v>
      </c>
      <c r="AD45" s="51" t="n">
        <f aca="false">Capex!AD$30-AD30</f>
        <v>21500</v>
      </c>
      <c r="AE45" s="51" t="n">
        <f aca="false">Capex!AE$30-AE30</f>
        <v>19111.1111111111</v>
      </c>
      <c r="AF45" s="51" t="n">
        <f aca="false">Capex!AF$30-AF30</f>
        <v>16722.2222222222</v>
      </c>
      <c r="AG45" s="51" t="n">
        <f aca="false">Capex!AG$30-AG30</f>
        <v>14333.3333333333</v>
      </c>
      <c r="AH45" s="51" t="n">
        <f aca="false">Capex!AH$30-AH30</f>
        <v>11944.4444444444</v>
      </c>
      <c r="AI45" s="51" t="n">
        <f aca="false">Capex!AI$30-AI30</f>
        <v>9555.55555555552</v>
      </c>
      <c r="AJ45" s="51" t="n">
        <f aca="false">Capex!AJ$30-AJ30</f>
        <v>7166.66666666663</v>
      </c>
      <c r="AK45" s="51" t="n">
        <f aca="false">Capex!AK$30-AK30</f>
        <v>4777.77777777774</v>
      </c>
      <c r="AL45" s="51" t="n">
        <f aca="false">Capex!AL$30-AL30</f>
        <v>2388.88888888885</v>
      </c>
      <c r="AN45" s="52" t="n">
        <f aca="false">N45</f>
        <v>59722.2222222222</v>
      </c>
      <c r="AO45" s="52" t="n">
        <f aca="false">Z45</f>
        <v>31055.5555555555</v>
      </c>
      <c r="AP45" s="52" t="n">
        <f aca="false">AL45</f>
        <v>2388.88888888885</v>
      </c>
    </row>
    <row r="46" customFormat="false" ht="15" hidden="false" customHeight="false" outlineLevel="0" collapsed="false">
      <c r="A46" s="26" t="s">
        <v>303</v>
      </c>
      <c r="B46" s="24"/>
      <c r="C46" s="51" t="n">
        <f aca="false">Capex!C$31-C31</f>
        <v>42000</v>
      </c>
      <c r="D46" s="51" t="n">
        <f aca="false">Capex!D$31-D31</f>
        <v>40833.3333333333</v>
      </c>
      <c r="E46" s="51" t="n">
        <f aca="false">Capex!E$31-E31</f>
        <v>39666.6666666667</v>
      </c>
      <c r="F46" s="51" t="n">
        <f aca="false">Capex!F$31-F31</f>
        <v>38500</v>
      </c>
      <c r="G46" s="51" t="n">
        <f aca="false">Capex!G$31-G31</f>
        <v>37333.3333333333</v>
      </c>
      <c r="H46" s="51" t="n">
        <f aca="false">Capex!H$31-H31</f>
        <v>36166.6666666667</v>
      </c>
      <c r="I46" s="51" t="n">
        <f aca="false">Capex!I$31-I31</f>
        <v>35000</v>
      </c>
      <c r="J46" s="51" t="n">
        <f aca="false">Capex!J$31-J31</f>
        <v>33833.3333333333</v>
      </c>
      <c r="K46" s="51" t="n">
        <f aca="false">Capex!K$31-K31</f>
        <v>32666.6666666667</v>
      </c>
      <c r="L46" s="51" t="n">
        <f aca="false">Capex!L$31-L31</f>
        <v>31500</v>
      </c>
      <c r="M46" s="51" t="n">
        <f aca="false">Capex!M$31-M31</f>
        <v>30333.3333333333</v>
      </c>
      <c r="N46" s="51" t="n">
        <f aca="false">Capex!N$31-N31</f>
        <v>29166.6666666667</v>
      </c>
      <c r="O46" s="51" t="n">
        <f aca="false">Capex!O$31-O31</f>
        <v>28000</v>
      </c>
      <c r="P46" s="51" t="n">
        <f aca="false">Capex!P$31-P31</f>
        <v>26833.3333333333</v>
      </c>
      <c r="Q46" s="51" t="n">
        <f aca="false">Capex!Q$31-Q31</f>
        <v>25666.6666666667</v>
      </c>
      <c r="R46" s="51" t="n">
        <f aca="false">Capex!R$31-R31</f>
        <v>24500</v>
      </c>
      <c r="S46" s="51" t="n">
        <f aca="false">Capex!S$31-S31</f>
        <v>23333.3333333333</v>
      </c>
      <c r="T46" s="51" t="n">
        <f aca="false">Capex!T$31-T31</f>
        <v>22166.6666666667</v>
      </c>
      <c r="U46" s="51" t="n">
        <f aca="false">Capex!U$31-U31</f>
        <v>21000</v>
      </c>
      <c r="V46" s="51" t="n">
        <f aca="false">Capex!V$31-V31</f>
        <v>19833.3333333333</v>
      </c>
      <c r="W46" s="51" t="n">
        <f aca="false">Capex!W$31-W31</f>
        <v>18666.6666666667</v>
      </c>
      <c r="X46" s="51" t="n">
        <f aca="false">Capex!X$31-X31</f>
        <v>17500</v>
      </c>
      <c r="Y46" s="51" t="n">
        <f aca="false">Capex!Y$31-Y31</f>
        <v>16333.3333333333</v>
      </c>
      <c r="Z46" s="51" t="n">
        <f aca="false">Capex!Z$31-Z31</f>
        <v>15166.6666666667</v>
      </c>
      <c r="AA46" s="51" t="n">
        <f aca="false">Capex!AA$31-AA31</f>
        <v>14000</v>
      </c>
      <c r="AB46" s="51" t="n">
        <f aca="false">Capex!AB$31-AB31</f>
        <v>12833.3333333333</v>
      </c>
      <c r="AC46" s="51" t="n">
        <f aca="false">Capex!AC$31-AC31</f>
        <v>11666.6666666667</v>
      </c>
      <c r="AD46" s="51" t="n">
        <f aca="false">Capex!AD$31-AD31</f>
        <v>10500</v>
      </c>
      <c r="AE46" s="51" t="n">
        <f aca="false">Capex!AE$31-AE31</f>
        <v>9333.33333333332</v>
      </c>
      <c r="AF46" s="51" t="n">
        <f aca="false">Capex!AF$31-AF31</f>
        <v>8166.66666666666</v>
      </c>
      <c r="AG46" s="51" t="n">
        <f aca="false">Capex!AG$31-AG31</f>
        <v>6999.99999999999</v>
      </c>
      <c r="AH46" s="51" t="n">
        <f aca="false">Capex!AH$31-AH31</f>
        <v>5833.33333333333</v>
      </c>
      <c r="AI46" s="51" t="n">
        <f aca="false">Capex!AI$31-AI31</f>
        <v>4666.66666666666</v>
      </c>
      <c r="AJ46" s="51" t="n">
        <f aca="false">Capex!AJ$31-AJ31</f>
        <v>3500</v>
      </c>
      <c r="AK46" s="51" t="n">
        <f aca="false">Capex!AK$31-AK31</f>
        <v>2333.33333333334</v>
      </c>
      <c r="AL46" s="51" t="n">
        <f aca="false">Capex!AL$31-AL31</f>
        <v>1166.66666666667</v>
      </c>
      <c r="AN46" s="52" t="n">
        <f aca="false">N46</f>
        <v>29166.6666666667</v>
      </c>
      <c r="AO46" s="52" t="n">
        <f aca="false">Z46</f>
        <v>15166.6666666667</v>
      </c>
      <c r="AP46" s="52" t="n">
        <f aca="false">AL46</f>
        <v>1166.66666666667</v>
      </c>
    </row>
    <row r="47" customFormat="false" ht="15" hidden="false" customHeight="false" outlineLevel="0" collapsed="false">
      <c r="A47" s="26" t="s">
        <v>304</v>
      </c>
      <c r="B47" s="24"/>
      <c r="C47" s="51" t="n">
        <f aca="false">Capex!C$32-C32</f>
        <v>11000</v>
      </c>
      <c r="D47" s="51" t="n">
        <f aca="false">Capex!D$32-D32</f>
        <v>10816.6666666667</v>
      </c>
      <c r="E47" s="51" t="n">
        <f aca="false">Capex!E$32-E32</f>
        <v>10633.3333333333</v>
      </c>
      <c r="F47" s="51" t="n">
        <f aca="false">Capex!F$32-F32</f>
        <v>10450</v>
      </c>
      <c r="G47" s="51" t="n">
        <f aca="false">Capex!G$32-G32</f>
        <v>10266.6666666667</v>
      </c>
      <c r="H47" s="51" t="n">
        <f aca="false">Capex!H$32-H32</f>
        <v>10083.3333333333</v>
      </c>
      <c r="I47" s="51" t="n">
        <f aca="false">Capex!I$32-I32</f>
        <v>9900</v>
      </c>
      <c r="J47" s="51" t="n">
        <f aca="false">Capex!J$32-J32</f>
        <v>9716.66666666667</v>
      </c>
      <c r="K47" s="51" t="n">
        <f aca="false">Capex!K$32-K32</f>
        <v>9533.33333333333</v>
      </c>
      <c r="L47" s="51" t="n">
        <f aca="false">Capex!L$32-L32</f>
        <v>9350</v>
      </c>
      <c r="M47" s="51" t="n">
        <f aca="false">Capex!M$32-M32</f>
        <v>9166.66666666667</v>
      </c>
      <c r="N47" s="51" t="n">
        <f aca="false">Capex!N$32-N32</f>
        <v>8983.33333333333</v>
      </c>
      <c r="O47" s="51" t="n">
        <f aca="false">Capex!O$32-O32</f>
        <v>8800</v>
      </c>
      <c r="P47" s="51" t="n">
        <f aca="false">Capex!P$32-P32</f>
        <v>8616.66666666667</v>
      </c>
      <c r="Q47" s="51" t="n">
        <f aca="false">Capex!Q$32-Q32</f>
        <v>8433.33333333333</v>
      </c>
      <c r="R47" s="51" t="n">
        <f aca="false">Capex!R$32-R32</f>
        <v>8250</v>
      </c>
      <c r="S47" s="51" t="n">
        <f aca="false">Capex!S$32-S32</f>
        <v>8066.66666666667</v>
      </c>
      <c r="T47" s="51" t="n">
        <f aca="false">Capex!T$32-T32</f>
        <v>7883.33333333333</v>
      </c>
      <c r="U47" s="51" t="n">
        <f aca="false">Capex!U$32-U32</f>
        <v>7700</v>
      </c>
      <c r="V47" s="51" t="n">
        <f aca="false">Capex!V$32-V32</f>
        <v>7516.66666666667</v>
      </c>
      <c r="W47" s="51" t="n">
        <f aca="false">Capex!W$32-W32</f>
        <v>7333.33333333333</v>
      </c>
      <c r="X47" s="51" t="n">
        <f aca="false">Capex!X$32-X32</f>
        <v>7150</v>
      </c>
      <c r="Y47" s="51" t="n">
        <f aca="false">Capex!Y$32-Y32</f>
        <v>6966.66666666667</v>
      </c>
      <c r="Z47" s="51" t="n">
        <f aca="false">Capex!Z$32-Z32</f>
        <v>6783.33333333333</v>
      </c>
      <c r="AA47" s="51" t="n">
        <f aca="false">Capex!AA$32-AA32</f>
        <v>6600</v>
      </c>
      <c r="AB47" s="51" t="n">
        <f aca="false">Capex!AB$32-AB32</f>
        <v>6416.66666666667</v>
      </c>
      <c r="AC47" s="51" t="n">
        <f aca="false">Capex!AC$32-AC32</f>
        <v>6233.33333333333</v>
      </c>
      <c r="AD47" s="51" t="n">
        <f aca="false">Capex!AD$32-AD32</f>
        <v>6050</v>
      </c>
      <c r="AE47" s="51" t="n">
        <f aca="false">Capex!AE$32-AE32</f>
        <v>5866.66666666667</v>
      </c>
      <c r="AF47" s="51" t="n">
        <f aca="false">Capex!AF$32-AF32</f>
        <v>5683.33333333333</v>
      </c>
      <c r="AG47" s="51" t="n">
        <f aca="false">Capex!AG$32-AG32</f>
        <v>5500</v>
      </c>
      <c r="AH47" s="51" t="n">
        <f aca="false">Capex!AH$32-AH32</f>
        <v>5316.66666666667</v>
      </c>
      <c r="AI47" s="51" t="n">
        <f aca="false">Capex!AI$32-AI32</f>
        <v>5133.33333333334</v>
      </c>
      <c r="AJ47" s="51" t="n">
        <f aca="false">Capex!AJ$32-AJ32</f>
        <v>4950</v>
      </c>
      <c r="AK47" s="51" t="n">
        <f aca="false">Capex!AK$32-AK32</f>
        <v>4766.66666666667</v>
      </c>
      <c r="AL47" s="51" t="n">
        <f aca="false">Capex!AL$32-AL32</f>
        <v>4583.33333333334</v>
      </c>
      <c r="AN47" s="52" t="n">
        <f aca="false">N47</f>
        <v>8983.33333333333</v>
      </c>
      <c r="AO47" s="52" t="n">
        <f aca="false">Z47</f>
        <v>6783.33333333333</v>
      </c>
      <c r="AP47" s="52" t="n">
        <f aca="false">AL47</f>
        <v>4583.33333333334</v>
      </c>
    </row>
    <row r="48" customFormat="false" ht="15" hidden="false" customHeight="false" outlineLevel="0" collapsed="false">
      <c r="A48" s="53" t="s">
        <v>605</v>
      </c>
      <c r="B48" s="54" t="s">
        <v>606</v>
      </c>
      <c r="C48" s="55" t="n">
        <f aca="false">SUM(C37:C47)</f>
        <v>173520</v>
      </c>
      <c r="D48" s="55" t="n">
        <f aca="false">SUM(D37:D47)</f>
        <v>178528.694444444</v>
      </c>
      <c r="E48" s="55" t="n">
        <f aca="false">SUM(E37:E47)</f>
        <v>173839.472222222</v>
      </c>
      <c r="F48" s="55" t="n">
        <f aca="false">SUM(F37:F47)</f>
        <v>169150.25</v>
      </c>
      <c r="G48" s="55" t="n">
        <f aca="false">SUM(G37:G47)</f>
        <v>164461.027777778</v>
      </c>
      <c r="H48" s="55" t="n">
        <f aca="false">SUM(H37:H47)</f>
        <v>159771.805555556</v>
      </c>
      <c r="I48" s="55" t="n">
        <f aca="false">SUM(I37:I47)</f>
        <v>155082.583333333</v>
      </c>
      <c r="J48" s="55" t="n">
        <f aca="false">SUM(J37:J47)</f>
        <v>150393.361111111</v>
      </c>
      <c r="K48" s="55" t="n">
        <f aca="false">SUM(K37:K47)</f>
        <v>145704.138888889</v>
      </c>
      <c r="L48" s="55" t="n">
        <f aca="false">SUM(L37:L47)</f>
        <v>141014.916666667</v>
      </c>
      <c r="M48" s="55" t="n">
        <f aca="false">SUM(M37:M47)</f>
        <v>136325.694444444</v>
      </c>
      <c r="N48" s="55" t="n">
        <f aca="false">SUM(N37:N47)</f>
        <v>131636.472222222</v>
      </c>
      <c r="O48" s="55" t="n">
        <f aca="false">SUM(O37:O47)</f>
        <v>135107.25</v>
      </c>
      <c r="P48" s="55" t="n">
        <f aca="false">SUM(P37:P47)</f>
        <v>138702.236111111</v>
      </c>
      <c r="Q48" s="55" t="n">
        <f aca="false">SUM(Q37:Q47)</f>
        <v>133655.555555556</v>
      </c>
      <c r="R48" s="55" t="n">
        <f aca="false">SUM(R37:R47)</f>
        <v>128608.875</v>
      </c>
      <c r="S48" s="55" t="n">
        <f aca="false">SUM(S37:S47)</f>
        <v>123562.194444444</v>
      </c>
      <c r="T48" s="55" t="n">
        <f aca="false">SUM(T37:T47)</f>
        <v>118515.513888889</v>
      </c>
      <c r="U48" s="55" t="n">
        <f aca="false">SUM(U37:U47)</f>
        <v>113468.833333333</v>
      </c>
      <c r="V48" s="55" t="n">
        <f aca="false">SUM(V37:V47)</f>
        <v>108422.152777778</v>
      </c>
      <c r="W48" s="55" t="n">
        <f aca="false">SUM(W37:W47)</f>
        <v>103375.472222222</v>
      </c>
      <c r="X48" s="55" t="n">
        <f aca="false">SUM(X37:X47)</f>
        <v>98328.7916666666</v>
      </c>
      <c r="Y48" s="55" t="n">
        <f aca="false">SUM(Y37:Y47)</f>
        <v>93282.1111111111</v>
      </c>
      <c r="Z48" s="55" t="n">
        <f aca="false">SUM(Z37:Z47)</f>
        <v>88235.4305555555</v>
      </c>
      <c r="AA48" s="55" t="n">
        <f aca="false">SUM(AA37:AA47)</f>
        <v>91348.75</v>
      </c>
      <c r="AB48" s="55" t="n">
        <f aca="false">SUM(AB37:AB47)</f>
        <v>86086.2777777778</v>
      </c>
      <c r="AC48" s="55" t="n">
        <f aca="false">SUM(AC37:AC47)</f>
        <v>80823.8055555555</v>
      </c>
      <c r="AD48" s="55" t="n">
        <f aca="false">SUM(AD37:AD47)</f>
        <v>75561.3333333333</v>
      </c>
      <c r="AE48" s="55" t="n">
        <f aca="false">SUM(AE37:AE47)</f>
        <v>70298.8611111111</v>
      </c>
      <c r="AF48" s="55" t="n">
        <f aca="false">SUM(AF37:AF47)</f>
        <v>65036.3888888889</v>
      </c>
      <c r="AG48" s="55" t="n">
        <f aca="false">SUM(AG37:AG47)</f>
        <v>59773.9166666666</v>
      </c>
      <c r="AH48" s="55" t="n">
        <f aca="false">SUM(AH37:AH47)</f>
        <v>54511.4444444444</v>
      </c>
      <c r="AI48" s="55" t="n">
        <f aca="false">SUM(AI37:AI47)</f>
        <v>49248.9722222222</v>
      </c>
      <c r="AJ48" s="55" t="n">
        <f aca="false">SUM(AJ37:AJ47)</f>
        <v>43986.5</v>
      </c>
      <c r="AK48" s="55" t="n">
        <f aca="false">SUM(AK37:AK47)</f>
        <v>38919.0277777778</v>
      </c>
      <c r="AL48" s="55" t="n">
        <f aca="false">SUM(AL37:AL47)</f>
        <v>33851.5555555555</v>
      </c>
      <c r="AN48" s="52" t="n">
        <f aca="false">N48</f>
        <v>131636.472222222</v>
      </c>
      <c r="AO48" s="52" t="n">
        <f aca="false">Z48</f>
        <v>88235.4305555555</v>
      </c>
      <c r="AP48" s="52" t="n">
        <f aca="false">AL48</f>
        <v>33851.5555555555</v>
      </c>
    </row>
    <row r="50" customFormat="false" ht="15" hidden="false" customHeight="false" outlineLevel="0" collapsed="false">
      <c r="A50" s="10" t="s">
        <v>607</v>
      </c>
      <c r="B50" s="24" t="s">
        <v>608</v>
      </c>
      <c r="C50" s="64" t="n">
        <f aca="false">C37+C38+C39+C40+C41+C42+C43+C44</f>
        <v>34520</v>
      </c>
      <c r="D50" s="64" t="n">
        <f aca="false">D37+D38+D39+D40+D41+D42+D43+D44</f>
        <v>43267.5833333333</v>
      </c>
      <c r="E50" s="64" t="n">
        <f aca="false">E37+E38+E39+E40+E41+E42+E43+E44</f>
        <v>42317.25</v>
      </c>
      <c r="F50" s="64" t="n">
        <f aca="false">F37+F38+F39+F40+F41+F42+F43+F44</f>
        <v>41366.9166666667</v>
      </c>
      <c r="G50" s="64" t="n">
        <f aca="false">G37+G38+G39+G40+G41+G42+G43+G44</f>
        <v>40416.5833333333</v>
      </c>
      <c r="H50" s="64" t="n">
        <f aca="false">H37+H38+H39+H40+H41+H42+H43+H44</f>
        <v>39466.25</v>
      </c>
      <c r="I50" s="64" t="n">
        <f aca="false">I37+I38+I39+I40+I41+I42+I43+I44</f>
        <v>38515.9166666667</v>
      </c>
      <c r="J50" s="64" t="n">
        <f aca="false">J37+J38+J39+J40+J41+J42+J43+J44</f>
        <v>37565.5833333333</v>
      </c>
      <c r="K50" s="64" t="n">
        <f aca="false">K37+K38+K39+K40+K41+K42+K43+K44</f>
        <v>36615.25</v>
      </c>
      <c r="L50" s="64" t="n">
        <f aca="false">L37+L38+L39+L40+L41+L42+L43+L44</f>
        <v>35664.9166666667</v>
      </c>
      <c r="M50" s="64" t="n">
        <f aca="false">M37+M38+M39+M40+M41+M42+M43+M44</f>
        <v>34714.5833333333</v>
      </c>
      <c r="N50" s="64" t="n">
        <f aca="false">N37+N38+N39+N40+N41+N42+N43+N44</f>
        <v>33764.25</v>
      </c>
      <c r="O50" s="64" t="n">
        <f aca="false">O37+O38+O39+O40+O41+O42+O43+O44</f>
        <v>40973.9166666667</v>
      </c>
      <c r="P50" s="64" t="n">
        <f aca="false">P37+P38+P39+P40+P41+P42+P43+P44</f>
        <v>48307.7916666667</v>
      </c>
      <c r="Q50" s="64" t="n">
        <f aca="false">Q37+Q38+Q39+Q40+Q41+Q42+Q43+Q44</f>
        <v>47000</v>
      </c>
      <c r="R50" s="64" t="n">
        <f aca="false">R37+R38+R39+R40+R41+R42+R43+R44</f>
        <v>45692.2083333333</v>
      </c>
      <c r="S50" s="64" t="n">
        <f aca="false">S37+S38+S39+S40+S41+S42+S43+S44</f>
        <v>44384.4166666667</v>
      </c>
      <c r="T50" s="64" t="n">
        <f aca="false">T37+T38+T39+T40+T41+T42+T43+T44</f>
        <v>43076.625</v>
      </c>
      <c r="U50" s="64" t="n">
        <f aca="false">U37+U38+U39+U40+U41+U42+U43+U44</f>
        <v>41768.8333333333</v>
      </c>
      <c r="V50" s="64" t="n">
        <f aca="false">V37+V38+V39+V40+V41+V42+V43+V44</f>
        <v>40461.0416666667</v>
      </c>
      <c r="W50" s="64" t="n">
        <f aca="false">W37+W38+W39+W40+W41+W42+W43+W44</f>
        <v>39153.25</v>
      </c>
      <c r="X50" s="64" t="n">
        <f aca="false">X37+X38+X39+X40+X41+X42+X43+X44</f>
        <v>37845.4583333333</v>
      </c>
      <c r="Y50" s="64" t="n">
        <f aca="false">Y37+Y38+Y39+Y40+Y41+Y42+Y43+Y44</f>
        <v>36537.6666666667</v>
      </c>
      <c r="Z50" s="64" t="n">
        <f aca="false">Z37+Z38+Z39+Z40+Z41+Z42+Z43+Z44</f>
        <v>35229.875</v>
      </c>
      <c r="AA50" s="64" t="n">
        <f aca="false">AA37+AA38+AA39+AA40+AA41+AA42+AA43+AA44</f>
        <v>42082.0833333333</v>
      </c>
      <c r="AB50" s="64" t="n">
        <f aca="false">AB37+AB38+AB39+AB40+AB41+AB42+AB43+AB44</f>
        <v>40558.5</v>
      </c>
      <c r="AC50" s="64" t="n">
        <f aca="false">AC37+AC38+AC39+AC40+AC41+AC42+AC43+AC44</f>
        <v>39034.9166666667</v>
      </c>
      <c r="AD50" s="64" t="n">
        <f aca="false">AD37+AD38+AD39+AD40+AD41+AD42+AD43+AD44</f>
        <v>37511.3333333333</v>
      </c>
      <c r="AE50" s="64" t="n">
        <f aca="false">AE37+AE38+AE39+AE40+AE41+AE42+AE43+AE44</f>
        <v>35987.75</v>
      </c>
      <c r="AF50" s="64" t="n">
        <f aca="false">AF37+AF38+AF39+AF40+AF41+AF42+AF43+AF44</f>
        <v>34464.1666666667</v>
      </c>
      <c r="AG50" s="64" t="n">
        <f aca="false">AG37+AG38+AG39+AG40+AG41+AG42+AG43+AG44</f>
        <v>32940.5833333333</v>
      </c>
      <c r="AH50" s="64" t="n">
        <f aca="false">AH37+AH38+AH39+AH40+AH41+AH42+AH43+AH44</f>
        <v>31417</v>
      </c>
      <c r="AI50" s="64" t="n">
        <f aca="false">AI37+AI38+AI39+AI40+AI41+AI42+AI43+AI44</f>
        <v>29893.4166666667</v>
      </c>
      <c r="AJ50" s="64" t="n">
        <f aca="false">AJ37+AJ38+AJ39+AJ40+AJ41+AJ42+AJ43+AJ44</f>
        <v>28369.8333333333</v>
      </c>
      <c r="AK50" s="64" t="n">
        <f aca="false">AK37+AK38+AK39+AK40+AK41+AK42+AK43+AK44</f>
        <v>27041.25</v>
      </c>
      <c r="AL50" s="64" t="n">
        <f aca="false">AL37+AL38+AL39+AL40+AL41+AL42+AL43+AL44</f>
        <v>25712.6666666667</v>
      </c>
      <c r="AN50" s="52" t="n">
        <f aca="false">N50</f>
        <v>33764.25</v>
      </c>
      <c r="AO50" s="52" t="n">
        <f aca="false">Z50</f>
        <v>35229.875</v>
      </c>
      <c r="AP50" s="52" t="n">
        <f aca="false">AL50</f>
        <v>25712.6666666667</v>
      </c>
    </row>
    <row r="51" customFormat="false" ht="15" hidden="false" customHeight="false" outlineLevel="0" collapsed="false">
      <c r="A51" s="10" t="s">
        <v>609</v>
      </c>
      <c r="B51" s="24" t="s">
        <v>610</v>
      </c>
      <c r="C51" s="64" t="n">
        <f aca="false">C45+C46+C47</f>
        <v>139000</v>
      </c>
      <c r="D51" s="64" t="n">
        <f aca="false">D45+D46+D47</f>
        <v>135261.111111111</v>
      </c>
      <c r="E51" s="64" t="n">
        <f aca="false">E45+E46+E47</f>
        <v>131522.222222222</v>
      </c>
      <c r="F51" s="64" t="n">
        <f aca="false">F45+F46+F47</f>
        <v>127783.333333333</v>
      </c>
      <c r="G51" s="64" t="n">
        <f aca="false">G45+G46+G47</f>
        <v>124044.444444444</v>
      </c>
      <c r="H51" s="64" t="n">
        <f aca="false">H45+H46+H47</f>
        <v>120305.555555556</v>
      </c>
      <c r="I51" s="64" t="n">
        <f aca="false">I45+I46+I47</f>
        <v>116566.666666667</v>
      </c>
      <c r="J51" s="64" t="n">
        <f aca="false">J45+J46+J47</f>
        <v>112827.777777778</v>
      </c>
      <c r="K51" s="64" t="n">
        <f aca="false">K45+K46+K47</f>
        <v>109088.888888889</v>
      </c>
      <c r="L51" s="64" t="n">
        <f aca="false">L45+L46+L47</f>
        <v>105350</v>
      </c>
      <c r="M51" s="64" t="n">
        <f aca="false">M45+M46+M47</f>
        <v>101611.111111111</v>
      </c>
      <c r="N51" s="64" t="n">
        <f aca="false">N45+N46+N47</f>
        <v>97872.2222222222</v>
      </c>
      <c r="O51" s="64" t="n">
        <f aca="false">O45+O46+O47</f>
        <v>94133.3333333333</v>
      </c>
      <c r="P51" s="64" t="n">
        <f aca="false">P45+P46+P47</f>
        <v>90394.4444444445</v>
      </c>
      <c r="Q51" s="64" t="n">
        <f aca="false">Q45+Q46+Q47</f>
        <v>86655.5555555556</v>
      </c>
      <c r="R51" s="64" t="n">
        <f aca="false">R45+R46+R47</f>
        <v>82916.6666666667</v>
      </c>
      <c r="S51" s="64" t="n">
        <f aca="false">S45+S46+S47</f>
        <v>79177.7777777778</v>
      </c>
      <c r="T51" s="64" t="n">
        <f aca="false">T45+T46+T47</f>
        <v>75438.8888888889</v>
      </c>
      <c r="U51" s="64" t="n">
        <f aca="false">U45+U46+U47</f>
        <v>71700</v>
      </c>
      <c r="V51" s="64" t="n">
        <f aca="false">V45+V46+V47</f>
        <v>67961.1111111111</v>
      </c>
      <c r="W51" s="64" t="n">
        <f aca="false">W45+W46+W47</f>
        <v>64222.2222222222</v>
      </c>
      <c r="X51" s="64" t="n">
        <f aca="false">X45+X46+X47</f>
        <v>60483.3333333333</v>
      </c>
      <c r="Y51" s="64" t="n">
        <f aca="false">Y45+Y46+Y47</f>
        <v>56744.4444444444</v>
      </c>
      <c r="Z51" s="64" t="n">
        <f aca="false">Z45+Z46+Z47</f>
        <v>53005.5555555555</v>
      </c>
      <c r="AA51" s="64" t="n">
        <f aca="false">AA45+AA46+AA47</f>
        <v>49266.6666666666</v>
      </c>
      <c r="AB51" s="64" t="n">
        <f aca="false">AB45+AB46+AB47</f>
        <v>45527.7777777777</v>
      </c>
      <c r="AC51" s="64" t="n">
        <f aca="false">AC45+AC46+AC47</f>
        <v>41788.8888888889</v>
      </c>
      <c r="AD51" s="64" t="n">
        <f aca="false">AD45+AD46+AD47</f>
        <v>38050</v>
      </c>
      <c r="AE51" s="64" t="n">
        <f aca="false">AE45+AE46+AE47</f>
        <v>34311.1111111111</v>
      </c>
      <c r="AF51" s="64" t="n">
        <f aca="false">AF45+AF46+AF47</f>
        <v>30572.2222222222</v>
      </c>
      <c r="AG51" s="64" t="n">
        <f aca="false">AG45+AG46+AG47</f>
        <v>26833.3333333333</v>
      </c>
      <c r="AH51" s="64" t="n">
        <f aca="false">AH45+AH46+AH47</f>
        <v>23094.4444444444</v>
      </c>
      <c r="AI51" s="64" t="n">
        <f aca="false">AI45+AI46+AI47</f>
        <v>19355.5555555555</v>
      </c>
      <c r="AJ51" s="64" t="n">
        <f aca="false">AJ45+AJ46+AJ47</f>
        <v>15616.6666666666</v>
      </c>
      <c r="AK51" s="64" t="n">
        <f aca="false">AK45+AK46+AK47</f>
        <v>11877.7777777777</v>
      </c>
      <c r="AL51" s="64" t="n">
        <f aca="false">AL45+AL46+AL47</f>
        <v>8138.88888888885</v>
      </c>
      <c r="AN51" s="52" t="n">
        <f aca="false">N51</f>
        <v>97872.2222222222</v>
      </c>
      <c r="AO51" s="52" t="n">
        <f aca="false">Z51</f>
        <v>53005.5555555555</v>
      </c>
      <c r="AP51" s="52" t="n">
        <f aca="false">AL51</f>
        <v>8138.88888888885</v>
      </c>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30"/>
    <col collapsed="false" customWidth="true" hidden="false" outlineLevel="0" max="5" min="3" style="1" width="15"/>
    <col collapsed="false" customWidth="true" hidden="false" outlineLevel="0" max="8" min="6" style="1" width="11"/>
  </cols>
  <sheetData>
    <row r="1" customFormat="false" ht="25.5" hidden="false" customHeight="true" outlineLevel="0" collapsed="false">
      <c r="A1" s="19" t="s">
        <v>611</v>
      </c>
      <c r="B1" s="19"/>
      <c r="C1" s="19"/>
      <c r="D1" s="19"/>
      <c r="E1" s="19"/>
      <c r="F1" s="19"/>
      <c r="G1" s="19"/>
      <c r="H1" s="19"/>
      <c r="I1" s="19"/>
    </row>
    <row r="2" customFormat="false" ht="13.5" hidden="false" customHeight="true" outlineLevel="0" collapsed="false">
      <c r="A2" s="20" t="s">
        <v>612</v>
      </c>
      <c r="B2" s="20"/>
      <c r="C2" s="20"/>
      <c r="D2" s="20"/>
      <c r="E2" s="20"/>
      <c r="F2" s="20"/>
      <c r="G2" s="20"/>
      <c r="H2" s="20"/>
      <c r="I2" s="20"/>
    </row>
    <row r="3" customFormat="false" ht="3.75" hidden="false" customHeight="true" outlineLevel="0" collapsed="false">
      <c r="A3" s="5"/>
      <c r="B3" s="5"/>
      <c r="C3" s="5"/>
      <c r="D3" s="5"/>
      <c r="E3" s="5"/>
      <c r="F3" s="5"/>
      <c r="G3" s="5"/>
      <c r="H3" s="5"/>
      <c r="I3" s="5"/>
    </row>
    <row r="5" customFormat="false" ht="16.5" hidden="false" customHeight="true" outlineLevel="0" collapsed="false">
      <c r="A5" s="21" t="s">
        <v>613</v>
      </c>
      <c r="B5" s="21"/>
      <c r="C5" s="21"/>
      <c r="D5" s="21"/>
      <c r="E5" s="21"/>
      <c r="F5" s="21"/>
      <c r="G5" s="21"/>
      <c r="H5" s="21"/>
      <c r="I5" s="21"/>
    </row>
    <row r="6" customFormat="false" ht="15" hidden="false" customHeight="false" outlineLevel="0" collapsed="false">
      <c r="A6" s="22"/>
      <c r="B6" s="22"/>
      <c r="C6" s="23" t="s">
        <v>61</v>
      </c>
      <c r="D6" s="23" t="s">
        <v>62</v>
      </c>
      <c r="E6" s="23" t="s">
        <v>63</v>
      </c>
      <c r="F6" s="76" t="s">
        <v>614</v>
      </c>
      <c r="G6" s="76" t="s">
        <v>615</v>
      </c>
      <c r="H6" s="76" t="s">
        <v>616</v>
      </c>
    </row>
    <row r="7" customFormat="false" ht="15" hidden="false" customHeight="false" outlineLevel="0" collapsed="false">
      <c r="A7" s="26" t="s">
        <v>519</v>
      </c>
      <c r="B7" s="24" t="s">
        <v>617</v>
      </c>
      <c r="C7" s="27" t="n">
        <f aca="false">Revenue!AN$36</f>
        <v>605100</v>
      </c>
      <c r="D7" s="27" t="n">
        <f aca="false">Revenue!AO$36</f>
        <v>2719140</v>
      </c>
      <c r="E7" s="27" t="n">
        <f aca="false">Revenue!AP$36</f>
        <v>5890120</v>
      </c>
    </row>
    <row r="8" customFormat="false" ht="15" hidden="false" customHeight="false" outlineLevel="0" collapsed="false">
      <c r="A8" s="26" t="s">
        <v>618</v>
      </c>
      <c r="B8" s="24" t="s">
        <v>619</v>
      </c>
      <c r="C8" s="27" t="n">
        <f aca="false">Revenue!AN$44</f>
        <v>9890.61183</v>
      </c>
      <c r="D8" s="27" t="n">
        <f aca="false">Revenue!AO$44</f>
        <v>66901.1004908517</v>
      </c>
      <c r="E8" s="27" t="n">
        <f aca="false">Revenue!AP$44</f>
        <v>222467.954357653</v>
      </c>
    </row>
    <row r="9" customFormat="false" ht="15" hidden="false" customHeight="false" outlineLevel="0" collapsed="false">
      <c r="A9" s="53" t="s">
        <v>64</v>
      </c>
      <c r="B9" s="54"/>
      <c r="C9" s="61" t="n">
        <f aca="false">Revenue!AN$49</f>
        <v>614990.61183</v>
      </c>
      <c r="D9" s="61" t="n">
        <f aca="false">Revenue!AO$49</f>
        <v>2786041.10049085</v>
      </c>
      <c r="E9" s="61" t="n">
        <f aca="false">Revenue!AP$49</f>
        <v>6112587.95435765</v>
      </c>
      <c r="F9" s="77" t="n">
        <v>1</v>
      </c>
      <c r="G9" s="77" t="n">
        <v>1</v>
      </c>
      <c r="H9" s="77" t="n">
        <v>1</v>
      </c>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N9" s="62"/>
      <c r="AO9" s="62"/>
      <c r="AP9" s="62"/>
    </row>
    <row r="10" customFormat="false" ht="15" hidden="false" customHeight="false" outlineLevel="0" collapsed="false">
      <c r="A10" s="26" t="s">
        <v>620</v>
      </c>
      <c r="B10" s="24" t="s">
        <v>621</v>
      </c>
      <c r="C10" s="27" t="n">
        <f aca="false">Expenses!AN$21</f>
        <v>226175.824168616</v>
      </c>
      <c r="D10" s="27" t="n">
        <f aca="false">Expenses!AO$21</f>
        <v>929744.100776583</v>
      </c>
      <c r="E10" s="27" t="n">
        <f aca="false">Expenses!AP$21</f>
        <v>2068776.34251246</v>
      </c>
      <c r="F10" s="78" t="n">
        <f aca="false">IFERROR(C10/C$9,0)</f>
        <v>0.36777118189755</v>
      </c>
      <c r="G10" s="78" t="n">
        <f aca="false">IFERROR(D10/D$9,0)</f>
        <v>0.333715141751778</v>
      </c>
      <c r="H10" s="78" t="n">
        <f aca="false">IFERROR(E10/E$9,0)</f>
        <v>0.338445247407465</v>
      </c>
    </row>
    <row r="11" customFormat="false" ht="15" hidden="false" customHeight="false" outlineLevel="0" collapsed="false">
      <c r="A11" s="53" t="s">
        <v>65</v>
      </c>
      <c r="B11" s="54"/>
      <c r="C11" s="61" t="n">
        <f aca="false">Expenses!AN$22</f>
        <v>388814.787661384</v>
      </c>
      <c r="D11" s="61" t="n">
        <f aca="false">Expenses!AO$22</f>
        <v>1856296.99971427</v>
      </c>
      <c r="E11" s="61" t="n">
        <f aca="false">Expenses!AP$22</f>
        <v>4043811.61184519</v>
      </c>
      <c r="F11" s="77" t="n">
        <f aca="false">IFERROR(C11/C$9,0)</f>
        <v>0.63222881810245</v>
      </c>
      <c r="G11" s="77" t="n">
        <f aca="false">IFERROR(D11/D$9,0)</f>
        <v>0.666284858248222</v>
      </c>
      <c r="H11" s="77" t="n">
        <f aca="false">IFERROR(E11/E$9,0)</f>
        <v>0.661554752592535</v>
      </c>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N11" s="62"/>
      <c r="AO11" s="62"/>
      <c r="AP11" s="62"/>
    </row>
    <row r="12" customFormat="false" ht="15" hidden="false" customHeight="false" outlineLevel="0" collapsed="false">
      <c r="A12" s="26" t="s">
        <v>585</v>
      </c>
      <c r="B12" s="24" t="s">
        <v>622</v>
      </c>
      <c r="C12" s="27" t="n">
        <f aca="false">Expenses!AN$42</f>
        <v>552680.121014119</v>
      </c>
      <c r="D12" s="27" t="n">
        <f aca="false">Expenses!AO$42</f>
        <v>1214717.61705291</v>
      </c>
      <c r="E12" s="27" t="n">
        <f aca="false">Expenses!AP$42</f>
        <v>2174212.30460055</v>
      </c>
      <c r="F12" s="78" t="n">
        <f aca="false">IFERROR(C12/C$9,0)</f>
        <v>0.898680582081625</v>
      </c>
      <c r="G12" s="78" t="n">
        <f aca="false">IFERROR(D12/D$9,0)</f>
        <v>0.436001327058275</v>
      </c>
      <c r="H12" s="78" t="n">
        <f aca="false">IFERROR(E12/E$9,0)</f>
        <v>0.355694236358686</v>
      </c>
    </row>
    <row r="13" customFormat="false" ht="15" hidden="false" customHeight="false" outlineLevel="0" collapsed="false">
      <c r="A13" s="13" t="s">
        <v>66</v>
      </c>
      <c r="B13" s="69"/>
      <c r="C13" s="79" t="n">
        <f aca="false">Expenses!AN$48</f>
        <v>-163865.333352736</v>
      </c>
      <c r="D13" s="79" t="n">
        <f aca="false">Expenses!AO$48</f>
        <v>641579.382661359</v>
      </c>
      <c r="E13" s="79" t="n">
        <f aca="false">Expenses!AP$48</f>
        <v>1869599.30724464</v>
      </c>
      <c r="F13" s="80" t="n">
        <f aca="false">IFERROR(C13/C$9,0)</f>
        <v>-0.266451763979175</v>
      </c>
      <c r="G13" s="80" t="n">
        <f aca="false">IFERROR(D13/D$9,0)</f>
        <v>0.230283531189947</v>
      </c>
      <c r="H13" s="80" t="n">
        <f aca="false">IFERROR(E13/E$9,0)</f>
        <v>0.30586051623385</v>
      </c>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N13" s="81"/>
      <c r="AO13" s="81"/>
      <c r="AP13" s="81"/>
    </row>
    <row r="14" customFormat="false" ht="15" hidden="false" customHeight="false" outlineLevel="0" collapsed="false">
      <c r="A14" s="26" t="s">
        <v>586</v>
      </c>
      <c r="B14" s="24"/>
      <c r="C14" s="27" t="n">
        <f aca="false">Expenses!AN$43</f>
        <v>51383.5277777778</v>
      </c>
      <c r="D14" s="27" t="n">
        <f aca="false">Expenses!AO$43</f>
        <v>60061.0416666667</v>
      </c>
      <c r="E14" s="27" t="n">
        <f aca="false">Expenses!AP$43</f>
        <v>62543.875</v>
      </c>
      <c r="F14" s="78" t="n">
        <f aca="false">IFERROR(C14/C$9,0)</f>
        <v>0.0835517271147898</v>
      </c>
      <c r="G14" s="78" t="n">
        <f aca="false">IFERROR(D14/D$9,0)</f>
        <v>0.021557844805694</v>
      </c>
      <c r="H14" s="78" t="n">
        <f aca="false">IFERROR(E14/E$9,0)</f>
        <v>0.010231979558742</v>
      </c>
    </row>
    <row r="15" customFormat="false" ht="15" hidden="false" customHeight="false" outlineLevel="0" collapsed="false">
      <c r="A15" s="53" t="s">
        <v>590</v>
      </c>
      <c r="B15" s="54"/>
      <c r="C15" s="61" t="n">
        <f aca="false">Expenses!AN$49</f>
        <v>-215248.861130513</v>
      </c>
      <c r="D15" s="61" t="n">
        <f aca="false">Expenses!AO$49</f>
        <v>581518.340994692</v>
      </c>
      <c r="E15" s="61" t="n">
        <f aca="false">Expenses!AP$49</f>
        <v>1807055.43224464</v>
      </c>
      <c r="F15" s="77" t="n">
        <f aca="false">IFERROR(C15/C$9,0)</f>
        <v>-0.350003491093965</v>
      </c>
      <c r="G15" s="77" t="n">
        <f aca="false">IFERROR(D15/D$9,0)</f>
        <v>0.208725686384253</v>
      </c>
      <c r="H15" s="77" t="n">
        <f aca="false">IFERROR(E15/E$9,0)</f>
        <v>0.295628536675108</v>
      </c>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N15" s="62"/>
      <c r="AO15" s="62"/>
      <c r="AP15" s="62"/>
    </row>
    <row r="17" customFormat="false" ht="15" hidden="false" customHeight="false" outlineLevel="0" collapsed="false">
      <c r="A17" s="10" t="s">
        <v>623</v>
      </c>
      <c r="B17" s="24" t="s">
        <v>624</v>
      </c>
      <c r="C17" s="25" t="n">
        <f aca="false">C15</f>
        <v>-215248.861130513</v>
      </c>
      <c r="D17" s="25" t="n">
        <f aca="false">D15</f>
        <v>581518.340994692</v>
      </c>
      <c r="E17" s="25" t="n">
        <f aca="false">E15</f>
        <v>1807055.43224464</v>
      </c>
    </row>
    <row r="18" customFormat="false" ht="15" hidden="false" customHeight="false" outlineLevel="0" collapsed="false">
      <c r="A18" s="26" t="s">
        <v>625</v>
      </c>
      <c r="B18" s="24" t="s">
        <v>626</v>
      </c>
      <c r="C18" s="60" t="n">
        <v>0</v>
      </c>
      <c r="D18" s="60" t="n">
        <f aca="false">C19</f>
        <v>215248.861130513</v>
      </c>
      <c r="E18" s="60" t="n">
        <f aca="false">D19</f>
        <v>0</v>
      </c>
    </row>
    <row r="19" customFormat="false" ht="15" hidden="false" customHeight="false" outlineLevel="0" collapsed="false">
      <c r="A19" s="26" t="s">
        <v>627</v>
      </c>
      <c r="B19" s="24"/>
      <c r="C19" s="60" t="n">
        <f aca="false">MAX(0,C18-MAX(0,C17))+MAX(0,-C17)</f>
        <v>215248.861130513</v>
      </c>
      <c r="D19" s="60" t="n">
        <f aca="false">MAX(0,D18-MAX(0,D17))+MAX(0,-D17)</f>
        <v>0</v>
      </c>
      <c r="E19" s="60" t="n">
        <f aca="false">MAX(0,E18-MAX(0,E17))+MAX(0,-E17)</f>
        <v>0</v>
      </c>
    </row>
    <row r="20" customFormat="false" ht="15" hidden="false" customHeight="false" outlineLevel="0" collapsed="false">
      <c r="A20" s="26" t="s">
        <v>628</v>
      </c>
      <c r="B20" s="24" t="s">
        <v>629</v>
      </c>
      <c r="C20" s="60" t="n">
        <f aca="false">MAX(0,C17-C18)</f>
        <v>0</v>
      </c>
      <c r="D20" s="60" t="n">
        <f aca="false">MAX(0,D17-D18)</f>
        <v>366269.479864179</v>
      </c>
      <c r="E20" s="60" t="n">
        <f aca="false">MAX(0,E17-E18)</f>
        <v>1807055.43224464</v>
      </c>
    </row>
    <row r="21" customFormat="false" ht="15" hidden="false" customHeight="false" outlineLevel="0" collapsed="false">
      <c r="A21" s="26" t="s">
        <v>630</v>
      </c>
      <c r="B21" s="24" t="s">
        <v>631</v>
      </c>
      <c r="C21" s="60" t="n">
        <f aca="false">-C20*Assumptions!$C$8</f>
        <v>-0</v>
      </c>
      <c r="D21" s="60" t="n">
        <f aca="false">-D20*Assumptions!$C$8</f>
        <v>-82410.6329694403</v>
      </c>
      <c r="E21" s="60" t="n">
        <f aca="false">-E20*Assumptions!$C$8</f>
        <v>-406587.472255045</v>
      </c>
    </row>
    <row r="22" customFormat="false" ht="15" hidden="false" customHeight="false" outlineLevel="0" collapsed="false">
      <c r="A22" s="13" t="s">
        <v>632</v>
      </c>
      <c r="B22" s="69"/>
      <c r="C22" s="82" t="n">
        <f aca="false">C17+C21</f>
        <v>-215248.861130513</v>
      </c>
      <c r="D22" s="82" t="n">
        <f aca="false">D17+D21</f>
        <v>499107.708025252</v>
      </c>
      <c r="E22" s="82" t="n">
        <f aca="false">E17+E21</f>
        <v>1400467.9599896</v>
      </c>
      <c r="F22" s="80" t="n">
        <f aca="false">IFERROR(C22/C9,0)</f>
        <v>-0.350003491093965</v>
      </c>
      <c r="G22" s="80" t="n">
        <f aca="false">IFERROR(D22/D9,0)</f>
        <v>0.179145852492025</v>
      </c>
      <c r="H22" s="80" t="n">
        <f aca="false">IFERROR(E22/E9,0)</f>
        <v>0.229112115923209</v>
      </c>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N22" s="81"/>
      <c r="AO22" s="81"/>
      <c r="AP22" s="81"/>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32"/>
    <col collapsed="false" customWidth="true" hidden="false" outlineLevel="0" max="6" min="3" style="1" width="15"/>
  </cols>
  <sheetData>
    <row r="1" customFormat="false" ht="25.5" hidden="false" customHeight="true" outlineLevel="0" collapsed="false">
      <c r="A1" s="19" t="s">
        <v>633</v>
      </c>
      <c r="B1" s="19"/>
      <c r="C1" s="19"/>
      <c r="D1" s="19"/>
      <c r="E1" s="19"/>
      <c r="F1" s="19"/>
      <c r="G1" s="19"/>
    </row>
    <row r="2" customFormat="false" ht="13.5" hidden="false" customHeight="true" outlineLevel="0" collapsed="false">
      <c r="A2" s="20" t="s">
        <v>634</v>
      </c>
      <c r="B2" s="20"/>
      <c r="C2" s="20"/>
      <c r="D2" s="20"/>
      <c r="E2" s="20"/>
      <c r="F2" s="20"/>
      <c r="G2" s="20"/>
    </row>
    <row r="3" customFormat="false" ht="3.75" hidden="false" customHeight="true" outlineLevel="0" collapsed="false">
      <c r="A3" s="5"/>
      <c r="B3" s="5"/>
      <c r="C3" s="5"/>
      <c r="D3" s="5"/>
      <c r="E3" s="5"/>
      <c r="F3" s="5"/>
      <c r="G3" s="5"/>
    </row>
    <row r="5" customFormat="false" ht="16.5" hidden="false" customHeight="true" outlineLevel="0" collapsed="false">
      <c r="A5" s="21" t="s">
        <v>635</v>
      </c>
      <c r="B5" s="21"/>
      <c r="C5" s="21"/>
      <c r="D5" s="21"/>
      <c r="E5" s="21"/>
      <c r="F5" s="21"/>
      <c r="G5" s="21"/>
    </row>
    <row r="6" customFormat="false" ht="15" hidden="false" customHeight="false" outlineLevel="0" collapsed="false">
      <c r="A6" s="22"/>
      <c r="B6" s="22"/>
      <c r="C6" s="23" t="s">
        <v>73</v>
      </c>
      <c r="D6" s="23" t="s">
        <v>61</v>
      </c>
      <c r="E6" s="23" t="s">
        <v>62</v>
      </c>
      <c r="F6" s="23" t="s">
        <v>63</v>
      </c>
    </row>
    <row r="7" customFormat="false" ht="15" hidden="false" customHeight="false" outlineLevel="0" collapsed="false">
      <c r="A7" s="26" t="s">
        <v>636</v>
      </c>
      <c r="B7" s="24" t="s">
        <v>637</v>
      </c>
      <c r="C7" s="60" t="n">
        <f aca="false">Actuals!$C$6</f>
        <v>50000</v>
      </c>
      <c r="D7" s="60" t="n">
        <f aca="false">Cash_Flow!N$33</f>
        <v>120154.622461016</v>
      </c>
      <c r="E7" s="60" t="n">
        <f aca="false">Cash_Flow!Z$33</f>
        <v>511419.658916153</v>
      </c>
      <c r="F7" s="60" t="n">
        <f aca="false">Cash_Flow!AL$33</f>
        <v>1903484.2164159</v>
      </c>
    </row>
    <row r="8" customFormat="false" ht="15" hidden="false" customHeight="false" outlineLevel="0" collapsed="false">
      <c r="A8" s="26" t="s">
        <v>400</v>
      </c>
      <c r="B8" s="24" t="s">
        <v>638</v>
      </c>
      <c r="C8" s="60" t="n">
        <v>0</v>
      </c>
      <c r="D8" s="60" t="n">
        <f aca="false">Cash_Flow!N$13</f>
        <v>334145.836507538</v>
      </c>
      <c r="E8" s="60" t="n">
        <f aca="false">Cash_Flow!Z$13</f>
        <v>794744.916646386</v>
      </c>
      <c r="F8" s="60" t="n">
        <f aca="false">Cash_Flow!AL$13</f>
        <v>1614525.10560752</v>
      </c>
    </row>
    <row r="9" customFormat="false" ht="15" hidden="false" customHeight="false" outlineLevel="0" collapsed="false">
      <c r="A9" s="26" t="s">
        <v>402</v>
      </c>
      <c r="B9" s="24" t="s">
        <v>639</v>
      </c>
      <c r="C9" s="60" t="n">
        <v>0</v>
      </c>
      <c r="D9" s="60" t="n">
        <f aca="false">Depreciation!N$50</f>
        <v>33764.25</v>
      </c>
      <c r="E9" s="60" t="n">
        <f aca="false">Depreciation!Z$50</f>
        <v>35229.875</v>
      </c>
      <c r="F9" s="60" t="n">
        <f aca="false">Depreciation!AL$50</f>
        <v>25712.6666666667</v>
      </c>
    </row>
    <row r="10" customFormat="false" ht="15" hidden="false" customHeight="false" outlineLevel="0" collapsed="false">
      <c r="A10" s="26" t="s">
        <v>404</v>
      </c>
      <c r="B10" s="24" t="s">
        <v>610</v>
      </c>
      <c r="C10" s="60" t="n">
        <v>0</v>
      </c>
      <c r="D10" s="60" t="n">
        <f aca="false">Depreciation!N$51</f>
        <v>97872.2222222222</v>
      </c>
      <c r="E10" s="60" t="n">
        <f aca="false">Depreciation!Z$51</f>
        <v>53005.5555555555</v>
      </c>
      <c r="F10" s="60" t="n">
        <f aca="false">Depreciation!AL$51</f>
        <v>8138.88888888885</v>
      </c>
    </row>
    <row r="11" customFormat="false" ht="15" hidden="false" customHeight="false" outlineLevel="0" collapsed="false">
      <c r="A11" s="53" t="s">
        <v>74</v>
      </c>
      <c r="B11" s="54"/>
      <c r="C11" s="61" t="n">
        <f aca="false">SUM(C7:C10)</f>
        <v>50000</v>
      </c>
      <c r="D11" s="61" t="n">
        <f aca="false">SUM(D7:D10)</f>
        <v>585936.931190777</v>
      </c>
      <c r="E11" s="61" t="n">
        <f aca="false">SUM(E7:E10)</f>
        <v>1394400.00611809</v>
      </c>
      <c r="F11" s="61" t="n">
        <f aca="false">SUM(F7:F10)</f>
        <v>3551860.87757898</v>
      </c>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N11" s="62"/>
      <c r="AO11" s="62"/>
      <c r="AP11" s="62"/>
    </row>
    <row r="13" customFormat="false" ht="15" hidden="false" customHeight="false" outlineLevel="0" collapsed="false">
      <c r="A13" s="26" t="s">
        <v>407</v>
      </c>
      <c r="B13" s="24"/>
      <c r="C13" s="60" t="n">
        <v>0</v>
      </c>
      <c r="D13" s="60" t="n">
        <f aca="false">Cash_Flow!N$14</f>
        <v>92118.7327943672</v>
      </c>
      <c r="E13" s="60" t="n">
        <f aca="false">Cash_Flow!Z$14</f>
        <v>215875.430868376</v>
      </c>
      <c r="F13" s="60" t="n">
        <f aca="false">Cash_Flow!AL$14</f>
        <v>441310.427258195</v>
      </c>
    </row>
    <row r="14" customFormat="false" ht="15" hidden="false" customHeight="false" outlineLevel="0" collapsed="false">
      <c r="A14" s="26" t="s">
        <v>640</v>
      </c>
      <c r="B14" s="24"/>
      <c r="C14" s="60" t="n">
        <v>0</v>
      </c>
      <c r="D14" s="60" t="n">
        <f aca="false">Cash_Flow!N$15</f>
        <v>5775</v>
      </c>
      <c r="E14" s="60" t="n">
        <f aca="false">Cash_Flow!Z$15</f>
        <v>10145.52</v>
      </c>
      <c r="F14" s="60" t="n">
        <f aca="false">Cash_Flow!AL$15</f>
        <v>13337.2008</v>
      </c>
    </row>
    <row r="15" customFormat="false" ht="15" hidden="false" customHeight="false" outlineLevel="0" collapsed="false">
      <c r="A15" s="26" t="s">
        <v>641</v>
      </c>
      <c r="B15" s="24" t="s">
        <v>642</v>
      </c>
      <c r="C15" s="60" t="n">
        <v>0</v>
      </c>
      <c r="D15" s="60" t="n">
        <f aca="false">Cash_Flow!N$16</f>
        <v>53292.0595269231</v>
      </c>
      <c r="E15" s="60" t="n">
        <f aca="false">Cash_Flow!Z$16</f>
        <v>152109.57538554</v>
      </c>
      <c r="F15" s="60" t="n">
        <f aca="false">Cash_Flow!AL$16</f>
        <v>356298.970381403</v>
      </c>
    </row>
    <row r="16" customFormat="false" ht="15" hidden="false" customHeight="false" outlineLevel="0" collapsed="false">
      <c r="A16" s="26" t="s">
        <v>643</v>
      </c>
      <c r="B16" s="24" t="s">
        <v>644</v>
      </c>
      <c r="C16" s="60" t="n">
        <v>0</v>
      </c>
      <c r="D16" s="60" t="n">
        <f aca="false">Cash_Flow!N$17</f>
        <v>0</v>
      </c>
      <c r="E16" s="60" t="n">
        <f aca="false">Cash_Flow!Z$17</f>
        <v>82410.6329694403</v>
      </c>
      <c r="F16" s="60" t="n">
        <f aca="false">Cash_Flow!AL$17</f>
        <v>406587.472255045</v>
      </c>
    </row>
    <row r="17" customFormat="false" ht="15" hidden="false" customHeight="false" outlineLevel="0" collapsed="false">
      <c r="A17" s="53" t="s">
        <v>645</v>
      </c>
      <c r="B17" s="54"/>
      <c r="C17" s="61" t="n">
        <f aca="false">SUM(C13:C16)</f>
        <v>0</v>
      </c>
      <c r="D17" s="61" t="n">
        <f aca="false">SUM(D13:D16)</f>
        <v>151185.79232129</v>
      </c>
      <c r="E17" s="61" t="n">
        <f aca="false">SUM(E13:E16)</f>
        <v>460541.159223356</v>
      </c>
      <c r="F17" s="61" t="n">
        <f aca="false">SUM(F13:F16)</f>
        <v>1217534.07069464</v>
      </c>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N17" s="62"/>
      <c r="AO17" s="62"/>
      <c r="AP17" s="62"/>
    </row>
    <row r="19" customFormat="false" ht="15" hidden="false" customHeight="false" outlineLevel="0" collapsed="false">
      <c r="A19" s="26" t="s">
        <v>646</v>
      </c>
      <c r="B19" s="24" t="s">
        <v>647</v>
      </c>
      <c r="C19" s="60" t="n">
        <f aca="false">Assumptions!$C$140</f>
        <v>50000</v>
      </c>
      <c r="D19" s="60" t="n">
        <f aca="false">Assumptions!$C$140+IF(12&gt;=Assumptions!$C$142,Assumptions!$C$141,0)</f>
        <v>650000</v>
      </c>
      <c r="E19" s="60" t="n">
        <f aca="false">Assumptions!$C$140+IF(24&gt;=Assumptions!$C$142,Assumptions!$C$141,0)</f>
        <v>650000</v>
      </c>
      <c r="F19" s="60" t="n">
        <f aca="false">Assumptions!$C$140+IF(36&gt;=Assumptions!$C$142,Assumptions!$C$141,0)</f>
        <v>650000</v>
      </c>
    </row>
    <row r="20" customFormat="false" ht="15" hidden="false" customHeight="false" outlineLevel="0" collapsed="false">
      <c r="A20" s="26" t="s">
        <v>411</v>
      </c>
      <c r="B20" s="24" t="s">
        <v>648</v>
      </c>
      <c r="C20" s="60" t="n">
        <v>0</v>
      </c>
      <c r="D20" s="60" t="n">
        <f aca="false">Income_Statement!$C$22</f>
        <v>-215248.861130513</v>
      </c>
      <c r="E20" s="60" t="n">
        <f aca="false">Income_Statement!$C$22+Income_Statement!$D$22</f>
        <v>283858.846894739</v>
      </c>
      <c r="F20" s="60" t="n">
        <f aca="false">Income_Statement!$C$22+Income_Statement!$D$22+Income_Statement!$E$22</f>
        <v>1684326.80688434</v>
      </c>
    </row>
    <row r="21" customFormat="false" ht="15" hidden="false" customHeight="false" outlineLevel="0" collapsed="false">
      <c r="A21" s="53" t="s">
        <v>649</v>
      </c>
      <c r="B21" s="54"/>
      <c r="C21" s="61" t="n">
        <f aca="false">C19+C20</f>
        <v>50000</v>
      </c>
      <c r="D21" s="61" t="n">
        <f aca="false">D19+D20</f>
        <v>434751.138869487</v>
      </c>
      <c r="E21" s="61" t="n">
        <f aca="false">E19+E20</f>
        <v>933858.846894739</v>
      </c>
      <c r="F21" s="61" t="n">
        <f aca="false">F19+F20</f>
        <v>2334326.80688434</v>
      </c>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N21" s="62"/>
      <c r="AO21" s="62"/>
      <c r="AP21" s="62"/>
    </row>
    <row r="22" customFormat="false" ht="15" hidden="false" customHeight="false" outlineLevel="0" collapsed="false">
      <c r="A22" s="13" t="s">
        <v>650</v>
      </c>
      <c r="B22" s="69"/>
      <c r="C22" s="79" t="n">
        <f aca="false">C17+C21</f>
        <v>50000</v>
      </c>
      <c r="D22" s="79" t="n">
        <f aca="false">D17+D21</f>
        <v>585936.931190777</v>
      </c>
      <c r="E22" s="79" t="n">
        <f aca="false">E17+E21</f>
        <v>1394400.0061181</v>
      </c>
      <c r="F22" s="79" t="n">
        <f aca="false">F17+F21</f>
        <v>3551860.87757898</v>
      </c>
      <c r="G22" s="81"/>
      <c r="H22" s="81"/>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N22" s="81"/>
      <c r="AO22" s="81"/>
      <c r="AP22" s="81"/>
    </row>
    <row r="24" customFormat="false" ht="15" hidden="false" customHeight="false" outlineLevel="0" collapsed="false">
      <c r="A24" s="10" t="s">
        <v>651</v>
      </c>
      <c r="B24" s="24" t="s">
        <v>652</v>
      </c>
      <c r="C24" s="30" t="n">
        <f aca="false">C11-C22</f>
        <v>0</v>
      </c>
      <c r="D24" s="30" t="n">
        <f aca="false">D11-D22</f>
        <v>0</v>
      </c>
      <c r="E24" s="30" t="n">
        <f aca="false">E11-E22</f>
        <v>0</v>
      </c>
      <c r="F24" s="30" t="n">
        <f aca="false">F11-F22</f>
        <v>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38" min="3" style="1" width="10.5"/>
    <col collapsed="false" customWidth="true" hidden="false" outlineLevel="0" max="39" min="39" style="1" width="2"/>
    <col collapsed="false" customWidth="true" hidden="false" outlineLevel="0" max="42" min="40" style="1" width="13"/>
  </cols>
  <sheetData>
    <row r="1" customFormat="false" ht="25.5" hidden="false" customHeight="true" outlineLevel="0" collapsed="false">
      <c r="A1" s="19" t="s">
        <v>653</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row>
    <row r="2" customFormat="false" ht="13.5" hidden="false" customHeight="true" outlineLevel="0" collapsed="false">
      <c r="A2" s="20" t="s">
        <v>654</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row>
    <row r="3" customFormat="false" ht="3.75" hidden="false" customHeight="true" outlineLevel="0" collapsed="false">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5" customFormat="false" ht="16.5" hidden="false" customHeight="true" outlineLevel="0" collapsed="false">
      <c r="A5" s="21" t="s">
        <v>655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row>
    <row r="6" customFormat="false" ht="15.75" hidden="false" customHeight="true" outlineLevel="0" collapsed="false">
      <c r="A6" s="36" t="s">
        <v>345</v>
      </c>
      <c r="B6" s="36" t="s">
        <v>346</v>
      </c>
      <c r="C6" s="47" t="s">
        <v>347</v>
      </c>
      <c r="D6" s="47" t="s">
        <v>348</v>
      </c>
      <c r="E6" s="47" t="s">
        <v>349</v>
      </c>
      <c r="F6" s="47" t="s">
        <v>350</v>
      </c>
      <c r="G6" s="47" t="s">
        <v>351</v>
      </c>
      <c r="H6" s="47" t="s">
        <v>352</v>
      </c>
      <c r="I6" s="47" t="s">
        <v>353</v>
      </c>
      <c r="J6" s="47" t="s">
        <v>354</v>
      </c>
      <c r="K6" s="47" t="s">
        <v>355</v>
      </c>
      <c r="L6" s="47" t="s">
        <v>356</v>
      </c>
      <c r="M6" s="47" t="s">
        <v>357</v>
      </c>
      <c r="N6" s="47" t="s">
        <v>358</v>
      </c>
      <c r="O6" s="48" t="s">
        <v>359</v>
      </c>
      <c r="P6" s="48" t="s">
        <v>360</v>
      </c>
      <c r="Q6" s="48" t="s">
        <v>361</v>
      </c>
      <c r="R6" s="48" t="s">
        <v>362</v>
      </c>
      <c r="S6" s="48" t="s">
        <v>363</v>
      </c>
      <c r="T6" s="48" t="s">
        <v>364</v>
      </c>
      <c r="U6" s="48" t="s">
        <v>365</v>
      </c>
      <c r="V6" s="48" t="s">
        <v>366</v>
      </c>
      <c r="W6" s="48" t="s">
        <v>367</v>
      </c>
      <c r="X6" s="48" t="s">
        <v>368</v>
      </c>
      <c r="Y6" s="48" t="s">
        <v>369</v>
      </c>
      <c r="Z6" s="48" t="s">
        <v>370</v>
      </c>
      <c r="AA6" s="47" t="s">
        <v>371</v>
      </c>
      <c r="AB6" s="47" t="s">
        <v>372</v>
      </c>
      <c r="AC6" s="47" t="s">
        <v>373</v>
      </c>
      <c r="AD6" s="47" t="s">
        <v>374</v>
      </c>
      <c r="AE6" s="47" t="s">
        <v>375</v>
      </c>
      <c r="AF6" s="47" t="s">
        <v>376</v>
      </c>
      <c r="AG6" s="47" t="s">
        <v>377</v>
      </c>
      <c r="AH6" s="47" t="s">
        <v>378</v>
      </c>
      <c r="AI6" s="47" t="s">
        <v>379</v>
      </c>
      <c r="AJ6" s="47" t="s">
        <v>380</v>
      </c>
      <c r="AK6" s="47" t="s">
        <v>381</v>
      </c>
      <c r="AL6" s="47" t="s">
        <v>382</v>
      </c>
      <c r="AM6" s="49"/>
      <c r="AN6" s="50" t="s">
        <v>383</v>
      </c>
      <c r="AO6" s="50" t="s">
        <v>384</v>
      </c>
      <c r="AP6" s="50" t="s">
        <v>385</v>
      </c>
    </row>
    <row r="7" customFormat="false" ht="15" hidden="false" customHeight="false" outlineLevel="0" collapsed="false">
      <c r="A7" s="26" t="s">
        <v>590</v>
      </c>
      <c r="B7" s="24"/>
      <c r="C7" s="65" t="n">
        <f aca="false">Expenses!C$49</f>
        <v>-43923.6476865515</v>
      </c>
      <c r="D7" s="65" t="n">
        <f aca="false">Expenses!D$49</f>
        <v>-48463.9096845511</v>
      </c>
      <c r="E7" s="65" t="n">
        <f aca="false">Expenses!E$49</f>
        <v>-48752.2788081725</v>
      </c>
      <c r="F7" s="65" t="n">
        <f aca="false">Expenses!F$49</f>
        <v>-35938.4215379316</v>
      </c>
      <c r="G7" s="65" t="n">
        <f aca="false">Expenses!G$49</f>
        <v>-34712.6968322787</v>
      </c>
      <c r="H7" s="65" t="n">
        <f aca="false">Expenses!H$49</f>
        <v>-33110.8046912756</v>
      </c>
      <c r="I7" s="65" t="n">
        <f aca="false">Expenses!I$49</f>
        <v>-19606.1399726875</v>
      </c>
      <c r="J7" s="65" t="n">
        <f aca="false">Expenses!J$49</f>
        <v>-16767.4687933437</v>
      </c>
      <c r="K7" s="65" t="n">
        <f aca="false">Expenses!K$49</f>
        <v>-13018.3419068633</v>
      </c>
      <c r="L7" s="65" t="n">
        <f aca="false">Expenses!L$49</f>
        <v>18867.8786242681</v>
      </c>
      <c r="M7" s="65" t="n">
        <f aca="false">Expenses!M$49</f>
        <v>25618.0585917629</v>
      </c>
      <c r="N7" s="65" t="n">
        <f aca="false">Expenses!N$49</f>
        <v>34558.9115671114</v>
      </c>
      <c r="O7" s="65" t="n">
        <f aca="false">Expenses!O$49</f>
        <v>1597.61350957578</v>
      </c>
      <c r="P7" s="65" t="n">
        <f aca="false">Expenses!P$49</f>
        <v>10853.227623097</v>
      </c>
      <c r="Q7" s="65" t="n">
        <f aca="false">Expenses!Q$49</f>
        <v>23232.4366930491</v>
      </c>
      <c r="R7" s="65" t="n">
        <f aca="false">Expenses!R$49</f>
        <v>14452.193783192</v>
      </c>
      <c r="S7" s="65" t="n">
        <f aca="false">Expenses!S$49</f>
        <v>25141.7155512248</v>
      </c>
      <c r="T7" s="65" t="n">
        <f aca="false">Expenses!T$49</f>
        <v>39279.5633273207</v>
      </c>
      <c r="U7" s="65" t="n">
        <f aca="false">Expenses!U$49</f>
        <v>52666.8363859454</v>
      </c>
      <c r="V7" s="65" t="n">
        <f aca="false">Expenses!V$49</f>
        <v>67166.4787106586</v>
      </c>
      <c r="W7" s="65" t="n">
        <f aca="false">Expenses!W$49</f>
        <v>86354.2432231257</v>
      </c>
      <c r="X7" s="65" t="n">
        <f aca="false">Expenses!X$49</f>
        <v>69233.5164051995</v>
      </c>
      <c r="Y7" s="65" t="n">
        <f aca="false">Expenses!Y$49</f>
        <v>85198.6902435358</v>
      </c>
      <c r="Z7" s="65" t="n">
        <f aca="false">Expenses!Z$49</f>
        <v>106341.825538768</v>
      </c>
      <c r="AA7" s="65" t="n">
        <f aca="false">Expenses!AA$49</f>
        <v>72028.3933347545</v>
      </c>
      <c r="AB7" s="65" t="n">
        <f aca="false">Expenses!AB$49</f>
        <v>94564.5449413119</v>
      </c>
      <c r="AC7" s="65" t="n">
        <f aca="false">Expenses!AC$49</f>
        <v>124634.742617359</v>
      </c>
      <c r="AD7" s="65" t="n">
        <f aca="false">Expenses!AD$49</f>
        <v>96107.605020937</v>
      </c>
      <c r="AE7" s="65" t="n">
        <f aca="false">Expenses!AE$49</f>
        <v>121101.644728706</v>
      </c>
      <c r="AF7" s="65" t="n">
        <f aca="false">Expenses!AF$49</f>
        <v>154125.076911682</v>
      </c>
      <c r="AG7" s="65" t="n">
        <f aca="false">Expenses!AG$49</f>
        <v>139379.252922114</v>
      </c>
      <c r="AH7" s="65" t="n">
        <f aca="false">Expenses!AH$49</f>
        <v>168414.782960678</v>
      </c>
      <c r="AI7" s="65" t="n">
        <f aca="false">Expenses!AI$49</f>
        <v>206802.446280545</v>
      </c>
      <c r="AJ7" s="65" t="n">
        <f aca="false">Expenses!AJ$49</f>
        <v>174221.470122872</v>
      </c>
      <c r="AK7" s="65" t="n">
        <f aca="false">Expenses!AK$49</f>
        <v>206571.343420135</v>
      </c>
      <c r="AL7" s="65" t="n">
        <f aca="false">Expenses!AL$49</f>
        <v>249104.128983547</v>
      </c>
      <c r="AN7" s="52" t="n">
        <f aca="false">SUM(C7:N7)</f>
        <v>-215248.861130513</v>
      </c>
      <c r="AO7" s="52" t="n">
        <f aca="false">SUM(O7:Z7)</f>
        <v>581518.340994692</v>
      </c>
      <c r="AP7" s="52" t="n">
        <f aca="false">SUM(AA7:AL7)</f>
        <v>1807055.43224464</v>
      </c>
    </row>
    <row r="8" customFormat="false" ht="15" hidden="false" customHeight="false" outlineLevel="0" collapsed="false">
      <c r="A8" s="26" t="s">
        <v>656</v>
      </c>
      <c r="B8" s="24" t="s">
        <v>657</v>
      </c>
      <c r="C8" s="65" t="n">
        <f aca="false">Income_Statement!$C$21/12</f>
        <v>-0</v>
      </c>
      <c r="D8" s="65" t="n">
        <f aca="false">Income_Statement!$C$21/12</f>
        <v>-0</v>
      </c>
      <c r="E8" s="65" t="n">
        <f aca="false">Income_Statement!$C$21/12</f>
        <v>-0</v>
      </c>
      <c r="F8" s="65" t="n">
        <f aca="false">Income_Statement!$C$21/12</f>
        <v>-0</v>
      </c>
      <c r="G8" s="65" t="n">
        <f aca="false">Income_Statement!$C$21/12</f>
        <v>-0</v>
      </c>
      <c r="H8" s="65" t="n">
        <f aca="false">Income_Statement!$C$21/12</f>
        <v>-0</v>
      </c>
      <c r="I8" s="65" t="n">
        <f aca="false">Income_Statement!$C$21/12</f>
        <v>-0</v>
      </c>
      <c r="J8" s="65" t="n">
        <f aca="false">Income_Statement!$C$21/12</f>
        <v>-0</v>
      </c>
      <c r="K8" s="65" t="n">
        <f aca="false">Income_Statement!$C$21/12</f>
        <v>-0</v>
      </c>
      <c r="L8" s="65" t="n">
        <f aca="false">Income_Statement!$C$21/12</f>
        <v>-0</v>
      </c>
      <c r="M8" s="65" t="n">
        <f aca="false">Income_Statement!$C$21/12</f>
        <v>-0</v>
      </c>
      <c r="N8" s="65" t="n">
        <f aca="false">Income_Statement!$C$21/12</f>
        <v>-0</v>
      </c>
      <c r="O8" s="65" t="n">
        <f aca="false">Income_Statement!$D$21/12</f>
        <v>-6867.55274745336</v>
      </c>
      <c r="P8" s="65" t="n">
        <f aca="false">Income_Statement!$D$21/12</f>
        <v>-6867.55274745336</v>
      </c>
      <c r="Q8" s="65" t="n">
        <f aca="false">Income_Statement!$D$21/12</f>
        <v>-6867.55274745336</v>
      </c>
      <c r="R8" s="65" t="n">
        <f aca="false">Income_Statement!$D$21/12</f>
        <v>-6867.55274745336</v>
      </c>
      <c r="S8" s="65" t="n">
        <f aca="false">Income_Statement!$D$21/12</f>
        <v>-6867.55274745336</v>
      </c>
      <c r="T8" s="65" t="n">
        <f aca="false">Income_Statement!$D$21/12</f>
        <v>-6867.55274745336</v>
      </c>
      <c r="U8" s="65" t="n">
        <f aca="false">Income_Statement!$D$21/12</f>
        <v>-6867.55274745336</v>
      </c>
      <c r="V8" s="65" t="n">
        <f aca="false">Income_Statement!$D$21/12</f>
        <v>-6867.55274745336</v>
      </c>
      <c r="W8" s="65" t="n">
        <f aca="false">Income_Statement!$D$21/12</f>
        <v>-6867.55274745336</v>
      </c>
      <c r="X8" s="65" t="n">
        <f aca="false">Income_Statement!$D$21/12</f>
        <v>-6867.55274745336</v>
      </c>
      <c r="Y8" s="65" t="n">
        <f aca="false">Income_Statement!$D$21/12</f>
        <v>-6867.55274745336</v>
      </c>
      <c r="Z8" s="65" t="n">
        <f aca="false">Income_Statement!$D$21/12</f>
        <v>-6867.55274745336</v>
      </c>
      <c r="AA8" s="65" t="n">
        <f aca="false">Income_Statement!$E$21/12</f>
        <v>-33882.2893545871</v>
      </c>
      <c r="AB8" s="65" t="n">
        <f aca="false">Income_Statement!$E$21/12</f>
        <v>-33882.2893545871</v>
      </c>
      <c r="AC8" s="65" t="n">
        <f aca="false">Income_Statement!$E$21/12</f>
        <v>-33882.2893545871</v>
      </c>
      <c r="AD8" s="65" t="n">
        <f aca="false">Income_Statement!$E$21/12</f>
        <v>-33882.2893545871</v>
      </c>
      <c r="AE8" s="65" t="n">
        <f aca="false">Income_Statement!$E$21/12</f>
        <v>-33882.2893545871</v>
      </c>
      <c r="AF8" s="65" t="n">
        <f aca="false">Income_Statement!$E$21/12</f>
        <v>-33882.2893545871</v>
      </c>
      <c r="AG8" s="65" t="n">
        <f aca="false">Income_Statement!$E$21/12</f>
        <v>-33882.2893545871</v>
      </c>
      <c r="AH8" s="65" t="n">
        <f aca="false">Income_Statement!$E$21/12</f>
        <v>-33882.2893545871</v>
      </c>
      <c r="AI8" s="65" t="n">
        <f aca="false">Income_Statement!$E$21/12</f>
        <v>-33882.2893545871</v>
      </c>
      <c r="AJ8" s="65" t="n">
        <f aca="false">Income_Statement!$E$21/12</f>
        <v>-33882.2893545871</v>
      </c>
      <c r="AK8" s="65" t="n">
        <f aca="false">Income_Statement!$E$21/12</f>
        <v>-33882.2893545871</v>
      </c>
      <c r="AL8" s="65" t="n">
        <f aca="false">Income_Statement!$E$21/12</f>
        <v>-33882.2893545871</v>
      </c>
      <c r="AN8" s="52" t="n">
        <f aca="false">SUM(C8:N8)</f>
        <v>0</v>
      </c>
      <c r="AO8" s="52" t="n">
        <f aca="false">SUM(O8:Z8)</f>
        <v>-82410.6329694403</v>
      </c>
      <c r="AP8" s="52" t="n">
        <f aca="false">SUM(AA8:AL8)</f>
        <v>-406587.472255045</v>
      </c>
    </row>
    <row r="9" customFormat="false" ht="15" hidden="false" customHeight="false" outlineLevel="0" collapsed="false">
      <c r="A9" s="10" t="s">
        <v>67</v>
      </c>
      <c r="B9" s="24"/>
      <c r="C9" s="64" t="n">
        <f aca="false">C7+C8</f>
        <v>-43923.6476865515</v>
      </c>
      <c r="D9" s="64" t="n">
        <f aca="false">D7+D8</f>
        <v>-48463.9096845511</v>
      </c>
      <c r="E9" s="64" t="n">
        <f aca="false">E7+E8</f>
        <v>-48752.2788081725</v>
      </c>
      <c r="F9" s="64" t="n">
        <f aca="false">F7+F8</f>
        <v>-35938.4215379316</v>
      </c>
      <c r="G9" s="64" t="n">
        <f aca="false">G7+G8</f>
        <v>-34712.6968322787</v>
      </c>
      <c r="H9" s="64" t="n">
        <f aca="false">H7+H8</f>
        <v>-33110.8046912756</v>
      </c>
      <c r="I9" s="64" t="n">
        <f aca="false">I7+I8</f>
        <v>-19606.1399726875</v>
      </c>
      <c r="J9" s="64" t="n">
        <f aca="false">J7+J8</f>
        <v>-16767.4687933437</v>
      </c>
      <c r="K9" s="64" t="n">
        <f aca="false">K7+K8</f>
        <v>-13018.3419068633</v>
      </c>
      <c r="L9" s="64" t="n">
        <f aca="false">L7+L8</f>
        <v>18867.8786242681</v>
      </c>
      <c r="M9" s="64" t="n">
        <f aca="false">M7+M8</f>
        <v>25618.0585917629</v>
      </c>
      <c r="N9" s="64" t="n">
        <f aca="false">N7+N8</f>
        <v>34558.9115671114</v>
      </c>
      <c r="O9" s="64" t="n">
        <f aca="false">O7+O8</f>
        <v>-5269.93923787758</v>
      </c>
      <c r="P9" s="64" t="n">
        <f aca="false">P7+P8</f>
        <v>3985.6748756436</v>
      </c>
      <c r="Q9" s="64" t="n">
        <f aca="false">Q7+Q8</f>
        <v>16364.8839455958</v>
      </c>
      <c r="R9" s="64" t="n">
        <f aca="false">R7+R8</f>
        <v>7584.64103573869</v>
      </c>
      <c r="S9" s="64" t="n">
        <f aca="false">S7+S8</f>
        <v>18274.1628037714</v>
      </c>
      <c r="T9" s="64" t="n">
        <f aca="false">T7+T8</f>
        <v>32412.0105798673</v>
      </c>
      <c r="U9" s="64" t="n">
        <f aca="false">U7+U8</f>
        <v>45799.283638492</v>
      </c>
      <c r="V9" s="64" t="n">
        <f aca="false">V7+V8</f>
        <v>60298.9259632052</v>
      </c>
      <c r="W9" s="64" t="n">
        <f aca="false">W7+W8</f>
        <v>79486.6904756723</v>
      </c>
      <c r="X9" s="64" t="n">
        <f aca="false">X7+X8</f>
        <v>62365.9636577461</v>
      </c>
      <c r="Y9" s="64" t="n">
        <f aca="false">Y7+Y8</f>
        <v>78331.1374960825</v>
      </c>
      <c r="Z9" s="64" t="n">
        <f aca="false">Z7+Z8</f>
        <v>99474.2727913148</v>
      </c>
      <c r="AA9" s="64" t="n">
        <f aca="false">AA7+AA8</f>
        <v>38146.1039801675</v>
      </c>
      <c r="AB9" s="64" t="n">
        <f aca="false">AB7+AB8</f>
        <v>60682.2555867249</v>
      </c>
      <c r="AC9" s="64" t="n">
        <f aca="false">AC7+AC8</f>
        <v>90752.4532627718</v>
      </c>
      <c r="AD9" s="64" t="n">
        <f aca="false">AD7+AD8</f>
        <v>62225.31566635</v>
      </c>
      <c r="AE9" s="64" t="n">
        <f aca="false">AE7+AE8</f>
        <v>87219.3553741191</v>
      </c>
      <c r="AF9" s="64" t="n">
        <f aca="false">AF7+AF8</f>
        <v>120242.787557095</v>
      </c>
      <c r="AG9" s="64" t="n">
        <f aca="false">AG7+AG8</f>
        <v>105496.963567527</v>
      </c>
      <c r="AH9" s="64" t="n">
        <f aca="false">AH7+AH8</f>
        <v>134532.493606091</v>
      </c>
      <c r="AI9" s="64" t="n">
        <f aca="false">AI7+AI8</f>
        <v>172920.156925958</v>
      </c>
      <c r="AJ9" s="64" t="n">
        <f aca="false">AJ7+AJ8</f>
        <v>140339.180768285</v>
      </c>
      <c r="AK9" s="64" t="n">
        <f aca="false">AK7+AK8</f>
        <v>172689.054065548</v>
      </c>
      <c r="AL9" s="64" t="n">
        <f aca="false">AL7+AL8</f>
        <v>215221.83962896</v>
      </c>
      <c r="AN9" s="52" t="n">
        <f aca="false">SUM(C9:N9)</f>
        <v>-215248.861130513</v>
      </c>
      <c r="AO9" s="52" t="n">
        <f aca="false">SUM(O9:Z9)</f>
        <v>499107.708025252</v>
      </c>
      <c r="AP9" s="52" t="n">
        <f aca="false">SUM(AA9:AL9)</f>
        <v>1400467.9599896</v>
      </c>
    </row>
    <row r="10" customFormat="false" ht="15" hidden="false" customHeight="false" outlineLevel="0" collapsed="false">
      <c r="A10" s="26" t="s">
        <v>658</v>
      </c>
      <c r="B10" s="24" t="s">
        <v>659</v>
      </c>
      <c r="C10" s="65" t="n">
        <f aca="false">Expenses!C$43</f>
        <v>0</v>
      </c>
      <c r="D10" s="65" t="n">
        <f aca="false">Expenses!D$43</f>
        <v>4491.30555555556</v>
      </c>
      <c r="E10" s="65" t="n">
        <f aca="false">Expenses!E$43</f>
        <v>4689.22222222222</v>
      </c>
      <c r="F10" s="65" t="n">
        <f aca="false">Expenses!F$43</f>
        <v>4689.22222222222</v>
      </c>
      <c r="G10" s="65" t="n">
        <f aca="false">Expenses!G$43</f>
        <v>4689.22222222222</v>
      </c>
      <c r="H10" s="65" t="n">
        <f aca="false">Expenses!H$43</f>
        <v>4689.22222222222</v>
      </c>
      <c r="I10" s="65" t="n">
        <f aca="false">Expenses!I$43</f>
        <v>4689.22222222222</v>
      </c>
      <c r="J10" s="65" t="n">
        <f aca="false">Expenses!J$43</f>
        <v>4689.22222222222</v>
      </c>
      <c r="K10" s="65" t="n">
        <f aca="false">Expenses!K$43</f>
        <v>4689.22222222222</v>
      </c>
      <c r="L10" s="65" t="n">
        <f aca="false">Expenses!L$43</f>
        <v>4689.22222222222</v>
      </c>
      <c r="M10" s="65" t="n">
        <f aca="false">Expenses!M$43</f>
        <v>4689.22222222222</v>
      </c>
      <c r="N10" s="65" t="n">
        <f aca="false">Expenses!N$43</f>
        <v>4689.22222222222</v>
      </c>
      <c r="O10" s="65" t="n">
        <f aca="false">Expenses!O$43</f>
        <v>4689.22222222222</v>
      </c>
      <c r="P10" s="65" t="n">
        <f aca="false">Expenses!P$43</f>
        <v>4905.01388888889</v>
      </c>
      <c r="Q10" s="65" t="n">
        <f aca="false">Expenses!Q$43</f>
        <v>5046.68055555556</v>
      </c>
      <c r="R10" s="65" t="n">
        <f aca="false">Expenses!R$43</f>
        <v>5046.68055555556</v>
      </c>
      <c r="S10" s="65" t="n">
        <f aca="false">Expenses!S$43</f>
        <v>5046.68055555556</v>
      </c>
      <c r="T10" s="65" t="n">
        <f aca="false">Expenses!T$43</f>
        <v>5046.68055555556</v>
      </c>
      <c r="U10" s="65" t="n">
        <f aca="false">Expenses!U$43</f>
        <v>5046.68055555556</v>
      </c>
      <c r="V10" s="65" t="n">
        <f aca="false">Expenses!V$43</f>
        <v>5046.68055555556</v>
      </c>
      <c r="W10" s="65" t="n">
        <f aca="false">Expenses!W$43</f>
        <v>5046.68055555556</v>
      </c>
      <c r="X10" s="65" t="n">
        <f aca="false">Expenses!X$43</f>
        <v>5046.68055555556</v>
      </c>
      <c r="Y10" s="65" t="n">
        <f aca="false">Expenses!Y$43</f>
        <v>5046.68055555556</v>
      </c>
      <c r="Z10" s="65" t="n">
        <f aca="false">Expenses!Z$43</f>
        <v>5046.68055555556</v>
      </c>
      <c r="AA10" s="65" t="n">
        <f aca="false">Expenses!AA$43</f>
        <v>5046.68055555556</v>
      </c>
      <c r="AB10" s="65" t="n">
        <f aca="false">Expenses!AB$43</f>
        <v>5262.47222222222</v>
      </c>
      <c r="AC10" s="65" t="n">
        <f aca="false">Expenses!AC$43</f>
        <v>5262.47222222222</v>
      </c>
      <c r="AD10" s="65" t="n">
        <f aca="false">Expenses!AD$43</f>
        <v>5262.47222222222</v>
      </c>
      <c r="AE10" s="65" t="n">
        <f aca="false">Expenses!AE$43</f>
        <v>5262.47222222222</v>
      </c>
      <c r="AF10" s="65" t="n">
        <f aca="false">Expenses!AF$43</f>
        <v>5262.47222222222</v>
      </c>
      <c r="AG10" s="65" t="n">
        <f aca="false">Expenses!AG$43</f>
        <v>5262.47222222222</v>
      </c>
      <c r="AH10" s="65" t="n">
        <f aca="false">Expenses!AH$43</f>
        <v>5262.47222222222</v>
      </c>
      <c r="AI10" s="65" t="n">
        <f aca="false">Expenses!AI$43</f>
        <v>5262.47222222222</v>
      </c>
      <c r="AJ10" s="65" t="n">
        <f aca="false">Expenses!AJ$43</f>
        <v>5262.47222222222</v>
      </c>
      <c r="AK10" s="65" t="n">
        <f aca="false">Expenses!AK$43</f>
        <v>5067.47222222222</v>
      </c>
      <c r="AL10" s="65" t="n">
        <f aca="false">Expenses!AL$43</f>
        <v>5067.47222222222</v>
      </c>
      <c r="AN10" s="52" t="n">
        <f aca="false">SUM(C10:N10)</f>
        <v>51383.5277777778</v>
      </c>
      <c r="AO10" s="52" t="n">
        <f aca="false">SUM(O10:Z10)</f>
        <v>60061.0416666667</v>
      </c>
      <c r="AP10" s="52" t="n">
        <f aca="false">SUM(AA10:AL10)</f>
        <v>62543.875</v>
      </c>
    </row>
    <row r="11" customFormat="false" ht="16.5" hidden="false" customHeight="true" outlineLevel="0" collapsed="false">
      <c r="A11" s="21" t="s">
        <v>660</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row>
    <row r="12" customFormat="false" ht="15.75" hidden="false" customHeight="true" outlineLevel="0" collapsed="false">
      <c r="A12" s="36" t="s">
        <v>345</v>
      </c>
      <c r="B12" s="36" t="s">
        <v>346</v>
      </c>
      <c r="C12" s="47" t="s">
        <v>347</v>
      </c>
      <c r="D12" s="47" t="s">
        <v>348</v>
      </c>
      <c r="E12" s="47" t="s">
        <v>349</v>
      </c>
      <c r="F12" s="47" t="s">
        <v>350</v>
      </c>
      <c r="G12" s="47" t="s">
        <v>351</v>
      </c>
      <c r="H12" s="47" t="s">
        <v>352</v>
      </c>
      <c r="I12" s="47" t="s">
        <v>353</v>
      </c>
      <c r="J12" s="47" t="s">
        <v>354</v>
      </c>
      <c r="K12" s="47" t="s">
        <v>355</v>
      </c>
      <c r="L12" s="47" t="s">
        <v>356</v>
      </c>
      <c r="M12" s="47" t="s">
        <v>357</v>
      </c>
      <c r="N12" s="47" t="s">
        <v>358</v>
      </c>
      <c r="O12" s="48" t="s">
        <v>359</v>
      </c>
      <c r="P12" s="48" t="s">
        <v>360</v>
      </c>
      <c r="Q12" s="48" t="s">
        <v>361</v>
      </c>
      <c r="R12" s="48" t="s">
        <v>362</v>
      </c>
      <c r="S12" s="48" t="s">
        <v>363</v>
      </c>
      <c r="T12" s="48" t="s">
        <v>364</v>
      </c>
      <c r="U12" s="48" t="s">
        <v>365</v>
      </c>
      <c r="V12" s="48" t="s">
        <v>366</v>
      </c>
      <c r="W12" s="48" t="s">
        <v>367</v>
      </c>
      <c r="X12" s="48" t="s">
        <v>368</v>
      </c>
      <c r="Y12" s="48" t="s">
        <v>369</v>
      </c>
      <c r="Z12" s="48" t="s">
        <v>370</v>
      </c>
      <c r="AA12" s="47" t="s">
        <v>371</v>
      </c>
      <c r="AB12" s="47" t="s">
        <v>372</v>
      </c>
      <c r="AC12" s="47" t="s">
        <v>373</v>
      </c>
      <c r="AD12" s="47" t="s">
        <v>374</v>
      </c>
      <c r="AE12" s="47" t="s">
        <v>375</v>
      </c>
      <c r="AF12" s="47" t="s">
        <v>376</v>
      </c>
      <c r="AG12" s="47" t="s">
        <v>377</v>
      </c>
      <c r="AH12" s="47" t="s">
        <v>378</v>
      </c>
      <c r="AI12" s="47" t="s">
        <v>379</v>
      </c>
      <c r="AJ12" s="47" t="s">
        <v>380</v>
      </c>
      <c r="AK12" s="47" t="s">
        <v>381</v>
      </c>
      <c r="AL12" s="47" t="s">
        <v>382</v>
      </c>
      <c r="AM12" s="49"/>
      <c r="AN12" s="50" t="s">
        <v>383</v>
      </c>
      <c r="AO12" s="50" t="s">
        <v>384</v>
      </c>
      <c r="AP12" s="50" t="s">
        <v>385</v>
      </c>
    </row>
    <row r="13" customFormat="false" ht="15" hidden="false" customHeight="false" outlineLevel="0" collapsed="false">
      <c r="A13" s="26" t="s">
        <v>400</v>
      </c>
      <c r="B13" s="24" t="s">
        <v>661</v>
      </c>
      <c r="C13" s="51" t="n">
        <f aca="false">Revenue!C$36*Assumptions!$C$135/30+Revenue!C$44*Assumptions!$C$136/30</f>
        <v>5631.04751833654</v>
      </c>
      <c r="D13" s="51" t="n">
        <f aca="false">Revenue!D$36*Assumptions!$C$135/30+Revenue!D$44*Assumptions!$C$136/30</f>
        <v>6199.62716011058</v>
      </c>
      <c r="E13" s="51" t="n">
        <f aca="false">Revenue!E$36*Assumptions!$C$135/30+Revenue!E$44*Assumptions!$C$136/30</f>
        <v>6955.74963313462</v>
      </c>
      <c r="F13" s="51" t="n">
        <f aca="false">Revenue!F$36*Assumptions!$C$135/30+Revenue!F$44*Assumptions!$C$136/30</f>
        <v>58376.5971895962</v>
      </c>
      <c r="G13" s="51" t="n">
        <f aca="false">Revenue!G$36*Assumptions!$C$135/30+Revenue!G$44*Assumptions!$C$136/30</f>
        <v>64220.2068733077</v>
      </c>
      <c r="H13" s="51" t="n">
        <f aca="false">Revenue!H$36*Assumptions!$C$135/30+Revenue!H$44*Assumptions!$C$136/30</f>
        <v>72009.1660600192</v>
      </c>
      <c r="I13" s="51" t="n">
        <f aca="false">Revenue!I$36*Assumptions!$C$135/30+Revenue!I$44*Assumptions!$C$136/30</f>
        <v>119078.451620856</v>
      </c>
      <c r="J13" s="51" t="n">
        <f aca="false">Revenue!J$36*Assumptions!$C$135/30+Revenue!J$44*Assumptions!$C$136/30</f>
        <v>130990.59310938</v>
      </c>
      <c r="K13" s="51" t="n">
        <f aca="false">Revenue!K$36*Assumptions!$C$135/30+Revenue!K$44*Assumptions!$C$136/30</f>
        <v>146870.709168154</v>
      </c>
      <c r="L13" s="51" t="n">
        <f aca="false">Revenue!L$36*Assumptions!$C$135/30+Revenue!L$44*Assumptions!$C$136/30</f>
        <v>270915.319998365</v>
      </c>
      <c r="M13" s="51" t="n">
        <f aca="false">Revenue!M$36*Assumptions!$C$135/30+Revenue!M$44*Assumptions!$C$136/30</f>
        <v>298016.069283202</v>
      </c>
      <c r="N13" s="51" t="n">
        <f aca="false">Revenue!N$36*Assumptions!$C$135/30+Revenue!N$44*Assumptions!$C$136/30</f>
        <v>334145.836507538</v>
      </c>
      <c r="O13" s="51" t="n">
        <f aca="false">Revenue!O$36*Assumptions!$C$135/30+Revenue!O$44*Assumptions!$C$136/30</f>
        <v>381684.897785806</v>
      </c>
      <c r="P13" s="51" t="n">
        <f aca="false">Revenue!P$36*Assumptions!$C$135/30+Revenue!P$44*Assumptions!$C$136/30</f>
        <v>419870.913325555</v>
      </c>
      <c r="Q13" s="51" t="n">
        <f aca="false">Revenue!Q$36*Assumptions!$C$135/30+Revenue!Q$44*Assumptions!$C$136/30</f>
        <v>470777.034547278</v>
      </c>
      <c r="R13" s="51" t="n">
        <f aca="false">Revenue!R$36*Assumptions!$C$135/30+Revenue!R$44*Assumptions!$C$136/30</f>
        <v>434692.967027554</v>
      </c>
      <c r="S13" s="51" t="n">
        <f aca="false">Revenue!S$36*Assumptions!$C$135/30+Revenue!S$44*Assumptions!$C$136/30</f>
        <v>478171.540889512</v>
      </c>
      <c r="T13" s="51" t="n">
        <f aca="false">Revenue!T$36*Assumptions!$C$135/30+Revenue!T$44*Assumptions!$C$136/30</f>
        <v>536133.969927046</v>
      </c>
      <c r="U13" s="51" t="n">
        <f aca="false">Revenue!U$36*Assumptions!$C$135/30+Revenue!U$44*Assumptions!$C$136/30</f>
        <v>579889.909322797</v>
      </c>
      <c r="V13" s="51" t="n">
        <f aca="false">Revenue!V$36*Assumptions!$C$135/30+Revenue!V$44*Assumptions!$C$136/30</f>
        <v>637886.940791777</v>
      </c>
      <c r="W13" s="51" t="n">
        <f aca="false">Revenue!W$36*Assumptions!$C$135/30+Revenue!W$44*Assumptions!$C$136/30</f>
        <v>715205.095025063</v>
      </c>
      <c r="X13" s="51" t="n">
        <f aca="false">Revenue!X$36*Assumptions!$C$135/30+Revenue!X$44*Assumptions!$C$136/30</f>
        <v>644408.643377806</v>
      </c>
      <c r="Y13" s="51" t="n">
        <f aca="false">Revenue!Y$36*Assumptions!$C$135/30+Revenue!Y$44*Assumptions!$C$136/30</f>
        <v>708843.244699477</v>
      </c>
      <c r="Z13" s="51" t="n">
        <f aca="false">Revenue!Z$36*Assumptions!$C$135/30+Revenue!Z$44*Assumptions!$C$136/30</f>
        <v>794744.916646386</v>
      </c>
      <c r="AA13" s="51" t="n">
        <f aca="false">Revenue!AA$36*Assumptions!$C$135/30+Revenue!AA$44*Assumptions!$C$136/30</f>
        <v>917645.130323649</v>
      </c>
      <c r="AB13" s="51" t="n">
        <f aca="false">Revenue!AB$36*Assumptions!$C$135/30+Revenue!AB$44*Assumptions!$C$136/30</f>
        <v>1009427.05311039</v>
      </c>
      <c r="AC13" s="51" t="n">
        <f aca="false">Revenue!AC$36*Assumptions!$C$135/30+Revenue!AC$44*Assumptions!$C$136/30</f>
        <v>1131781.5880431</v>
      </c>
      <c r="AD13" s="51" t="n">
        <f aca="false">Revenue!AD$36*Assumptions!$C$135/30+Revenue!AD$44*Assumptions!$C$136/30</f>
        <v>1018508.07162023</v>
      </c>
      <c r="AE13" s="51" t="n">
        <f aca="false">Revenue!AE$36*Assumptions!$C$135/30+Revenue!AE$44*Assumptions!$C$136/30</f>
        <v>1120360.29129682</v>
      </c>
      <c r="AF13" s="51" t="n">
        <f aca="false">Revenue!AF$36*Assumptions!$C$135/30+Revenue!AF$44*Assumptions!$C$136/30</f>
        <v>1256139.49243937</v>
      </c>
      <c r="AG13" s="51" t="n">
        <f aca="false">Revenue!AG$36*Assumptions!$C$135/30+Revenue!AG$44*Assumptions!$C$136/30</f>
        <v>1176777.08825644</v>
      </c>
      <c r="AH13" s="51" t="n">
        <f aca="false">Revenue!AH$36*Assumptions!$C$135/30+Revenue!AH$44*Assumptions!$C$136/30</f>
        <v>1294433.63139697</v>
      </c>
      <c r="AI13" s="51" t="n">
        <f aca="false">Revenue!AI$36*Assumptions!$C$135/30+Revenue!AI$44*Assumptions!$C$136/30</f>
        <v>1451283.60430211</v>
      </c>
      <c r="AJ13" s="51" t="n">
        <f aca="false">Revenue!AJ$36*Assumptions!$C$135/30+Revenue!AJ$44*Assumptions!$C$136/30</f>
        <v>1309190.66695198</v>
      </c>
      <c r="AK13" s="51" t="n">
        <f aca="false">Revenue!AK$36*Assumptions!$C$135/30+Revenue!AK$44*Assumptions!$C$136/30</f>
        <v>1440059.47360859</v>
      </c>
      <c r="AL13" s="51" t="n">
        <f aca="false">Revenue!AL$36*Assumptions!$C$135/30+Revenue!AL$44*Assumptions!$C$136/30</f>
        <v>1614525.10560752</v>
      </c>
      <c r="AN13" s="52" t="n">
        <f aca="false">N13</f>
        <v>334145.836507538</v>
      </c>
      <c r="AO13" s="52" t="n">
        <f aca="false">Z13</f>
        <v>794744.916646386</v>
      </c>
      <c r="AP13" s="52" t="n">
        <f aca="false">AL13</f>
        <v>1614525.10560752</v>
      </c>
    </row>
    <row r="14" customFormat="false" ht="15" hidden="false" customHeight="false" outlineLevel="0" collapsed="false">
      <c r="A14" s="26" t="s">
        <v>407</v>
      </c>
      <c r="B14" s="24" t="s">
        <v>662</v>
      </c>
      <c r="C14" s="51" t="n">
        <f aca="false">(Expenses!C$21+Expenses!C$50)*Assumptions!$C$137/30</f>
        <v>33762.5872051995</v>
      </c>
      <c r="D14" s="51" t="n">
        <f aca="false">(Expenses!D$21+Expenses!D$50)*Assumptions!$C$137/30</f>
        <v>34188.5967857632</v>
      </c>
      <c r="E14" s="51" t="n">
        <f aca="false">(Expenses!E$21+Expenses!E$50)*Assumptions!$C$137/30</f>
        <v>34751.2679301311</v>
      </c>
      <c r="F14" s="51" t="n">
        <f aca="false">(Expenses!F$21+Expenses!F$50)*Assumptions!$C$137/30</f>
        <v>43940.3500195937</v>
      </c>
      <c r="G14" s="51" t="n">
        <f aca="false">(Expenses!G$21+Expenses!G$50)*Assumptions!$C$137/30</f>
        <v>45384.0073279506</v>
      </c>
      <c r="H14" s="51" t="n">
        <f aca="false">(Expenses!H$21+Expenses!H$50)*Assumptions!$C$137/30</f>
        <v>47302.5855975655</v>
      </c>
      <c r="I14" s="51" t="n">
        <f aca="false">(Expenses!I$21+Expenses!I$50)*Assumptions!$C$137/30</f>
        <v>53670.9740738522</v>
      </c>
      <c r="J14" s="51" t="n">
        <f aca="false">(Expenses!J$21+Expenses!J$50)*Assumptions!$C$137/30</f>
        <v>56082.417080455</v>
      </c>
      <c r="K14" s="51" t="n">
        <f aca="false">(Expenses!K$21+Expenses!K$50)*Assumptions!$C$137/30</f>
        <v>59291.4667414402</v>
      </c>
      <c r="L14" s="51" t="n">
        <f aca="false">(Expenses!L$21+Expenses!L$50)*Assumptions!$C$137/30</f>
        <v>80269.8156504889</v>
      </c>
      <c r="M14" s="51" t="n">
        <f aca="false">(Expenses!M$21+Expenses!M$50)*Assumptions!$C$137/30</f>
        <v>85352.468173051</v>
      </c>
      <c r="N14" s="51" t="n">
        <f aca="false">(Expenses!N$21+Expenses!N$50)*Assumptions!$C$137/30</f>
        <v>92118.7327943672</v>
      </c>
      <c r="O14" s="51" t="n">
        <f aca="false">(Expenses!O$21+Expenses!O$50)*Assumptions!$C$137/30</f>
        <v>137999.249564513</v>
      </c>
      <c r="P14" s="51" t="n">
        <f aca="false">(Expenses!P$21+Expenses!P$50)*Assumptions!$C$137/30</f>
        <v>145340.298099895</v>
      </c>
      <c r="Q14" s="51" t="n">
        <f aca="false">(Expenses!Q$21+Expenses!Q$50)*Assumptions!$C$137/30</f>
        <v>155104.064453995</v>
      </c>
      <c r="R14" s="51" t="n">
        <f aca="false">(Expenses!R$21+Expenses!R$50)*Assumptions!$C$137/30</f>
        <v>149077.916253661</v>
      </c>
      <c r="S14" s="51" t="n">
        <f aca="false">(Expenses!S$21+Expenses!S$50)*Assumptions!$C$137/30</f>
        <v>157502.750108552</v>
      </c>
      <c r="T14" s="51" t="n">
        <f aca="false">(Expenses!T$21+Expenses!T$50)*Assumptions!$C$137/30</f>
        <v>168712.302526608</v>
      </c>
      <c r="U14" s="51" t="n">
        <f aca="false">(Expenses!U$21+Expenses!U$50)*Assumptions!$C$137/30</f>
        <v>174244.656717191</v>
      </c>
      <c r="V14" s="51" t="n">
        <f aca="false">(Expenses!V$21+Expenses!V$50)*Assumptions!$C$137/30</f>
        <v>185177.758045515</v>
      </c>
      <c r="W14" s="51" t="n">
        <f aca="false">(Expenses!W$21+Expenses!W$50)*Assumptions!$C$137/30</f>
        <v>199728.131863474</v>
      </c>
      <c r="X14" s="51" t="n">
        <f aca="false">(Expenses!X$21+Expenses!X$50)*Assumptions!$C$137/30</f>
        <v>187388.709324054</v>
      </c>
      <c r="Y14" s="51" t="n">
        <f aca="false">(Expenses!Y$21+Expenses!Y$50)*Assumptions!$C$137/30</f>
        <v>199608.896308574</v>
      </c>
      <c r="Z14" s="51" t="n">
        <f aca="false">(Expenses!Z$21+Expenses!Z$50)*Assumptions!$C$137/30</f>
        <v>215875.430868376</v>
      </c>
      <c r="AA14" s="51" t="n">
        <f aca="false">(Expenses!AA$21+Expenses!AA$50)*Assumptions!$C$137/30</f>
        <v>303473.658325161</v>
      </c>
      <c r="AB14" s="51" t="n">
        <f aca="false">(Expenses!AB$21+Expenses!AB$50)*Assumptions!$C$137/30</f>
        <v>321241.873274358</v>
      </c>
      <c r="AC14" s="51" t="n">
        <f aca="false">(Expenses!AC$21+Expenses!AC$50)*Assumptions!$C$137/30</f>
        <v>344869.003974737</v>
      </c>
      <c r="AD14" s="51" t="n">
        <f aca="false">(Expenses!AD$21+Expenses!AD$50)*Assumptions!$C$137/30</f>
        <v>326847.960436998</v>
      </c>
      <c r="AE14" s="51" t="n">
        <f aca="false">(Expenses!AE$21+Expenses!AE$50)*Assumptions!$C$137/30</f>
        <v>346892.291784992</v>
      </c>
      <c r="AF14" s="51" t="n">
        <f aca="false">(Expenses!AF$21+Expenses!AF$50)*Assumptions!$C$137/30</f>
        <v>373554.574232743</v>
      </c>
      <c r="AG14" s="51" t="n">
        <f aca="false">(Expenses!AG$21+Expenses!AG$50)*Assumptions!$C$137/30</f>
        <v>355401.662352653</v>
      </c>
      <c r="AH14" s="51" t="n">
        <f aca="false">(Expenses!AH$21+Expenses!AH$50)*Assumptions!$C$137/30</f>
        <v>378239.532266931</v>
      </c>
      <c r="AI14" s="51" t="n">
        <f aca="false">(Expenses!AI$21+Expenses!AI$50)*Assumptions!$C$137/30</f>
        <v>408625.984233716</v>
      </c>
      <c r="AJ14" s="51" t="n">
        <f aca="false">(Expenses!AJ$21+Expenses!AJ$50)*Assumptions!$C$137/30</f>
        <v>382057.03612375</v>
      </c>
      <c r="AK14" s="51" t="n">
        <f aca="false">(Expenses!AK$21+Expenses!AK$50)*Assumptions!$C$137/30</f>
        <v>407476.983767611</v>
      </c>
      <c r="AL14" s="51" t="n">
        <f aca="false">(Expenses!AL$21+Expenses!AL$50)*Assumptions!$C$137/30</f>
        <v>441310.427258195</v>
      </c>
      <c r="AN14" s="52" t="n">
        <f aca="false">N14</f>
        <v>92118.7327943672</v>
      </c>
      <c r="AO14" s="52" t="n">
        <f aca="false">Z14</f>
        <v>215875.430868376</v>
      </c>
      <c r="AP14" s="52" t="n">
        <f aca="false">AL14</f>
        <v>441310.427258195</v>
      </c>
    </row>
    <row r="15" customFormat="false" ht="15" hidden="false" customHeight="false" outlineLevel="0" collapsed="false">
      <c r="A15" s="26" t="s">
        <v>640</v>
      </c>
      <c r="B15" s="24"/>
      <c r="C15" s="51" t="n">
        <f aca="false">HR_Model!C$50*Assumptions!$C$138/30</f>
        <v>5775</v>
      </c>
      <c r="D15" s="51" t="n">
        <f aca="false">HR_Model!D$50*Assumptions!$C$138/30</f>
        <v>5775</v>
      </c>
      <c r="E15" s="51" t="n">
        <f aca="false">HR_Model!E$50*Assumptions!$C$138/30</f>
        <v>5775</v>
      </c>
      <c r="F15" s="51" t="n">
        <f aca="false">HR_Model!F$50*Assumptions!$C$138/30</f>
        <v>5775</v>
      </c>
      <c r="G15" s="51" t="n">
        <f aca="false">HR_Model!G$50*Assumptions!$C$138/30</f>
        <v>5775</v>
      </c>
      <c r="H15" s="51" t="n">
        <f aca="false">HR_Model!H$50*Assumptions!$C$138/30</f>
        <v>5775</v>
      </c>
      <c r="I15" s="51" t="n">
        <f aca="false">HR_Model!I$50*Assumptions!$C$138/30</f>
        <v>5775</v>
      </c>
      <c r="J15" s="51" t="n">
        <f aca="false">HR_Model!J$50*Assumptions!$C$138/30</f>
        <v>5775</v>
      </c>
      <c r="K15" s="51" t="n">
        <f aca="false">HR_Model!K$50*Assumptions!$C$138/30</f>
        <v>5775</v>
      </c>
      <c r="L15" s="51" t="n">
        <f aca="false">HR_Model!L$50*Assumptions!$C$138/30</f>
        <v>5775</v>
      </c>
      <c r="M15" s="51" t="n">
        <f aca="false">HR_Model!M$50*Assumptions!$C$138/30</f>
        <v>5775</v>
      </c>
      <c r="N15" s="51" t="n">
        <f aca="false">HR_Model!N$50*Assumptions!$C$138/30</f>
        <v>5775</v>
      </c>
      <c r="O15" s="51" t="n">
        <f aca="false">HR_Model!O$50*Assumptions!$C$138/30</f>
        <v>10145.52</v>
      </c>
      <c r="P15" s="51" t="n">
        <f aca="false">HR_Model!P$50*Assumptions!$C$138/30</f>
        <v>10145.52</v>
      </c>
      <c r="Q15" s="51" t="n">
        <f aca="false">HR_Model!Q$50*Assumptions!$C$138/30</f>
        <v>10145.52</v>
      </c>
      <c r="R15" s="51" t="n">
        <f aca="false">HR_Model!R$50*Assumptions!$C$138/30</f>
        <v>10145.52</v>
      </c>
      <c r="S15" s="51" t="n">
        <f aca="false">HR_Model!S$50*Assumptions!$C$138/30</f>
        <v>10145.52</v>
      </c>
      <c r="T15" s="51" t="n">
        <f aca="false">HR_Model!T$50*Assumptions!$C$138/30</f>
        <v>10145.52</v>
      </c>
      <c r="U15" s="51" t="n">
        <f aca="false">HR_Model!U$50*Assumptions!$C$138/30</f>
        <v>10145.52</v>
      </c>
      <c r="V15" s="51" t="n">
        <f aca="false">HR_Model!V$50*Assumptions!$C$138/30</f>
        <v>10145.52</v>
      </c>
      <c r="W15" s="51" t="n">
        <f aca="false">HR_Model!W$50*Assumptions!$C$138/30</f>
        <v>10145.52</v>
      </c>
      <c r="X15" s="51" t="n">
        <f aca="false">HR_Model!X$50*Assumptions!$C$138/30</f>
        <v>10145.52</v>
      </c>
      <c r="Y15" s="51" t="n">
        <f aca="false">HR_Model!Y$50*Assumptions!$C$138/30</f>
        <v>10145.52</v>
      </c>
      <c r="Z15" s="51" t="n">
        <f aca="false">HR_Model!Z$50*Assumptions!$C$138/30</f>
        <v>10145.52</v>
      </c>
      <c r="AA15" s="51" t="n">
        <f aca="false">HR_Model!AA$50*Assumptions!$C$138/30</f>
        <v>13337.2008</v>
      </c>
      <c r="AB15" s="51" t="n">
        <f aca="false">HR_Model!AB$50*Assumptions!$C$138/30</f>
        <v>13337.2008</v>
      </c>
      <c r="AC15" s="51" t="n">
        <f aca="false">HR_Model!AC$50*Assumptions!$C$138/30</f>
        <v>13337.2008</v>
      </c>
      <c r="AD15" s="51" t="n">
        <f aca="false">HR_Model!AD$50*Assumptions!$C$138/30</f>
        <v>13337.2008</v>
      </c>
      <c r="AE15" s="51" t="n">
        <f aca="false">HR_Model!AE$50*Assumptions!$C$138/30</f>
        <v>13337.2008</v>
      </c>
      <c r="AF15" s="51" t="n">
        <f aca="false">HR_Model!AF$50*Assumptions!$C$138/30</f>
        <v>13337.2008</v>
      </c>
      <c r="AG15" s="51" t="n">
        <f aca="false">HR_Model!AG$50*Assumptions!$C$138/30</f>
        <v>13337.2008</v>
      </c>
      <c r="AH15" s="51" t="n">
        <f aca="false">HR_Model!AH$50*Assumptions!$C$138/30</f>
        <v>13337.2008</v>
      </c>
      <c r="AI15" s="51" t="n">
        <f aca="false">HR_Model!AI$50*Assumptions!$C$138/30</f>
        <v>13337.2008</v>
      </c>
      <c r="AJ15" s="51" t="n">
        <f aca="false">HR_Model!AJ$50*Assumptions!$C$138/30</f>
        <v>13337.2008</v>
      </c>
      <c r="AK15" s="51" t="n">
        <f aca="false">HR_Model!AK$50*Assumptions!$C$138/30</f>
        <v>13337.2008</v>
      </c>
      <c r="AL15" s="51" t="n">
        <f aca="false">HR_Model!AL$50*Assumptions!$C$138/30</f>
        <v>13337.2008</v>
      </c>
      <c r="AN15" s="52" t="n">
        <f aca="false">N15</f>
        <v>5775</v>
      </c>
      <c r="AO15" s="52" t="n">
        <f aca="false">Z15</f>
        <v>10145.52</v>
      </c>
      <c r="AP15" s="52" t="n">
        <f aca="false">AL15</f>
        <v>13337.2008</v>
      </c>
    </row>
    <row r="16" customFormat="false" ht="15" hidden="false" customHeight="false" outlineLevel="0" collapsed="false">
      <c r="A16" s="26" t="s">
        <v>641</v>
      </c>
      <c r="B16" s="24" t="s">
        <v>663</v>
      </c>
      <c r="C16" s="51" t="n">
        <f aca="false">Revenue!C$45+Revenue!C$36*Assumptions!$C$139</f>
        <v>1672.84052552885</v>
      </c>
      <c r="D16" s="51" t="n">
        <f aca="false">Revenue!D$45+Revenue!D$36*Assumptions!$C$139</f>
        <v>2652.76864319712</v>
      </c>
      <c r="E16" s="51" t="n">
        <f aca="false">Revenue!E$45+Revenue!E$36*Assumptions!$C$139</f>
        <v>3571.06929050481</v>
      </c>
      <c r="F16" s="51" t="n">
        <f aca="false">Revenue!F$45+Revenue!F$36*Assumptions!$C$139</f>
        <v>10844.1716096394</v>
      </c>
      <c r="G16" s="51" t="n">
        <f aca="false">Revenue!G$45+Revenue!G$36*Assumptions!$C$139</f>
        <v>12566.011578101</v>
      </c>
      <c r="H16" s="51" t="n">
        <f aca="false">Revenue!H$45+Revenue!H$36*Assumptions!$C$139</f>
        <v>14449.7742858894</v>
      </c>
      <c r="I16" s="51" t="n">
        <f aca="false">Revenue!I$45+Revenue!I$36*Assumptions!$C$139</f>
        <v>20966.6009236298</v>
      </c>
      <c r="J16" s="51" t="n">
        <f aca="false">Revenue!J$45+Revenue!J$36*Assumptions!$C$139</f>
        <v>23183.9722172596</v>
      </c>
      <c r="K16" s="51" t="n">
        <f aca="false">Revenue!K$45+Revenue!K$36*Assumptions!$C$139</f>
        <v>25811.1252742788</v>
      </c>
      <c r="L16" s="51" t="n">
        <f aca="false">Revenue!L$45+Revenue!L$36*Assumptions!$C$139</f>
        <v>42419.574736875</v>
      </c>
      <c r="M16" s="51" t="n">
        <f aca="false">Revenue!M$45+Revenue!M$36*Assumptions!$C$139</f>
        <v>47325.8067594231</v>
      </c>
      <c r="N16" s="51" t="n">
        <f aca="false">Revenue!N$45+Revenue!N$36*Assumptions!$C$139</f>
        <v>53292.0595269231</v>
      </c>
      <c r="O16" s="51" t="n">
        <f aca="false">Revenue!O$45+Revenue!O$36*Assumptions!$C$139</f>
        <v>63364.0761286175</v>
      </c>
      <c r="P16" s="51" t="n">
        <f aca="false">Revenue!P$45+Revenue!P$36*Assumptions!$C$139</f>
        <v>72168.3089193817</v>
      </c>
      <c r="Q16" s="51" t="n">
        <f aca="false">Revenue!Q$45+Revenue!Q$36*Assumptions!$C$139</f>
        <v>82433.5557646991</v>
      </c>
      <c r="R16" s="51" t="n">
        <f aca="false">Revenue!R$45+Revenue!R$36*Assumptions!$C$139</f>
        <v>81675.3569641738</v>
      </c>
      <c r="S16" s="51" t="n">
        <f aca="false">Revenue!S$45+Revenue!S$36*Assumptions!$C$139</f>
        <v>90363.4418419809</v>
      </c>
      <c r="T16" s="51" t="n">
        <f aca="false">Revenue!T$45+Revenue!T$36*Assumptions!$C$139</f>
        <v>100789.653300387</v>
      </c>
      <c r="U16" s="51" t="n">
        <f aca="false">Revenue!U$45+Revenue!U$36*Assumptions!$C$139</f>
        <v>109737.065644225</v>
      </c>
      <c r="V16" s="51" t="n">
        <f aca="false">Revenue!V$45+Revenue!V$36*Assumptions!$C$139</f>
        <v>120323.206118359</v>
      </c>
      <c r="W16" s="51" t="n">
        <f aca="false">Revenue!W$45+Revenue!W$36*Assumptions!$C$139</f>
        <v>133302.593313203</v>
      </c>
      <c r="X16" s="51" t="n">
        <f aca="false">Revenue!X$45+Revenue!X$36*Assumptions!$C$139</f>
        <v>127760.915577905</v>
      </c>
      <c r="Y16" s="51" t="n">
        <f aca="false">Revenue!Y$45+Revenue!Y$36*Assumptions!$C$139</f>
        <v>138517.03425714</v>
      </c>
      <c r="Z16" s="51" t="n">
        <f aca="false">Revenue!Z$45+Revenue!Z$36*Assumptions!$C$139</f>
        <v>152109.57538554</v>
      </c>
      <c r="AA16" s="51" t="n">
        <f aca="false">Revenue!AA$45+Revenue!AA$36*Assumptions!$C$139</f>
        <v>177808.945826932</v>
      </c>
      <c r="AB16" s="51" t="n">
        <f aca="false">Revenue!AB$45+Revenue!AB$36*Assumptions!$C$139</f>
        <v>199854.783458467</v>
      </c>
      <c r="AC16" s="51" t="n">
        <f aca="false">Revenue!AC$45+Revenue!AC$36*Assumptions!$C$139</f>
        <v>225997.315754345</v>
      </c>
      <c r="AD16" s="51" t="n">
        <f aca="false">Revenue!AD$45+Revenue!AD$36*Assumptions!$C$139</f>
        <v>221859.891947029</v>
      </c>
      <c r="AE16" s="51" t="n">
        <f aca="false">Revenue!AE$45+Revenue!AE$36*Assumptions!$C$139</f>
        <v>243708.582502055</v>
      </c>
      <c r="AF16" s="51" t="n">
        <f aca="false">Revenue!AF$45+Revenue!AF$36*Assumptions!$C$139</f>
        <v>270212.92193389</v>
      </c>
      <c r="AG16" s="51" t="n">
        <f aca="false">Revenue!AG$45+Revenue!AG$36*Assumptions!$C$139</f>
        <v>268744.017345906</v>
      </c>
      <c r="AH16" s="51" t="n">
        <f aca="false">Revenue!AH$45+Revenue!AH$36*Assumptions!$C$139</f>
        <v>291287.004037476</v>
      </c>
      <c r="AI16" s="51" t="n">
        <f aca="false">Revenue!AI$45+Revenue!AI$36*Assumptions!$C$139</f>
        <v>319407.295001936</v>
      </c>
      <c r="AJ16" s="51" t="n">
        <f aca="false">Revenue!AJ$45+Revenue!AJ$36*Assumptions!$C$139</f>
        <v>307428.880630825</v>
      </c>
      <c r="AK16" s="51" t="n">
        <f aca="false">Revenue!AK$45+Revenue!AK$36*Assumptions!$C$139</f>
        <v>328713.72386307</v>
      </c>
      <c r="AL16" s="51" t="n">
        <f aca="false">Revenue!AL$45+Revenue!AL$36*Assumptions!$C$139</f>
        <v>356298.970381403</v>
      </c>
      <c r="AN16" s="52" t="n">
        <f aca="false">N16</f>
        <v>53292.0595269231</v>
      </c>
      <c r="AO16" s="52" t="n">
        <f aca="false">Z16</f>
        <v>152109.57538554</v>
      </c>
      <c r="AP16" s="52" t="n">
        <f aca="false">AL16</f>
        <v>356298.970381403</v>
      </c>
    </row>
    <row r="17" customFormat="false" ht="15" hidden="false" customHeight="false" outlineLevel="0" collapsed="false">
      <c r="A17" s="26" t="s">
        <v>643</v>
      </c>
      <c r="B17" s="24" t="s">
        <v>664</v>
      </c>
      <c r="C17" s="51" t="n">
        <f aca="false">-C8</f>
        <v>0</v>
      </c>
      <c r="D17" s="51" t="n">
        <f aca="false">C17-D8-D18</f>
        <v>0</v>
      </c>
      <c r="E17" s="51" t="n">
        <f aca="false">D17-E8-E18</f>
        <v>0</v>
      </c>
      <c r="F17" s="51" t="n">
        <f aca="false">E17-F8-F18</f>
        <v>0</v>
      </c>
      <c r="G17" s="51" t="n">
        <f aca="false">F17-G8-G18</f>
        <v>0</v>
      </c>
      <c r="H17" s="51" t="n">
        <f aca="false">G17-H8-H18</f>
        <v>0</v>
      </c>
      <c r="I17" s="51" t="n">
        <f aca="false">H17-I8-I18</f>
        <v>0</v>
      </c>
      <c r="J17" s="51" t="n">
        <f aca="false">I17-J8-J18</f>
        <v>0</v>
      </c>
      <c r="K17" s="51" t="n">
        <f aca="false">J17-K8-K18</f>
        <v>0</v>
      </c>
      <c r="L17" s="51" t="n">
        <f aca="false">K17-L8-L18</f>
        <v>0</v>
      </c>
      <c r="M17" s="51" t="n">
        <f aca="false">L17-M8-M18</f>
        <v>0</v>
      </c>
      <c r="N17" s="51" t="n">
        <f aca="false">M17-N8-N18</f>
        <v>0</v>
      </c>
      <c r="O17" s="51" t="n">
        <f aca="false">N17-O8-O18</f>
        <v>6867.55274745336</v>
      </c>
      <c r="P17" s="51" t="n">
        <f aca="false">O17-P8-P18</f>
        <v>13735.1054949067</v>
      </c>
      <c r="Q17" s="51" t="n">
        <f aca="false">P17-Q8-Q18</f>
        <v>20602.6582423601</v>
      </c>
      <c r="R17" s="51" t="n">
        <f aca="false">Q17-R8-R18</f>
        <v>27470.2109898134</v>
      </c>
      <c r="S17" s="51" t="n">
        <f aca="false">R17-S8-S18</f>
        <v>34337.7637372668</v>
      </c>
      <c r="T17" s="51" t="n">
        <f aca="false">S17-T8-T18</f>
        <v>41205.3164847202</v>
      </c>
      <c r="U17" s="51" t="n">
        <f aca="false">T17-U8-U18</f>
        <v>48072.8692321735</v>
      </c>
      <c r="V17" s="51" t="n">
        <f aca="false">U17-V8-V18</f>
        <v>54940.4219796269</v>
      </c>
      <c r="W17" s="51" t="n">
        <f aca="false">V17-W8-W18</f>
        <v>61807.9747270802</v>
      </c>
      <c r="X17" s="51" t="n">
        <f aca="false">W17-X8-X18</f>
        <v>68675.5274745336</v>
      </c>
      <c r="Y17" s="51" t="n">
        <f aca="false">X17-Y8-Y18</f>
        <v>75543.080221987</v>
      </c>
      <c r="Z17" s="51" t="n">
        <f aca="false">Y17-Z8-Z18</f>
        <v>82410.6329694403</v>
      </c>
      <c r="AA17" s="51" t="n">
        <f aca="false">Z17-AA8-AA18</f>
        <v>116292.922324027</v>
      </c>
      <c r="AB17" s="51" t="n">
        <f aca="false">AA17-AB8-AB18</f>
        <v>150175.211678614</v>
      </c>
      <c r="AC17" s="51" t="n">
        <f aca="false">AB17-AC8-AC18</f>
        <v>184057.501033202</v>
      </c>
      <c r="AD17" s="51" t="n">
        <f aca="false">AC17-AD8-AD18</f>
        <v>135529.157418348</v>
      </c>
      <c r="AE17" s="51" t="n">
        <f aca="false">AD17-AE8-AE18</f>
        <v>169411.446772935</v>
      </c>
      <c r="AF17" s="51" t="n">
        <f aca="false">AE17-AF8-AF18</f>
        <v>203293.736127522</v>
      </c>
      <c r="AG17" s="51" t="n">
        <f aca="false">AF17-AG8-AG18</f>
        <v>237176.025482109</v>
      </c>
      <c r="AH17" s="51" t="n">
        <f aca="false">AG17-AH8-AH18</f>
        <v>271058.314836697</v>
      </c>
      <c r="AI17" s="51" t="n">
        <f aca="false">AH17-AI8-AI18</f>
        <v>304940.604191284</v>
      </c>
      <c r="AJ17" s="51" t="n">
        <f aca="false">AI17-AJ8-AJ18</f>
        <v>338822.893545871</v>
      </c>
      <c r="AK17" s="51" t="n">
        <f aca="false">AJ17-AK8-AK18</f>
        <v>372705.182900458</v>
      </c>
      <c r="AL17" s="51" t="n">
        <f aca="false">AK17-AL8-AL18</f>
        <v>406587.472255045</v>
      </c>
      <c r="AN17" s="52" t="n">
        <f aca="false">N17</f>
        <v>0</v>
      </c>
      <c r="AO17" s="52" t="n">
        <f aca="false">Z17</f>
        <v>82410.6329694403</v>
      </c>
      <c r="AP17" s="52" t="n">
        <f aca="false">AL17</f>
        <v>406587.472255045</v>
      </c>
    </row>
    <row r="18" customFormat="false" ht="15" hidden="false" customHeight="false" outlineLevel="0" collapsed="false">
      <c r="A18" s="26" t="s">
        <v>665</v>
      </c>
      <c r="B18" s="24" t="s">
        <v>666</v>
      </c>
      <c r="C18" s="51" t="n">
        <f aca="false">0</f>
        <v>0</v>
      </c>
      <c r="D18" s="51" t="n">
        <f aca="false">0</f>
        <v>0</v>
      </c>
      <c r="E18" s="51" t="n">
        <f aca="false">0</f>
        <v>0</v>
      </c>
      <c r="F18" s="51" t="n">
        <f aca="false">0</f>
        <v>0</v>
      </c>
      <c r="G18" s="51" t="n">
        <f aca="false">0</f>
        <v>0</v>
      </c>
      <c r="H18" s="51" t="n">
        <f aca="false">0</f>
        <v>0</v>
      </c>
      <c r="I18" s="51" t="n">
        <f aca="false">0</f>
        <v>0</v>
      </c>
      <c r="J18" s="51" t="n">
        <f aca="false">0</f>
        <v>0</v>
      </c>
      <c r="K18" s="51" t="n">
        <f aca="false">0</f>
        <v>0</v>
      </c>
      <c r="L18" s="51" t="n">
        <f aca="false">0</f>
        <v>0</v>
      </c>
      <c r="M18" s="51" t="n">
        <f aca="false">0</f>
        <v>0</v>
      </c>
      <c r="N18" s="51" t="n">
        <f aca="false">0</f>
        <v>0</v>
      </c>
      <c r="O18" s="51" t="n">
        <f aca="false">IF(13=12+Assumptions!$C$9,-Income_Statement!$C$21,0)</f>
        <v>0</v>
      </c>
      <c r="P18" s="51" t="n">
        <f aca="false">IF(14=12+Assumptions!$C$9,-Income_Statement!$C$21,0)</f>
        <v>0</v>
      </c>
      <c r="Q18" s="51" t="n">
        <f aca="false">IF(15=12+Assumptions!$C$9,-Income_Statement!$C$21,0)</f>
        <v>0</v>
      </c>
      <c r="R18" s="51" t="n">
        <f aca="false">IF(16=12+Assumptions!$C$9,-Income_Statement!$C$21,0)</f>
        <v>0</v>
      </c>
      <c r="S18" s="51" t="n">
        <f aca="false">IF(17=12+Assumptions!$C$9,-Income_Statement!$C$21,0)</f>
        <v>0</v>
      </c>
      <c r="T18" s="51" t="n">
        <f aca="false">IF(18=12+Assumptions!$C$9,-Income_Statement!$C$21,0)</f>
        <v>0</v>
      </c>
      <c r="U18" s="51" t="n">
        <f aca="false">IF(19=12+Assumptions!$C$9,-Income_Statement!$C$21,0)</f>
        <v>0</v>
      </c>
      <c r="V18" s="51" t="n">
        <f aca="false">IF(20=12+Assumptions!$C$9,-Income_Statement!$C$21,0)</f>
        <v>0</v>
      </c>
      <c r="W18" s="51" t="n">
        <f aca="false">IF(21=12+Assumptions!$C$9,-Income_Statement!$C$21,0)</f>
        <v>0</v>
      </c>
      <c r="X18" s="51" t="n">
        <f aca="false">IF(22=12+Assumptions!$C$9,-Income_Statement!$C$21,0)</f>
        <v>0</v>
      </c>
      <c r="Y18" s="51" t="n">
        <f aca="false">IF(23=12+Assumptions!$C$9,-Income_Statement!$C$21,0)</f>
        <v>0</v>
      </c>
      <c r="Z18" s="51" t="n">
        <f aca="false">IF(24=12+Assumptions!$C$9,-Income_Statement!$C$21,0)</f>
        <v>0</v>
      </c>
      <c r="AA18" s="51" t="n">
        <f aca="false">IF(25=24+Assumptions!$C$9,-Income_Statement!$D$21,0)</f>
        <v>0</v>
      </c>
      <c r="AB18" s="51" t="n">
        <f aca="false">IF(26=24+Assumptions!$C$9,-Income_Statement!$D$21,0)</f>
        <v>0</v>
      </c>
      <c r="AC18" s="51" t="n">
        <f aca="false">IF(27=24+Assumptions!$C$9,-Income_Statement!$D$21,0)</f>
        <v>0</v>
      </c>
      <c r="AD18" s="51" t="n">
        <f aca="false">IF(28=24+Assumptions!$C$9,-Income_Statement!$D$21,0)</f>
        <v>82410.6329694403</v>
      </c>
      <c r="AE18" s="51" t="n">
        <f aca="false">IF(29=24+Assumptions!$C$9,-Income_Statement!$D$21,0)</f>
        <v>0</v>
      </c>
      <c r="AF18" s="51" t="n">
        <f aca="false">IF(30=24+Assumptions!$C$9,-Income_Statement!$D$21,0)</f>
        <v>0</v>
      </c>
      <c r="AG18" s="51" t="n">
        <f aca="false">IF(31=24+Assumptions!$C$9,-Income_Statement!$D$21,0)</f>
        <v>0</v>
      </c>
      <c r="AH18" s="51" t="n">
        <f aca="false">IF(32=24+Assumptions!$C$9,-Income_Statement!$D$21,0)</f>
        <v>0</v>
      </c>
      <c r="AI18" s="51" t="n">
        <f aca="false">IF(33=24+Assumptions!$C$9,-Income_Statement!$D$21,0)</f>
        <v>0</v>
      </c>
      <c r="AJ18" s="51" t="n">
        <f aca="false">IF(34=24+Assumptions!$C$9,-Income_Statement!$D$21,0)</f>
        <v>0</v>
      </c>
      <c r="AK18" s="51" t="n">
        <f aca="false">IF(35=24+Assumptions!$C$9,-Income_Statement!$D$21,0)</f>
        <v>0</v>
      </c>
      <c r="AL18" s="51" t="n">
        <f aca="false">IF(36=24+Assumptions!$C$9,-Income_Statement!$D$21,0)</f>
        <v>0</v>
      </c>
      <c r="AN18" s="52" t="n">
        <f aca="false">SUM(C18:N18)</f>
        <v>0</v>
      </c>
      <c r="AO18" s="52" t="n">
        <f aca="false">SUM(O18:Z18)</f>
        <v>0</v>
      </c>
      <c r="AP18" s="52" t="n">
        <f aca="false">SUM(AA18:AL18)</f>
        <v>82410.6329694403</v>
      </c>
    </row>
    <row r="19" customFormat="false" ht="16.5" hidden="false" customHeight="true" outlineLevel="0" collapsed="false">
      <c r="A19" s="21" t="s">
        <v>667</v>
      </c>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row>
    <row r="20" customFormat="false" ht="15.75" hidden="false" customHeight="true" outlineLevel="0" collapsed="false">
      <c r="A20" s="36" t="s">
        <v>345</v>
      </c>
      <c r="B20" s="36" t="s">
        <v>346</v>
      </c>
      <c r="C20" s="47" t="s">
        <v>347</v>
      </c>
      <c r="D20" s="47" t="s">
        <v>348</v>
      </c>
      <c r="E20" s="47" t="s">
        <v>349</v>
      </c>
      <c r="F20" s="47" t="s">
        <v>350</v>
      </c>
      <c r="G20" s="47" t="s">
        <v>351</v>
      </c>
      <c r="H20" s="47" t="s">
        <v>352</v>
      </c>
      <c r="I20" s="47" t="s">
        <v>353</v>
      </c>
      <c r="J20" s="47" t="s">
        <v>354</v>
      </c>
      <c r="K20" s="47" t="s">
        <v>355</v>
      </c>
      <c r="L20" s="47" t="s">
        <v>356</v>
      </c>
      <c r="M20" s="47" t="s">
        <v>357</v>
      </c>
      <c r="N20" s="47" t="s">
        <v>358</v>
      </c>
      <c r="O20" s="48" t="s">
        <v>359</v>
      </c>
      <c r="P20" s="48" t="s">
        <v>360</v>
      </c>
      <c r="Q20" s="48" t="s">
        <v>361</v>
      </c>
      <c r="R20" s="48" t="s">
        <v>362</v>
      </c>
      <c r="S20" s="48" t="s">
        <v>363</v>
      </c>
      <c r="T20" s="48" t="s">
        <v>364</v>
      </c>
      <c r="U20" s="48" t="s">
        <v>365</v>
      </c>
      <c r="V20" s="48" t="s">
        <v>366</v>
      </c>
      <c r="W20" s="48" t="s">
        <v>367</v>
      </c>
      <c r="X20" s="48" t="s">
        <v>368</v>
      </c>
      <c r="Y20" s="48" t="s">
        <v>369</v>
      </c>
      <c r="Z20" s="48" t="s">
        <v>370</v>
      </c>
      <c r="AA20" s="47" t="s">
        <v>371</v>
      </c>
      <c r="AB20" s="47" t="s">
        <v>372</v>
      </c>
      <c r="AC20" s="47" t="s">
        <v>373</v>
      </c>
      <c r="AD20" s="47" t="s">
        <v>374</v>
      </c>
      <c r="AE20" s="47" t="s">
        <v>375</v>
      </c>
      <c r="AF20" s="47" t="s">
        <v>376</v>
      </c>
      <c r="AG20" s="47" t="s">
        <v>377</v>
      </c>
      <c r="AH20" s="47" t="s">
        <v>378</v>
      </c>
      <c r="AI20" s="47" t="s">
        <v>379</v>
      </c>
      <c r="AJ20" s="47" t="s">
        <v>380</v>
      </c>
      <c r="AK20" s="47" t="s">
        <v>381</v>
      </c>
      <c r="AL20" s="47" t="s">
        <v>382</v>
      </c>
      <c r="AM20" s="49"/>
      <c r="AN20" s="50" t="s">
        <v>383</v>
      </c>
      <c r="AO20" s="50" t="s">
        <v>384</v>
      </c>
      <c r="AP20" s="50" t="s">
        <v>385</v>
      </c>
    </row>
    <row r="21" customFormat="false" ht="15" hidden="false" customHeight="false" outlineLevel="0" collapsed="false">
      <c r="A21" s="26" t="s">
        <v>668</v>
      </c>
      <c r="B21" s="24" t="s">
        <v>669</v>
      </c>
      <c r="C21" s="51" t="n">
        <f aca="false">-C13</f>
        <v>-5631.04751833654</v>
      </c>
      <c r="D21" s="51" t="n">
        <f aca="false">-(D13-C13)</f>
        <v>-568.579641774039</v>
      </c>
      <c r="E21" s="51" t="n">
        <f aca="false">-(E13-D13)</f>
        <v>-756.122473024038</v>
      </c>
      <c r="F21" s="51" t="n">
        <f aca="false">-(F13-E13)</f>
        <v>-51420.8475564615</v>
      </c>
      <c r="G21" s="51" t="n">
        <f aca="false">-(G13-F13)</f>
        <v>-5843.60968371154</v>
      </c>
      <c r="H21" s="51" t="n">
        <f aca="false">-(H13-G13)</f>
        <v>-7788.95918671152</v>
      </c>
      <c r="I21" s="51" t="n">
        <f aca="false">-(I13-H13)</f>
        <v>-47069.2855608366</v>
      </c>
      <c r="J21" s="51" t="n">
        <f aca="false">-(J13-I13)</f>
        <v>-11912.141488524</v>
      </c>
      <c r="K21" s="51" t="n">
        <f aca="false">-(K13-J13)</f>
        <v>-15880.116058774</v>
      </c>
      <c r="L21" s="51" t="n">
        <f aca="false">-(L13-K13)</f>
        <v>-124044.610830212</v>
      </c>
      <c r="M21" s="51" t="n">
        <f aca="false">-(M13-L13)</f>
        <v>-27100.7492848366</v>
      </c>
      <c r="N21" s="51" t="n">
        <f aca="false">-(N13-M13)</f>
        <v>-36129.7672243365</v>
      </c>
      <c r="O21" s="51" t="n">
        <f aca="false">-(O13-N13)</f>
        <v>-47539.0612782679</v>
      </c>
      <c r="P21" s="51" t="n">
        <f aca="false">-(P13-O13)</f>
        <v>-38186.0155397487</v>
      </c>
      <c r="Q21" s="51" t="n">
        <f aca="false">-(Q13-P13)</f>
        <v>-50906.1212217232</v>
      </c>
      <c r="R21" s="51" t="n">
        <f aca="false">-(R13-Q13)</f>
        <v>36084.0675197238</v>
      </c>
      <c r="S21" s="51" t="n">
        <f aca="false">-(S13-R13)</f>
        <v>-43478.5738619578</v>
      </c>
      <c r="T21" s="51" t="n">
        <f aca="false">-(T13-S13)</f>
        <v>-57962.4290375334</v>
      </c>
      <c r="U21" s="51" t="n">
        <f aca="false">-(U13-T13)</f>
        <v>-43755.9393957512</v>
      </c>
      <c r="V21" s="51" t="n">
        <f aca="false">-(V13-U13)</f>
        <v>-57997.0314689804</v>
      </c>
      <c r="W21" s="51" t="n">
        <f aca="false">-(W13-V13)</f>
        <v>-77318.1542332858</v>
      </c>
      <c r="X21" s="51" t="n">
        <f aca="false">-(X13-W13)</f>
        <v>70796.4516472571</v>
      </c>
      <c r="Y21" s="51" t="n">
        <f aca="false">-(Y13-X13)</f>
        <v>-64434.6013216712</v>
      </c>
      <c r="Z21" s="51" t="n">
        <f aca="false">-(Z13-Y13)</f>
        <v>-85901.6719469089</v>
      </c>
      <c r="AA21" s="51" t="n">
        <f aca="false">-(AA13-Z13)</f>
        <v>-122900.213677263</v>
      </c>
      <c r="AB21" s="51" t="n">
        <f aca="false">-(AB13-AA13)</f>
        <v>-91781.9227867405</v>
      </c>
      <c r="AC21" s="51" t="n">
        <f aca="false">-(AC13-AB13)</f>
        <v>-122354.534932711</v>
      </c>
      <c r="AD21" s="51" t="n">
        <f aca="false">-(AD13-AC13)</f>
        <v>113273.51642287</v>
      </c>
      <c r="AE21" s="51" t="n">
        <f aca="false">-(AE13-AD13)</f>
        <v>-101852.219676594</v>
      </c>
      <c r="AF21" s="51" t="n">
        <f aca="false">-(AF13-AE13)</f>
        <v>-135779.201142546</v>
      </c>
      <c r="AG21" s="51" t="n">
        <f aca="false">-(AG13-AF13)</f>
        <v>79362.4041829286</v>
      </c>
      <c r="AH21" s="51" t="n">
        <f aca="false">-(AH13-AG13)</f>
        <v>-117656.54314053</v>
      </c>
      <c r="AI21" s="51" t="n">
        <f aca="false">-(AI13-AH13)</f>
        <v>-156849.972905141</v>
      </c>
      <c r="AJ21" s="51" t="n">
        <f aca="false">-(AJ13-AI13)</f>
        <v>142092.937350129</v>
      </c>
      <c r="AK21" s="51" t="n">
        <f aca="false">-(AK13-AJ13)</f>
        <v>-130868.80665661</v>
      </c>
      <c r="AL21" s="51" t="n">
        <f aca="false">-(AL13-AK13)</f>
        <v>-174465.631998928</v>
      </c>
      <c r="AN21" s="52" t="n">
        <f aca="false">SUM(C21:N21)</f>
        <v>-334145.836507538</v>
      </c>
      <c r="AO21" s="52" t="n">
        <f aca="false">SUM(O21:Z21)</f>
        <v>-460599.080138847</v>
      </c>
      <c r="AP21" s="52" t="n">
        <f aca="false">SUM(AA21:AL21)</f>
        <v>-819780.188961134</v>
      </c>
    </row>
    <row r="22" customFormat="false" ht="15" hidden="false" customHeight="false" outlineLevel="0" collapsed="false">
      <c r="A22" s="26" t="s">
        <v>670</v>
      </c>
      <c r="B22" s="24"/>
      <c r="C22" s="51" t="n">
        <f aca="false">C14</f>
        <v>33762.5872051995</v>
      </c>
      <c r="D22" s="51" t="n">
        <f aca="false">(D14-C14)</f>
        <v>426.009580563696</v>
      </c>
      <c r="E22" s="51" t="n">
        <f aca="false">(E14-D14)</f>
        <v>562.671144367836</v>
      </c>
      <c r="F22" s="51" t="n">
        <f aca="false">(F14-E14)</f>
        <v>9189.08208946259</v>
      </c>
      <c r="G22" s="51" t="n">
        <f aca="false">(G14-F14)</f>
        <v>1443.6573083569</v>
      </c>
      <c r="H22" s="51" t="n">
        <f aca="false">(H14-G14)</f>
        <v>1918.57826961496</v>
      </c>
      <c r="I22" s="51" t="n">
        <f aca="false">(I14-H14)</f>
        <v>6368.38847628666</v>
      </c>
      <c r="J22" s="51" t="n">
        <f aca="false">(J14-I14)</f>
        <v>2411.44300660287</v>
      </c>
      <c r="K22" s="51" t="n">
        <f aca="false">(K14-J14)</f>
        <v>3209.04966098515</v>
      </c>
      <c r="L22" s="51" t="n">
        <f aca="false">(L14-K14)</f>
        <v>20978.3489090487</v>
      </c>
      <c r="M22" s="51" t="n">
        <f aca="false">(M14-L14)</f>
        <v>5082.65252256212</v>
      </c>
      <c r="N22" s="51" t="n">
        <f aca="false">(N14-M14)</f>
        <v>6766.26462131619</v>
      </c>
      <c r="O22" s="51" t="n">
        <f aca="false">(O14-N14)</f>
        <v>45880.5167701455</v>
      </c>
      <c r="P22" s="51" t="n">
        <f aca="false">(P14-O14)</f>
        <v>7341.0485353827</v>
      </c>
      <c r="Q22" s="51" t="n">
        <f aca="false">(Q14-P14)</f>
        <v>9763.76635409935</v>
      </c>
      <c r="R22" s="51" t="n">
        <f aca="false">(R14-Q14)</f>
        <v>-6026.14820033361</v>
      </c>
      <c r="S22" s="51" t="n">
        <f aca="false">(S14-R14)</f>
        <v>8424.83385489075</v>
      </c>
      <c r="T22" s="51" t="n">
        <f aca="false">(T14-S14)</f>
        <v>11209.5524180559</v>
      </c>
      <c r="U22" s="51" t="n">
        <f aca="false">(U14-T14)</f>
        <v>5532.35419058349</v>
      </c>
      <c r="V22" s="51" t="n">
        <f aca="false">(V14-U14)</f>
        <v>10933.101328324</v>
      </c>
      <c r="W22" s="51" t="n">
        <f aca="false">(W14-V14)</f>
        <v>14550.3738179583</v>
      </c>
      <c r="X22" s="51" t="n">
        <f aca="false">(X14-W14)</f>
        <v>-12339.4225394196</v>
      </c>
      <c r="Y22" s="51" t="n">
        <f aca="false">(Y14-X14)</f>
        <v>12220.1869845198</v>
      </c>
      <c r="Z22" s="51" t="n">
        <f aca="false">(Z14-Y14)</f>
        <v>16266.5345598024</v>
      </c>
      <c r="AA22" s="51" t="n">
        <f aca="false">(AA14-Z14)</f>
        <v>87598.2274567848</v>
      </c>
      <c r="AB22" s="51" t="n">
        <f aca="false">(AB14-AA14)</f>
        <v>17768.2149491971</v>
      </c>
      <c r="AC22" s="51" t="n">
        <f aca="false">(AC14-AB14)</f>
        <v>23627.1307003788</v>
      </c>
      <c r="AD22" s="51" t="n">
        <f aca="false">(AD14-AC14)</f>
        <v>-18021.043537739</v>
      </c>
      <c r="AE22" s="51" t="n">
        <f aca="false">(AE14-AD14)</f>
        <v>20044.3313479946</v>
      </c>
      <c r="AF22" s="51" t="n">
        <f aca="false">(AF14-AE14)</f>
        <v>26662.2824477501</v>
      </c>
      <c r="AG22" s="51" t="n">
        <f aca="false">(AG14-AF14)</f>
        <v>-18152.911880089</v>
      </c>
      <c r="AH22" s="51" t="n">
        <f aca="false">(AH14-AG14)</f>
        <v>22837.8699142775</v>
      </c>
      <c r="AI22" s="51" t="n">
        <f aca="false">(AI14-AH14)</f>
        <v>30386.4519667851</v>
      </c>
      <c r="AJ22" s="51" t="n">
        <f aca="false">(AJ14-AI14)</f>
        <v>-26568.9481099661</v>
      </c>
      <c r="AK22" s="51" t="n">
        <f aca="false">(AK14-AJ14)</f>
        <v>25419.9476438615</v>
      </c>
      <c r="AL22" s="51" t="n">
        <f aca="false">(AL14-AK14)</f>
        <v>33833.4434905831</v>
      </c>
      <c r="AN22" s="52" t="n">
        <f aca="false">SUM(C22:N22)</f>
        <v>92118.7327943672</v>
      </c>
      <c r="AO22" s="52" t="n">
        <f aca="false">SUM(O22:Z22)</f>
        <v>123756.698074009</v>
      </c>
      <c r="AP22" s="52" t="n">
        <f aca="false">SUM(AA22:AL22)</f>
        <v>225434.996389818</v>
      </c>
    </row>
    <row r="23" customFormat="false" ht="15" hidden="false" customHeight="false" outlineLevel="0" collapsed="false">
      <c r="A23" s="26" t="s">
        <v>671</v>
      </c>
      <c r="B23" s="24"/>
      <c r="C23" s="51" t="n">
        <f aca="false">C15</f>
        <v>5775</v>
      </c>
      <c r="D23" s="51" t="n">
        <f aca="false">(D15-C15)</f>
        <v>0</v>
      </c>
      <c r="E23" s="51" t="n">
        <f aca="false">(E15-D15)</f>
        <v>0</v>
      </c>
      <c r="F23" s="51" t="n">
        <f aca="false">(F15-E15)</f>
        <v>0</v>
      </c>
      <c r="G23" s="51" t="n">
        <f aca="false">(G15-F15)</f>
        <v>0</v>
      </c>
      <c r="H23" s="51" t="n">
        <f aca="false">(H15-G15)</f>
        <v>0</v>
      </c>
      <c r="I23" s="51" t="n">
        <f aca="false">(I15-H15)</f>
        <v>0</v>
      </c>
      <c r="J23" s="51" t="n">
        <f aca="false">(J15-I15)</f>
        <v>0</v>
      </c>
      <c r="K23" s="51" t="n">
        <f aca="false">(K15-J15)</f>
        <v>0</v>
      </c>
      <c r="L23" s="51" t="n">
        <f aca="false">(L15-K15)</f>
        <v>0</v>
      </c>
      <c r="M23" s="51" t="n">
        <f aca="false">(M15-L15)</f>
        <v>0</v>
      </c>
      <c r="N23" s="51" t="n">
        <f aca="false">(N15-M15)</f>
        <v>0</v>
      </c>
      <c r="O23" s="51" t="n">
        <f aca="false">(O15-N15)</f>
        <v>4370.52</v>
      </c>
      <c r="P23" s="51" t="n">
        <f aca="false">(P15-O15)</f>
        <v>0</v>
      </c>
      <c r="Q23" s="51" t="n">
        <f aca="false">(Q15-P15)</f>
        <v>0</v>
      </c>
      <c r="R23" s="51" t="n">
        <f aca="false">(R15-Q15)</f>
        <v>0</v>
      </c>
      <c r="S23" s="51" t="n">
        <f aca="false">(S15-R15)</f>
        <v>0</v>
      </c>
      <c r="T23" s="51" t="n">
        <f aca="false">(T15-S15)</f>
        <v>0</v>
      </c>
      <c r="U23" s="51" t="n">
        <f aca="false">(U15-T15)</f>
        <v>0</v>
      </c>
      <c r="V23" s="51" t="n">
        <f aca="false">(V15-U15)</f>
        <v>0</v>
      </c>
      <c r="W23" s="51" t="n">
        <f aca="false">(W15-V15)</f>
        <v>0</v>
      </c>
      <c r="X23" s="51" t="n">
        <f aca="false">(X15-W15)</f>
        <v>0</v>
      </c>
      <c r="Y23" s="51" t="n">
        <f aca="false">(Y15-X15)</f>
        <v>0</v>
      </c>
      <c r="Z23" s="51" t="n">
        <f aca="false">(Z15-Y15)</f>
        <v>0</v>
      </c>
      <c r="AA23" s="51" t="n">
        <f aca="false">(AA15-Z15)</f>
        <v>3191.6808</v>
      </c>
      <c r="AB23" s="51" t="n">
        <f aca="false">(AB15-AA15)</f>
        <v>0</v>
      </c>
      <c r="AC23" s="51" t="n">
        <f aca="false">(AC15-AB15)</f>
        <v>0</v>
      </c>
      <c r="AD23" s="51" t="n">
        <f aca="false">(AD15-AC15)</f>
        <v>0</v>
      </c>
      <c r="AE23" s="51" t="n">
        <f aca="false">(AE15-AD15)</f>
        <v>0</v>
      </c>
      <c r="AF23" s="51" t="n">
        <f aca="false">(AF15-AE15)</f>
        <v>0</v>
      </c>
      <c r="AG23" s="51" t="n">
        <f aca="false">(AG15-AF15)</f>
        <v>0</v>
      </c>
      <c r="AH23" s="51" t="n">
        <f aca="false">(AH15-AG15)</f>
        <v>0</v>
      </c>
      <c r="AI23" s="51" t="n">
        <f aca="false">(AI15-AH15)</f>
        <v>0</v>
      </c>
      <c r="AJ23" s="51" t="n">
        <f aca="false">(AJ15-AI15)</f>
        <v>0</v>
      </c>
      <c r="AK23" s="51" t="n">
        <f aca="false">(AK15-AJ15)</f>
        <v>0</v>
      </c>
      <c r="AL23" s="51" t="n">
        <f aca="false">(AL15-AK15)</f>
        <v>0</v>
      </c>
      <c r="AN23" s="52" t="n">
        <f aca="false">SUM(C23:N23)</f>
        <v>5775</v>
      </c>
      <c r="AO23" s="52" t="n">
        <f aca="false">SUM(O23:Z23)</f>
        <v>4370.52</v>
      </c>
      <c r="AP23" s="52" t="n">
        <f aca="false">SUM(AA23:AL23)</f>
        <v>3191.6808</v>
      </c>
    </row>
    <row r="24" customFormat="false" ht="15" hidden="false" customHeight="false" outlineLevel="0" collapsed="false">
      <c r="A24" s="26" t="s">
        <v>672</v>
      </c>
      <c r="B24" s="24" t="s">
        <v>673</v>
      </c>
      <c r="C24" s="51" t="n">
        <f aca="false">C16</f>
        <v>1672.84052552885</v>
      </c>
      <c r="D24" s="51" t="n">
        <f aca="false">(D16-C16)</f>
        <v>979.928117668269</v>
      </c>
      <c r="E24" s="51" t="n">
        <f aca="false">(E16-D16)</f>
        <v>918.300647307692</v>
      </c>
      <c r="F24" s="51" t="n">
        <f aca="false">(F16-E16)</f>
        <v>7273.10231913462</v>
      </c>
      <c r="G24" s="51" t="n">
        <f aca="false">(G16-F16)</f>
        <v>1721.83996846154</v>
      </c>
      <c r="H24" s="51" t="n">
        <f aca="false">(H16-G16)</f>
        <v>1883.76270778846</v>
      </c>
      <c r="I24" s="51" t="n">
        <f aca="false">(I16-H16)</f>
        <v>6516.82663774038</v>
      </c>
      <c r="J24" s="51" t="n">
        <f aca="false">(J16-I16)</f>
        <v>2217.37129362981</v>
      </c>
      <c r="K24" s="51" t="n">
        <f aca="false">(K16-J16)</f>
        <v>2627.15305701923</v>
      </c>
      <c r="L24" s="51" t="n">
        <f aca="false">(L16-K16)</f>
        <v>16608.4494625962</v>
      </c>
      <c r="M24" s="51" t="n">
        <f aca="false">(M16-L16)</f>
        <v>4906.23202254807</v>
      </c>
      <c r="N24" s="51" t="n">
        <f aca="false">(N16-M16)</f>
        <v>5966.2527675</v>
      </c>
      <c r="O24" s="51" t="n">
        <f aca="false">(O16-N16)</f>
        <v>10072.0166016944</v>
      </c>
      <c r="P24" s="51" t="n">
        <f aca="false">(P16-O16)</f>
        <v>8804.23279076424</v>
      </c>
      <c r="Q24" s="51" t="n">
        <f aca="false">(Q16-P16)</f>
        <v>10265.2468453174</v>
      </c>
      <c r="R24" s="51" t="n">
        <f aca="false">(R16-Q16)</f>
        <v>-758.198800525279</v>
      </c>
      <c r="S24" s="51" t="n">
        <f aca="false">(S16-R16)</f>
        <v>8688.08487780707</v>
      </c>
      <c r="T24" s="51" t="n">
        <f aca="false">(T16-S16)</f>
        <v>10426.211458406</v>
      </c>
      <c r="U24" s="51" t="n">
        <f aca="false">(U16-T16)</f>
        <v>8947.41234383837</v>
      </c>
      <c r="V24" s="51" t="n">
        <f aca="false">(V16-U16)</f>
        <v>10586.1404741332</v>
      </c>
      <c r="W24" s="51" t="n">
        <f aca="false">(W16-V16)</f>
        <v>12979.3871948447</v>
      </c>
      <c r="X24" s="51" t="n">
        <f aca="false">(X16-W16)</f>
        <v>-5541.67773529798</v>
      </c>
      <c r="Y24" s="51" t="n">
        <f aca="false">(Y16-X16)</f>
        <v>10756.1186792343</v>
      </c>
      <c r="Z24" s="51" t="n">
        <f aca="false">(Z16-Y16)</f>
        <v>13592.5411284</v>
      </c>
      <c r="AA24" s="51" t="n">
        <f aca="false">(AA16-Z16)</f>
        <v>25699.3704413926</v>
      </c>
      <c r="AB24" s="51" t="n">
        <f aca="false">(AB16-AA16)</f>
        <v>22045.8376315353</v>
      </c>
      <c r="AC24" s="51" t="n">
        <f aca="false">(AC16-AB16)</f>
        <v>26142.532295878</v>
      </c>
      <c r="AD24" s="51" t="n">
        <f aca="false">(AD16-AC16)</f>
        <v>-4137.42380731675</v>
      </c>
      <c r="AE24" s="51" t="n">
        <f aca="false">(AE16-AD16)</f>
        <v>21848.6905550259</v>
      </c>
      <c r="AF24" s="51" t="n">
        <f aca="false">(AF16-AE16)</f>
        <v>26504.3394318354</v>
      </c>
      <c r="AG24" s="51" t="n">
        <f aca="false">(AG16-AF16)</f>
        <v>-1468.90458798443</v>
      </c>
      <c r="AH24" s="51" t="n">
        <f aca="false">(AH16-AG16)</f>
        <v>22542.9866915708</v>
      </c>
      <c r="AI24" s="51" t="n">
        <f aca="false">(AI16-AH16)</f>
        <v>28120.2909644594</v>
      </c>
      <c r="AJ24" s="51" t="n">
        <f aca="false">(AJ16-AI16)</f>
        <v>-11978.4143711104</v>
      </c>
      <c r="AK24" s="51" t="n">
        <f aca="false">(AK16-AJ16)</f>
        <v>21284.8432322448</v>
      </c>
      <c r="AL24" s="51" t="n">
        <f aca="false">(AL16-AK16)</f>
        <v>27585.2465183333</v>
      </c>
      <c r="AN24" s="52" t="n">
        <f aca="false">SUM(C24:N24)</f>
        <v>53292.0595269231</v>
      </c>
      <c r="AO24" s="52" t="n">
        <f aca="false">SUM(O24:Z24)</f>
        <v>98817.5158586165</v>
      </c>
      <c r="AP24" s="52" t="n">
        <f aca="false">SUM(AA24:AL24)</f>
        <v>204189.394995864</v>
      </c>
    </row>
    <row r="25" customFormat="false" ht="15" hidden="false" customHeight="false" outlineLevel="0" collapsed="false">
      <c r="A25" s="26" t="s">
        <v>674</v>
      </c>
      <c r="B25" s="24"/>
      <c r="C25" s="51" t="n">
        <f aca="false">C17</f>
        <v>0</v>
      </c>
      <c r="D25" s="51" t="n">
        <f aca="false">D17-C17</f>
        <v>0</v>
      </c>
      <c r="E25" s="51" t="n">
        <f aca="false">E17-D17</f>
        <v>0</v>
      </c>
      <c r="F25" s="51" t="n">
        <f aca="false">F17-E17</f>
        <v>0</v>
      </c>
      <c r="G25" s="51" t="n">
        <f aca="false">G17-F17</f>
        <v>0</v>
      </c>
      <c r="H25" s="51" t="n">
        <f aca="false">H17-G17</f>
        <v>0</v>
      </c>
      <c r="I25" s="51" t="n">
        <f aca="false">I17-H17</f>
        <v>0</v>
      </c>
      <c r="J25" s="51" t="n">
        <f aca="false">J17-I17</f>
        <v>0</v>
      </c>
      <c r="K25" s="51" t="n">
        <f aca="false">K17-J17</f>
        <v>0</v>
      </c>
      <c r="L25" s="51" t="n">
        <f aca="false">L17-K17</f>
        <v>0</v>
      </c>
      <c r="M25" s="51" t="n">
        <f aca="false">M17-L17</f>
        <v>0</v>
      </c>
      <c r="N25" s="51" t="n">
        <f aca="false">N17-M17</f>
        <v>0</v>
      </c>
      <c r="O25" s="51" t="n">
        <f aca="false">O17-N17</f>
        <v>6867.55274745336</v>
      </c>
      <c r="P25" s="51" t="n">
        <f aca="false">P17-O17</f>
        <v>6867.55274745336</v>
      </c>
      <c r="Q25" s="51" t="n">
        <f aca="false">Q17-P17</f>
        <v>6867.55274745336</v>
      </c>
      <c r="R25" s="51" t="n">
        <f aca="false">R17-Q17</f>
        <v>6867.55274745336</v>
      </c>
      <c r="S25" s="51" t="n">
        <f aca="false">S17-R17</f>
        <v>6867.55274745336</v>
      </c>
      <c r="T25" s="51" t="n">
        <f aca="false">T17-S17</f>
        <v>6867.55274745336</v>
      </c>
      <c r="U25" s="51" t="n">
        <f aca="false">U17-T17</f>
        <v>6867.55274745336</v>
      </c>
      <c r="V25" s="51" t="n">
        <f aca="false">V17-U17</f>
        <v>6867.55274745336</v>
      </c>
      <c r="W25" s="51" t="n">
        <f aca="false">W17-V17</f>
        <v>6867.55274745336</v>
      </c>
      <c r="X25" s="51" t="n">
        <f aca="false">X17-W17</f>
        <v>6867.55274745336</v>
      </c>
      <c r="Y25" s="51" t="n">
        <f aca="false">Y17-X17</f>
        <v>6867.55274745336</v>
      </c>
      <c r="Z25" s="51" t="n">
        <f aca="false">Z17-Y17</f>
        <v>6867.55274745336</v>
      </c>
      <c r="AA25" s="51" t="n">
        <f aca="false">AA17-Z17</f>
        <v>33882.2893545871</v>
      </c>
      <c r="AB25" s="51" t="n">
        <f aca="false">AB17-AA17</f>
        <v>33882.2893545871</v>
      </c>
      <c r="AC25" s="51" t="n">
        <f aca="false">AC17-AB17</f>
        <v>33882.2893545871</v>
      </c>
      <c r="AD25" s="51" t="n">
        <f aca="false">AD17-AC17</f>
        <v>-48528.3436148533</v>
      </c>
      <c r="AE25" s="51" t="n">
        <f aca="false">AE17-AD17</f>
        <v>33882.2893545871</v>
      </c>
      <c r="AF25" s="51" t="n">
        <f aca="false">AF17-AE17</f>
        <v>33882.2893545871</v>
      </c>
      <c r="AG25" s="51" t="n">
        <f aca="false">AG17-AF17</f>
        <v>33882.2893545871</v>
      </c>
      <c r="AH25" s="51" t="n">
        <f aca="false">AH17-AG17</f>
        <v>33882.2893545871</v>
      </c>
      <c r="AI25" s="51" t="n">
        <f aca="false">AI17-AH17</f>
        <v>33882.2893545871</v>
      </c>
      <c r="AJ25" s="51" t="n">
        <f aca="false">AJ17-AI17</f>
        <v>33882.2893545871</v>
      </c>
      <c r="AK25" s="51" t="n">
        <f aca="false">AK17-AJ17</f>
        <v>33882.2893545871</v>
      </c>
      <c r="AL25" s="51" t="n">
        <f aca="false">AL17-AK17</f>
        <v>33882.2893545871</v>
      </c>
      <c r="AN25" s="52" t="n">
        <f aca="false">SUM(C25:N25)</f>
        <v>0</v>
      </c>
      <c r="AO25" s="52" t="n">
        <f aca="false">SUM(O25:Z25)</f>
        <v>82410.6329694403</v>
      </c>
      <c r="AP25" s="52" t="n">
        <f aca="false">SUM(AA25:AL25)</f>
        <v>324176.839285605</v>
      </c>
    </row>
    <row r="26" customFormat="false" ht="15" hidden="false" customHeight="false" outlineLevel="0" collapsed="false">
      <c r="A26" s="53" t="s">
        <v>675</v>
      </c>
      <c r="B26" s="54"/>
      <c r="C26" s="55" t="n">
        <f aca="false">C9+C10+C21+C22+C23+C24+C25</f>
        <v>-8344.26747415969</v>
      </c>
      <c r="D26" s="55" t="n">
        <f aca="false">D9+D10+D21+D22+D23+D24+D25</f>
        <v>-43135.2460725376</v>
      </c>
      <c r="E26" s="55" t="n">
        <f aca="false">E9+E10+E21+E22+E23+E24+E25</f>
        <v>-43338.2072672988</v>
      </c>
      <c r="F26" s="55" t="n">
        <f aca="false">F9+F10+F21+F22+F23+F24+F25</f>
        <v>-66207.8624635737</v>
      </c>
      <c r="G26" s="55" t="n">
        <f aca="false">G9+G10+G21+G22+G23+G24+G25</f>
        <v>-32701.5870169496</v>
      </c>
      <c r="H26" s="55" t="n">
        <f aca="false">H9+H10+H21+H22+H23+H24+H25</f>
        <v>-32408.2006783615</v>
      </c>
      <c r="I26" s="55" t="n">
        <f aca="false">I9+I10+I21+I22+I23+I24+I25</f>
        <v>-49100.9881972748</v>
      </c>
      <c r="J26" s="55" t="n">
        <f aca="false">J9+J10+J21+J22+J23+J24+J25</f>
        <v>-19361.5737594129</v>
      </c>
      <c r="K26" s="55" t="n">
        <f aca="false">K9+K10+K21+K22+K23+K24+K25</f>
        <v>-18373.0330254107</v>
      </c>
      <c r="L26" s="55" t="n">
        <f aca="false">L9+L10+L21+L22+L23+L24+L25</f>
        <v>-62900.7116120764</v>
      </c>
      <c r="M26" s="55" t="n">
        <f aca="false">M9+M10+M21+M22+M23+M24+M25</f>
        <v>13195.4160742587</v>
      </c>
      <c r="N26" s="55" t="n">
        <f aca="false">N9+N10+N21+N22+N23+N24+N25</f>
        <v>15850.8839538133</v>
      </c>
      <c r="O26" s="55" t="n">
        <f aca="false">O9+O10+O21+O22+O23+O24+O25</f>
        <v>19070.82782537</v>
      </c>
      <c r="P26" s="55" t="n">
        <f aca="false">P9+P10+P21+P22+P23+P24+P25</f>
        <v>-6282.49270161587</v>
      </c>
      <c r="Q26" s="55" t="n">
        <f aca="false">Q9+Q10+Q21+Q22+Q23+Q24+Q25</f>
        <v>-2597.99077370173</v>
      </c>
      <c r="R26" s="55" t="n">
        <f aca="false">R9+R10+R21+R22+R23+R24+R25</f>
        <v>48798.5948576126</v>
      </c>
      <c r="S26" s="55" t="n">
        <f aca="false">S9+S10+S21+S22+S23+S24+S25</f>
        <v>3822.74097752031</v>
      </c>
      <c r="T26" s="55" t="n">
        <f aca="false">T9+T10+T21+T22+T23+T24+T25</f>
        <v>7999.57872180478</v>
      </c>
      <c r="U26" s="55" t="n">
        <f aca="false">U9+U10+U21+U22+U23+U24+U25</f>
        <v>28437.3440801716</v>
      </c>
      <c r="V26" s="55" t="n">
        <f aca="false">V9+V10+V21+V22+V23+V24+V25</f>
        <v>35735.3695996909</v>
      </c>
      <c r="W26" s="55" t="n">
        <f aca="false">W9+W10+W21+W22+W23+W24+W25</f>
        <v>41612.5305581984</v>
      </c>
      <c r="X26" s="55" t="n">
        <f aca="false">X9+X10+X21+X22+X23+X24+X25</f>
        <v>127195.548333295</v>
      </c>
      <c r="Y26" s="55" t="n">
        <f aca="false">Y9+Y10+Y21+Y22+Y23+Y24+Y25</f>
        <v>48787.0751411744</v>
      </c>
      <c r="Z26" s="55" t="n">
        <f aca="false">Z9+Z10+Z21+Z22+Z23+Z24+Z25</f>
        <v>55345.9098356172</v>
      </c>
      <c r="AA26" s="55" t="n">
        <f aca="false">AA9+AA10+AA21+AA22+AA23+AA24+AA25</f>
        <v>70664.1389112245</v>
      </c>
      <c r="AB26" s="55" t="n">
        <f aca="false">AB9+AB10+AB21+AB22+AB23+AB24+AB25</f>
        <v>47859.146957526</v>
      </c>
      <c r="AC26" s="55" t="n">
        <f aca="false">AC9+AC10+AC21+AC22+AC23+AC24+AC25</f>
        <v>57312.3429031273</v>
      </c>
      <c r="AD26" s="55" t="n">
        <f aca="false">AD9+AD10+AD21+AD22+AD23+AD24+AD25</f>
        <v>110074.493351534</v>
      </c>
      <c r="AE26" s="55" t="n">
        <f aca="false">AE9+AE10+AE21+AE22+AE23+AE24+AE25</f>
        <v>66404.919177355</v>
      </c>
      <c r="AF26" s="55" t="n">
        <f aca="false">AF9+AF10+AF21+AF22+AF23+AF24+AF25</f>
        <v>76774.9698709441</v>
      </c>
      <c r="AG26" s="55" t="n">
        <f aca="false">AG9+AG10+AG21+AG22+AG23+AG24+AG25</f>
        <v>204382.312859192</v>
      </c>
      <c r="AH26" s="55" t="n">
        <f aca="false">AH9+AH10+AH21+AH22+AH23+AH24+AH25</f>
        <v>101401.568648219</v>
      </c>
      <c r="AI26" s="55" t="n">
        <f aca="false">AI9+AI10+AI21+AI22+AI23+AI24+AI25</f>
        <v>113721.688528872</v>
      </c>
      <c r="AJ26" s="55" t="n">
        <f aca="false">AJ9+AJ10+AJ21+AJ22+AJ23+AJ24+AJ25</f>
        <v>283029.517214146</v>
      </c>
      <c r="AK26" s="55" t="n">
        <f aca="false">AK9+AK10+AK21+AK22+AK23+AK24+AK25</f>
        <v>127474.799861854</v>
      </c>
      <c r="AL26" s="55" t="n">
        <f aca="false">AL9+AL10+AL21+AL22+AL23+AL24+AL25</f>
        <v>141124.659215758</v>
      </c>
      <c r="AN26" s="52" t="n">
        <f aca="false">SUM(C26:N26)</f>
        <v>-346825.377538984</v>
      </c>
      <c r="AO26" s="52" t="n">
        <f aca="false">SUM(O26:Z26)</f>
        <v>407925.036455137</v>
      </c>
      <c r="AP26" s="52" t="n">
        <f aca="false">SUM(AA26:AL26)</f>
        <v>1400224.55749975</v>
      </c>
    </row>
    <row r="27" customFormat="false" ht="15" hidden="false" customHeight="false" outlineLevel="0" collapsed="false">
      <c r="A27" s="26" t="s">
        <v>676</v>
      </c>
      <c r="B27" s="24" t="s">
        <v>677</v>
      </c>
      <c r="C27" s="65" t="n">
        <f aca="false">-Capex!C$18</f>
        <v>-173520</v>
      </c>
      <c r="D27" s="65" t="n">
        <f aca="false">-Capex!D$18</f>
        <v>-9500</v>
      </c>
      <c r="E27" s="65" t="n">
        <f aca="false">-Capex!E$18</f>
        <v>-0</v>
      </c>
      <c r="F27" s="65" t="n">
        <f aca="false">-Capex!F$18</f>
        <v>-0</v>
      </c>
      <c r="G27" s="65" t="n">
        <f aca="false">-Capex!G$18</f>
        <v>-0</v>
      </c>
      <c r="H27" s="65" t="n">
        <f aca="false">-Capex!H$18</f>
        <v>-0</v>
      </c>
      <c r="I27" s="65" t="n">
        <f aca="false">-Capex!I$18</f>
        <v>-0</v>
      </c>
      <c r="J27" s="65" t="n">
        <f aca="false">-Capex!J$18</f>
        <v>-0</v>
      </c>
      <c r="K27" s="65" t="n">
        <f aca="false">-Capex!K$18</f>
        <v>-0</v>
      </c>
      <c r="L27" s="65" t="n">
        <f aca="false">-Capex!L$18</f>
        <v>-0</v>
      </c>
      <c r="M27" s="65" t="n">
        <f aca="false">-Capex!M$18</f>
        <v>-0</v>
      </c>
      <c r="N27" s="65" t="n">
        <f aca="false">-Capex!N$18</f>
        <v>-0</v>
      </c>
      <c r="O27" s="65" t="n">
        <f aca="false">-Capex!O$18</f>
        <v>-8160</v>
      </c>
      <c r="P27" s="65" t="n">
        <f aca="false">-Capex!P$18</f>
        <v>-8500</v>
      </c>
      <c r="Q27" s="65" t="n">
        <f aca="false">-Capex!Q$18</f>
        <v>-0</v>
      </c>
      <c r="R27" s="65" t="n">
        <f aca="false">-Capex!R$18</f>
        <v>-0</v>
      </c>
      <c r="S27" s="65" t="n">
        <f aca="false">-Capex!S$18</f>
        <v>-0</v>
      </c>
      <c r="T27" s="65" t="n">
        <f aca="false">-Capex!T$18</f>
        <v>-0</v>
      </c>
      <c r="U27" s="65" t="n">
        <f aca="false">-Capex!U$18</f>
        <v>-0</v>
      </c>
      <c r="V27" s="65" t="n">
        <f aca="false">-Capex!V$18</f>
        <v>-0</v>
      </c>
      <c r="W27" s="65" t="n">
        <f aca="false">-Capex!W$18</f>
        <v>-0</v>
      </c>
      <c r="X27" s="65" t="n">
        <f aca="false">-Capex!X$18</f>
        <v>-0</v>
      </c>
      <c r="Y27" s="65" t="n">
        <f aca="false">-Capex!Y$18</f>
        <v>-0</v>
      </c>
      <c r="Z27" s="65" t="n">
        <f aca="false">-Capex!Z$18</f>
        <v>-0</v>
      </c>
      <c r="AA27" s="65" t="n">
        <f aca="false">-Capex!AA$18</f>
        <v>-8160</v>
      </c>
      <c r="AB27" s="65" t="n">
        <f aca="false">-Capex!AB$18</f>
        <v>-0</v>
      </c>
      <c r="AC27" s="65" t="n">
        <f aca="false">-Capex!AC$18</f>
        <v>-0</v>
      </c>
      <c r="AD27" s="65" t="n">
        <f aca="false">-Capex!AD$18</f>
        <v>-0</v>
      </c>
      <c r="AE27" s="65" t="n">
        <f aca="false">-Capex!AE$18</f>
        <v>-0</v>
      </c>
      <c r="AF27" s="65" t="n">
        <f aca="false">-Capex!AF$18</f>
        <v>-0</v>
      </c>
      <c r="AG27" s="65" t="n">
        <f aca="false">-Capex!AG$18</f>
        <v>-0</v>
      </c>
      <c r="AH27" s="65" t="n">
        <f aca="false">-Capex!AH$18</f>
        <v>-0</v>
      </c>
      <c r="AI27" s="65" t="n">
        <f aca="false">-Capex!AI$18</f>
        <v>-0</v>
      </c>
      <c r="AJ27" s="65" t="n">
        <f aca="false">-Capex!AJ$18</f>
        <v>-0</v>
      </c>
      <c r="AK27" s="65" t="n">
        <f aca="false">-Capex!AK$18</f>
        <v>-0</v>
      </c>
      <c r="AL27" s="65" t="n">
        <f aca="false">-Capex!AL$18</f>
        <v>-0</v>
      </c>
      <c r="AN27" s="52" t="n">
        <f aca="false">SUM(C27:N27)</f>
        <v>-183020</v>
      </c>
      <c r="AO27" s="52" t="n">
        <f aca="false">SUM(O27:Z27)</f>
        <v>-16660</v>
      </c>
      <c r="AP27" s="52" t="n">
        <f aca="false">SUM(AA27:AL27)</f>
        <v>-8160</v>
      </c>
    </row>
    <row r="28" customFormat="false" ht="15" hidden="false" customHeight="false" outlineLevel="0" collapsed="false">
      <c r="A28" s="10" t="s">
        <v>678</v>
      </c>
      <c r="B28" s="24"/>
      <c r="C28" s="64" t="n">
        <f aca="false">C27</f>
        <v>-173520</v>
      </c>
      <c r="D28" s="64" t="n">
        <f aca="false">D27</f>
        <v>-9500</v>
      </c>
      <c r="E28" s="64" t="n">
        <f aca="false">E27</f>
        <v>-0</v>
      </c>
      <c r="F28" s="64" t="n">
        <f aca="false">F27</f>
        <v>-0</v>
      </c>
      <c r="G28" s="64" t="n">
        <f aca="false">G27</f>
        <v>-0</v>
      </c>
      <c r="H28" s="64" t="n">
        <f aca="false">H27</f>
        <v>-0</v>
      </c>
      <c r="I28" s="64" t="n">
        <f aca="false">I27</f>
        <v>-0</v>
      </c>
      <c r="J28" s="64" t="n">
        <f aca="false">J27</f>
        <v>-0</v>
      </c>
      <c r="K28" s="64" t="n">
        <f aca="false">K27</f>
        <v>-0</v>
      </c>
      <c r="L28" s="64" t="n">
        <f aca="false">L27</f>
        <v>-0</v>
      </c>
      <c r="M28" s="64" t="n">
        <f aca="false">M27</f>
        <v>-0</v>
      </c>
      <c r="N28" s="64" t="n">
        <f aca="false">N27</f>
        <v>-0</v>
      </c>
      <c r="O28" s="64" t="n">
        <f aca="false">O27</f>
        <v>-8160</v>
      </c>
      <c r="P28" s="64" t="n">
        <f aca="false">P27</f>
        <v>-8500</v>
      </c>
      <c r="Q28" s="64" t="n">
        <f aca="false">Q27</f>
        <v>-0</v>
      </c>
      <c r="R28" s="64" t="n">
        <f aca="false">R27</f>
        <v>-0</v>
      </c>
      <c r="S28" s="64" t="n">
        <f aca="false">S27</f>
        <v>-0</v>
      </c>
      <c r="T28" s="64" t="n">
        <f aca="false">T27</f>
        <v>-0</v>
      </c>
      <c r="U28" s="64" t="n">
        <f aca="false">U27</f>
        <v>-0</v>
      </c>
      <c r="V28" s="64" t="n">
        <f aca="false">V27</f>
        <v>-0</v>
      </c>
      <c r="W28" s="64" t="n">
        <f aca="false">W27</f>
        <v>-0</v>
      </c>
      <c r="X28" s="64" t="n">
        <f aca="false">X27</f>
        <v>-0</v>
      </c>
      <c r="Y28" s="64" t="n">
        <f aca="false">Y27</f>
        <v>-0</v>
      </c>
      <c r="Z28" s="64" t="n">
        <f aca="false">Z27</f>
        <v>-0</v>
      </c>
      <c r="AA28" s="64" t="n">
        <f aca="false">AA27</f>
        <v>-8160</v>
      </c>
      <c r="AB28" s="64" t="n">
        <f aca="false">AB27</f>
        <v>-0</v>
      </c>
      <c r="AC28" s="64" t="n">
        <f aca="false">AC27</f>
        <v>-0</v>
      </c>
      <c r="AD28" s="64" t="n">
        <f aca="false">AD27</f>
        <v>-0</v>
      </c>
      <c r="AE28" s="64" t="n">
        <f aca="false">AE27</f>
        <v>-0</v>
      </c>
      <c r="AF28" s="64" t="n">
        <f aca="false">AF27</f>
        <v>-0</v>
      </c>
      <c r="AG28" s="64" t="n">
        <f aca="false">AG27</f>
        <v>-0</v>
      </c>
      <c r="AH28" s="64" t="n">
        <f aca="false">AH27</f>
        <v>-0</v>
      </c>
      <c r="AI28" s="64" t="n">
        <f aca="false">AI27</f>
        <v>-0</v>
      </c>
      <c r="AJ28" s="64" t="n">
        <f aca="false">AJ27</f>
        <v>-0</v>
      </c>
      <c r="AK28" s="64" t="n">
        <f aca="false">AK27</f>
        <v>-0</v>
      </c>
      <c r="AL28" s="64" t="n">
        <f aca="false">AL27</f>
        <v>-0</v>
      </c>
      <c r="AN28" s="52" t="n">
        <f aca="false">SUM(C28:N28)</f>
        <v>-183020</v>
      </c>
      <c r="AO28" s="52" t="n">
        <f aca="false">SUM(O28:Z28)</f>
        <v>-16660</v>
      </c>
      <c r="AP28" s="52" t="n">
        <f aca="false">SUM(AA28:AL28)</f>
        <v>-8160</v>
      </c>
    </row>
    <row r="29" customFormat="false" ht="15" hidden="false" customHeight="false" outlineLevel="0" collapsed="false">
      <c r="A29" s="26" t="s">
        <v>679</v>
      </c>
      <c r="B29" s="24" t="s">
        <v>680</v>
      </c>
      <c r="C29" s="51" t="n">
        <f aca="false">IF(1=Assumptions!$C$142,Assumptions!$C$141,0)</f>
        <v>600000</v>
      </c>
      <c r="D29" s="51" t="n">
        <f aca="false">IF(2=Assumptions!$C$142,Assumptions!$C$141,0)</f>
        <v>0</v>
      </c>
      <c r="E29" s="51" t="n">
        <f aca="false">IF(3=Assumptions!$C$142,Assumptions!$C$141,0)</f>
        <v>0</v>
      </c>
      <c r="F29" s="51" t="n">
        <f aca="false">IF(4=Assumptions!$C$142,Assumptions!$C$141,0)</f>
        <v>0</v>
      </c>
      <c r="G29" s="51" t="n">
        <f aca="false">IF(5=Assumptions!$C$142,Assumptions!$C$141,0)</f>
        <v>0</v>
      </c>
      <c r="H29" s="51" t="n">
        <f aca="false">IF(6=Assumptions!$C$142,Assumptions!$C$141,0)</f>
        <v>0</v>
      </c>
      <c r="I29" s="51" t="n">
        <f aca="false">IF(7=Assumptions!$C$142,Assumptions!$C$141,0)</f>
        <v>0</v>
      </c>
      <c r="J29" s="51" t="n">
        <f aca="false">IF(8=Assumptions!$C$142,Assumptions!$C$141,0)</f>
        <v>0</v>
      </c>
      <c r="K29" s="51" t="n">
        <f aca="false">IF(9=Assumptions!$C$142,Assumptions!$C$141,0)</f>
        <v>0</v>
      </c>
      <c r="L29" s="51" t="n">
        <f aca="false">IF(10=Assumptions!$C$142,Assumptions!$C$141,0)</f>
        <v>0</v>
      </c>
      <c r="M29" s="51" t="n">
        <f aca="false">IF(11=Assumptions!$C$142,Assumptions!$C$141,0)</f>
        <v>0</v>
      </c>
      <c r="N29" s="51" t="n">
        <f aca="false">IF(12=Assumptions!$C$142,Assumptions!$C$141,0)</f>
        <v>0</v>
      </c>
      <c r="O29" s="51" t="n">
        <f aca="false">IF(13=Assumptions!$C$142,Assumptions!$C$141,0)</f>
        <v>0</v>
      </c>
      <c r="P29" s="51" t="n">
        <f aca="false">IF(14=Assumptions!$C$142,Assumptions!$C$141,0)</f>
        <v>0</v>
      </c>
      <c r="Q29" s="51" t="n">
        <f aca="false">IF(15=Assumptions!$C$142,Assumptions!$C$141,0)</f>
        <v>0</v>
      </c>
      <c r="R29" s="51" t="n">
        <f aca="false">IF(16=Assumptions!$C$142,Assumptions!$C$141,0)</f>
        <v>0</v>
      </c>
      <c r="S29" s="51" t="n">
        <f aca="false">IF(17=Assumptions!$C$142,Assumptions!$C$141,0)</f>
        <v>0</v>
      </c>
      <c r="T29" s="51" t="n">
        <f aca="false">IF(18=Assumptions!$C$142,Assumptions!$C$141,0)</f>
        <v>0</v>
      </c>
      <c r="U29" s="51" t="n">
        <f aca="false">IF(19=Assumptions!$C$142,Assumptions!$C$141,0)</f>
        <v>0</v>
      </c>
      <c r="V29" s="51" t="n">
        <f aca="false">IF(20=Assumptions!$C$142,Assumptions!$C$141,0)</f>
        <v>0</v>
      </c>
      <c r="W29" s="51" t="n">
        <f aca="false">IF(21=Assumptions!$C$142,Assumptions!$C$141,0)</f>
        <v>0</v>
      </c>
      <c r="X29" s="51" t="n">
        <f aca="false">IF(22=Assumptions!$C$142,Assumptions!$C$141,0)</f>
        <v>0</v>
      </c>
      <c r="Y29" s="51" t="n">
        <f aca="false">IF(23=Assumptions!$C$142,Assumptions!$C$141,0)</f>
        <v>0</v>
      </c>
      <c r="Z29" s="51" t="n">
        <f aca="false">IF(24=Assumptions!$C$142,Assumptions!$C$141,0)</f>
        <v>0</v>
      </c>
      <c r="AA29" s="51" t="n">
        <f aca="false">IF(25=Assumptions!$C$142,Assumptions!$C$141,0)</f>
        <v>0</v>
      </c>
      <c r="AB29" s="51" t="n">
        <f aca="false">IF(26=Assumptions!$C$142,Assumptions!$C$141,0)</f>
        <v>0</v>
      </c>
      <c r="AC29" s="51" t="n">
        <f aca="false">IF(27=Assumptions!$C$142,Assumptions!$C$141,0)</f>
        <v>0</v>
      </c>
      <c r="AD29" s="51" t="n">
        <f aca="false">IF(28=Assumptions!$C$142,Assumptions!$C$141,0)</f>
        <v>0</v>
      </c>
      <c r="AE29" s="51" t="n">
        <f aca="false">IF(29=Assumptions!$C$142,Assumptions!$C$141,0)</f>
        <v>0</v>
      </c>
      <c r="AF29" s="51" t="n">
        <f aca="false">IF(30=Assumptions!$C$142,Assumptions!$C$141,0)</f>
        <v>0</v>
      </c>
      <c r="AG29" s="51" t="n">
        <f aca="false">IF(31=Assumptions!$C$142,Assumptions!$C$141,0)</f>
        <v>0</v>
      </c>
      <c r="AH29" s="51" t="n">
        <f aca="false">IF(32=Assumptions!$C$142,Assumptions!$C$141,0)</f>
        <v>0</v>
      </c>
      <c r="AI29" s="51" t="n">
        <f aca="false">IF(33=Assumptions!$C$142,Assumptions!$C$141,0)</f>
        <v>0</v>
      </c>
      <c r="AJ29" s="51" t="n">
        <f aca="false">IF(34=Assumptions!$C$142,Assumptions!$C$141,0)</f>
        <v>0</v>
      </c>
      <c r="AK29" s="51" t="n">
        <f aca="false">IF(35=Assumptions!$C$142,Assumptions!$C$141,0)</f>
        <v>0</v>
      </c>
      <c r="AL29" s="51" t="n">
        <f aca="false">IF(36=Assumptions!$C$142,Assumptions!$C$141,0)</f>
        <v>0</v>
      </c>
      <c r="AN29" s="52" t="n">
        <f aca="false">SUM(C29:N29)</f>
        <v>600000</v>
      </c>
      <c r="AO29" s="52" t="n">
        <f aca="false">SUM(O29:Z29)</f>
        <v>0</v>
      </c>
      <c r="AP29" s="52" t="n">
        <f aca="false">SUM(AA29:AL29)</f>
        <v>0</v>
      </c>
    </row>
    <row r="30" customFormat="false" ht="15" hidden="false" customHeight="false" outlineLevel="0" collapsed="false">
      <c r="A30" s="10" t="s">
        <v>681</v>
      </c>
      <c r="B30" s="24"/>
      <c r="C30" s="64" t="n">
        <f aca="false">C29</f>
        <v>600000</v>
      </c>
      <c r="D30" s="64" t="n">
        <f aca="false">D29</f>
        <v>0</v>
      </c>
      <c r="E30" s="64" t="n">
        <f aca="false">E29</f>
        <v>0</v>
      </c>
      <c r="F30" s="64" t="n">
        <f aca="false">F29</f>
        <v>0</v>
      </c>
      <c r="G30" s="64" t="n">
        <f aca="false">G29</f>
        <v>0</v>
      </c>
      <c r="H30" s="64" t="n">
        <f aca="false">H29</f>
        <v>0</v>
      </c>
      <c r="I30" s="64" t="n">
        <f aca="false">I29</f>
        <v>0</v>
      </c>
      <c r="J30" s="64" t="n">
        <f aca="false">J29</f>
        <v>0</v>
      </c>
      <c r="K30" s="64" t="n">
        <f aca="false">K29</f>
        <v>0</v>
      </c>
      <c r="L30" s="64" t="n">
        <f aca="false">L29</f>
        <v>0</v>
      </c>
      <c r="M30" s="64" t="n">
        <f aca="false">M29</f>
        <v>0</v>
      </c>
      <c r="N30" s="64" t="n">
        <f aca="false">N29</f>
        <v>0</v>
      </c>
      <c r="O30" s="64" t="n">
        <f aca="false">O29</f>
        <v>0</v>
      </c>
      <c r="P30" s="64" t="n">
        <f aca="false">P29</f>
        <v>0</v>
      </c>
      <c r="Q30" s="64" t="n">
        <f aca="false">Q29</f>
        <v>0</v>
      </c>
      <c r="R30" s="64" t="n">
        <f aca="false">R29</f>
        <v>0</v>
      </c>
      <c r="S30" s="64" t="n">
        <f aca="false">S29</f>
        <v>0</v>
      </c>
      <c r="T30" s="64" t="n">
        <f aca="false">T29</f>
        <v>0</v>
      </c>
      <c r="U30" s="64" t="n">
        <f aca="false">U29</f>
        <v>0</v>
      </c>
      <c r="V30" s="64" t="n">
        <f aca="false">V29</f>
        <v>0</v>
      </c>
      <c r="W30" s="64" t="n">
        <f aca="false">W29</f>
        <v>0</v>
      </c>
      <c r="X30" s="64" t="n">
        <f aca="false">X29</f>
        <v>0</v>
      </c>
      <c r="Y30" s="64" t="n">
        <f aca="false">Y29</f>
        <v>0</v>
      </c>
      <c r="Z30" s="64" t="n">
        <f aca="false">Z29</f>
        <v>0</v>
      </c>
      <c r="AA30" s="64" t="n">
        <f aca="false">AA29</f>
        <v>0</v>
      </c>
      <c r="AB30" s="64" t="n">
        <f aca="false">AB29</f>
        <v>0</v>
      </c>
      <c r="AC30" s="64" t="n">
        <f aca="false">AC29</f>
        <v>0</v>
      </c>
      <c r="AD30" s="64" t="n">
        <f aca="false">AD29</f>
        <v>0</v>
      </c>
      <c r="AE30" s="64" t="n">
        <f aca="false">AE29</f>
        <v>0</v>
      </c>
      <c r="AF30" s="64" t="n">
        <f aca="false">AF29</f>
        <v>0</v>
      </c>
      <c r="AG30" s="64" t="n">
        <f aca="false">AG29</f>
        <v>0</v>
      </c>
      <c r="AH30" s="64" t="n">
        <f aca="false">AH29</f>
        <v>0</v>
      </c>
      <c r="AI30" s="64" t="n">
        <f aca="false">AI29</f>
        <v>0</v>
      </c>
      <c r="AJ30" s="64" t="n">
        <f aca="false">AJ29</f>
        <v>0</v>
      </c>
      <c r="AK30" s="64" t="n">
        <f aca="false">AK29</f>
        <v>0</v>
      </c>
      <c r="AL30" s="64" t="n">
        <f aca="false">AL29</f>
        <v>0</v>
      </c>
      <c r="AN30" s="52" t="n">
        <f aca="false">SUM(C30:N30)</f>
        <v>600000</v>
      </c>
      <c r="AO30" s="52" t="n">
        <f aca="false">SUM(O30:Z30)</f>
        <v>0</v>
      </c>
      <c r="AP30" s="52" t="n">
        <f aca="false">SUM(AA30:AL30)</f>
        <v>0</v>
      </c>
    </row>
    <row r="31" customFormat="false" ht="15" hidden="false" customHeight="false" outlineLevel="0" collapsed="false">
      <c r="A31" s="10" t="s">
        <v>682</v>
      </c>
      <c r="B31" s="24"/>
      <c r="C31" s="64" t="n">
        <f aca="false">C26+C28+C30</f>
        <v>418135.73252584</v>
      </c>
      <c r="D31" s="64" t="n">
        <f aca="false">D26+D28+D30</f>
        <v>-52635.2460725376</v>
      </c>
      <c r="E31" s="64" t="n">
        <f aca="false">E26+E28+E30</f>
        <v>-43338.2072672988</v>
      </c>
      <c r="F31" s="64" t="n">
        <f aca="false">F26+F28+F30</f>
        <v>-66207.8624635737</v>
      </c>
      <c r="G31" s="64" t="n">
        <f aca="false">G26+G28+G30</f>
        <v>-32701.5870169496</v>
      </c>
      <c r="H31" s="64" t="n">
        <f aca="false">H26+H28+H30</f>
        <v>-32408.2006783615</v>
      </c>
      <c r="I31" s="64" t="n">
        <f aca="false">I26+I28+I30</f>
        <v>-49100.9881972748</v>
      </c>
      <c r="J31" s="64" t="n">
        <f aca="false">J26+J28+J30</f>
        <v>-19361.5737594129</v>
      </c>
      <c r="K31" s="64" t="n">
        <f aca="false">K26+K28+K30</f>
        <v>-18373.0330254107</v>
      </c>
      <c r="L31" s="64" t="n">
        <f aca="false">L26+L28+L30</f>
        <v>-62900.7116120764</v>
      </c>
      <c r="M31" s="64" t="n">
        <f aca="false">M26+M28+M30</f>
        <v>13195.4160742587</v>
      </c>
      <c r="N31" s="64" t="n">
        <f aca="false">N26+N28+N30</f>
        <v>15850.8839538133</v>
      </c>
      <c r="O31" s="64" t="n">
        <f aca="false">O26+O28+O30</f>
        <v>10910.82782537</v>
      </c>
      <c r="P31" s="64" t="n">
        <f aca="false">P26+P28+P30</f>
        <v>-14782.4927016159</v>
      </c>
      <c r="Q31" s="64" t="n">
        <f aca="false">Q26+Q28+Q30</f>
        <v>-2597.99077370173</v>
      </c>
      <c r="R31" s="64" t="n">
        <f aca="false">R26+R28+R30</f>
        <v>48798.5948576126</v>
      </c>
      <c r="S31" s="64" t="n">
        <f aca="false">S26+S28+S30</f>
        <v>3822.74097752031</v>
      </c>
      <c r="T31" s="64" t="n">
        <f aca="false">T26+T28+T30</f>
        <v>7999.57872180478</v>
      </c>
      <c r="U31" s="64" t="n">
        <f aca="false">U26+U28+U30</f>
        <v>28437.3440801716</v>
      </c>
      <c r="V31" s="64" t="n">
        <f aca="false">V26+V28+V30</f>
        <v>35735.3695996909</v>
      </c>
      <c r="W31" s="64" t="n">
        <f aca="false">W26+W28+W30</f>
        <v>41612.5305581984</v>
      </c>
      <c r="X31" s="64" t="n">
        <f aca="false">X26+X28+X30</f>
        <v>127195.548333295</v>
      </c>
      <c r="Y31" s="64" t="n">
        <f aca="false">Y26+Y28+Y30</f>
        <v>48787.0751411744</v>
      </c>
      <c r="Z31" s="64" t="n">
        <f aca="false">Z26+Z28+Z30</f>
        <v>55345.9098356172</v>
      </c>
      <c r="AA31" s="64" t="n">
        <f aca="false">AA26+AA28+AA30</f>
        <v>62504.1389112245</v>
      </c>
      <c r="AB31" s="64" t="n">
        <f aca="false">AB26+AB28+AB30</f>
        <v>47859.146957526</v>
      </c>
      <c r="AC31" s="64" t="n">
        <f aca="false">AC26+AC28+AC30</f>
        <v>57312.3429031273</v>
      </c>
      <c r="AD31" s="64" t="n">
        <f aca="false">AD26+AD28+AD30</f>
        <v>110074.493351534</v>
      </c>
      <c r="AE31" s="64" t="n">
        <f aca="false">AE26+AE28+AE30</f>
        <v>66404.919177355</v>
      </c>
      <c r="AF31" s="64" t="n">
        <f aca="false">AF26+AF28+AF30</f>
        <v>76774.9698709441</v>
      </c>
      <c r="AG31" s="64" t="n">
        <f aca="false">AG26+AG28+AG30</f>
        <v>204382.312859192</v>
      </c>
      <c r="AH31" s="64" t="n">
        <f aca="false">AH26+AH28+AH30</f>
        <v>101401.568648219</v>
      </c>
      <c r="AI31" s="64" t="n">
        <f aca="false">AI26+AI28+AI30</f>
        <v>113721.688528872</v>
      </c>
      <c r="AJ31" s="64" t="n">
        <f aca="false">AJ26+AJ28+AJ30</f>
        <v>283029.517214146</v>
      </c>
      <c r="AK31" s="64" t="n">
        <f aca="false">AK26+AK28+AK30</f>
        <v>127474.799861854</v>
      </c>
      <c r="AL31" s="64" t="n">
        <f aca="false">AL26+AL28+AL30</f>
        <v>141124.659215758</v>
      </c>
      <c r="AN31" s="52" t="n">
        <f aca="false">SUM(C31:N31)</f>
        <v>70154.6224610163</v>
      </c>
      <c r="AO31" s="52" t="n">
        <f aca="false">SUM(O31:Z31)</f>
        <v>391265.036455137</v>
      </c>
      <c r="AP31" s="52" t="n">
        <f aca="false">SUM(AA31:AL31)</f>
        <v>1392064.55749975</v>
      </c>
    </row>
    <row r="32" customFormat="false" ht="15" hidden="false" customHeight="false" outlineLevel="0" collapsed="false">
      <c r="A32" s="26" t="s">
        <v>683</v>
      </c>
      <c r="B32" s="24"/>
      <c r="C32" s="51" t="n">
        <f aca="false">Assumptions!$C$140</f>
        <v>50000</v>
      </c>
      <c r="D32" s="51" t="n">
        <f aca="false">C33</f>
        <v>468135.73252584</v>
      </c>
      <c r="E32" s="51" t="n">
        <f aca="false">D33</f>
        <v>415500.486453303</v>
      </c>
      <c r="F32" s="51" t="n">
        <f aca="false">E33</f>
        <v>372162.279186004</v>
      </c>
      <c r="G32" s="51" t="n">
        <f aca="false">F33</f>
        <v>305954.41672243</v>
      </c>
      <c r="H32" s="51" t="n">
        <f aca="false">G33</f>
        <v>273252.829705481</v>
      </c>
      <c r="I32" s="51" t="n">
        <f aca="false">H33</f>
        <v>240844.629027119</v>
      </c>
      <c r="J32" s="51" t="n">
        <f aca="false">I33</f>
        <v>191743.640829844</v>
      </c>
      <c r="K32" s="51" t="n">
        <f aca="false">J33</f>
        <v>172382.067070431</v>
      </c>
      <c r="L32" s="51" t="n">
        <f aca="false">K33</f>
        <v>154009.034045021</v>
      </c>
      <c r="M32" s="51" t="n">
        <f aca="false">L33</f>
        <v>91108.3224329443</v>
      </c>
      <c r="N32" s="51" t="n">
        <f aca="false">M33</f>
        <v>104303.738507203</v>
      </c>
      <c r="O32" s="51" t="n">
        <f aca="false">N33</f>
        <v>120154.622461016</v>
      </c>
      <c r="P32" s="51" t="n">
        <f aca="false">O33</f>
        <v>131065.450286386</v>
      </c>
      <c r="Q32" s="51" t="n">
        <f aca="false">P33</f>
        <v>116282.95758477</v>
      </c>
      <c r="R32" s="51" t="n">
        <f aca="false">Q33</f>
        <v>113684.966811069</v>
      </c>
      <c r="S32" s="51" t="n">
        <f aca="false">R33</f>
        <v>162483.561668681</v>
      </c>
      <c r="T32" s="51" t="n">
        <f aca="false">S33</f>
        <v>166306.302646202</v>
      </c>
      <c r="U32" s="51" t="n">
        <f aca="false">T33</f>
        <v>174305.881368006</v>
      </c>
      <c r="V32" s="51" t="n">
        <f aca="false">U33</f>
        <v>202743.225448178</v>
      </c>
      <c r="W32" s="51" t="n">
        <f aca="false">V33</f>
        <v>238478.595047869</v>
      </c>
      <c r="X32" s="51" t="n">
        <f aca="false">W33</f>
        <v>280091.125606067</v>
      </c>
      <c r="Y32" s="51" t="n">
        <f aca="false">X33</f>
        <v>407286.673939362</v>
      </c>
      <c r="Z32" s="51" t="n">
        <f aca="false">Y33</f>
        <v>456073.749080536</v>
      </c>
      <c r="AA32" s="51" t="n">
        <f aca="false">Z33</f>
        <v>511419.658916153</v>
      </c>
      <c r="AB32" s="51" t="n">
        <f aca="false">AA33</f>
        <v>573923.797827378</v>
      </c>
      <c r="AC32" s="51" t="n">
        <f aca="false">AB33</f>
        <v>621782.944784904</v>
      </c>
      <c r="AD32" s="51" t="n">
        <f aca="false">AC33</f>
        <v>679095.287688031</v>
      </c>
      <c r="AE32" s="51" t="n">
        <f aca="false">AD33</f>
        <v>789169.781039565</v>
      </c>
      <c r="AF32" s="51" t="n">
        <f aca="false">AE33</f>
        <v>855574.70021692</v>
      </c>
      <c r="AG32" s="51" t="n">
        <f aca="false">AF33</f>
        <v>932349.670087864</v>
      </c>
      <c r="AH32" s="51" t="n">
        <f aca="false">AG33</f>
        <v>1136731.98294706</v>
      </c>
      <c r="AI32" s="51" t="n">
        <f aca="false">AH33</f>
        <v>1238133.55159527</v>
      </c>
      <c r="AJ32" s="51" t="n">
        <f aca="false">AI33</f>
        <v>1351855.24012415</v>
      </c>
      <c r="AK32" s="51" t="n">
        <f aca="false">AJ33</f>
        <v>1634884.75733829</v>
      </c>
      <c r="AL32" s="51" t="n">
        <f aca="false">AK33</f>
        <v>1762359.55720015</v>
      </c>
      <c r="AN32" s="52" t="n">
        <f aca="false">MIN(C32:N32)</f>
        <v>50000</v>
      </c>
      <c r="AO32" s="52" t="n">
        <f aca="false">MIN(O32:Z32)</f>
        <v>113684.966811069</v>
      </c>
      <c r="AP32" s="52" t="n">
        <f aca="false">MIN(AA32:AL32)</f>
        <v>511419.658916153</v>
      </c>
    </row>
    <row r="33" customFormat="false" ht="15" hidden="false" customHeight="false" outlineLevel="0" collapsed="false">
      <c r="A33" s="13" t="s">
        <v>684</v>
      </c>
      <c r="B33" s="69"/>
      <c r="C33" s="70" t="n">
        <f aca="false">C32+C31</f>
        <v>468135.73252584</v>
      </c>
      <c r="D33" s="70" t="n">
        <f aca="false">D32+D31</f>
        <v>415500.486453303</v>
      </c>
      <c r="E33" s="70" t="n">
        <f aca="false">E32+E31</f>
        <v>372162.279186004</v>
      </c>
      <c r="F33" s="70" t="n">
        <f aca="false">F32+F31</f>
        <v>305954.41672243</v>
      </c>
      <c r="G33" s="70" t="n">
        <f aca="false">G32+G31</f>
        <v>273252.829705481</v>
      </c>
      <c r="H33" s="70" t="n">
        <f aca="false">H32+H31</f>
        <v>240844.629027119</v>
      </c>
      <c r="I33" s="70" t="n">
        <f aca="false">I32+I31</f>
        <v>191743.640829844</v>
      </c>
      <c r="J33" s="70" t="n">
        <f aca="false">J32+J31</f>
        <v>172382.067070431</v>
      </c>
      <c r="K33" s="70" t="n">
        <f aca="false">K32+K31</f>
        <v>154009.034045021</v>
      </c>
      <c r="L33" s="70" t="n">
        <f aca="false">L32+L31</f>
        <v>91108.3224329443</v>
      </c>
      <c r="M33" s="70" t="n">
        <f aca="false">M32+M31</f>
        <v>104303.738507203</v>
      </c>
      <c r="N33" s="70" t="n">
        <f aca="false">N32+N31</f>
        <v>120154.622461016</v>
      </c>
      <c r="O33" s="70" t="n">
        <f aca="false">O32+O31</f>
        <v>131065.450286386</v>
      </c>
      <c r="P33" s="70" t="n">
        <f aca="false">P32+P31</f>
        <v>116282.95758477</v>
      </c>
      <c r="Q33" s="70" t="n">
        <f aca="false">Q32+Q31</f>
        <v>113684.966811069</v>
      </c>
      <c r="R33" s="70" t="n">
        <f aca="false">R32+R31</f>
        <v>162483.561668681</v>
      </c>
      <c r="S33" s="70" t="n">
        <f aca="false">S32+S31</f>
        <v>166306.302646202</v>
      </c>
      <c r="T33" s="70" t="n">
        <f aca="false">T32+T31</f>
        <v>174305.881368006</v>
      </c>
      <c r="U33" s="70" t="n">
        <f aca="false">U32+U31</f>
        <v>202743.225448178</v>
      </c>
      <c r="V33" s="70" t="n">
        <f aca="false">V32+V31</f>
        <v>238478.595047869</v>
      </c>
      <c r="W33" s="70" t="n">
        <f aca="false">W32+W31</f>
        <v>280091.125606067</v>
      </c>
      <c r="X33" s="70" t="n">
        <f aca="false">X32+X31</f>
        <v>407286.673939362</v>
      </c>
      <c r="Y33" s="70" t="n">
        <f aca="false">Y32+Y31</f>
        <v>456073.749080536</v>
      </c>
      <c r="Z33" s="70" t="n">
        <f aca="false">Z32+Z31</f>
        <v>511419.658916153</v>
      </c>
      <c r="AA33" s="70" t="n">
        <f aca="false">AA32+AA31</f>
        <v>573923.797827378</v>
      </c>
      <c r="AB33" s="70" t="n">
        <f aca="false">AB32+AB31</f>
        <v>621782.944784904</v>
      </c>
      <c r="AC33" s="70" t="n">
        <f aca="false">AC32+AC31</f>
        <v>679095.287688031</v>
      </c>
      <c r="AD33" s="70" t="n">
        <f aca="false">AD32+AD31</f>
        <v>789169.781039565</v>
      </c>
      <c r="AE33" s="70" t="n">
        <f aca="false">AE32+AE31</f>
        <v>855574.70021692</v>
      </c>
      <c r="AF33" s="70" t="n">
        <f aca="false">AF32+AF31</f>
        <v>932349.670087864</v>
      </c>
      <c r="AG33" s="70" t="n">
        <f aca="false">AG32+AG31</f>
        <v>1136731.98294706</v>
      </c>
      <c r="AH33" s="70" t="n">
        <f aca="false">AH32+AH31</f>
        <v>1238133.55159527</v>
      </c>
      <c r="AI33" s="70" t="n">
        <f aca="false">AI32+AI31</f>
        <v>1351855.24012415</v>
      </c>
      <c r="AJ33" s="70" t="n">
        <f aca="false">AJ32+AJ31</f>
        <v>1634884.75733829</v>
      </c>
      <c r="AK33" s="70" t="n">
        <f aca="false">AK32+AK31</f>
        <v>1762359.55720015</v>
      </c>
      <c r="AL33" s="70" t="n">
        <f aca="false">AL32+AL31</f>
        <v>1903484.2164159</v>
      </c>
      <c r="AN33" s="52" t="n">
        <f aca="false">N33</f>
        <v>120154.622461016</v>
      </c>
      <c r="AO33" s="52" t="n">
        <f aca="false">Z33</f>
        <v>511419.658916153</v>
      </c>
      <c r="AP33" s="52" t="n">
        <f aca="false">AL33</f>
        <v>1903484.2164159</v>
      </c>
    </row>
    <row r="34" customFormat="false" ht="15" hidden="false" customHeight="false" outlineLevel="0" collapsed="false">
      <c r="A34" s="26" t="s">
        <v>685</v>
      </c>
      <c r="B34" s="24" t="s">
        <v>686</v>
      </c>
      <c r="C34" s="51" t="n">
        <f aca="false">C33-Assumptions!$C$143</f>
        <v>378135.73252584</v>
      </c>
      <c r="D34" s="51" t="n">
        <f aca="false">D33-Assumptions!$C$143</f>
        <v>325500.486453303</v>
      </c>
      <c r="E34" s="51" t="n">
        <f aca="false">E33-Assumptions!$C$143</f>
        <v>282162.279186004</v>
      </c>
      <c r="F34" s="51" t="n">
        <f aca="false">F33-Assumptions!$C$143</f>
        <v>215954.41672243</v>
      </c>
      <c r="G34" s="51" t="n">
        <f aca="false">G33-Assumptions!$C$143</f>
        <v>183252.829705481</v>
      </c>
      <c r="H34" s="51" t="n">
        <f aca="false">H33-Assumptions!$C$143</f>
        <v>150844.629027119</v>
      </c>
      <c r="I34" s="51" t="n">
        <f aca="false">I33-Assumptions!$C$143</f>
        <v>101743.640829844</v>
      </c>
      <c r="J34" s="51" t="n">
        <f aca="false">J33-Assumptions!$C$143</f>
        <v>82382.0670704314</v>
      </c>
      <c r="K34" s="51" t="n">
        <f aca="false">K33-Assumptions!$C$143</f>
        <v>64009.0340450207</v>
      </c>
      <c r="L34" s="51" t="n">
        <f aca="false">L33-Assumptions!$C$143</f>
        <v>1108.32243294432</v>
      </c>
      <c r="M34" s="51" t="n">
        <f aca="false">M33-Assumptions!$C$143</f>
        <v>14303.738507203</v>
      </c>
      <c r="N34" s="51" t="n">
        <f aca="false">N33-Assumptions!$C$143</f>
        <v>30154.6224610163</v>
      </c>
      <c r="O34" s="51" t="n">
        <f aca="false">O33-Assumptions!$C$143</f>
        <v>41065.4502863864</v>
      </c>
      <c r="P34" s="51" t="n">
        <f aca="false">P33-Assumptions!$C$143</f>
        <v>26282.9575847705</v>
      </c>
      <c r="Q34" s="51" t="n">
        <f aca="false">Q33-Assumptions!$C$143</f>
        <v>23684.9668110688</v>
      </c>
      <c r="R34" s="51" t="n">
        <f aca="false">R33-Assumptions!$C$143</f>
        <v>72483.5616686813</v>
      </c>
      <c r="S34" s="51" t="n">
        <f aca="false">S33-Assumptions!$C$143</f>
        <v>76306.3026462016</v>
      </c>
      <c r="T34" s="51" t="n">
        <f aca="false">T33-Assumptions!$C$143</f>
        <v>84305.8813680064</v>
      </c>
      <c r="U34" s="51" t="n">
        <f aca="false">U33-Assumptions!$C$143</f>
        <v>112743.225448178</v>
      </c>
      <c r="V34" s="51" t="n">
        <f aca="false">V33-Assumptions!$C$143</f>
        <v>148478.595047869</v>
      </c>
      <c r="W34" s="51" t="n">
        <f aca="false">W33-Assumptions!$C$143</f>
        <v>190091.125606067</v>
      </c>
      <c r="X34" s="51" t="n">
        <f aca="false">X33-Assumptions!$C$143</f>
        <v>317286.673939362</v>
      </c>
      <c r="Y34" s="51" t="n">
        <f aca="false">Y33-Assumptions!$C$143</f>
        <v>366073.749080536</v>
      </c>
      <c r="Z34" s="51" t="n">
        <f aca="false">Z33-Assumptions!$C$143</f>
        <v>421419.658916153</v>
      </c>
      <c r="AA34" s="51" t="n">
        <f aca="false">AA33-Assumptions!$C$143</f>
        <v>483923.797827378</v>
      </c>
      <c r="AB34" s="51" t="n">
        <f aca="false">AB33-Assumptions!$C$143</f>
        <v>531782.944784904</v>
      </c>
      <c r="AC34" s="51" t="n">
        <f aca="false">AC33-Assumptions!$C$143</f>
        <v>589095.287688031</v>
      </c>
      <c r="AD34" s="51" t="n">
        <f aca="false">AD33-Assumptions!$C$143</f>
        <v>699169.781039565</v>
      </c>
      <c r="AE34" s="51" t="n">
        <f aca="false">AE33-Assumptions!$C$143</f>
        <v>765574.70021692</v>
      </c>
      <c r="AF34" s="51" t="n">
        <f aca="false">AF33-Assumptions!$C$143</f>
        <v>842349.670087864</v>
      </c>
      <c r="AG34" s="51" t="n">
        <f aca="false">AG33-Assumptions!$C$143</f>
        <v>1046731.98294706</v>
      </c>
      <c r="AH34" s="51" t="n">
        <f aca="false">AH33-Assumptions!$C$143</f>
        <v>1148133.55159527</v>
      </c>
      <c r="AI34" s="51" t="n">
        <f aca="false">AI33-Assumptions!$C$143</f>
        <v>1261855.24012415</v>
      </c>
      <c r="AJ34" s="51" t="n">
        <f aca="false">AJ33-Assumptions!$C$143</f>
        <v>1544884.75733829</v>
      </c>
      <c r="AK34" s="51" t="n">
        <f aca="false">AK33-Assumptions!$C$143</f>
        <v>1672359.55720015</v>
      </c>
      <c r="AL34" s="51" t="n">
        <f aca="false">AL33-Assumptions!$C$143</f>
        <v>1813484.2164159</v>
      </c>
      <c r="AN34" s="52" t="n">
        <f aca="false">MIN(C34:N34)</f>
        <v>1108.32243294432</v>
      </c>
      <c r="AO34" s="52" t="n">
        <f aca="false">MIN(O34:Z34)</f>
        <v>23684.9668110688</v>
      </c>
      <c r="AP34" s="52" t="n">
        <f aca="false">MIN(AA34:AL34)</f>
        <v>483923.797827378</v>
      </c>
    </row>
    <row r="36" customFormat="false" ht="16.5" hidden="false" customHeight="true" outlineLevel="0" collapsed="false">
      <c r="A36" s="21" t="s">
        <v>687</v>
      </c>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row>
    <row r="37" customFormat="false" ht="15" hidden="false" customHeight="false" outlineLevel="0" collapsed="false">
      <c r="C37" s="23" t="s">
        <v>61</v>
      </c>
      <c r="D37" s="23" t="s">
        <v>62</v>
      </c>
      <c r="E37" s="23" t="s">
        <v>63</v>
      </c>
    </row>
    <row r="38" customFormat="false" ht="15" hidden="false" customHeight="false" outlineLevel="0" collapsed="false">
      <c r="A38" s="26" t="s">
        <v>632</v>
      </c>
      <c r="B38" s="24"/>
      <c r="C38" s="60" t="n">
        <f aca="false">AN9</f>
        <v>-215248.861130513</v>
      </c>
      <c r="D38" s="60" t="n">
        <f aca="false">AO9</f>
        <v>499107.708025252</v>
      </c>
      <c r="E38" s="60" t="n">
        <f aca="false">AP9</f>
        <v>1400467.9599896</v>
      </c>
    </row>
    <row r="39" customFormat="false" ht="15" hidden="false" customHeight="false" outlineLevel="0" collapsed="false">
      <c r="A39" s="26" t="s">
        <v>586</v>
      </c>
      <c r="B39" s="24"/>
      <c r="C39" s="60" t="n">
        <f aca="false">AN10</f>
        <v>51383.5277777778</v>
      </c>
      <c r="D39" s="60" t="n">
        <f aca="false">AO10</f>
        <v>60061.0416666667</v>
      </c>
      <c r="E39" s="60" t="n">
        <f aca="false">AP10</f>
        <v>62543.875</v>
      </c>
    </row>
    <row r="40" customFormat="false" ht="15" hidden="false" customHeight="false" outlineLevel="0" collapsed="false">
      <c r="A40" s="26" t="s">
        <v>668</v>
      </c>
      <c r="B40" s="24"/>
      <c r="C40" s="60" t="n">
        <f aca="false">AN21</f>
        <v>-334145.836507538</v>
      </c>
      <c r="D40" s="60" t="n">
        <f aca="false">AO21</f>
        <v>-460599.080138847</v>
      </c>
      <c r="E40" s="60" t="n">
        <f aca="false">AP21</f>
        <v>-819780.188961134</v>
      </c>
    </row>
    <row r="41" customFormat="false" ht="15" hidden="false" customHeight="false" outlineLevel="0" collapsed="false">
      <c r="A41" s="26" t="s">
        <v>670</v>
      </c>
      <c r="B41" s="24"/>
      <c r="C41" s="60" t="n">
        <f aca="false">AN22</f>
        <v>92118.7327943672</v>
      </c>
      <c r="D41" s="60" t="n">
        <f aca="false">AO22</f>
        <v>123756.698074009</v>
      </c>
      <c r="E41" s="60" t="n">
        <f aca="false">AP22</f>
        <v>225434.996389818</v>
      </c>
    </row>
    <row r="42" customFormat="false" ht="15" hidden="false" customHeight="false" outlineLevel="0" collapsed="false">
      <c r="A42" s="26" t="s">
        <v>671</v>
      </c>
      <c r="B42" s="24"/>
      <c r="C42" s="60" t="n">
        <f aca="false">AN23</f>
        <v>5775</v>
      </c>
      <c r="D42" s="60" t="n">
        <f aca="false">AO23</f>
        <v>4370.52</v>
      </c>
      <c r="E42" s="60" t="n">
        <f aca="false">AP23</f>
        <v>3191.6808</v>
      </c>
    </row>
    <row r="43" customFormat="false" ht="15" hidden="false" customHeight="false" outlineLevel="0" collapsed="false">
      <c r="A43" s="26" t="s">
        <v>672</v>
      </c>
      <c r="B43" s="24"/>
      <c r="C43" s="60" t="n">
        <f aca="false">AN24</f>
        <v>53292.0595269231</v>
      </c>
      <c r="D43" s="60" t="n">
        <f aca="false">AO24</f>
        <v>98817.5158586165</v>
      </c>
      <c r="E43" s="60" t="n">
        <f aca="false">AP24</f>
        <v>204189.394995864</v>
      </c>
    </row>
    <row r="44" customFormat="false" ht="15" hidden="false" customHeight="false" outlineLevel="0" collapsed="false">
      <c r="A44" s="26" t="s">
        <v>674</v>
      </c>
      <c r="B44" s="24"/>
      <c r="C44" s="60" t="n">
        <f aca="false">AN25</f>
        <v>0</v>
      </c>
      <c r="D44" s="60" t="n">
        <f aca="false">AO25</f>
        <v>82410.6329694403</v>
      </c>
      <c r="E44" s="60" t="n">
        <f aca="false">AP25</f>
        <v>324176.839285605</v>
      </c>
    </row>
    <row r="45" customFormat="false" ht="15" hidden="false" customHeight="false" outlineLevel="0" collapsed="false">
      <c r="A45" s="53" t="s">
        <v>675</v>
      </c>
      <c r="B45" s="54"/>
      <c r="C45" s="61" t="n">
        <f aca="false">AN26</f>
        <v>-346825.377538984</v>
      </c>
      <c r="D45" s="61" t="n">
        <f aca="false">AO26</f>
        <v>407925.036455137</v>
      </c>
      <c r="E45" s="61" t="n">
        <f aca="false">AP26</f>
        <v>1400224.55749975</v>
      </c>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N45" s="62"/>
      <c r="AO45" s="62"/>
      <c r="AP45" s="62"/>
    </row>
    <row r="46" customFormat="false" ht="15" hidden="false" customHeight="false" outlineLevel="0" collapsed="false">
      <c r="A46" s="53" t="s">
        <v>678</v>
      </c>
      <c r="B46" s="54"/>
      <c r="C46" s="61" t="n">
        <f aca="false">AN28</f>
        <v>-183020</v>
      </c>
      <c r="D46" s="61" t="n">
        <f aca="false">AO28</f>
        <v>-16660</v>
      </c>
      <c r="E46" s="61" t="n">
        <f aca="false">AP28</f>
        <v>-8160</v>
      </c>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N46" s="62"/>
      <c r="AO46" s="62"/>
      <c r="AP46" s="62"/>
    </row>
    <row r="47" customFormat="false" ht="15" hidden="false" customHeight="false" outlineLevel="0" collapsed="false">
      <c r="A47" s="53" t="s">
        <v>681</v>
      </c>
      <c r="B47" s="54"/>
      <c r="C47" s="61" t="n">
        <f aca="false">AN30</f>
        <v>600000</v>
      </c>
      <c r="D47" s="61" t="n">
        <f aca="false">AO30</f>
        <v>0</v>
      </c>
      <c r="E47" s="61" t="n">
        <f aca="false">AP30</f>
        <v>0</v>
      </c>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N47" s="62"/>
      <c r="AO47" s="62"/>
      <c r="AP47" s="62"/>
    </row>
    <row r="48" customFormat="false" ht="15" hidden="false" customHeight="false" outlineLevel="0" collapsed="false">
      <c r="A48" s="53" t="s">
        <v>682</v>
      </c>
      <c r="B48" s="54"/>
      <c r="C48" s="61" t="n">
        <f aca="false">AN31</f>
        <v>70154.6224610163</v>
      </c>
      <c r="D48" s="61" t="n">
        <f aca="false">AO31</f>
        <v>391265.036455137</v>
      </c>
      <c r="E48" s="61" t="n">
        <f aca="false">AP31</f>
        <v>1392064.55749975</v>
      </c>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N48" s="62"/>
      <c r="AO48" s="62"/>
      <c r="AP48" s="62"/>
    </row>
    <row r="49" customFormat="false" ht="15" hidden="false" customHeight="false" outlineLevel="0" collapsed="false">
      <c r="A49" s="53" t="s">
        <v>688</v>
      </c>
      <c r="B49" s="54"/>
      <c r="C49" s="61" t="n">
        <f aca="false">N33</f>
        <v>120154.622461016</v>
      </c>
      <c r="D49" s="61" t="n">
        <f aca="false">Z33</f>
        <v>511419.658916153</v>
      </c>
      <c r="E49" s="61" t="n">
        <f aca="false">AL33</f>
        <v>1903484.2164159</v>
      </c>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N49" s="62"/>
      <c r="AO49" s="62"/>
      <c r="AP49" s="62"/>
    </row>
  </sheetData>
  <mergeCells count="2">
    <mergeCell ref="A1:AP1"/>
    <mergeCell ref="A2:A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20"/>
    <col collapsed="false" customWidth="true" hidden="false" outlineLevel="0" max="8" min="3" style="1" width="13"/>
  </cols>
  <sheetData>
    <row r="1" customFormat="false" ht="25.5" hidden="false" customHeight="true" outlineLevel="0" collapsed="false">
      <c r="A1" s="19" t="s">
        <v>689</v>
      </c>
      <c r="B1" s="19"/>
      <c r="C1" s="19"/>
      <c r="D1" s="19"/>
      <c r="E1" s="19"/>
      <c r="F1" s="19"/>
      <c r="G1" s="19"/>
      <c r="H1" s="19"/>
      <c r="I1" s="19"/>
      <c r="J1" s="19"/>
    </row>
    <row r="2" customFormat="false" ht="13.5" hidden="false" customHeight="true" outlineLevel="0" collapsed="false">
      <c r="A2" s="20" t="s">
        <v>690</v>
      </c>
      <c r="B2" s="20"/>
      <c r="C2" s="20"/>
      <c r="D2" s="20"/>
      <c r="E2" s="20"/>
      <c r="F2" s="20"/>
      <c r="G2" s="20"/>
      <c r="H2" s="20"/>
      <c r="I2" s="20"/>
      <c r="J2" s="20"/>
    </row>
    <row r="3" customFormat="false" ht="3.75" hidden="false" customHeight="true" outlineLevel="0" collapsed="false">
      <c r="A3" s="5"/>
      <c r="B3" s="5"/>
      <c r="C3" s="5"/>
      <c r="D3" s="5"/>
      <c r="E3" s="5"/>
      <c r="F3" s="5"/>
      <c r="G3" s="5"/>
      <c r="H3" s="5"/>
      <c r="I3" s="5"/>
      <c r="J3" s="5"/>
    </row>
    <row r="5" customFormat="false" ht="16.5" hidden="false" customHeight="true" outlineLevel="0" collapsed="false">
      <c r="A5" s="21" t="s">
        <v>691</v>
      </c>
      <c r="B5" s="21"/>
      <c r="C5" s="21"/>
      <c r="D5" s="21"/>
      <c r="E5" s="21"/>
      <c r="F5" s="21"/>
      <c r="G5" s="21"/>
      <c r="H5" s="21"/>
      <c r="I5" s="21"/>
      <c r="J5" s="21"/>
    </row>
    <row r="6" customFormat="false" ht="15" hidden="false" customHeight="false" outlineLevel="0" collapsed="false">
      <c r="A6" s="83" t="s">
        <v>692</v>
      </c>
      <c r="B6" s="22"/>
      <c r="C6" s="84" t="s">
        <v>693</v>
      </c>
      <c r="D6" s="84" t="s">
        <v>694</v>
      </c>
      <c r="E6" s="84" t="s">
        <v>695</v>
      </c>
      <c r="F6" s="84" t="s">
        <v>696</v>
      </c>
      <c r="G6" s="84" t="s">
        <v>697</v>
      </c>
    </row>
    <row r="7" customFormat="false" ht="15" hidden="false" customHeight="false" outlineLevel="0" collapsed="false">
      <c r="A7" s="10" t="s">
        <v>698</v>
      </c>
      <c r="B7" s="24" t="s">
        <v>699</v>
      </c>
      <c r="C7" s="85" t="n">
        <v>1</v>
      </c>
      <c r="D7" s="85" t="n">
        <v>1</v>
      </c>
      <c r="E7" s="85" t="n">
        <v>1</v>
      </c>
      <c r="F7" s="85" t="n">
        <v>1</v>
      </c>
      <c r="G7" s="85" t="n">
        <v>1</v>
      </c>
    </row>
    <row r="8" customFormat="false" ht="15" hidden="false" customHeight="false" outlineLevel="0" collapsed="false">
      <c r="A8" s="26" t="s">
        <v>700</v>
      </c>
      <c r="B8" s="24" t="s">
        <v>701</v>
      </c>
      <c r="C8" s="85" t="n">
        <v>1.2</v>
      </c>
      <c r="D8" s="85" t="n">
        <v>1.03</v>
      </c>
      <c r="E8" s="85" t="n">
        <v>1.06</v>
      </c>
      <c r="F8" s="85" t="n">
        <v>0.92</v>
      </c>
      <c r="G8" s="85" t="n">
        <v>1.1</v>
      </c>
    </row>
    <row r="9" customFormat="false" ht="15" hidden="false" customHeight="false" outlineLevel="0" collapsed="false">
      <c r="A9" s="26" t="s">
        <v>702</v>
      </c>
      <c r="B9" s="24" t="s">
        <v>703</v>
      </c>
      <c r="C9" s="85" t="n">
        <v>0.75</v>
      </c>
      <c r="D9" s="85" t="n">
        <v>0.95</v>
      </c>
      <c r="E9" s="85" t="n">
        <v>1</v>
      </c>
      <c r="F9" s="85" t="n">
        <v>1.2</v>
      </c>
      <c r="G9" s="85" t="n">
        <v>0.85</v>
      </c>
    </row>
    <row r="10" customFormat="false" ht="15" hidden="false" customHeight="false" outlineLevel="0" collapsed="false">
      <c r="A10" s="26" t="s">
        <v>704</v>
      </c>
      <c r="B10" s="24" t="s">
        <v>705</v>
      </c>
      <c r="C10" s="85" t="n">
        <v>0.55</v>
      </c>
      <c r="D10" s="85" t="n">
        <v>0.88</v>
      </c>
      <c r="E10" s="85" t="n">
        <v>0.97</v>
      </c>
      <c r="F10" s="85" t="n">
        <v>1.45</v>
      </c>
      <c r="G10" s="85" t="n">
        <v>0.7</v>
      </c>
    </row>
    <row r="12" customFormat="false" ht="16.5" hidden="false" customHeight="true" outlineLevel="0" collapsed="false">
      <c r="A12" s="21" t="s">
        <v>706</v>
      </c>
      <c r="B12" s="21"/>
      <c r="C12" s="21"/>
      <c r="D12" s="21"/>
      <c r="E12" s="21"/>
      <c r="F12" s="21"/>
      <c r="G12" s="21"/>
      <c r="H12" s="21"/>
      <c r="I12" s="21"/>
      <c r="J12" s="21"/>
    </row>
    <row r="13" customFormat="false" ht="15" hidden="false" customHeight="false" outlineLevel="0" collapsed="false">
      <c r="A13" s="83" t="s">
        <v>692</v>
      </c>
      <c r="B13" s="22"/>
      <c r="C13" s="23" t="s">
        <v>61</v>
      </c>
      <c r="D13" s="23" t="s">
        <v>62</v>
      </c>
      <c r="E13" s="23" t="s">
        <v>63</v>
      </c>
    </row>
    <row r="14" customFormat="false" ht="15" hidden="false" customHeight="false" outlineLevel="0" collapsed="false">
      <c r="A14" s="10" t="s">
        <v>698</v>
      </c>
      <c r="B14" s="24"/>
      <c r="C14" s="25" t="n">
        <f aca="false">Revenue!AN$36*$C$7*$D$7+Revenue!AN$44*$G$7*$D$7</f>
        <v>614990.61183</v>
      </c>
      <c r="D14" s="25" t="n">
        <f aca="false">Revenue!AO$36*$C$7*$D$7+Revenue!AO$44*$G$7*$D$7</f>
        <v>2786041.10049085</v>
      </c>
      <c r="E14" s="25" t="n">
        <f aca="false">Revenue!AP$36*$C$7*$D$7+Revenue!AP$44*$G$7*$D$7</f>
        <v>6112587.95435765</v>
      </c>
    </row>
    <row r="15" customFormat="false" ht="15" hidden="false" customHeight="false" outlineLevel="0" collapsed="false">
      <c r="A15" s="26" t="s">
        <v>700</v>
      </c>
      <c r="B15" s="24"/>
      <c r="C15" s="60" t="n">
        <f aca="false">Revenue!AN$36*$C$8*$D$8+Revenue!AN$44*$G$8*$D$8</f>
        <v>759109.66320339</v>
      </c>
      <c r="D15" s="60" t="n">
        <f aca="false">Revenue!AO$36*$C$8*$D$8+Revenue!AO$44*$G$8*$D$8</f>
        <v>3436655.98685614</v>
      </c>
      <c r="E15" s="60" t="n">
        <f aca="false">Revenue!AP$36*$C$8*$D$8+Revenue!AP$44*$G$8*$D$8</f>
        <v>7532244.51228722</v>
      </c>
    </row>
    <row r="16" customFormat="false" ht="15" hidden="false" customHeight="false" outlineLevel="0" collapsed="false">
      <c r="A16" s="26" t="s">
        <v>702</v>
      </c>
      <c r="B16" s="24"/>
      <c r="C16" s="60" t="n">
        <f aca="false">Revenue!AN$36*$C$9*$D$9+Revenue!AN$44*$G$9*$D$9</f>
        <v>439120.419052725</v>
      </c>
      <c r="D16" s="60" t="n">
        <f aca="false">Revenue!AO$36*$C$9*$D$9+Revenue!AO$44*$G$9*$D$9</f>
        <v>1991409.88864636</v>
      </c>
      <c r="E16" s="60" t="n">
        <f aca="false">Revenue!AP$36*$C$9*$D$9+Revenue!AP$44*$G$9*$D$9</f>
        <v>4376353.3731438</v>
      </c>
    </row>
    <row r="17" customFormat="false" ht="15" hidden="false" customHeight="false" outlineLevel="0" collapsed="false">
      <c r="A17" s="26" t="s">
        <v>704</v>
      </c>
      <c r="B17" s="24"/>
      <c r="C17" s="60" t="n">
        <f aca="false">Revenue!AN$36*$C$10*$D$10+Revenue!AN$44*$G$10*$D$10</f>
        <v>298961.01688728</v>
      </c>
      <c r="D17" s="60" t="n">
        <f aca="false">Revenue!AO$36*$C$10*$D$10+Revenue!AO$44*$G$10*$D$10</f>
        <v>1357274.83790236</v>
      </c>
      <c r="E17" s="60" t="n">
        <f aca="false">Revenue!AP$36*$C$10*$D$10+Revenue!AP$44*$G$10*$D$10</f>
        <v>2987858.33988431</v>
      </c>
    </row>
    <row r="19" customFormat="false" ht="16.5" hidden="false" customHeight="true" outlineLevel="0" collapsed="false">
      <c r="A19" s="21" t="s">
        <v>707</v>
      </c>
      <c r="B19" s="21"/>
      <c r="C19" s="21"/>
      <c r="D19" s="21"/>
      <c r="E19" s="21"/>
      <c r="F19" s="21"/>
      <c r="G19" s="21"/>
      <c r="H19" s="21"/>
      <c r="I19" s="21"/>
      <c r="J19" s="21"/>
    </row>
    <row r="20" customFormat="false" ht="15" hidden="false" customHeight="false" outlineLevel="0" collapsed="false">
      <c r="A20" s="83" t="s">
        <v>692</v>
      </c>
      <c r="B20" s="22"/>
      <c r="C20" s="23" t="s">
        <v>61</v>
      </c>
      <c r="D20" s="23" t="s">
        <v>62</v>
      </c>
      <c r="E20" s="23" t="s">
        <v>63</v>
      </c>
    </row>
    <row r="21" customFormat="false" ht="15" hidden="false" customHeight="false" outlineLevel="0" collapsed="false">
      <c r="A21" s="10" t="s">
        <v>698</v>
      </c>
      <c r="B21" s="24"/>
      <c r="C21" s="25" t="n">
        <f aca="false">(Revenue!AN$36*$C$7*$D$7+Revenue!AN$44*$G$7*$D$7)-Expenses!AN$21*$C$7-Expenses!AN$42*$E$7</f>
        <v>-163865.333352736</v>
      </c>
      <c r="D21" s="25" t="n">
        <f aca="false">(Revenue!AO$36*$C$7*$D$7+Revenue!AO$44*$G$7*$D$7)-Expenses!AO$21*$C$7-Expenses!AO$42*$E$7</f>
        <v>641579.382661359</v>
      </c>
      <c r="E21" s="25" t="n">
        <f aca="false">(Revenue!AP$36*$C$7*$D$7+Revenue!AP$44*$G$7*$D$7)-Expenses!AP$21*$C$7-Expenses!AP$42*$E$7</f>
        <v>1869599.30724464</v>
      </c>
    </row>
    <row r="22" customFormat="false" ht="15" hidden="false" customHeight="false" outlineLevel="0" collapsed="false">
      <c r="A22" s="26" t="s">
        <v>700</v>
      </c>
      <c r="B22" s="24"/>
      <c r="C22" s="60" t="n">
        <f aca="false">(Revenue!AN$36*$C$8*$D$8+Revenue!AN$44*$G$8*$D$8)-Expenses!AN$21*$C$8-Expenses!AN$42*$E$8</f>
        <v>-98142.254073916</v>
      </c>
      <c r="D22" s="60" t="n">
        <f aca="false">(Revenue!AO$36*$C$8*$D$8+Revenue!AO$44*$G$8*$D$8)-Expenses!AO$21*$C$8-Expenses!AO$42*$E$8</f>
        <v>1033362.39184815</v>
      </c>
      <c r="E22" s="60" t="n">
        <f aca="false">(Revenue!AP$36*$C$8*$D$8+Revenue!AP$44*$G$8*$D$8)-Expenses!AP$21*$C$8-Expenses!AP$42*$E$8</f>
        <v>2745047.85839569</v>
      </c>
    </row>
    <row r="23" customFormat="false" ht="15" hidden="false" customHeight="false" outlineLevel="0" collapsed="false">
      <c r="A23" s="26" t="s">
        <v>702</v>
      </c>
      <c r="B23" s="24"/>
      <c r="C23" s="60" t="n">
        <f aca="false">(Revenue!AN$36*$C$9*$D$9+Revenue!AN$44*$G$9*$D$9)-Expenses!AN$21*$C$9-Expenses!AN$42*$E$9</f>
        <v>-283191.570087857</v>
      </c>
      <c r="D23" s="60" t="n">
        <f aca="false">(Revenue!AO$36*$C$9*$D$9+Revenue!AO$44*$G$9*$D$9)-Expenses!AO$21*$C$9-Expenses!AO$42*$E$9</f>
        <v>79384.1960110162</v>
      </c>
      <c r="E23" s="60" t="n">
        <f aca="false">(Revenue!AP$36*$C$9*$D$9+Revenue!AP$44*$G$9*$D$9)-Expenses!AP$21*$C$9-Expenses!AP$42*$E$9</f>
        <v>650558.811658911</v>
      </c>
    </row>
    <row r="24" customFormat="false" ht="15" hidden="false" customHeight="false" outlineLevel="0" collapsed="false">
      <c r="A24" s="26" t="s">
        <v>704</v>
      </c>
      <c r="B24" s="24"/>
      <c r="C24" s="60" t="n">
        <f aca="false">(Revenue!AN$36*$C$10*$D$10+Revenue!AN$44*$G$10*$D$10)-Expenses!AN$21*$C$10-Expenses!AN$42*$E$10</f>
        <v>-361535.403789155</v>
      </c>
      <c r="D24" s="60" t="n">
        <f aca="false">(Revenue!AO$36*$C$10*$D$10+Revenue!AO$44*$G$10*$D$10)-Expenses!AO$21*$C$10-Expenses!AO$42*$E$10</f>
        <v>-332360.506066078</v>
      </c>
      <c r="E24" s="60" t="n">
        <f aca="false">(Revenue!AP$36*$C$10*$D$10+Revenue!AP$44*$G$10*$D$10)-Expenses!AP$21*$C$10-Expenses!AP$42*$E$10</f>
        <v>-258954.58396007</v>
      </c>
    </row>
    <row r="26" customFormat="false" ht="16.5" hidden="false" customHeight="true" outlineLevel="0" collapsed="false">
      <c r="A26" s="21" t="s">
        <v>708</v>
      </c>
      <c r="B26" s="21"/>
      <c r="C26" s="21"/>
      <c r="D26" s="21"/>
      <c r="E26" s="21"/>
      <c r="F26" s="21"/>
      <c r="G26" s="21"/>
      <c r="H26" s="21"/>
      <c r="I26" s="21"/>
      <c r="J26" s="21"/>
    </row>
    <row r="27" customFormat="false" ht="19.4" hidden="false" customHeight="false" outlineLevel="0" collapsed="false">
      <c r="A27" s="83" t="s">
        <v>692</v>
      </c>
      <c r="B27" s="22"/>
      <c r="C27" s="84" t="s">
        <v>61</v>
      </c>
      <c r="D27" s="84" t="s">
        <v>62</v>
      </c>
      <c r="E27" s="84" t="s">
        <v>63</v>
      </c>
      <c r="F27" s="84" t="s">
        <v>709</v>
      </c>
      <c r="G27" s="84" t="s">
        <v>710</v>
      </c>
    </row>
    <row r="28" customFormat="false" ht="15" hidden="false" customHeight="false" outlineLevel="0" collapsed="false">
      <c r="A28" s="10" t="s">
        <v>698</v>
      </c>
      <c r="B28" s="24"/>
      <c r="C28" s="25" t="n">
        <f aca="false">Assumptions!$C$140+Assumptions!$C$141+C21-Capex!AN$18-(Cash_Flow!N$13)*($F$7-1)+Cash_Flow!AN$22+Cash_Flow!AN$24</f>
        <v>448525.458968555</v>
      </c>
      <c r="D28" s="25" t="n">
        <f aca="false">C28+D21-Capex!AO$18-(Cash_Flow!Z$13)*($F$7-1)+Cash_Flow!AO$22+Cash_Flow!AO$24</f>
        <v>1296019.05556254</v>
      </c>
      <c r="E28" s="25" t="n">
        <f aca="false">D28+E21-Capex!AP$18-(Cash_Flow!AL$13)*($F$7-1)+Cash_Flow!AP$22+Cash_Flow!AP$24</f>
        <v>3587082.75419286</v>
      </c>
      <c r="F28" s="25" t="n">
        <f aca="false">MIN(C28:E28)</f>
        <v>448525.458968555</v>
      </c>
      <c r="G28" s="30" t="n">
        <f aca="false">MAX(0,Assumptions!$C$143-F28)</f>
        <v>0</v>
      </c>
    </row>
    <row r="29" customFormat="false" ht="15" hidden="false" customHeight="false" outlineLevel="0" collapsed="false">
      <c r="A29" s="26" t="s">
        <v>700</v>
      </c>
      <c r="B29" s="24"/>
      <c r="C29" s="60" t="n">
        <f aca="false">Assumptions!$C$140+Assumptions!$C$141+C22-Capex!AN$18-(Cash_Flow!N$13)*($F$8-1)+Cash_Flow!AN$22+Cash_Flow!AN$24</f>
        <v>540980.205167977</v>
      </c>
      <c r="D29" s="60" t="n">
        <f aca="false">C29+D22-Capex!AO$18-(Cash_Flow!Z$13)*($F$8-1)+Cash_Flow!AO$22+Cash_Flow!AO$24</f>
        <v>1843836.40428046</v>
      </c>
      <c r="E29" s="60" t="n">
        <f aca="false">D29+E22-Capex!AP$18-(Cash_Flow!AL$13)*($F$8-1)+Cash_Flow!AP$22+Cash_Flow!AP$24</f>
        <v>5139510.66251043</v>
      </c>
      <c r="F29" s="25" t="n">
        <f aca="false">MIN(C29:E29)</f>
        <v>540980.205167977</v>
      </c>
      <c r="G29" s="30" t="n">
        <f aca="false">MAX(0,Assumptions!$C$143-F29)</f>
        <v>0</v>
      </c>
    </row>
    <row r="30" customFormat="false" ht="15" hidden="false" customHeight="false" outlineLevel="0" collapsed="false">
      <c r="A30" s="26" t="s">
        <v>702</v>
      </c>
      <c r="B30" s="24"/>
      <c r="C30" s="60" t="n">
        <f aca="false">Assumptions!$C$140+Assumptions!$C$141+C23-Capex!AN$18-(Cash_Flow!N$13)*($F$9-1)+Cash_Flow!AN$22+Cash_Flow!AN$24</f>
        <v>262370.054931926</v>
      </c>
      <c r="D30" s="60" t="n">
        <f aca="false">C30+D23-Capex!AO$18-(Cash_Flow!Z$13)*($F$9-1)+Cash_Flow!AO$22+Cash_Flow!AO$24</f>
        <v>388719.481546291</v>
      </c>
      <c r="E30" s="60" t="n">
        <f aca="false">D30+E23-Capex!AP$18-(Cash_Flow!AL$13)*($F$9-1)+Cash_Flow!AP$22+Cash_Flow!AP$24</f>
        <v>1137837.66346938</v>
      </c>
      <c r="F30" s="25" t="n">
        <f aca="false">MIN(C30:E30)</f>
        <v>262370.054931926</v>
      </c>
      <c r="G30" s="30" t="n">
        <f aca="false">MAX(0,Assumptions!$C$143-F30)</f>
        <v>0</v>
      </c>
    </row>
    <row r="31" customFormat="false" ht="15" hidden="false" customHeight="false" outlineLevel="0" collapsed="false">
      <c r="A31" s="26" t="s">
        <v>704</v>
      </c>
      <c r="B31" s="24"/>
      <c r="C31" s="60" t="n">
        <f aca="false">Assumptions!$C$140+Assumptions!$C$141+C24-Capex!AN$18-(Cash_Flow!N$13)*($F$10-1)+Cash_Flow!AN$22+Cash_Flow!AN$24</f>
        <v>100489.762103743</v>
      </c>
      <c r="D31" s="60" t="n">
        <f aca="false">C31+D24-Capex!AO$18-(Cash_Flow!Z$13)*($F$10-1)+Cash_Flow!AO$22+Cash_Flow!AO$24</f>
        <v>-383591.742520583</v>
      </c>
      <c r="E31" s="60" t="n">
        <f aca="false">D31+E24-Capex!AP$18-(Cash_Flow!AL$13)*($F$10-1)+Cash_Flow!AP$22+Cash_Flow!AP$24</f>
        <v>-947618.232618354</v>
      </c>
      <c r="F31" s="25" t="n">
        <f aca="false">MIN(C31:E31)</f>
        <v>-947618.232618354</v>
      </c>
      <c r="G31" s="30" t="n">
        <f aca="false">MAX(0,Assumptions!$C$143-F31)</f>
        <v>1037618.23261835</v>
      </c>
    </row>
    <row r="33" customFormat="false" ht="15" hidden="false" customHeight="true" outlineLevel="0" collapsed="false">
      <c r="A33" s="86" t="s">
        <v>711</v>
      </c>
      <c r="B33" s="86"/>
      <c r="C33" s="86"/>
      <c r="D33" s="86"/>
      <c r="E33" s="86"/>
      <c r="F33" s="86"/>
      <c r="G33" s="86"/>
      <c r="H33" s="86"/>
      <c r="I33" s="86"/>
      <c r="J33" s="86"/>
    </row>
    <row r="34" customFormat="false" ht="15" hidden="false" customHeight="false" outlineLevel="0" collapsed="false">
      <c r="A34" s="86"/>
      <c r="B34" s="86"/>
      <c r="C34" s="86"/>
      <c r="D34" s="86"/>
      <c r="E34" s="86"/>
      <c r="F34" s="86"/>
      <c r="G34" s="86"/>
      <c r="H34" s="86"/>
      <c r="I34" s="86"/>
      <c r="J34" s="86"/>
    </row>
  </sheetData>
  <mergeCells count="3">
    <mergeCell ref="A1:J1"/>
    <mergeCell ref="A2:J2"/>
    <mergeCell ref="A33:J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32"/>
    <col collapsed="false" customWidth="true" hidden="false" outlineLevel="0" max="6" min="3" style="1" width="15"/>
  </cols>
  <sheetData>
    <row r="1" customFormat="false" ht="25.5" hidden="false" customHeight="true" outlineLevel="0" collapsed="false">
      <c r="A1" s="19" t="s">
        <v>712</v>
      </c>
      <c r="B1" s="19"/>
      <c r="C1" s="19"/>
      <c r="D1" s="19"/>
      <c r="E1" s="19"/>
      <c r="F1" s="19"/>
      <c r="G1" s="19"/>
      <c r="H1" s="19"/>
    </row>
    <row r="2" customFormat="false" ht="13.5" hidden="false" customHeight="true" outlineLevel="0" collapsed="false">
      <c r="A2" s="20" t="s">
        <v>713</v>
      </c>
      <c r="B2" s="20"/>
      <c r="C2" s="20"/>
      <c r="D2" s="20"/>
      <c r="E2" s="20"/>
      <c r="F2" s="20"/>
      <c r="G2" s="20"/>
      <c r="H2" s="20"/>
    </row>
    <row r="3" customFormat="false" ht="3.75" hidden="false" customHeight="true" outlineLevel="0" collapsed="false">
      <c r="A3" s="5"/>
      <c r="B3" s="5"/>
      <c r="C3" s="5"/>
      <c r="D3" s="5"/>
      <c r="E3" s="5"/>
      <c r="F3" s="5"/>
      <c r="G3" s="5"/>
      <c r="H3" s="5"/>
    </row>
    <row r="5" customFormat="false" ht="16.5" hidden="false" customHeight="true" outlineLevel="0" collapsed="false">
      <c r="A5" s="21" t="s">
        <v>714</v>
      </c>
      <c r="B5" s="21"/>
      <c r="C5" s="21"/>
      <c r="D5" s="21"/>
      <c r="E5" s="21"/>
      <c r="F5" s="21"/>
      <c r="G5" s="21"/>
      <c r="H5" s="21"/>
    </row>
    <row r="6" customFormat="false" ht="15" hidden="false" customHeight="false" outlineLevel="0" collapsed="false">
      <c r="A6" s="22"/>
      <c r="B6" s="22"/>
      <c r="C6" s="23" t="s">
        <v>61</v>
      </c>
      <c r="D6" s="23" t="s">
        <v>62</v>
      </c>
      <c r="E6" s="23" t="s">
        <v>63</v>
      </c>
    </row>
    <row r="7" customFormat="false" ht="15" hidden="false" customHeight="false" outlineLevel="0" collapsed="false">
      <c r="A7" s="10" t="s">
        <v>64</v>
      </c>
      <c r="B7" s="24"/>
      <c r="C7" s="29" t="n">
        <f aca="false">Income_Statement!$C$9</f>
        <v>614990.61183</v>
      </c>
      <c r="D7" s="29" t="n">
        <f aca="false">Income_Statement!$D$9</f>
        <v>2786041.10049085</v>
      </c>
      <c r="E7" s="29" t="n">
        <f aca="false">Income_Statement!$E$9</f>
        <v>6112587.95435765</v>
      </c>
    </row>
    <row r="8" customFormat="false" ht="15" hidden="false" customHeight="false" outlineLevel="0" collapsed="false">
      <c r="A8" s="26" t="s">
        <v>715</v>
      </c>
      <c r="B8" s="24" t="s">
        <v>716</v>
      </c>
      <c r="C8" s="87" t="s">
        <v>717</v>
      </c>
      <c r="D8" s="87" t="n">
        <f aca="false">IFERROR(D7/C7-1,0)</f>
        <v>3.53021728608272</v>
      </c>
      <c r="E8" s="87" t="n">
        <f aca="false">IFERROR(E7/D7-1,0)</f>
        <v>1.19400494604359</v>
      </c>
    </row>
    <row r="9" customFormat="false" ht="15" hidden="false" customHeight="false" outlineLevel="0" collapsed="false">
      <c r="A9" s="26" t="s">
        <v>533</v>
      </c>
      <c r="B9" s="24" t="s">
        <v>617</v>
      </c>
      <c r="C9" s="87" t="n">
        <f aca="false">IFERROR(Revenue!AN$36/Revenue!AN$49,0)</f>
        <v>0.983917458836373</v>
      </c>
      <c r="D9" s="87" t="n">
        <f aca="false">IFERROR(Revenue!AO$36/Revenue!AO$49,0)</f>
        <v>0.975987037492353</v>
      </c>
      <c r="E9" s="87" t="n">
        <f aca="false">IFERROR(Revenue!AP$36/Revenue!AP$49,0)</f>
        <v>0.963604948342861</v>
      </c>
    </row>
    <row r="10" customFormat="false" ht="15" hidden="false" customHeight="false" outlineLevel="0" collapsed="false">
      <c r="A10" s="26" t="s">
        <v>718</v>
      </c>
      <c r="B10" s="24" t="s">
        <v>719</v>
      </c>
      <c r="C10" s="88" t="n">
        <f aca="false">Revenue!AN$21</f>
        <v>49</v>
      </c>
      <c r="D10" s="88" t="n">
        <f aca="false">Revenue!AO$21</f>
        <v>157</v>
      </c>
      <c r="E10" s="88" t="n">
        <f aca="false">Revenue!AP$21</f>
        <v>288</v>
      </c>
    </row>
    <row r="11" customFormat="false" ht="15" hidden="false" customHeight="false" outlineLevel="0" collapsed="false">
      <c r="A11" s="26" t="s">
        <v>71</v>
      </c>
      <c r="B11" s="24" t="s">
        <v>720</v>
      </c>
      <c r="C11" s="88" t="n">
        <f aca="false">Acquisition!AN$79</f>
        <v>27014.1098901099</v>
      </c>
      <c r="D11" s="88" t="n">
        <f aca="false">Acquisition!AO$79</f>
        <v>83235.956043956</v>
      </c>
      <c r="E11" s="88" t="n">
        <f aca="false">Acquisition!AP$79</f>
        <v>179961.340659341</v>
      </c>
    </row>
    <row r="12" customFormat="false" ht="15" hidden="false" customHeight="false" outlineLevel="0" collapsed="false">
      <c r="A12" s="26" t="s">
        <v>497</v>
      </c>
      <c r="B12" s="24" t="s">
        <v>721</v>
      </c>
      <c r="C12" s="88" t="n">
        <f aca="false">Acquisition!N$84</f>
        <v>217.098098825207</v>
      </c>
      <c r="D12" s="88" t="n">
        <f aca="false">Acquisition!Z$84</f>
        <v>1131.20179647255</v>
      </c>
      <c r="E12" s="88" t="n">
        <f aca="false">Acquisition!AL$84</f>
        <v>3611.40161989675</v>
      </c>
    </row>
    <row r="13" customFormat="false" ht="15" hidden="false" customHeight="false" outlineLevel="0" collapsed="false">
      <c r="A13" s="26" t="s">
        <v>722</v>
      </c>
      <c r="B13" s="24" t="s">
        <v>721</v>
      </c>
      <c r="C13" s="88" t="n">
        <f aca="false">HR_Model!N$72</f>
        <v>6</v>
      </c>
      <c r="D13" s="88" t="n">
        <f aca="false">HR_Model!Z$72</f>
        <v>9</v>
      </c>
      <c r="E13" s="88" t="n">
        <f aca="false">HR_Model!AL$72</f>
        <v>12</v>
      </c>
    </row>
    <row r="14" customFormat="false" ht="15" hidden="false" customHeight="false" outlineLevel="0" collapsed="false">
      <c r="A14" s="26" t="s">
        <v>723</v>
      </c>
      <c r="B14" s="24"/>
      <c r="C14" s="60" t="n">
        <f aca="false">IFERROR(C7/C13,0)</f>
        <v>102498.435305</v>
      </c>
      <c r="D14" s="60" t="n">
        <f aca="false">IFERROR(D7/D13,0)</f>
        <v>309560.122276761</v>
      </c>
      <c r="E14" s="60" t="n">
        <f aca="false">IFERROR(E7/E13,0)</f>
        <v>509382.329529804</v>
      </c>
    </row>
    <row r="15" customFormat="false" ht="15" hidden="false" customHeight="false" outlineLevel="0" collapsed="false">
      <c r="A15" s="26" t="s">
        <v>724</v>
      </c>
      <c r="B15" s="24" t="s">
        <v>725</v>
      </c>
      <c r="C15" s="88" t="n">
        <f aca="false">IFERROR(C11/C13,0)</f>
        <v>4502.35164835165</v>
      </c>
      <c r="D15" s="88" t="n">
        <f aca="false">IFERROR(D11/D13,0)</f>
        <v>9248.43956043956</v>
      </c>
      <c r="E15" s="88" t="n">
        <f aca="false">IFERROR(E11/E13,0)</f>
        <v>14996.7783882784</v>
      </c>
    </row>
    <row r="17" customFormat="false" ht="16.5" hidden="false" customHeight="true" outlineLevel="0" collapsed="false">
      <c r="A17" s="21" t="s">
        <v>726</v>
      </c>
      <c r="B17" s="21"/>
      <c r="C17" s="21"/>
      <c r="D17" s="21"/>
      <c r="E17" s="21"/>
      <c r="F17" s="21"/>
      <c r="G17" s="21"/>
      <c r="H17" s="21"/>
    </row>
    <row r="18" customFormat="false" ht="15" hidden="false" customHeight="false" outlineLevel="0" collapsed="false">
      <c r="A18" s="22"/>
      <c r="B18" s="22"/>
      <c r="C18" s="23" t="s">
        <v>61</v>
      </c>
      <c r="D18" s="23" t="s">
        <v>62</v>
      </c>
      <c r="E18" s="23" t="s">
        <v>63</v>
      </c>
    </row>
    <row r="19" customFormat="false" ht="15" hidden="false" customHeight="false" outlineLevel="0" collapsed="false">
      <c r="A19" s="26" t="s">
        <v>65</v>
      </c>
      <c r="B19" s="24"/>
      <c r="C19" s="27" t="n">
        <f aca="false">Income_Statement!$C$11</f>
        <v>388814.787661384</v>
      </c>
      <c r="D19" s="27" t="n">
        <f aca="false">Income_Statement!$D$11</f>
        <v>1856296.99971427</v>
      </c>
      <c r="E19" s="27" t="n">
        <f aca="false">Income_Statement!$E$11</f>
        <v>4043811.61184519</v>
      </c>
    </row>
    <row r="20" customFormat="false" ht="15" hidden="false" customHeight="false" outlineLevel="0" collapsed="false">
      <c r="A20" s="10" t="s">
        <v>558</v>
      </c>
      <c r="B20" s="24"/>
      <c r="C20" s="89" t="n">
        <f aca="false">IFERROR(C19/C7,0)</f>
        <v>0.63222881810245</v>
      </c>
      <c r="D20" s="89" t="n">
        <f aca="false">IFERROR(D19/D7,0)</f>
        <v>0.666284858248222</v>
      </c>
      <c r="E20" s="89" t="n">
        <f aca="false">IFERROR(E19/E7,0)</f>
        <v>0.661554752592535</v>
      </c>
    </row>
    <row r="21" customFormat="false" ht="15" hidden="false" customHeight="false" outlineLevel="0" collapsed="false">
      <c r="A21" s="26" t="s">
        <v>66</v>
      </c>
      <c r="B21" s="24"/>
      <c r="C21" s="27" t="n">
        <f aca="false">Income_Statement!$C$13</f>
        <v>-163865.333352736</v>
      </c>
      <c r="D21" s="27" t="n">
        <f aca="false">Income_Statement!$D$13</f>
        <v>641579.382661359</v>
      </c>
      <c r="E21" s="27" t="n">
        <f aca="false">Income_Statement!$E$13</f>
        <v>1869599.30724464</v>
      </c>
    </row>
    <row r="22" customFormat="false" ht="15" hidden="false" customHeight="false" outlineLevel="0" collapsed="false">
      <c r="A22" s="10" t="s">
        <v>727</v>
      </c>
      <c r="B22" s="24"/>
      <c r="C22" s="89" t="n">
        <f aca="false">IFERROR(C21/C7,0)</f>
        <v>-0.266451763979175</v>
      </c>
      <c r="D22" s="89" t="n">
        <f aca="false">IFERROR(D21/D7,0)</f>
        <v>0.230283531189947</v>
      </c>
      <c r="E22" s="89" t="n">
        <f aca="false">IFERROR(E21/E7,0)</f>
        <v>0.30586051623385</v>
      </c>
    </row>
    <row r="23" customFormat="false" ht="15" hidden="false" customHeight="false" outlineLevel="0" collapsed="false">
      <c r="A23" s="26" t="s">
        <v>67</v>
      </c>
      <c r="B23" s="24"/>
      <c r="C23" s="27" t="n">
        <f aca="false">Income_Statement!$C$22</f>
        <v>-215248.861130513</v>
      </c>
      <c r="D23" s="27" t="n">
        <f aca="false">Income_Statement!$D$22</f>
        <v>499107.708025252</v>
      </c>
      <c r="E23" s="27" t="n">
        <f aca="false">Income_Statement!$E$22</f>
        <v>1400467.9599896</v>
      </c>
    </row>
    <row r="24" customFormat="false" ht="15" hidden="false" customHeight="false" outlineLevel="0" collapsed="false">
      <c r="A24" s="10" t="s">
        <v>728</v>
      </c>
      <c r="B24" s="24"/>
      <c r="C24" s="89" t="n">
        <f aca="false">IFERROR(C23/C7,0)</f>
        <v>-0.350003491093965</v>
      </c>
      <c r="D24" s="89" t="n">
        <f aca="false">IFERROR(D23/D7,0)</f>
        <v>0.179145852492025</v>
      </c>
      <c r="E24" s="89" t="n">
        <f aca="false">IFERROR(E23/E7,0)</f>
        <v>0.229112115923209</v>
      </c>
    </row>
    <row r="26" customFormat="false" ht="16.5" hidden="false" customHeight="true" outlineLevel="0" collapsed="false">
      <c r="A26" s="21" t="s">
        <v>729</v>
      </c>
      <c r="B26" s="21"/>
      <c r="C26" s="21"/>
      <c r="D26" s="21"/>
      <c r="E26" s="21"/>
      <c r="F26" s="21"/>
      <c r="G26" s="21"/>
      <c r="H26" s="21"/>
    </row>
    <row r="27" customFormat="false" ht="15" hidden="false" customHeight="false" outlineLevel="0" collapsed="false">
      <c r="A27" s="22"/>
      <c r="B27" s="22"/>
      <c r="C27" s="23" t="s">
        <v>61</v>
      </c>
      <c r="D27" s="23" t="s">
        <v>62</v>
      </c>
      <c r="E27" s="23" t="s">
        <v>63</v>
      </c>
    </row>
    <row r="28" customFormat="false" ht="15" hidden="false" customHeight="false" outlineLevel="0" collapsed="false">
      <c r="A28" s="26" t="s">
        <v>479</v>
      </c>
      <c r="B28" s="24" t="s">
        <v>480</v>
      </c>
      <c r="C28" s="60" t="n">
        <f aca="false">IFERROR((Acquisition!AN$31+Acquisition!AN$55*Assumptions!$C$83)/Acquisition!AN$66,0)</f>
        <v>2442.48080248643</v>
      </c>
      <c r="D28" s="60" t="n">
        <f aca="false">IFERROR((Acquisition!AO$31+Acquisition!AO$55*Assumptions!$C$83)/Acquisition!AO$66,0)</f>
        <v>1890.98047927424</v>
      </c>
      <c r="E28" s="60" t="n">
        <f aca="false">IFERROR((Acquisition!AP$31+Acquisition!AP$55*Assumptions!$C$83)/Acquisition!AP$66,0)</f>
        <v>1501.29293820065</v>
      </c>
    </row>
    <row r="29" customFormat="false" ht="15" hidden="false" customHeight="false" outlineLevel="0" collapsed="false">
      <c r="A29" s="26" t="s">
        <v>730</v>
      </c>
      <c r="B29" s="24" t="s">
        <v>731</v>
      </c>
      <c r="C29" s="60" t="n">
        <f aca="false">IFERROR(Revenue!AN$36/Acquisition!AN$66,0)</f>
        <v>18142.7553163995</v>
      </c>
      <c r="D29" s="60" t="n">
        <f aca="false">IFERROR(Revenue!AO$36/Acquisition!AO$66,0)</f>
        <v>26767.8726660094</v>
      </c>
      <c r="E29" s="60" t="n">
        <f aca="false">IFERROR(Revenue!AP$36/Acquisition!AP$66,0)</f>
        <v>25705.0538099312</v>
      </c>
    </row>
    <row r="30" customFormat="false" ht="15" hidden="false" customHeight="false" outlineLevel="0" collapsed="false">
      <c r="A30" s="10" t="s">
        <v>732</v>
      </c>
      <c r="B30" s="24" t="s">
        <v>733</v>
      </c>
      <c r="C30" s="90" t="n">
        <f aca="false">IFERROR(C29*IFERROR(C19/C7,0)*2.8/C28,0)</f>
        <v>13.1493535873735</v>
      </c>
      <c r="D30" s="90" t="n">
        <f aca="false">IFERROR(D29*IFERROR(D19/D7,0)*2.8/D28,0)</f>
        <v>26.4085640401885</v>
      </c>
      <c r="E30" s="90" t="n">
        <f aca="false">IFERROR(E29*IFERROR(E19/E7,0)*2.8/E28,0)</f>
        <v>31.7158898350425</v>
      </c>
    </row>
    <row r="31" customFormat="false" ht="15" hidden="false" customHeight="false" outlineLevel="0" collapsed="false">
      <c r="A31" s="26" t="s">
        <v>499</v>
      </c>
      <c r="B31" s="24" t="s">
        <v>734</v>
      </c>
      <c r="C31" s="91" t="n">
        <f aca="false">IFERROR(Acquisition!AN$55*(1-Assumptions!$C$83)/Acquisition!AN$83,0)</f>
        <v>159.571897294015</v>
      </c>
      <c r="D31" s="91" t="n">
        <f aca="false">IFERROR(Acquisition!AO$55*(1-Assumptions!$C$83)/Acquisition!AO$83,0)</f>
        <v>73.186102594165</v>
      </c>
      <c r="E31" s="91" t="n">
        <f aca="false">IFERROR(Acquisition!AP$55*(1-Assumptions!$C$83)/Acquisition!AP$83,0)</f>
        <v>47.87527761616</v>
      </c>
    </row>
    <row r="32" customFormat="false" ht="15" hidden="false" customHeight="false" outlineLevel="0" collapsed="false">
      <c r="A32" s="26" t="s">
        <v>735</v>
      </c>
      <c r="B32" s="24" t="s">
        <v>736</v>
      </c>
      <c r="C32" s="91" t="n">
        <f aca="false">IFERROR(Revenue!AN$42/12*IFERROR(C19/C7,0)/Assumptions!$C$48,0)</f>
        <v>104.200675576145</v>
      </c>
      <c r="D32" s="91" t="n">
        <f aca="false">IFERROR(Revenue!AO$42/12*IFERROR(D19/D7,0)/Assumptions!$C$48,0)</f>
        <v>109.813615526096</v>
      </c>
      <c r="E32" s="91" t="n">
        <f aca="false">IFERROR(Revenue!AP$42/12*IFERROR(E19/E7,0)/Assumptions!$C$48,0)</f>
        <v>109.034024038399</v>
      </c>
    </row>
    <row r="33" customFormat="false" ht="15" hidden="false" customHeight="false" outlineLevel="0" collapsed="false">
      <c r="A33" s="10" t="s">
        <v>737</v>
      </c>
      <c r="B33" s="24"/>
      <c r="C33" s="90" t="n">
        <f aca="false">IFERROR(C32/C31,0)</f>
        <v>0.653001420319972</v>
      </c>
      <c r="D33" s="90" t="n">
        <f aca="false">IFERROR(D32/D31,0)</f>
        <v>1.50047087675975</v>
      </c>
      <c r="E33" s="90" t="n">
        <f aca="false">IFERROR(E32/E31,0)</f>
        <v>2.27745988049573</v>
      </c>
    </row>
    <row r="34" customFormat="false" ht="15" hidden="false" customHeight="false" outlineLevel="0" collapsed="false">
      <c r="A34" s="26" t="s">
        <v>738</v>
      </c>
      <c r="B34" s="24" t="s">
        <v>739</v>
      </c>
      <c r="C34" s="87" t="n">
        <f aca="false">IFERROR(Acquisition!AN$80/Acquisition!AN$79,0)</f>
        <v>0.42</v>
      </c>
      <c r="D34" s="87" t="n">
        <f aca="false">IFERROR(Acquisition!AO$80/Acquisition!AO$79,0)</f>
        <v>0.46</v>
      </c>
      <c r="E34" s="87" t="n">
        <f aca="false">IFERROR(Acquisition!AP$80/Acquisition!AP$79,0)</f>
        <v>0.5</v>
      </c>
    </row>
    <row r="35" customFormat="false" ht="15" hidden="false" customHeight="false" outlineLevel="0" collapsed="false">
      <c r="A35" s="10" t="s">
        <v>740</v>
      </c>
      <c r="B35" s="24" t="s">
        <v>741</v>
      </c>
      <c r="C35" s="90" t="n">
        <f aca="false">IFERROR(Acquisition!AN$66/(Revenue!AN$7+Revenue!AN$8+Revenue!AN$10+Revenue!AN$11+Revenue!AN$12+Revenue!AN$13+Revenue!AN$15+Revenue!AN$16+Revenue!AN$17+Revenue!AN$18),0)</f>
        <v>0.667043113846154</v>
      </c>
      <c r="D35" s="90" t="n">
        <f aca="false">IFERROR(Acquisition!AO$66/(Revenue!AO$7+Revenue!AO$8+Revenue!AO$10+Revenue!AO$11+Revenue!AO$12+Revenue!AO$13+Revenue!AO$15+Revenue!AO$16+Revenue!AO$17+Revenue!AO$18),0)</f>
        <v>0.515645800059352</v>
      </c>
      <c r="E35" s="90" t="n">
        <f aca="false">IFERROR(Acquisition!AP$66/(Revenue!AP$7+Revenue!AP$8+Revenue!AP$10+Revenue!AP$11+Revenue!AP$12+Revenue!AP$13+Revenue!AP$15+Revenue!AP$16+Revenue!AP$17+Revenue!AP$18),0)</f>
        <v>0.60780500958988</v>
      </c>
    </row>
    <row r="37" customFormat="false" ht="16.5" hidden="false" customHeight="true" outlineLevel="0" collapsed="false">
      <c r="A37" s="21" t="s">
        <v>742</v>
      </c>
      <c r="B37" s="21"/>
      <c r="C37" s="21"/>
      <c r="D37" s="21"/>
      <c r="E37" s="21"/>
      <c r="F37" s="21"/>
      <c r="G37" s="21"/>
      <c r="H37" s="21"/>
    </row>
    <row r="38" customFormat="false" ht="15" hidden="false" customHeight="false" outlineLevel="0" collapsed="false">
      <c r="A38" s="22"/>
      <c r="B38" s="22"/>
      <c r="C38" s="23" t="s">
        <v>61</v>
      </c>
      <c r="D38" s="23" t="s">
        <v>62</v>
      </c>
      <c r="E38" s="23" t="s">
        <v>63</v>
      </c>
    </row>
    <row r="39" customFormat="false" ht="15" hidden="false" customHeight="false" outlineLevel="0" collapsed="false">
      <c r="A39" s="10" t="s">
        <v>68</v>
      </c>
      <c r="B39" s="24"/>
      <c r="C39" s="29" t="n">
        <f aca="false">Cash_Flow!N$33</f>
        <v>120154.622461016</v>
      </c>
      <c r="D39" s="29" t="n">
        <f aca="false">Cash_Flow!Z$33</f>
        <v>511419.658916153</v>
      </c>
      <c r="E39" s="29" t="n">
        <f aca="false">Cash_Flow!AL$33</f>
        <v>1903484.2164159</v>
      </c>
    </row>
    <row r="40" customFormat="false" ht="15" hidden="false" customHeight="false" outlineLevel="0" collapsed="false">
      <c r="A40" s="26" t="s">
        <v>743</v>
      </c>
      <c r="B40" s="24"/>
      <c r="C40" s="60" t="n">
        <f aca="false">MIN(Cash_Flow!C$33:N$33)</f>
        <v>91108.3224329443</v>
      </c>
      <c r="D40" s="60" t="n">
        <f aca="false">MIN(Cash_Flow!O$33:Z$33)</f>
        <v>113684.966811069</v>
      </c>
      <c r="E40" s="60" t="n">
        <f aca="false">MIN(Cash_Flow!AA$33:AL$33)</f>
        <v>573923.797827378</v>
      </c>
    </row>
    <row r="41" customFormat="false" ht="15" hidden="false" customHeight="false" outlineLevel="0" collapsed="false">
      <c r="A41" s="26" t="s">
        <v>744</v>
      </c>
      <c r="B41" s="24"/>
      <c r="C41" s="60" t="n">
        <f aca="false">Cash_Flow!AN$26</f>
        <v>-346825.377538984</v>
      </c>
      <c r="D41" s="60" t="n">
        <f aca="false">Cash_Flow!AO$26</f>
        <v>407925.036455137</v>
      </c>
      <c r="E41" s="60" t="n">
        <f aca="false">Cash_Flow!AP$26</f>
        <v>1400224.55749975</v>
      </c>
    </row>
    <row r="42" customFormat="false" ht="15" hidden="false" customHeight="false" outlineLevel="0" collapsed="false">
      <c r="A42" s="10" t="s">
        <v>745</v>
      </c>
      <c r="B42" s="24" t="s">
        <v>746</v>
      </c>
      <c r="C42" s="25" t="n">
        <f aca="false">Cash_Flow!AN$26+Cash_Flow!AN$28</f>
        <v>-529845.377538984</v>
      </c>
      <c r="D42" s="25" t="n">
        <f aca="false">Cash_Flow!AO$26+Cash_Flow!AO$28</f>
        <v>391265.036455137</v>
      </c>
      <c r="E42" s="25" t="n">
        <f aca="false">Cash_Flow!AP$26+Cash_Flow!AP$28</f>
        <v>1392064.55749975</v>
      </c>
    </row>
    <row r="43" customFormat="false" ht="15" hidden="false" customHeight="false" outlineLevel="0" collapsed="false">
      <c r="A43" s="26" t="s">
        <v>747</v>
      </c>
      <c r="B43" s="24"/>
      <c r="C43" s="60" t="n">
        <f aca="false">C42/12</f>
        <v>-44153.781461582</v>
      </c>
      <c r="D43" s="60" t="n">
        <f aca="false">D42/12</f>
        <v>32605.4197045948</v>
      </c>
      <c r="E43" s="60" t="n">
        <f aca="false">E42/12</f>
        <v>116005.379791646</v>
      </c>
    </row>
    <row r="44" customFormat="false" ht="15" hidden="false" customHeight="false" outlineLevel="0" collapsed="false">
      <c r="A44" s="26" t="s">
        <v>748</v>
      </c>
      <c r="B44" s="24" t="s">
        <v>749</v>
      </c>
      <c r="C44" s="92" t="n">
        <f aca="false">IF(C42&gt;=0,99,IFERROR(C39/(-C42/12),0))</f>
        <v>2.72127592436363</v>
      </c>
      <c r="D44" s="92" t="n">
        <f aca="false">IF(D42&gt;=0,99,IFERROR(D39/(-D42/12),0))</f>
        <v>99</v>
      </c>
      <c r="E44" s="92" t="n">
        <f aca="false">IF(E42&gt;=0,99,IFERROR(E39/(-E42/12),0))</f>
        <v>99</v>
      </c>
    </row>
    <row r="45" customFormat="false" ht="15" hidden="false" customHeight="false" outlineLevel="0" collapsed="false">
      <c r="A45" s="26" t="s">
        <v>750</v>
      </c>
      <c r="B45" s="24" t="s">
        <v>751</v>
      </c>
      <c r="C45" s="88" t="n">
        <f aca="false">IFERROR(Cash_Flow!N$13/C7*365,0)</f>
        <v>198.317223026106</v>
      </c>
      <c r="D45" s="88" t="n">
        <f aca="false">IFERROR(Cash_Flow!Z$13/D7*365,0)</f>
        <v>104.119747021974</v>
      </c>
      <c r="E45" s="88" t="n">
        <f aca="false">IFERROR(Cash_Flow!AL$13/E7*365,0)</f>
        <v>96.4078828717111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7" min="3" style="1" width="13"/>
  </cols>
  <sheetData>
    <row r="1" customFormat="false" ht="25.5" hidden="false" customHeight="true" outlineLevel="0" collapsed="false">
      <c r="A1" s="19" t="s">
        <v>752</v>
      </c>
      <c r="B1" s="19"/>
      <c r="C1" s="19"/>
      <c r="D1" s="19"/>
      <c r="E1" s="19"/>
      <c r="F1" s="19"/>
      <c r="G1" s="19"/>
      <c r="H1" s="19"/>
      <c r="I1" s="19"/>
    </row>
    <row r="2" customFormat="false" ht="13.5" hidden="false" customHeight="true" outlineLevel="0" collapsed="false">
      <c r="A2" s="20" t="s">
        <v>753</v>
      </c>
      <c r="B2" s="20"/>
      <c r="C2" s="20"/>
      <c r="D2" s="20"/>
      <c r="E2" s="20"/>
      <c r="F2" s="20"/>
      <c r="G2" s="20"/>
      <c r="H2" s="20"/>
      <c r="I2" s="20"/>
    </row>
    <row r="3" customFormat="false" ht="3.75" hidden="false" customHeight="true" outlineLevel="0" collapsed="false">
      <c r="A3" s="5"/>
      <c r="B3" s="5"/>
      <c r="C3" s="5"/>
      <c r="D3" s="5"/>
      <c r="E3" s="5"/>
      <c r="F3" s="5"/>
      <c r="G3" s="5"/>
      <c r="H3" s="5"/>
      <c r="I3" s="5"/>
    </row>
    <row r="5" customFormat="false" ht="16.5" hidden="false" customHeight="true" outlineLevel="0" collapsed="false">
      <c r="A5" s="21" t="s">
        <v>754</v>
      </c>
      <c r="B5" s="21"/>
      <c r="C5" s="21"/>
      <c r="D5" s="21"/>
      <c r="E5" s="21"/>
      <c r="F5" s="21"/>
      <c r="G5" s="21"/>
      <c r="H5" s="21"/>
      <c r="I5" s="21"/>
    </row>
    <row r="6" customFormat="false" ht="15" hidden="false" customHeight="false" outlineLevel="0" collapsed="false">
      <c r="A6" s="32" t="s">
        <v>755</v>
      </c>
      <c r="B6" s="32"/>
      <c r="C6" s="32"/>
      <c r="D6" s="32"/>
      <c r="E6" s="32"/>
      <c r="F6" s="32"/>
      <c r="G6" s="32"/>
      <c r="H6" s="32"/>
      <c r="I6" s="32"/>
    </row>
    <row r="7" customFormat="false" ht="15" hidden="false" customHeight="false" outlineLevel="0" collapsed="false">
      <c r="B7" s="93" t="s">
        <v>756</v>
      </c>
      <c r="C7" s="94" t="n">
        <v>-0.15</v>
      </c>
      <c r="D7" s="94" t="n">
        <v>-0.075</v>
      </c>
      <c r="E7" s="94" t="n">
        <v>0</v>
      </c>
      <c r="F7" s="94" t="n">
        <v>0.075</v>
      </c>
      <c r="G7" s="94" t="n">
        <v>0.15</v>
      </c>
    </row>
    <row r="8" customFormat="false" ht="15" hidden="false" customHeight="false" outlineLevel="0" collapsed="false">
      <c r="A8" s="93" t="s">
        <v>757</v>
      </c>
      <c r="B8" s="95" t="n">
        <v>-0.3</v>
      </c>
      <c r="C8" s="51" t="n">
        <f aca="false">(Revenue!AP$36+Revenue!AP$44)*(1+$B$8)*(1+C$7)-Expenses!AP$21*(1+$B$8)-Expenses!AP$42</f>
        <v>14634.0884835324</v>
      </c>
      <c r="D8" s="51" t="n">
        <f aca="false">(Revenue!AP$36+Revenue!AP$44)*(1+$B$8)*(1+D$7)-Expenses!AP$21*(1+$B$8)-Expenses!AP$42</f>
        <v>335544.956087309</v>
      </c>
      <c r="E8" s="51" t="n">
        <f aca="false">(Revenue!AP$36+Revenue!AP$44)*(1+$B$8)*(1+E$7)-Expenses!AP$21*(1+$B$8)-Expenses!AP$42</f>
        <v>656455.823691086</v>
      </c>
      <c r="F8" s="51" t="n">
        <f aca="false">(Revenue!AP$36+Revenue!AP$44)*(1+$B$8)*(1+F$7)-Expenses!AP$21*(1+$B$8)-Expenses!AP$42</f>
        <v>977366.691294863</v>
      </c>
      <c r="G8" s="51" t="n">
        <f aca="false">(Revenue!AP$36+Revenue!AP$44)*(1+$B$8)*(1+G$7)-Expenses!AP$21*(1+$B$8)-Expenses!AP$42</f>
        <v>1298277.55889864</v>
      </c>
    </row>
    <row r="9" customFormat="false" ht="15" hidden="false" customHeight="false" outlineLevel="0" collapsed="false">
      <c r="A9" s="93"/>
      <c r="B9" s="95" t="n">
        <v>-0.15</v>
      </c>
      <c r="C9" s="51" t="n">
        <f aca="false">(Revenue!AP$36+Revenue!AP$44)*(1+$B$9)*(1+C$7)-Expenses!AP$21*(1+$B$9)-Expenses!AP$42</f>
        <v>483672.601287264</v>
      </c>
      <c r="D9" s="51" t="n">
        <f aca="false">(Revenue!AP$36+Revenue!AP$44)*(1+$B$9)*(1+D$7)-Expenses!AP$21*(1+$B$9)-Expenses!AP$42</f>
        <v>873350.083377565</v>
      </c>
      <c r="E9" s="51" t="n">
        <f aca="false">(Revenue!AP$36+Revenue!AP$44)*(1+$B$9)*(1+E$7)-Expenses!AP$21*(1+$B$9)-Expenses!AP$42</f>
        <v>1263027.56546786</v>
      </c>
      <c r="F9" s="51" t="n">
        <f aca="false">(Revenue!AP$36+Revenue!AP$44)*(1+$B$9)*(1+F$7)-Expenses!AP$21*(1+$B$9)-Expenses!AP$42</f>
        <v>1652705.04755816</v>
      </c>
      <c r="G9" s="51" t="n">
        <f aca="false">(Revenue!AP$36+Revenue!AP$44)*(1+$B$9)*(1+G$7)-Expenses!AP$21*(1+$B$9)-Expenses!AP$42</f>
        <v>2042382.52964846</v>
      </c>
    </row>
    <row r="10" customFormat="false" ht="15" hidden="false" customHeight="false" outlineLevel="0" collapsed="false">
      <c r="A10" s="93"/>
      <c r="B10" s="95" t="n">
        <v>0</v>
      </c>
      <c r="C10" s="51" t="n">
        <f aca="false">(Revenue!AP$36+Revenue!AP$44)*(1+$B$10)*(1+C$7)-Expenses!AP$21*(1+$B$10)-Expenses!AP$42</f>
        <v>952711.114090995</v>
      </c>
      <c r="D10" s="51" t="n">
        <f aca="false">(Revenue!AP$36+Revenue!AP$44)*(1+$B$10)*(1+D$7)-Expenses!AP$21*(1+$B$10)-Expenses!AP$42</f>
        <v>1411155.21066782</v>
      </c>
      <c r="E10" s="51" t="n">
        <f aca="false">(Revenue!AP$36+Revenue!AP$44)*(1+$B$10)*(1+E$7)-Expenses!AP$21*(1+$B$10)-Expenses!AP$42</f>
        <v>1869599.30724464</v>
      </c>
      <c r="F10" s="51" t="n">
        <f aca="false">(Revenue!AP$36+Revenue!AP$44)*(1+$B$10)*(1+F$7)-Expenses!AP$21*(1+$B$10)-Expenses!AP$42</f>
        <v>2328043.40382147</v>
      </c>
      <c r="G10" s="51" t="n">
        <f aca="false">(Revenue!AP$36+Revenue!AP$44)*(1+$B$10)*(1+G$7)-Expenses!AP$21*(1+$B$10)-Expenses!AP$42</f>
        <v>2786487.50039829</v>
      </c>
    </row>
    <row r="11" customFormat="false" ht="15" hidden="false" customHeight="false" outlineLevel="0" collapsed="false">
      <c r="A11" s="93"/>
      <c r="B11" s="95" t="n">
        <v>0.15</v>
      </c>
      <c r="C11" s="51" t="n">
        <f aca="false">(Revenue!AP$36+Revenue!AP$44)*(1+$B$11)*(1+C$7)-Expenses!AP$21*(1+$B$11)-Expenses!AP$42</f>
        <v>1421749.62689473</v>
      </c>
      <c r="D11" s="51" t="n">
        <f aca="false">(Revenue!AP$36+Revenue!AP$44)*(1+$B$11)*(1+D$7)-Expenses!AP$21*(1+$B$11)-Expenses!AP$42</f>
        <v>1948960.33795807</v>
      </c>
      <c r="E11" s="51" t="n">
        <f aca="false">(Revenue!AP$36+Revenue!AP$44)*(1+$B$11)*(1+E$7)-Expenses!AP$21*(1+$B$11)-Expenses!AP$42</f>
        <v>2476171.04902142</v>
      </c>
      <c r="F11" s="51" t="n">
        <f aca="false">(Revenue!AP$36+Revenue!AP$44)*(1+$B$11)*(1+F$7)-Expenses!AP$21*(1+$B$11)-Expenses!AP$42</f>
        <v>3003381.76008477</v>
      </c>
      <c r="G11" s="51" t="n">
        <f aca="false">(Revenue!AP$36+Revenue!AP$44)*(1+$B$11)*(1+G$7)-Expenses!AP$21*(1+$B$11)-Expenses!AP$42</f>
        <v>3530592.47114812</v>
      </c>
    </row>
    <row r="12" customFormat="false" ht="15" hidden="false" customHeight="false" outlineLevel="0" collapsed="false">
      <c r="A12" s="93"/>
      <c r="B12" s="95" t="n">
        <v>0.3</v>
      </c>
      <c r="C12" s="51" t="n">
        <f aca="false">(Revenue!AP$36+Revenue!AP$44)*(1+$B$12)*(1+C$7)-Expenses!AP$21*(1+$B$12)-Expenses!AP$42</f>
        <v>1890788.13969846</v>
      </c>
      <c r="D12" s="51" t="n">
        <f aca="false">(Revenue!AP$36+Revenue!AP$44)*(1+$B$12)*(1+D$7)-Expenses!AP$21*(1+$B$12)-Expenses!AP$42</f>
        <v>2486765.46524833</v>
      </c>
      <c r="E12" s="51" t="n">
        <f aca="false">(Revenue!AP$36+Revenue!AP$44)*(1+$B$12)*(1+E$7)-Expenses!AP$21*(1+$B$12)-Expenses!AP$42</f>
        <v>3082742.7907982</v>
      </c>
      <c r="F12" s="51" t="n">
        <f aca="false">(Revenue!AP$36+Revenue!AP$44)*(1+$B$12)*(1+F$7)-Expenses!AP$21*(1+$B$12)-Expenses!AP$42</f>
        <v>3678720.11634807</v>
      </c>
      <c r="G12" s="51" t="n">
        <f aca="false">(Revenue!AP$36+Revenue!AP$44)*(1+$B$12)*(1+G$7)-Expenses!AP$21*(1+$B$12)-Expenses!AP$42</f>
        <v>4274697.44189794</v>
      </c>
    </row>
    <row r="14" customFormat="false" ht="16.5" hidden="false" customHeight="true" outlineLevel="0" collapsed="false">
      <c r="A14" s="21" t="s">
        <v>758</v>
      </c>
      <c r="B14" s="21"/>
      <c r="C14" s="21"/>
      <c r="D14" s="21"/>
      <c r="E14" s="21"/>
      <c r="F14" s="21"/>
      <c r="G14" s="21"/>
      <c r="H14" s="21"/>
      <c r="I14" s="21"/>
    </row>
    <row r="15" customFormat="false" ht="15" hidden="false" customHeight="false" outlineLevel="0" collapsed="false">
      <c r="A15" s="32" t="s">
        <v>759</v>
      </c>
      <c r="B15" s="32"/>
      <c r="C15" s="32"/>
      <c r="D15" s="32"/>
      <c r="E15" s="32"/>
      <c r="F15" s="32"/>
      <c r="G15" s="32"/>
      <c r="H15" s="32"/>
      <c r="I15" s="32"/>
    </row>
    <row r="16" customFormat="false" ht="15" hidden="false" customHeight="false" outlineLevel="0" collapsed="false">
      <c r="B16" s="93" t="s">
        <v>760</v>
      </c>
      <c r="C16" s="94" t="n">
        <v>-0.2</v>
      </c>
      <c r="D16" s="94" t="n">
        <v>-0.1</v>
      </c>
      <c r="E16" s="94" t="n">
        <v>0</v>
      </c>
      <c r="F16" s="94" t="n">
        <v>0.1</v>
      </c>
      <c r="G16" s="94" t="n">
        <v>0.2</v>
      </c>
    </row>
    <row r="17" customFormat="false" ht="15" hidden="false" customHeight="false" outlineLevel="0" collapsed="false">
      <c r="A17" s="93" t="s">
        <v>757</v>
      </c>
      <c r="B17" s="95" t="n">
        <v>-0.3</v>
      </c>
      <c r="C17" s="51" t="n">
        <f aca="false">(Revenue!AP$36+Revenue!AP$44)*(1+$B$17)-Expenses!AP$21*(1+$B$17)-Expenses!AP$42*(1+C$16)</f>
        <v>1091298.2846112</v>
      </c>
      <c r="D17" s="51" t="n">
        <f aca="false">(Revenue!AP$36+Revenue!AP$44)*(1+$B$17)-Expenses!AP$21*(1+$B$17)-Expenses!AP$42*(1+D$16)</f>
        <v>873877.054151141</v>
      </c>
      <c r="E17" s="51" t="n">
        <f aca="false">(Revenue!AP$36+Revenue!AP$44)*(1+$B$17)-Expenses!AP$21*(1+$B$17)-Expenses!AP$42*(1+E$16)</f>
        <v>656455.823691086</v>
      </c>
      <c r="F17" s="51" t="n">
        <f aca="false">(Revenue!AP$36+Revenue!AP$44)*(1+$B$17)-Expenses!AP$21*(1+$B$17)-Expenses!AP$42*(1+F$16)</f>
        <v>439034.593231032</v>
      </c>
      <c r="G17" s="51" t="n">
        <f aca="false">(Revenue!AP$36+Revenue!AP$44)*(1+$B$17)-Expenses!AP$21*(1+$B$17)-Expenses!AP$42*(1+G$16)</f>
        <v>221613.362770977</v>
      </c>
    </row>
    <row r="18" customFormat="false" ht="15" hidden="false" customHeight="false" outlineLevel="0" collapsed="false">
      <c r="A18" s="93"/>
      <c r="B18" s="95" t="n">
        <v>-0.15</v>
      </c>
      <c r="C18" s="51" t="n">
        <f aca="false">(Revenue!AP$36+Revenue!AP$44)*(1+$B$18)-Expenses!AP$21*(1+$B$18)-Expenses!AP$42*(1+C$16)</f>
        <v>1697870.02638797</v>
      </c>
      <c r="D18" s="51" t="n">
        <f aca="false">(Revenue!AP$36+Revenue!AP$44)*(1+$B$18)-Expenses!AP$21*(1+$B$18)-Expenses!AP$42*(1+D$16)</f>
        <v>1480448.79592792</v>
      </c>
      <c r="E18" s="51" t="n">
        <f aca="false">(Revenue!AP$36+Revenue!AP$44)*(1+$B$18)-Expenses!AP$21*(1+$B$18)-Expenses!AP$42*(1+E$16)</f>
        <v>1263027.56546786</v>
      </c>
      <c r="F18" s="51" t="n">
        <f aca="false">(Revenue!AP$36+Revenue!AP$44)*(1+$B$18)-Expenses!AP$21*(1+$B$18)-Expenses!AP$42*(1+F$16)</f>
        <v>1045606.33500781</v>
      </c>
      <c r="G18" s="51" t="n">
        <f aca="false">(Revenue!AP$36+Revenue!AP$44)*(1+$B$18)-Expenses!AP$21*(1+$B$18)-Expenses!AP$42*(1+G$16)</f>
        <v>828185.104547756</v>
      </c>
    </row>
    <row r="19" customFormat="false" ht="15" hidden="false" customHeight="false" outlineLevel="0" collapsed="false">
      <c r="A19" s="93"/>
      <c r="B19" s="95" t="n">
        <v>0</v>
      </c>
      <c r="C19" s="51" t="n">
        <f aca="false">(Revenue!AP$36+Revenue!AP$44)*(1+$B$19)-Expenses!AP$21*(1+$B$19)-Expenses!AP$42*(1+C$16)</f>
        <v>2304441.76816475</v>
      </c>
      <c r="D19" s="51" t="n">
        <f aca="false">(Revenue!AP$36+Revenue!AP$44)*(1+$B$19)-Expenses!AP$21*(1+$B$19)-Expenses!AP$42*(1+D$16)</f>
        <v>2087020.5377047</v>
      </c>
      <c r="E19" s="51" t="n">
        <f aca="false">(Revenue!AP$36+Revenue!AP$44)*(1+$B$19)-Expenses!AP$21*(1+$B$19)-Expenses!AP$42*(1+E$16)</f>
        <v>1869599.30724464</v>
      </c>
      <c r="F19" s="51" t="n">
        <f aca="false">(Revenue!AP$36+Revenue!AP$44)*(1+$B$19)-Expenses!AP$21*(1+$B$19)-Expenses!AP$42*(1+F$16)</f>
        <v>1652178.07678459</v>
      </c>
      <c r="G19" s="51" t="n">
        <f aca="false">(Revenue!AP$36+Revenue!AP$44)*(1+$B$19)-Expenses!AP$21*(1+$B$19)-Expenses!AP$42*(1+G$16)</f>
        <v>1434756.84632453</v>
      </c>
    </row>
    <row r="20" customFormat="false" ht="15" hidden="false" customHeight="false" outlineLevel="0" collapsed="false">
      <c r="A20" s="93"/>
      <c r="B20" s="95" t="n">
        <v>0.15</v>
      </c>
      <c r="C20" s="51" t="n">
        <f aca="false">(Revenue!AP$36+Revenue!AP$44)*(1+$B$20)-Expenses!AP$21*(1+$B$20)-Expenses!AP$42*(1+C$16)</f>
        <v>2911013.50994153</v>
      </c>
      <c r="D20" s="51" t="n">
        <f aca="false">(Revenue!AP$36+Revenue!AP$44)*(1+$B$20)-Expenses!AP$21*(1+$B$20)-Expenses!AP$42*(1+D$16)</f>
        <v>2693592.27948148</v>
      </c>
      <c r="E20" s="51" t="n">
        <f aca="false">(Revenue!AP$36+Revenue!AP$44)*(1+$B$20)-Expenses!AP$21*(1+$B$20)-Expenses!AP$42*(1+E$16)</f>
        <v>2476171.04902142</v>
      </c>
      <c r="F20" s="51" t="n">
        <f aca="false">(Revenue!AP$36+Revenue!AP$44)*(1+$B$20)-Expenses!AP$21*(1+$B$20)-Expenses!AP$42*(1+F$16)</f>
        <v>2258749.81856137</v>
      </c>
      <c r="G20" s="51" t="n">
        <f aca="false">(Revenue!AP$36+Revenue!AP$44)*(1+$B$20)-Expenses!AP$21*(1+$B$20)-Expenses!AP$42*(1+G$16)</f>
        <v>2041328.58810131</v>
      </c>
    </row>
    <row r="21" customFormat="false" ht="15" hidden="false" customHeight="false" outlineLevel="0" collapsed="false">
      <c r="A21" s="93"/>
      <c r="B21" s="95" t="n">
        <v>0.3</v>
      </c>
      <c r="C21" s="51" t="n">
        <f aca="false">(Revenue!AP$36+Revenue!AP$44)*(1+$B$21)-Expenses!AP$21*(1+$B$21)-Expenses!AP$42*(1+C$16)</f>
        <v>3517585.25171831</v>
      </c>
      <c r="D21" s="51" t="n">
        <f aca="false">(Revenue!AP$36+Revenue!AP$44)*(1+$B$21)-Expenses!AP$21*(1+$B$21)-Expenses!AP$42*(1+D$16)</f>
        <v>3300164.02125826</v>
      </c>
      <c r="E21" s="51" t="n">
        <f aca="false">(Revenue!AP$36+Revenue!AP$44)*(1+$B$21)-Expenses!AP$21*(1+$B$21)-Expenses!AP$42*(1+E$16)</f>
        <v>3082742.7907982</v>
      </c>
      <c r="F21" s="51" t="n">
        <f aca="false">(Revenue!AP$36+Revenue!AP$44)*(1+$B$21)-Expenses!AP$21*(1+$B$21)-Expenses!AP$42*(1+F$16)</f>
        <v>2865321.56033815</v>
      </c>
      <c r="G21" s="51" t="n">
        <f aca="false">(Revenue!AP$36+Revenue!AP$44)*(1+$B$21)-Expenses!AP$21*(1+$B$21)-Expenses!AP$42*(1+G$16)</f>
        <v>2647900.32987809</v>
      </c>
    </row>
    <row r="23" customFormat="false" ht="16.5" hidden="false" customHeight="true" outlineLevel="0" collapsed="false">
      <c r="A23" s="21" t="s">
        <v>761</v>
      </c>
      <c r="B23" s="21"/>
      <c r="C23" s="21"/>
      <c r="D23" s="21"/>
      <c r="E23" s="21"/>
      <c r="F23" s="21"/>
      <c r="G23" s="21"/>
      <c r="H23" s="21"/>
      <c r="I23" s="21"/>
    </row>
    <row r="24" customFormat="false" ht="15" hidden="false" customHeight="false" outlineLevel="0" collapsed="false">
      <c r="A24" s="32" t="s">
        <v>762</v>
      </c>
      <c r="B24" s="32"/>
      <c r="C24" s="32"/>
      <c r="D24" s="32"/>
      <c r="E24" s="32"/>
      <c r="F24" s="32"/>
      <c r="G24" s="32"/>
      <c r="H24" s="32"/>
      <c r="I24" s="32"/>
    </row>
    <row r="25" customFormat="false" ht="15" hidden="false" customHeight="false" outlineLevel="0" collapsed="false">
      <c r="B25" s="93" t="s">
        <v>221</v>
      </c>
      <c r="C25" s="94" t="n">
        <v>-0.2</v>
      </c>
      <c r="D25" s="94" t="n">
        <v>-0.1</v>
      </c>
      <c r="E25" s="94" t="n">
        <v>0</v>
      </c>
      <c r="F25" s="94" t="n">
        <v>0.1</v>
      </c>
      <c r="G25" s="94" t="n">
        <v>0.2</v>
      </c>
    </row>
    <row r="26" customFormat="false" ht="15" hidden="false" customHeight="false" outlineLevel="0" collapsed="false">
      <c r="A26" s="93" t="s">
        <v>763</v>
      </c>
      <c r="B26" s="95" t="n">
        <v>-0.5</v>
      </c>
      <c r="C26" s="75" t="n">
        <f aca="false">IFERROR(((Revenue!AP$36+Revenue!AP$44)-(Expenses!AP$21-Expenses!AP$18-(Revenue!AP$7+Revenue!AP$8)*Assumptions!$C$90*Assumptions!$C$91*Assumptions!$C$92)-Expenses!AP$18*(1+$B$26)-(Revenue!AP$7+Revenue!AP$8)*Assumptions!$C$90*(1+C$25)*Assumptions!$C$91*Assumptions!$C$92)/(Revenue!AP$36+Revenue!AP$44),0)</f>
        <v>0.70155973932253</v>
      </c>
      <c r="D26" s="75" t="n">
        <f aca="false">IFERROR(((Revenue!AP$36+Revenue!AP$44)-(Expenses!AP$21-Expenses!AP$18-(Revenue!AP$7+Revenue!AP$8)*Assumptions!$C$90*Assumptions!$C$91*Assumptions!$C$92)-Expenses!AP$18*(1+$B$26)-(Revenue!AP$7+Revenue!AP$8)*Assumptions!$C$90*(1+D$25)*Assumptions!$C$91*Assumptions!$C$92)/(Revenue!AP$36+Revenue!AP$44),0)</f>
        <v>0.698402974930085</v>
      </c>
      <c r="E26" s="75" t="n">
        <f aca="false">IFERROR(((Revenue!AP$36+Revenue!AP$44)-(Expenses!AP$21-Expenses!AP$18-(Revenue!AP$7+Revenue!AP$8)*Assumptions!$C$90*Assumptions!$C$91*Assumptions!$C$92)-Expenses!AP$18*(1+$B$26)-(Revenue!AP$7+Revenue!AP$8)*Assumptions!$C$90*(1+E$25)*Assumptions!$C$91*Assumptions!$C$92)/(Revenue!AP$36+Revenue!AP$44),0)</f>
        <v>0.695246210537641</v>
      </c>
      <c r="F26" s="75" t="n">
        <f aca="false">IFERROR(((Revenue!AP$36+Revenue!AP$44)-(Expenses!AP$21-Expenses!AP$18-(Revenue!AP$7+Revenue!AP$8)*Assumptions!$C$90*Assumptions!$C$91*Assumptions!$C$92)-Expenses!AP$18*(1+$B$26)-(Revenue!AP$7+Revenue!AP$8)*Assumptions!$C$90*(1+F$25)*Assumptions!$C$91*Assumptions!$C$92)/(Revenue!AP$36+Revenue!AP$44),0)</f>
        <v>0.692089446145197</v>
      </c>
      <c r="G26" s="75" t="n">
        <f aca="false">IFERROR(((Revenue!AP$36+Revenue!AP$44)-(Expenses!AP$21-Expenses!AP$18-(Revenue!AP$7+Revenue!AP$8)*Assumptions!$C$90*Assumptions!$C$91*Assumptions!$C$92)-Expenses!AP$18*(1+$B$26)-(Revenue!AP$7+Revenue!AP$8)*Assumptions!$C$90*(1+G$25)*Assumptions!$C$91*Assumptions!$C$92)/(Revenue!AP$36+Revenue!AP$44),0)</f>
        <v>0.688932681752753</v>
      </c>
    </row>
    <row r="27" customFormat="false" ht="15" hidden="false" customHeight="false" outlineLevel="0" collapsed="false">
      <c r="A27" s="93"/>
      <c r="B27" s="95" t="n">
        <v>-0.25</v>
      </c>
      <c r="C27" s="75" t="n">
        <f aca="false">IFERROR(((Revenue!AP$36+Revenue!AP$44)-(Expenses!AP$21-Expenses!AP$18-(Revenue!AP$7+Revenue!AP$8)*Assumptions!$C$90*Assumptions!$C$91*Assumptions!$C$92)-Expenses!AP$18*(1+$B$27)-(Revenue!AP$7+Revenue!AP$8)*Assumptions!$C$90*(1+C$25)*Assumptions!$C$91*Assumptions!$C$92)/(Revenue!AP$36+Revenue!AP$44),0)</f>
        <v>0.684714010349977</v>
      </c>
      <c r="D27" s="75" t="n">
        <f aca="false">IFERROR(((Revenue!AP$36+Revenue!AP$44)-(Expenses!AP$21-Expenses!AP$18-(Revenue!AP$7+Revenue!AP$8)*Assumptions!$C$90*Assumptions!$C$91*Assumptions!$C$92)-Expenses!AP$18*(1+$B$27)-(Revenue!AP$7+Revenue!AP$8)*Assumptions!$C$90*(1+D$25)*Assumptions!$C$91*Assumptions!$C$92)/(Revenue!AP$36+Revenue!AP$44),0)</f>
        <v>0.681557245957532</v>
      </c>
      <c r="E27" s="75" t="n">
        <f aca="false">IFERROR(((Revenue!AP$36+Revenue!AP$44)-(Expenses!AP$21-Expenses!AP$18-(Revenue!AP$7+Revenue!AP$8)*Assumptions!$C$90*Assumptions!$C$91*Assumptions!$C$92)-Expenses!AP$18*(1+$B$27)-(Revenue!AP$7+Revenue!AP$8)*Assumptions!$C$90*(1+E$25)*Assumptions!$C$91*Assumptions!$C$92)/(Revenue!AP$36+Revenue!AP$44),0)</f>
        <v>0.678400481565088</v>
      </c>
      <c r="F27" s="75" t="n">
        <f aca="false">IFERROR(((Revenue!AP$36+Revenue!AP$44)-(Expenses!AP$21-Expenses!AP$18-(Revenue!AP$7+Revenue!AP$8)*Assumptions!$C$90*Assumptions!$C$91*Assumptions!$C$92)-Expenses!AP$18*(1+$B$27)-(Revenue!AP$7+Revenue!AP$8)*Assumptions!$C$90*(1+F$25)*Assumptions!$C$91*Assumptions!$C$92)/(Revenue!AP$36+Revenue!AP$44),0)</f>
        <v>0.675243717172644</v>
      </c>
      <c r="G27" s="75" t="n">
        <f aca="false">IFERROR(((Revenue!AP$36+Revenue!AP$44)-(Expenses!AP$21-Expenses!AP$18-(Revenue!AP$7+Revenue!AP$8)*Assumptions!$C$90*Assumptions!$C$91*Assumptions!$C$92)-Expenses!AP$18*(1+$B$27)-(Revenue!AP$7+Revenue!AP$8)*Assumptions!$C$90*(1+G$25)*Assumptions!$C$91*Assumptions!$C$92)/(Revenue!AP$36+Revenue!AP$44),0)</f>
        <v>0.6720869527802</v>
      </c>
    </row>
    <row r="28" customFormat="false" ht="15" hidden="false" customHeight="false" outlineLevel="0" collapsed="false">
      <c r="A28" s="93"/>
      <c r="B28" s="95" t="n">
        <v>0</v>
      </c>
      <c r="C28" s="75" t="n">
        <f aca="false">IFERROR(((Revenue!AP$36+Revenue!AP$44)-(Expenses!AP$21-Expenses!AP$18-(Revenue!AP$7+Revenue!AP$8)*Assumptions!$C$90*Assumptions!$C$91*Assumptions!$C$92)-Expenses!AP$18*(1+$B$28)-(Revenue!AP$7+Revenue!AP$8)*Assumptions!$C$90*(1+C$25)*Assumptions!$C$91*Assumptions!$C$92)/(Revenue!AP$36+Revenue!AP$44),0)</f>
        <v>0.667868281377424</v>
      </c>
      <c r="D28" s="75" t="n">
        <f aca="false">IFERROR(((Revenue!AP$36+Revenue!AP$44)-(Expenses!AP$21-Expenses!AP$18-(Revenue!AP$7+Revenue!AP$8)*Assumptions!$C$90*Assumptions!$C$91*Assumptions!$C$92)-Expenses!AP$18*(1+$B$28)-(Revenue!AP$7+Revenue!AP$8)*Assumptions!$C$90*(1+D$25)*Assumptions!$C$91*Assumptions!$C$92)/(Revenue!AP$36+Revenue!AP$44),0)</f>
        <v>0.66471151698498</v>
      </c>
      <c r="E28" s="75" t="n">
        <f aca="false">IFERROR(((Revenue!AP$36+Revenue!AP$44)-(Expenses!AP$21-Expenses!AP$18-(Revenue!AP$7+Revenue!AP$8)*Assumptions!$C$90*Assumptions!$C$91*Assumptions!$C$92)-Expenses!AP$18*(1+$B$28)-(Revenue!AP$7+Revenue!AP$8)*Assumptions!$C$90*(1+E$25)*Assumptions!$C$91*Assumptions!$C$92)/(Revenue!AP$36+Revenue!AP$44),0)</f>
        <v>0.661554752592535</v>
      </c>
      <c r="F28" s="75" t="n">
        <f aca="false">IFERROR(((Revenue!AP$36+Revenue!AP$44)-(Expenses!AP$21-Expenses!AP$18-(Revenue!AP$7+Revenue!AP$8)*Assumptions!$C$90*Assumptions!$C$91*Assumptions!$C$92)-Expenses!AP$18*(1+$B$28)-(Revenue!AP$7+Revenue!AP$8)*Assumptions!$C$90*(1+F$25)*Assumptions!$C$91*Assumptions!$C$92)/(Revenue!AP$36+Revenue!AP$44),0)</f>
        <v>0.658397988200091</v>
      </c>
      <c r="G28" s="75" t="n">
        <f aca="false">IFERROR(((Revenue!AP$36+Revenue!AP$44)-(Expenses!AP$21-Expenses!AP$18-(Revenue!AP$7+Revenue!AP$8)*Assumptions!$C$90*Assumptions!$C$91*Assumptions!$C$92)-Expenses!AP$18*(1+$B$28)-(Revenue!AP$7+Revenue!AP$8)*Assumptions!$C$90*(1+G$25)*Assumptions!$C$91*Assumptions!$C$92)/(Revenue!AP$36+Revenue!AP$44),0)</f>
        <v>0.655241223807647</v>
      </c>
    </row>
    <row r="29" customFormat="false" ht="15" hidden="false" customHeight="false" outlineLevel="0" collapsed="false">
      <c r="A29" s="93"/>
      <c r="B29" s="95" t="n">
        <v>0.25</v>
      </c>
      <c r="C29" s="75" t="n">
        <f aca="false">IFERROR(((Revenue!AP$36+Revenue!AP$44)-(Expenses!AP$21-Expenses!AP$18-(Revenue!AP$7+Revenue!AP$8)*Assumptions!$C$90*Assumptions!$C$91*Assumptions!$C$92)-Expenses!AP$18*(1+$B$29)-(Revenue!AP$7+Revenue!AP$8)*Assumptions!$C$90*(1+C$25)*Assumptions!$C$91*Assumptions!$C$92)/(Revenue!AP$36+Revenue!AP$44),0)</f>
        <v>0.651022552404871</v>
      </c>
      <c r="D29" s="75" t="n">
        <f aca="false">IFERROR(((Revenue!AP$36+Revenue!AP$44)-(Expenses!AP$21-Expenses!AP$18-(Revenue!AP$7+Revenue!AP$8)*Assumptions!$C$90*Assumptions!$C$91*Assumptions!$C$92)-Expenses!AP$18*(1+$B$29)-(Revenue!AP$7+Revenue!AP$8)*Assumptions!$C$90*(1+D$25)*Assumptions!$C$91*Assumptions!$C$92)/(Revenue!AP$36+Revenue!AP$44),0)</f>
        <v>0.647865788012427</v>
      </c>
      <c r="E29" s="75" t="n">
        <f aca="false">IFERROR(((Revenue!AP$36+Revenue!AP$44)-(Expenses!AP$21-Expenses!AP$18-(Revenue!AP$7+Revenue!AP$8)*Assumptions!$C$90*Assumptions!$C$91*Assumptions!$C$92)-Expenses!AP$18*(1+$B$29)-(Revenue!AP$7+Revenue!AP$8)*Assumptions!$C$90*(1+E$25)*Assumptions!$C$91*Assumptions!$C$92)/(Revenue!AP$36+Revenue!AP$44),0)</f>
        <v>0.644709023619983</v>
      </c>
      <c r="F29" s="75" t="n">
        <f aca="false">IFERROR(((Revenue!AP$36+Revenue!AP$44)-(Expenses!AP$21-Expenses!AP$18-(Revenue!AP$7+Revenue!AP$8)*Assumptions!$C$90*Assumptions!$C$91*Assumptions!$C$92)-Expenses!AP$18*(1+$B$29)-(Revenue!AP$7+Revenue!AP$8)*Assumptions!$C$90*(1+F$25)*Assumptions!$C$91*Assumptions!$C$92)/(Revenue!AP$36+Revenue!AP$44),0)</f>
        <v>0.641552259227538</v>
      </c>
      <c r="G29" s="75" t="n">
        <f aca="false">IFERROR(((Revenue!AP$36+Revenue!AP$44)-(Expenses!AP$21-Expenses!AP$18-(Revenue!AP$7+Revenue!AP$8)*Assumptions!$C$90*Assumptions!$C$91*Assumptions!$C$92)-Expenses!AP$18*(1+$B$29)-(Revenue!AP$7+Revenue!AP$8)*Assumptions!$C$90*(1+G$25)*Assumptions!$C$91*Assumptions!$C$92)/(Revenue!AP$36+Revenue!AP$44),0)</f>
        <v>0.638395494835094</v>
      </c>
    </row>
    <row r="30" customFormat="false" ht="15" hidden="false" customHeight="false" outlineLevel="0" collapsed="false">
      <c r="A30" s="93"/>
      <c r="B30" s="95" t="n">
        <v>0.5</v>
      </c>
      <c r="C30" s="75" t="n">
        <f aca="false">IFERROR(((Revenue!AP$36+Revenue!AP$44)-(Expenses!AP$21-Expenses!AP$18-(Revenue!AP$7+Revenue!AP$8)*Assumptions!$C$90*Assumptions!$C$91*Assumptions!$C$92)-Expenses!AP$18*(1+$B$30)-(Revenue!AP$7+Revenue!AP$8)*Assumptions!$C$90*(1+C$25)*Assumptions!$C$91*Assumptions!$C$92)/(Revenue!AP$36+Revenue!AP$44),0)</f>
        <v>0.634176823432318</v>
      </c>
      <c r="D30" s="75" t="n">
        <f aca="false">IFERROR(((Revenue!AP$36+Revenue!AP$44)-(Expenses!AP$21-Expenses!AP$18-(Revenue!AP$7+Revenue!AP$8)*Assumptions!$C$90*Assumptions!$C$91*Assumptions!$C$92)-Expenses!AP$18*(1+$B$30)-(Revenue!AP$7+Revenue!AP$8)*Assumptions!$C$90*(1+D$25)*Assumptions!$C$91*Assumptions!$C$92)/(Revenue!AP$36+Revenue!AP$44),0)</f>
        <v>0.631020059039874</v>
      </c>
      <c r="E30" s="75" t="n">
        <f aca="false">IFERROR(((Revenue!AP$36+Revenue!AP$44)-(Expenses!AP$21-Expenses!AP$18-(Revenue!AP$7+Revenue!AP$8)*Assumptions!$C$90*Assumptions!$C$91*Assumptions!$C$92)-Expenses!AP$18*(1+$B$30)-(Revenue!AP$7+Revenue!AP$8)*Assumptions!$C$90*(1+E$25)*Assumptions!$C$91*Assumptions!$C$92)/(Revenue!AP$36+Revenue!AP$44),0)</f>
        <v>0.62786329464743</v>
      </c>
      <c r="F30" s="75" t="n">
        <f aca="false">IFERROR(((Revenue!AP$36+Revenue!AP$44)-(Expenses!AP$21-Expenses!AP$18-(Revenue!AP$7+Revenue!AP$8)*Assumptions!$C$90*Assumptions!$C$91*Assumptions!$C$92)-Expenses!AP$18*(1+$B$30)-(Revenue!AP$7+Revenue!AP$8)*Assumptions!$C$90*(1+F$25)*Assumptions!$C$91*Assumptions!$C$92)/(Revenue!AP$36+Revenue!AP$44),0)</f>
        <v>0.624706530254986</v>
      </c>
      <c r="G30" s="75" t="n">
        <f aca="false">IFERROR(((Revenue!AP$36+Revenue!AP$44)-(Expenses!AP$21-Expenses!AP$18-(Revenue!AP$7+Revenue!AP$8)*Assumptions!$C$90*Assumptions!$C$91*Assumptions!$C$92)-Expenses!AP$18*(1+$B$30)-(Revenue!AP$7+Revenue!AP$8)*Assumptions!$C$90*(1+G$25)*Assumptions!$C$91*Assumptions!$C$92)/(Revenue!AP$36+Revenue!AP$44),0)</f>
        <v>0.621549765862541</v>
      </c>
    </row>
  </sheetData>
  <mergeCells count="5">
    <mergeCell ref="A1:I1"/>
    <mergeCell ref="A2:I2"/>
    <mergeCell ref="A6:I6"/>
    <mergeCell ref="A15:I15"/>
    <mergeCell ref="A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32"/>
    <col collapsed="false" customWidth="true" hidden="false" outlineLevel="0" max="3" min="3" style="1" width="15"/>
    <col collapsed="false" customWidth="true" hidden="false" outlineLevel="0" max="4" min="4" style="1" width="22"/>
    <col collapsed="false" customWidth="true" hidden="false" outlineLevel="0" max="6" min="5" style="1" width="15"/>
  </cols>
  <sheetData>
    <row r="1" customFormat="false" ht="25.5" hidden="false" customHeight="true" outlineLevel="0" collapsed="false">
      <c r="A1" s="19" t="s">
        <v>764</v>
      </c>
      <c r="B1" s="19"/>
      <c r="C1" s="19"/>
      <c r="D1" s="19"/>
      <c r="E1" s="19"/>
      <c r="F1" s="19"/>
      <c r="G1" s="19"/>
      <c r="H1" s="19"/>
    </row>
    <row r="2" customFormat="false" ht="13.5" hidden="false" customHeight="true" outlineLevel="0" collapsed="false">
      <c r="A2" s="20" t="s">
        <v>765</v>
      </c>
      <c r="B2" s="20"/>
      <c r="C2" s="20"/>
      <c r="D2" s="20"/>
      <c r="E2" s="20"/>
      <c r="F2" s="20"/>
      <c r="G2" s="20"/>
      <c r="H2" s="20"/>
    </row>
    <row r="3" customFormat="false" ht="3.75" hidden="false" customHeight="true" outlineLevel="0" collapsed="false">
      <c r="A3" s="5"/>
      <c r="B3" s="5"/>
      <c r="C3" s="5"/>
      <c r="D3" s="5"/>
      <c r="E3" s="5"/>
      <c r="F3" s="5"/>
      <c r="G3" s="5"/>
      <c r="H3" s="5"/>
    </row>
    <row r="5" customFormat="false" ht="16.5" hidden="false" customHeight="true" outlineLevel="0" collapsed="false">
      <c r="A5" s="21" t="s">
        <v>766</v>
      </c>
      <c r="B5" s="21"/>
      <c r="C5" s="21"/>
      <c r="D5" s="21"/>
      <c r="E5" s="21"/>
      <c r="F5" s="21"/>
      <c r="G5" s="21"/>
      <c r="H5" s="21"/>
    </row>
    <row r="6" customFormat="false" ht="15" hidden="false" customHeight="false" outlineLevel="0" collapsed="false">
      <c r="A6" s="22"/>
      <c r="B6" s="22"/>
      <c r="C6" s="23" t="s">
        <v>61</v>
      </c>
      <c r="D6" s="23" t="s">
        <v>62</v>
      </c>
      <c r="E6" s="23" t="s">
        <v>63</v>
      </c>
    </row>
    <row r="7" customFormat="false" ht="15" hidden="false" customHeight="false" outlineLevel="0" collapsed="false">
      <c r="A7" s="26" t="s">
        <v>767</v>
      </c>
      <c r="B7" s="24"/>
      <c r="C7" s="27" t="n">
        <f aca="false">Revenue!AN$49</f>
        <v>614990.61183</v>
      </c>
      <c r="D7" s="27" t="n">
        <f aca="false">Revenue!AO$49</f>
        <v>2786041.10049085</v>
      </c>
      <c r="E7" s="27" t="n">
        <f aca="false">Revenue!AP$49</f>
        <v>6112587.95435765</v>
      </c>
    </row>
    <row r="8" customFormat="false" ht="15" hidden="false" customHeight="false" outlineLevel="0" collapsed="false">
      <c r="A8" s="26" t="s">
        <v>768</v>
      </c>
      <c r="B8" s="24" t="s">
        <v>769</v>
      </c>
      <c r="C8" s="27" t="n">
        <f aca="false">Expenses!AN$21</f>
        <v>226175.824168616</v>
      </c>
      <c r="D8" s="27" t="n">
        <f aca="false">Expenses!AO$21</f>
        <v>929744.100776583</v>
      </c>
      <c r="E8" s="27" t="n">
        <f aca="false">Expenses!AP$21</f>
        <v>2068776.34251246</v>
      </c>
    </row>
    <row r="9" customFormat="false" ht="15" hidden="false" customHeight="false" outlineLevel="0" collapsed="false">
      <c r="A9" s="10" t="s">
        <v>770</v>
      </c>
      <c r="B9" s="24"/>
      <c r="C9" s="25" t="n">
        <f aca="false">C7-C8</f>
        <v>388814.787661384</v>
      </c>
      <c r="D9" s="25" t="n">
        <f aca="false">D7-D8</f>
        <v>1856296.99971427</v>
      </c>
      <c r="E9" s="25" t="n">
        <f aca="false">E7-E8</f>
        <v>4043811.61184519</v>
      </c>
    </row>
    <row r="10" customFormat="false" ht="15" hidden="false" customHeight="false" outlineLevel="0" collapsed="false">
      <c r="A10" s="10" t="s">
        <v>771</v>
      </c>
      <c r="B10" s="24"/>
      <c r="C10" s="89" t="n">
        <f aca="false">IFERROR(C9/C7,0)</f>
        <v>0.632228818102451</v>
      </c>
      <c r="D10" s="89" t="n">
        <f aca="false">IFERROR(D9/D7,0)</f>
        <v>0.666284858248222</v>
      </c>
      <c r="E10" s="89" t="n">
        <f aca="false">IFERROR(E9/E7,0)</f>
        <v>0.661554752592535</v>
      </c>
    </row>
    <row r="11" customFormat="false" ht="15" hidden="false" customHeight="false" outlineLevel="0" collapsed="false">
      <c r="A11" s="26" t="s">
        <v>772</v>
      </c>
      <c r="B11" s="24" t="s">
        <v>773</v>
      </c>
      <c r="C11" s="27" t="n">
        <f aca="false">Expenses!AN$44</f>
        <v>604063.648791897</v>
      </c>
      <c r="D11" s="27" t="n">
        <f aca="false">Expenses!AO$44</f>
        <v>1274778.65871958</v>
      </c>
      <c r="E11" s="27" t="n">
        <f aca="false">Expenses!AP$44</f>
        <v>2236756.17960055</v>
      </c>
    </row>
    <row r="12" customFormat="false" ht="15" hidden="false" customHeight="false" outlineLevel="0" collapsed="false">
      <c r="A12" s="13" t="s">
        <v>774</v>
      </c>
      <c r="B12" s="69" t="s">
        <v>775</v>
      </c>
      <c r="C12" s="79" t="n">
        <f aca="false">IFERROR(C11/C10,0)</f>
        <v>955450.987832084</v>
      </c>
      <c r="D12" s="79" t="n">
        <f aca="false">IFERROR(D11/D10,0)</f>
        <v>1913263.73838239</v>
      </c>
      <c r="E12" s="79" t="n">
        <f aca="false">IFERROR(E11/E10,0)</f>
        <v>3381059.80016775</v>
      </c>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N12" s="81"/>
      <c r="AO12" s="81"/>
      <c r="AP12" s="81"/>
    </row>
    <row r="13" customFormat="false" ht="15" hidden="false" customHeight="false" outlineLevel="0" collapsed="false">
      <c r="A13" s="26" t="s">
        <v>776</v>
      </c>
      <c r="B13" s="24"/>
      <c r="C13" s="60" t="n">
        <f aca="false">C12/12</f>
        <v>79620.9156526736</v>
      </c>
      <c r="D13" s="60" t="n">
        <f aca="false">D12/12</f>
        <v>159438.644865199</v>
      </c>
      <c r="E13" s="60" t="n">
        <f aca="false">E12/12</f>
        <v>281754.983347313</v>
      </c>
    </row>
    <row r="14" customFormat="false" ht="15" hidden="false" customHeight="false" outlineLevel="0" collapsed="false">
      <c r="A14" s="10" t="s">
        <v>777</v>
      </c>
      <c r="B14" s="24" t="s">
        <v>778</v>
      </c>
      <c r="C14" s="89" t="n">
        <f aca="false">IFERROR((C7-C12)/C7,0)</f>
        <v>-0.553602558239045</v>
      </c>
      <c r="D14" s="89" t="n">
        <f aca="false">IFERROR((D7-D12)/D7,0)</f>
        <v>0.313267942082653</v>
      </c>
      <c r="E14" s="89" t="n">
        <f aca="false">IFERROR((E7-E12)/E7,0)</f>
        <v>0.446869341527036</v>
      </c>
    </row>
    <row r="15" customFormat="false" ht="15" hidden="false" customHeight="false" outlineLevel="0" collapsed="false">
      <c r="A15" s="26" t="s">
        <v>779</v>
      </c>
      <c r="B15" s="24" t="s">
        <v>780</v>
      </c>
      <c r="C15" s="88" t="n">
        <f aca="false">IFERROR(C12/Assumptions!$C$34,0)</f>
        <v>127.393465044278</v>
      </c>
      <c r="D15" s="88" t="n">
        <f aca="false">IFERROR(D12/Assumptions!$D$34,0)</f>
        <v>242.185283339543</v>
      </c>
      <c r="E15" s="88" t="n">
        <f aca="false">IFERROR(E12/Assumptions!$E$34,0)</f>
        <v>407.35660242985</v>
      </c>
    </row>
    <row r="17" customFormat="false" ht="16.5" hidden="false" customHeight="true" outlineLevel="0" collapsed="false">
      <c r="A17" s="21" t="s">
        <v>781</v>
      </c>
      <c r="B17" s="21"/>
      <c r="C17" s="21"/>
      <c r="D17" s="21"/>
      <c r="E17" s="21"/>
      <c r="F17" s="21"/>
      <c r="G17" s="21"/>
      <c r="H17" s="21"/>
    </row>
    <row r="18" customFormat="false" ht="15" hidden="false" customHeight="false" outlineLevel="0" collapsed="false">
      <c r="C18" s="23" t="s">
        <v>782</v>
      </c>
      <c r="D18" s="23" t="s">
        <v>783</v>
      </c>
    </row>
    <row r="19" customFormat="false" ht="15" hidden="true" customHeight="false" outlineLevel="0" collapsed="false">
      <c r="A19" s="96" t="s">
        <v>784</v>
      </c>
      <c r="C19" s="97" t="s">
        <v>347</v>
      </c>
      <c r="D19" s="97" t="s">
        <v>348</v>
      </c>
      <c r="E19" s="97" t="s">
        <v>349</v>
      </c>
      <c r="F19" s="97" t="s">
        <v>350</v>
      </c>
      <c r="G19" s="97" t="s">
        <v>351</v>
      </c>
      <c r="H19" s="97" t="s">
        <v>352</v>
      </c>
      <c r="I19" s="97" t="s">
        <v>353</v>
      </c>
      <c r="J19" s="97" t="s">
        <v>354</v>
      </c>
      <c r="K19" s="97" t="s">
        <v>355</v>
      </c>
      <c r="L19" s="97" t="s">
        <v>356</v>
      </c>
      <c r="M19" s="97" t="s">
        <v>357</v>
      </c>
      <c r="N19" s="97" t="s">
        <v>358</v>
      </c>
      <c r="O19" s="97" t="s">
        <v>359</v>
      </c>
      <c r="P19" s="97" t="s">
        <v>360</v>
      </c>
      <c r="Q19" s="97" t="s">
        <v>361</v>
      </c>
      <c r="R19" s="97" t="s">
        <v>362</v>
      </c>
      <c r="S19" s="97" t="s">
        <v>363</v>
      </c>
      <c r="T19" s="97" t="s">
        <v>364</v>
      </c>
      <c r="U19" s="97" t="s">
        <v>365</v>
      </c>
      <c r="V19" s="97" t="s">
        <v>366</v>
      </c>
      <c r="W19" s="97" t="s">
        <v>367</v>
      </c>
      <c r="X19" s="97" t="s">
        <v>368</v>
      </c>
      <c r="Y19" s="97" t="s">
        <v>369</v>
      </c>
      <c r="Z19" s="97" t="s">
        <v>370</v>
      </c>
      <c r="AA19" s="97" t="s">
        <v>371</v>
      </c>
      <c r="AB19" s="97" t="s">
        <v>372</v>
      </c>
      <c r="AC19" s="97" t="s">
        <v>373</v>
      </c>
      <c r="AD19" s="97" t="s">
        <v>374</v>
      </c>
      <c r="AE19" s="97" t="s">
        <v>375</v>
      </c>
      <c r="AF19" s="97" t="s">
        <v>376</v>
      </c>
      <c r="AG19" s="97" t="s">
        <v>377</v>
      </c>
      <c r="AH19" s="97" t="s">
        <v>378</v>
      </c>
      <c r="AI19" s="97" t="s">
        <v>379</v>
      </c>
      <c r="AJ19" s="97" t="s">
        <v>380</v>
      </c>
      <c r="AK19" s="97" t="s">
        <v>381</v>
      </c>
      <c r="AL19" s="97" t="s">
        <v>382</v>
      </c>
    </row>
    <row r="20" customFormat="false" ht="15" hidden="true" customHeight="false" outlineLevel="0" collapsed="false">
      <c r="A20" s="26" t="s">
        <v>785</v>
      </c>
      <c r="B20" s="24" t="s">
        <v>786</v>
      </c>
      <c r="C20" s="56" t="n">
        <f aca="false">IF(Expenses!C$48&gt;0,1,9999)</f>
        <v>9999</v>
      </c>
      <c r="D20" s="56" t="n">
        <f aca="false">IF(Expenses!D$48&gt;0,2,9999)</f>
        <v>9999</v>
      </c>
      <c r="E20" s="56" t="n">
        <f aca="false">IF(Expenses!E$48&gt;0,3,9999)</f>
        <v>9999</v>
      </c>
      <c r="F20" s="56" t="n">
        <f aca="false">IF(Expenses!F$48&gt;0,4,9999)</f>
        <v>9999</v>
      </c>
      <c r="G20" s="56" t="n">
        <f aca="false">IF(Expenses!G$48&gt;0,5,9999)</f>
        <v>9999</v>
      </c>
      <c r="H20" s="56" t="n">
        <f aca="false">IF(Expenses!H$48&gt;0,6,9999)</f>
        <v>9999</v>
      </c>
      <c r="I20" s="56" t="n">
        <f aca="false">IF(Expenses!I$48&gt;0,7,9999)</f>
        <v>9999</v>
      </c>
      <c r="J20" s="56" t="n">
        <f aca="false">IF(Expenses!J$48&gt;0,8,9999)</f>
        <v>9999</v>
      </c>
      <c r="K20" s="56" t="n">
        <f aca="false">IF(Expenses!K$48&gt;0,9,9999)</f>
        <v>9999</v>
      </c>
      <c r="L20" s="56" t="n">
        <f aca="false">IF(Expenses!L$48&gt;0,10,9999)</f>
        <v>10</v>
      </c>
      <c r="M20" s="56" t="n">
        <f aca="false">IF(Expenses!M$48&gt;0,11,9999)</f>
        <v>11</v>
      </c>
      <c r="N20" s="56" t="n">
        <f aca="false">IF(Expenses!N$48&gt;0,12,9999)</f>
        <v>12</v>
      </c>
      <c r="O20" s="56" t="n">
        <f aca="false">IF(Expenses!O$48&gt;0,13,9999)</f>
        <v>13</v>
      </c>
      <c r="P20" s="56" t="n">
        <f aca="false">IF(Expenses!P$48&gt;0,14,9999)</f>
        <v>14</v>
      </c>
      <c r="Q20" s="56" t="n">
        <f aca="false">IF(Expenses!Q$48&gt;0,15,9999)</f>
        <v>15</v>
      </c>
      <c r="R20" s="56" t="n">
        <f aca="false">IF(Expenses!R$48&gt;0,16,9999)</f>
        <v>16</v>
      </c>
      <c r="S20" s="56" t="n">
        <f aca="false">IF(Expenses!S$48&gt;0,17,9999)</f>
        <v>17</v>
      </c>
      <c r="T20" s="56" t="n">
        <f aca="false">IF(Expenses!T$48&gt;0,18,9999)</f>
        <v>18</v>
      </c>
      <c r="U20" s="56" t="n">
        <f aca="false">IF(Expenses!U$48&gt;0,19,9999)</f>
        <v>19</v>
      </c>
      <c r="V20" s="56" t="n">
        <f aca="false">IF(Expenses!V$48&gt;0,20,9999)</f>
        <v>20</v>
      </c>
      <c r="W20" s="56" t="n">
        <f aca="false">IF(Expenses!W$48&gt;0,21,9999)</f>
        <v>21</v>
      </c>
      <c r="X20" s="56" t="n">
        <f aca="false">IF(Expenses!X$48&gt;0,22,9999)</f>
        <v>22</v>
      </c>
      <c r="Y20" s="56" t="n">
        <f aca="false">IF(Expenses!Y$48&gt;0,23,9999)</f>
        <v>23</v>
      </c>
      <c r="Z20" s="56" t="n">
        <f aca="false">IF(Expenses!Z$48&gt;0,24,9999)</f>
        <v>24</v>
      </c>
      <c r="AA20" s="56" t="n">
        <f aca="false">IF(Expenses!AA$48&gt;0,25,9999)</f>
        <v>25</v>
      </c>
      <c r="AB20" s="56" t="n">
        <f aca="false">IF(Expenses!AB$48&gt;0,26,9999)</f>
        <v>26</v>
      </c>
      <c r="AC20" s="56" t="n">
        <f aca="false">IF(Expenses!AC$48&gt;0,27,9999)</f>
        <v>27</v>
      </c>
      <c r="AD20" s="56" t="n">
        <f aca="false">IF(Expenses!AD$48&gt;0,28,9999)</f>
        <v>28</v>
      </c>
      <c r="AE20" s="56" t="n">
        <f aca="false">IF(Expenses!AE$48&gt;0,29,9999)</f>
        <v>29</v>
      </c>
      <c r="AF20" s="56" t="n">
        <f aca="false">IF(Expenses!AF$48&gt;0,30,9999)</f>
        <v>30</v>
      </c>
      <c r="AG20" s="56" t="n">
        <f aca="false">IF(Expenses!AG$48&gt;0,31,9999)</f>
        <v>31</v>
      </c>
      <c r="AH20" s="56" t="n">
        <f aca="false">IF(Expenses!AH$48&gt;0,32,9999)</f>
        <v>32</v>
      </c>
      <c r="AI20" s="56" t="n">
        <f aca="false">IF(Expenses!AI$48&gt;0,33,9999)</f>
        <v>33</v>
      </c>
      <c r="AJ20" s="56" t="n">
        <f aca="false">IF(Expenses!AJ$48&gt;0,34,9999)</f>
        <v>34</v>
      </c>
      <c r="AK20" s="56" t="n">
        <f aca="false">IF(Expenses!AK$48&gt;0,35,9999)</f>
        <v>35</v>
      </c>
      <c r="AL20" s="56" t="n">
        <f aca="false">IF(Expenses!AL$48&gt;0,36,9999)</f>
        <v>36</v>
      </c>
    </row>
    <row r="21" customFormat="false" ht="15" hidden="true" customHeight="false" outlineLevel="0" collapsed="false">
      <c r="A21" s="26" t="s">
        <v>787</v>
      </c>
      <c r="B21" s="24" t="s">
        <v>788</v>
      </c>
      <c r="C21" s="56" t="n">
        <f aca="false">IF(Cash_Flow!C$26&gt;0,1,9999)</f>
        <v>9999</v>
      </c>
      <c r="D21" s="56" t="n">
        <f aca="false">IF(Cash_Flow!D$26&gt;0,2,9999)</f>
        <v>9999</v>
      </c>
      <c r="E21" s="56" t="n">
        <f aca="false">IF(Cash_Flow!E$26&gt;0,3,9999)</f>
        <v>9999</v>
      </c>
      <c r="F21" s="56" t="n">
        <f aca="false">IF(Cash_Flow!F$26&gt;0,4,9999)</f>
        <v>9999</v>
      </c>
      <c r="G21" s="56" t="n">
        <f aca="false">IF(Cash_Flow!G$26&gt;0,5,9999)</f>
        <v>9999</v>
      </c>
      <c r="H21" s="56" t="n">
        <f aca="false">IF(Cash_Flow!H$26&gt;0,6,9999)</f>
        <v>9999</v>
      </c>
      <c r="I21" s="56" t="n">
        <f aca="false">IF(Cash_Flow!I$26&gt;0,7,9999)</f>
        <v>9999</v>
      </c>
      <c r="J21" s="56" t="n">
        <f aca="false">IF(Cash_Flow!J$26&gt;0,8,9999)</f>
        <v>9999</v>
      </c>
      <c r="K21" s="56" t="n">
        <f aca="false">IF(Cash_Flow!K$26&gt;0,9,9999)</f>
        <v>9999</v>
      </c>
      <c r="L21" s="56" t="n">
        <f aca="false">IF(Cash_Flow!L$26&gt;0,10,9999)</f>
        <v>9999</v>
      </c>
      <c r="M21" s="56" t="n">
        <f aca="false">IF(Cash_Flow!M$26&gt;0,11,9999)</f>
        <v>11</v>
      </c>
      <c r="N21" s="56" t="n">
        <f aca="false">IF(Cash_Flow!N$26&gt;0,12,9999)</f>
        <v>12</v>
      </c>
      <c r="O21" s="56" t="n">
        <f aca="false">IF(Cash_Flow!O$26&gt;0,13,9999)</f>
        <v>13</v>
      </c>
      <c r="P21" s="56" t="n">
        <f aca="false">IF(Cash_Flow!P$26&gt;0,14,9999)</f>
        <v>9999</v>
      </c>
      <c r="Q21" s="56" t="n">
        <f aca="false">IF(Cash_Flow!Q$26&gt;0,15,9999)</f>
        <v>9999</v>
      </c>
      <c r="R21" s="56" t="n">
        <f aca="false">IF(Cash_Flow!R$26&gt;0,16,9999)</f>
        <v>16</v>
      </c>
      <c r="S21" s="56" t="n">
        <f aca="false">IF(Cash_Flow!S$26&gt;0,17,9999)</f>
        <v>17</v>
      </c>
      <c r="T21" s="56" t="n">
        <f aca="false">IF(Cash_Flow!T$26&gt;0,18,9999)</f>
        <v>18</v>
      </c>
      <c r="U21" s="56" t="n">
        <f aca="false">IF(Cash_Flow!U$26&gt;0,19,9999)</f>
        <v>19</v>
      </c>
      <c r="V21" s="56" t="n">
        <f aca="false">IF(Cash_Flow!V$26&gt;0,20,9999)</f>
        <v>20</v>
      </c>
      <c r="W21" s="56" t="n">
        <f aca="false">IF(Cash_Flow!W$26&gt;0,21,9999)</f>
        <v>21</v>
      </c>
      <c r="X21" s="56" t="n">
        <f aca="false">IF(Cash_Flow!X$26&gt;0,22,9999)</f>
        <v>22</v>
      </c>
      <c r="Y21" s="56" t="n">
        <f aca="false">IF(Cash_Flow!Y$26&gt;0,23,9999)</f>
        <v>23</v>
      </c>
      <c r="Z21" s="56" t="n">
        <f aca="false">IF(Cash_Flow!Z$26&gt;0,24,9999)</f>
        <v>24</v>
      </c>
      <c r="AA21" s="56" t="n">
        <f aca="false">IF(Cash_Flow!AA$26&gt;0,25,9999)</f>
        <v>25</v>
      </c>
      <c r="AB21" s="56" t="n">
        <f aca="false">IF(Cash_Flow!AB$26&gt;0,26,9999)</f>
        <v>26</v>
      </c>
      <c r="AC21" s="56" t="n">
        <f aca="false">IF(Cash_Flow!AC$26&gt;0,27,9999)</f>
        <v>27</v>
      </c>
      <c r="AD21" s="56" t="n">
        <f aca="false">IF(Cash_Flow!AD$26&gt;0,28,9999)</f>
        <v>28</v>
      </c>
      <c r="AE21" s="56" t="n">
        <f aca="false">IF(Cash_Flow!AE$26&gt;0,29,9999)</f>
        <v>29</v>
      </c>
      <c r="AF21" s="56" t="n">
        <f aca="false">IF(Cash_Flow!AF$26&gt;0,30,9999)</f>
        <v>30</v>
      </c>
      <c r="AG21" s="56" t="n">
        <f aca="false">IF(Cash_Flow!AG$26&gt;0,31,9999)</f>
        <v>31</v>
      </c>
      <c r="AH21" s="56" t="n">
        <f aca="false">IF(Cash_Flow!AH$26&gt;0,32,9999)</f>
        <v>32</v>
      </c>
      <c r="AI21" s="56" t="n">
        <f aca="false">IF(Cash_Flow!AI$26&gt;0,33,9999)</f>
        <v>33</v>
      </c>
      <c r="AJ21" s="56" t="n">
        <f aca="false">IF(Cash_Flow!AJ$26&gt;0,34,9999)</f>
        <v>34</v>
      </c>
      <c r="AK21" s="56" t="n">
        <f aca="false">IF(Cash_Flow!AK$26&gt;0,35,9999)</f>
        <v>35</v>
      </c>
      <c r="AL21" s="56" t="n">
        <f aca="false">IF(Cash_Flow!AL$26&gt;0,36,9999)</f>
        <v>36</v>
      </c>
    </row>
    <row r="22" customFormat="false" ht="15" hidden="true" customHeight="false" outlineLevel="0" collapsed="false">
      <c r="A22" s="26" t="s">
        <v>789</v>
      </c>
      <c r="B22" s="24" t="s">
        <v>790</v>
      </c>
      <c r="C22" s="56" t="n">
        <f aca="false">IF(1=1,9999,IF(Cash_Flow!C$33&gt;Cash_Flow!B$33,1,9999))</f>
        <v>9999</v>
      </c>
      <c r="D22" s="56" t="n">
        <f aca="false">IF(2=1,9999,IF(Cash_Flow!D$33&gt;Cash_Flow!C$33,2,9999))</f>
        <v>9999</v>
      </c>
      <c r="E22" s="56" t="n">
        <f aca="false">IF(3=1,9999,IF(Cash_Flow!E$33&gt;Cash_Flow!D$33,3,9999))</f>
        <v>9999</v>
      </c>
      <c r="F22" s="56" t="n">
        <f aca="false">IF(4=1,9999,IF(Cash_Flow!F$33&gt;Cash_Flow!E$33,4,9999))</f>
        <v>9999</v>
      </c>
      <c r="G22" s="56" t="n">
        <f aca="false">IF(5=1,9999,IF(Cash_Flow!G$33&gt;Cash_Flow!F$33,5,9999))</f>
        <v>9999</v>
      </c>
      <c r="H22" s="56" t="n">
        <f aca="false">IF(6=1,9999,IF(Cash_Flow!H$33&gt;Cash_Flow!G$33,6,9999))</f>
        <v>9999</v>
      </c>
      <c r="I22" s="56" t="n">
        <f aca="false">IF(7=1,9999,IF(Cash_Flow!I$33&gt;Cash_Flow!H$33,7,9999))</f>
        <v>9999</v>
      </c>
      <c r="J22" s="56" t="n">
        <f aca="false">IF(8=1,9999,IF(Cash_Flow!J$33&gt;Cash_Flow!I$33,8,9999))</f>
        <v>9999</v>
      </c>
      <c r="K22" s="56" t="n">
        <f aca="false">IF(9=1,9999,IF(Cash_Flow!K$33&gt;Cash_Flow!J$33,9,9999))</f>
        <v>9999</v>
      </c>
      <c r="L22" s="56" t="n">
        <f aca="false">IF(10=1,9999,IF(Cash_Flow!L$33&gt;Cash_Flow!K$33,10,9999))</f>
        <v>9999</v>
      </c>
      <c r="M22" s="56" t="n">
        <f aca="false">IF(11=1,9999,IF(Cash_Flow!M$33&gt;Cash_Flow!L$33,11,9999))</f>
        <v>11</v>
      </c>
      <c r="N22" s="56" t="n">
        <f aca="false">IF(12=1,9999,IF(Cash_Flow!N$33&gt;Cash_Flow!M$33,12,9999))</f>
        <v>12</v>
      </c>
      <c r="O22" s="56" t="n">
        <f aca="false">IF(13=1,9999,IF(Cash_Flow!O$33&gt;Cash_Flow!N$33,13,9999))</f>
        <v>13</v>
      </c>
      <c r="P22" s="56" t="n">
        <f aca="false">IF(14=1,9999,IF(Cash_Flow!P$33&gt;Cash_Flow!O$33,14,9999))</f>
        <v>9999</v>
      </c>
      <c r="Q22" s="56" t="n">
        <f aca="false">IF(15=1,9999,IF(Cash_Flow!Q$33&gt;Cash_Flow!P$33,15,9999))</f>
        <v>9999</v>
      </c>
      <c r="R22" s="56" t="n">
        <f aca="false">IF(16=1,9999,IF(Cash_Flow!R$33&gt;Cash_Flow!Q$33,16,9999))</f>
        <v>16</v>
      </c>
      <c r="S22" s="56" t="n">
        <f aca="false">IF(17=1,9999,IF(Cash_Flow!S$33&gt;Cash_Flow!R$33,17,9999))</f>
        <v>17</v>
      </c>
      <c r="T22" s="56" t="n">
        <f aca="false">IF(18=1,9999,IF(Cash_Flow!T$33&gt;Cash_Flow!S$33,18,9999))</f>
        <v>18</v>
      </c>
      <c r="U22" s="56" t="n">
        <f aca="false">IF(19=1,9999,IF(Cash_Flow!U$33&gt;Cash_Flow!T$33,19,9999))</f>
        <v>19</v>
      </c>
      <c r="V22" s="56" t="n">
        <f aca="false">IF(20=1,9999,IF(Cash_Flow!V$33&gt;Cash_Flow!U$33,20,9999))</f>
        <v>20</v>
      </c>
      <c r="W22" s="56" t="n">
        <f aca="false">IF(21=1,9999,IF(Cash_Flow!W$33&gt;Cash_Flow!V$33,21,9999))</f>
        <v>21</v>
      </c>
      <c r="X22" s="56" t="n">
        <f aca="false">IF(22=1,9999,IF(Cash_Flow!X$33&gt;Cash_Flow!W$33,22,9999))</f>
        <v>22</v>
      </c>
      <c r="Y22" s="56" t="n">
        <f aca="false">IF(23=1,9999,IF(Cash_Flow!Y$33&gt;Cash_Flow!X$33,23,9999))</f>
        <v>23</v>
      </c>
      <c r="Z22" s="56" t="n">
        <f aca="false">IF(24=1,9999,IF(Cash_Flow!Z$33&gt;Cash_Flow!Y$33,24,9999))</f>
        <v>24</v>
      </c>
      <c r="AA22" s="56" t="n">
        <f aca="false">IF(25=1,9999,IF(Cash_Flow!AA$33&gt;Cash_Flow!Z$33,25,9999))</f>
        <v>25</v>
      </c>
      <c r="AB22" s="56" t="n">
        <f aca="false">IF(26=1,9999,IF(Cash_Flow!AB$33&gt;Cash_Flow!AA$33,26,9999))</f>
        <v>26</v>
      </c>
      <c r="AC22" s="56" t="n">
        <f aca="false">IF(27=1,9999,IF(Cash_Flow!AC$33&gt;Cash_Flow!AB$33,27,9999))</f>
        <v>27</v>
      </c>
      <c r="AD22" s="56" t="n">
        <f aca="false">IF(28=1,9999,IF(Cash_Flow!AD$33&gt;Cash_Flow!AC$33,28,9999))</f>
        <v>28</v>
      </c>
      <c r="AE22" s="56" t="n">
        <f aca="false">IF(29=1,9999,IF(Cash_Flow!AE$33&gt;Cash_Flow!AD$33,29,9999))</f>
        <v>29</v>
      </c>
      <c r="AF22" s="56" t="n">
        <f aca="false">IF(30=1,9999,IF(Cash_Flow!AF$33&gt;Cash_Flow!AE$33,30,9999))</f>
        <v>30</v>
      </c>
      <c r="AG22" s="56" t="n">
        <f aca="false">IF(31=1,9999,IF(Cash_Flow!AG$33&gt;Cash_Flow!AF$33,31,9999))</f>
        <v>31</v>
      </c>
      <c r="AH22" s="56" t="n">
        <f aca="false">IF(32=1,9999,IF(Cash_Flow!AH$33&gt;Cash_Flow!AG$33,32,9999))</f>
        <v>32</v>
      </c>
      <c r="AI22" s="56" t="n">
        <f aca="false">IF(33=1,9999,IF(Cash_Flow!AI$33&gt;Cash_Flow!AH$33,33,9999))</f>
        <v>33</v>
      </c>
      <c r="AJ22" s="56" t="n">
        <f aca="false">IF(34=1,9999,IF(Cash_Flow!AJ$33&gt;Cash_Flow!AI$33,34,9999))</f>
        <v>34</v>
      </c>
      <c r="AK22" s="56" t="n">
        <f aca="false">IF(35=1,9999,IF(Cash_Flow!AK$33&gt;Cash_Flow!AJ$33,35,9999))</f>
        <v>35</v>
      </c>
      <c r="AL22" s="56" t="n">
        <f aca="false">IF(36=1,9999,IF(Cash_Flow!AL$33&gt;Cash_Flow!AK$33,36,9999))</f>
        <v>36</v>
      </c>
    </row>
    <row r="23" customFormat="false" ht="15" hidden="false" customHeight="false" outlineLevel="0" collapsed="false">
      <c r="A23" s="10" t="s">
        <v>791</v>
      </c>
      <c r="B23" s="24" t="s">
        <v>786</v>
      </c>
      <c r="C23" s="46" t="n">
        <f aca="false">MIN(C20:AL20)</f>
        <v>10</v>
      </c>
      <c r="D23" s="6" t="str">
        <f aca="false">IF(C23=9999,"not within 36 months",INDEX($C$19:$AL$19,1,C23))</f>
        <v>Jul 27</v>
      </c>
    </row>
    <row r="24" customFormat="false" ht="15" hidden="false" customHeight="false" outlineLevel="0" collapsed="false">
      <c r="A24" s="10" t="s">
        <v>792</v>
      </c>
      <c r="B24" s="24" t="s">
        <v>788</v>
      </c>
      <c r="C24" s="46" t="n">
        <f aca="false">MIN(C21:AL21)</f>
        <v>11</v>
      </c>
      <c r="D24" s="6" t="str">
        <f aca="false">IF(C24=9999,"not within 36 months",INDEX($C$19:$AL$19,1,C24))</f>
        <v>Aug 27</v>
      </c>
    </row>
    <row r="25" customFormat="false" ht="15" hidden="false" customHeight="false" outlineLevel="0" collapsed="false">
      <c r="A25" s="10" t="s">
        <v>793</v>
      </c>
      <c r="B25" s="24" t="s">
        <v>790</v>
      </c>
      <c r="C25" s="46" t="n">
        <f aca="false">MIN(C22:AL22)</f>
        <v>11</v>
      </c>
      <c r="D25" s="6" t="str">
        <f aca="false">IF(C25=9999,"not within 36 months",INDEX($C$19:$AL$19,1,C25))</f>
        <v>Aug 27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4"/>
    <col collapsed="false" customWidth="true" hidden="false" outlineLevel="0" max="2" min="2" style="1" width="26"/>
    <col collapsed="false" customWidth="true" hidden="false" outlineLevel="0" max="3" min="3" style="1" width="15"/>
    <col collapsed="false" customWidth="true" hidden="false" outlineLevel="0" max="4" min="4" style="1" width="26"/>
    <col collapsed="false" customWidth="true" hidden="false" outlineLevel="0" max="6" min="5" style="1" width="15"/>
  </cols>
  <sheetData>
    <row r="1" customFormat="false" ht="25.5" hidden="false" customHeight="true" outlineLevel="0" collapsed="false">
      <c r="A1" s="19" t="s">
        <v>794</v>
      </c>
      <c r="B1" s="19"/>
      <c r="C1" s="19"/>
      <c r="D1" s="19"/>
      <c r="E1" s="19"/>
      <c r="F1" s="19"/>
      <c r="G1" s="19"/>
      <c r="H1" s="19"/>
    </row>
    <row r="2" customFormat="false" ht="13.5" hidden="false" customHeight="true" outlineLevel="0" collapsed="false">
      <c r="A2" s="20" t="s">
        <v>795</v>
      </c>
      <c r="B2" s="20"/>
      <c r="C2" s="20"/>
      <c r="D2" s="20"/>
      <c r="E2" s="20"/>
      <c r="F2" s="20"/>
      <c r="G2" s="20"/>
      <c r="H2" s="20"/>
    </row>
    <row r="3" customFormat="false" ht="3.75" hidden="false" customHeight="true" outlineLevel="0" collapsed="false">
      <c r="A3" s="5"/>
      <c r="B3" s="5"/>
      <c r="C3" s="5"/>
      <c r="D3" s="5"/>
      <c r="E3" s="5"/>
      <c r="F3" s="5"/>
      <c r="G3" s="5"/>
      <c r="H3" s="5"/>
    </row>
    <row r="5" customFormat="false" ht="16.5" hidden="false" customHeight="true" outlineLevel="0" collapsed="false">
      <c r="A5" s="21" t="s">
        <v>796</v>
      </c>
      <c r="B5" s="21"/>
      <c r="C5" s="21"/>
      <c r="D5" s="21"/>
      <c r="E5" s="21"/>
      <c r="F5" s="21"/>
      <c r="G5" s="21"/>
      <c r="H5" s="21"/>
    </row>
    <row r="6" customFormat="false" ht="15" hidden="false" customHeight="false" outlineLevel="0" collapsed="false">
      <c r="A6" s="10" t="s">
        <v>797</v>
      </c>
      <c r="B6" s="24" t="s">
        <v>798</v>
      </c>
      <c r="C6" s="25" t="n">
        <f aca="false">Assumptions!$C$140</f>
        <v>50000</v>
      </c>
    </row>
    <row r="7" customFormat="false" ht="15" hidden="false" customHeight="false" outlineLevel="0" collapsed="false">
      <c r="A7" s="10" t="s">
        <v>799</v>
      </c>
      <c r="B7" s="24" t="s">
        <v>800</v>
      </c>
      <c r="C7" s="25" t="n">
        <f aca="false">Assumptions!$C$141</f>
        <v>600000</v>
      </c>
    </row>
    <row r="8" customFormat="false" ht="15" hidden="false" customHeight="false" outlineLevel="0" collapsed="false">
      <c r="A8" s="13" t="s">
        <v>801</v>
      </c>
      <c r="B8" s="69"/>
      <c r="C8" s="79" t="n">
        <f aca="false">Assumptions!$C$140+Assumptions!$C$141</f>
        <v>650000</v>
      </c>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N8" s="81"/>
      <c r="AO8" s="81"/>
      <c r="AP8" s="81"/>
    </row>
    <row r="10" customFormat="false" ht="16.5" hidden="false" customHeight="true" outlineLevel="0" collapsed="false">
      <c r="A10" s="21" t="s">
        <v>802</v>
      </c>
      <c r="B10" s="21"/>
      <c r="C10" s="21"/>
      <c r="D10" s="21"/>
      <c r="E10" s="21"/>
      <c r="F10" s="21"/>
      <c r="G10" s="21"/>
      <c r="H10" s="21"/>
    </row>
    <row r="11" customFormat="false" ht="15" hidden="false" customHeight="false" outlineLevel="0" collapsed="false">
      <c r="A11" s="22"/>
      <c r="B11" s="22"/>
      <c r="C11" s="23" t="s">
        <v>61</v>
      </c>
      <c r="D11" s="23" t="s">
        <v>62</v>
      </c>
      <c r="E11" s="23" t="s">
        <v>63</v>
      </c>
    </row>
    <row r="12" customFormat="false" ht="15" hidden="false" customHeight="false" outlineLevel="0" collapsed="false">
      <c r="A12" s="26" t="s">
        <v>803</v>
      </c>
      <c r="B12" s="24" t="s">
        <v>804</v>
      </c>
      <c r="C12" s="27" t="n">
        <f aca="false">KPIs!$C$42</f>
        <v>-529845.377538984</v>
      </c>
      <c r="D12" s="27" t="n">
        <f aca="false">KPIs!$D$42</f>
        <v>391265.036455137</v>
      </c>
      <c r="E12" s="27" t="n">
        <f aca="false">KPIs!$E$42</f>
        <v>1392064.55749975</v>
      </c>
    </row>
    <row r="13" customFormat="false" ht="15" hidden="false" customHeight="false" outlineLevel="0" collapsed="false">
      <c r="A13" s="10" t="s">
        <v>805</v>
      </c>
      <c r="B13" s="24"/>
      <c r="C13" s="25" t="n">
        <f aca="false">C12</f>
        <v>-529845.377538984</v>
      </c>
      <c r="D13" s="25" t="n">
        <f aca="false">C13+D12</f>
        <v>-138580.341083847</v>
      </c>
      <c r="E13" s="25" t="n">
        <f aca="false">D13+E12</f>
        <v>1253484.2164159</v>
      </c>
    </row>
    <row r="14" customFormat="false" ht="15" hidden="false" customHeight="false" outlineLevel="0" collapsed="false">
      <c r="A14" s="10" t="s">
        <v>806</v>
      </c>
      <c r="B14" s="24" t="s">
        <v>807</v>
      </c>
      <c r="C14" s="89" t="n">
        <f aca="false">IFERROR(C13/$C$8,0)</f>
        <v>-0.81514673467536</v>
      </c>
      <c r="D14" s="89" t="n">
        <f aca="false">IFERROR(D13/$C$8,0)</f>
        <v>-0.213200524744379</v>
      </c>
      <c r="E14" s="89" t="n">
        <f aca="false">IFERROR(E13/$C$8,0)</f>
        <v>1.92843725602447</v>
      </c>
    </row>
    <row r="15" customFormat="false" ht="15" hidden="false" customHeight="false" outlineLevel="0" collapsed="false">
      <c r="A15" s="26" t="s">
        <v>808</v>
      </c>
      <c r="B15" s="24"/>
      <c r="C15" s="60" t="n">
        <f aca="false">MAX(0,$C$8-C13)</f>
        <v>1179845.37753898</v>
      </c>
      <c r="D15" s="60" t="n">
        <f aca="false">MAX(0,$C$8-D13)</f>
        <v>788580.341083847</v>
      </c>
      <c r="E15" s="60" t="n">
        <f aca="false">MAX(0,$C$8-E13)</f>
        <v>0</v>
      </c>
    </row>
    <row r="17" customFormat="false" ht="16.5" hidden="false" customHeight="true" outlineLevel="0" collapsed="false">
      <c r="A17" s="21" t="s">
        <v>809</v>
      </c>
      <c r="B17" s="21"/>
      <c r="C17" s="21"/>
      <c r="D17" s="21"/>
      <c r="E17" s="21"/>
      <c r="F17" s="21"/>
      <c r="G17" s="21"/>
      <c r="H17" s="21"/>
    </row>
    <row r="18" customFormat="false" ht="15" hidden="true" customHeight="false" outlineLevel="0" collapsed="false">
      <c r="C18" s="97" t="s">
        <v>347</v>
      </c>
      <c r="D18" s="97" t="s">
        <v>348</v>
      </c>
      <c r="E18" s="97" t="s">
        <v>349</v>
      </c>
      <c r="F18" s="97" t="s">
        <v>350</v>
      </c>
      <c r="G18" s="97" t="s">
        <v>351</v>
      </c>
      <c r="H18" s="97" t="s">
        <v>352</v>
      </c>
      <c r="I18" s="97" t="s">
        <v>353</v>
      </c>
      <c r="J18" s="97" t="s">
        <v>354</v>
      </c>
      <c r="K18" s="97" t="s">
        <v>355</v>
      </c>
      <c r="L18" s="97" t="s">
        <v>356</v>
      </c>
      <c r="M18" s="97" t="s">
        <v>357</v>
      </c>
      <c r="N18" s="97" t="s">
        <v>358</v>
      </c>
      <c r="O18" s="97" t="s">
        <v>359</v>
      </c>
      <c r="P18" s="97" t="s">
        <v>360</v>
      </c>
      <c r="Q18" s="97" t="s">
        <v>361</v>
      </c>
      <c r="R18" s="97" t="s">
        <v>362</v>
      </c>
      <c r="S18" s="97" t="s">
        <v>363</v>
      </c>
      <c r="T18" s="97" t="s">
        <v>364</v>
      </c>
      <c r="U18" s="97" t="s">
        <v>365</v>
      </c>
      <c r="V18" s="97" t="s">
        <v>366</v>
      </c>
      <c r="W18" s="97" t="s">
        <v>367</v>
      </c>
      <c r="X18" s="97" t="s">
        <v>368</v>
      </c>
      <c r="Y18" s="97" t="s">
        <v>369</v>
      </c>
      <c r="Z18" s="97" t="s">
        <v>370</v>
      </c>
      <c r="AA18" s="97" t="s">
        <v>371</v>
      </c>
      <c r="AB18" s="97" t="s">
        <v>372</v>
      </c>
      <c r="AC18" s="97" t="s">
        <v>373</v>
      </c>
      <c r="AD18" s="97" t="s">
        <v>374</v>
      </c>
      <c r="AE18" s="97" t="s">
        <v>375</v>
      </c>
      <c r="AF18" s="97" t="s">
        <v>376</v>
      </c>
      <c r="AG18" s="97" t="s">
        <v>377</v>
      </c>
      <c r="AH18" s="97" t="s">
        <v>378</v>
      </c>
      <c r="AI18" s="97" t="s">
        <v>379</v>
      </c>
      <c r="AJ18" s="97" t="s">
        <v>380</v>
      </c>
      <c r="AK18" s="97" t="s">
        <v>381</v>
      </c>
      <c r="AL18" s="97" t="s">
        <v>382</v>
      </c>
    </row>
    <row r="19" customFormat="false" ht="15" hidden="true" customHeight="false" outlineLevel="0" collapsed="false">
      <c r="A19" s="26" t="s">
        <v>810</v>
      </c>
      <c r="B19" s="24"/>
      <c r="C19" s="51" t="n">
        <f aca="false">Cash_Flow!C$26+Cash_Flow!C$28</f>
        <v>-181864.26747416</v>
      </c>
      <c r="D19" s="51" t="n">
        <f aca="false">C19+Cash_Flow!D$26+Cash_Flow!D$28</f>
        <v>-234499.513546697</v>
      </c>
      <c r="E19" s="51" t="n">
        <f aca="false">D19+Cash_Flow!E$26+Cash_Flow!E$28</f>
        <v>-277837.720813996</v>
      </c>
      <c r="F19" s="51" t="n">
        <f aca="false">E19+Cash_Flow!F$26+Cash_Flow!F$28</f>
        <v>-344045.58327757</v>
      </c>
      <c r="G19" s="51" t="n">
        <f aca="false">F19+Cash_Flow!G$26+Cash_Flow!G$28</f>
        <v>-376747.170294519</v>
      </c>
      <c r="H19" s="51" t="n">
        <f aca="false">G19+Cash_Flow!H$26+Cash_Flow!H$28</f>
        <v>-409155.370972881</v>
      </c>
      <c r="I19" s="51" t="n">
        <f aca="false">H19+Cash_Flow!I$26+Cash_Flow!I$28</f>
        <v>-458256.359170156</v>
      </c>
      <c r="J19" s="51" t="n">
        <f aca="false">I19+Cash_Flow!J$26+Cash_Flow!J$28</f>
        <v>-477617.932929569</v>
      </c>
      <c r="K19" s="51" t="n">
        <f aca="false">J19+Cash_Flow!K$26+Cash_Flow!K$28</f>
        <v>-495990.965954979</v>
      </c>
      <c r="L19" s="51" t="n">
        <f aca="false">K19+Cash_Flow!L$26+Cash_Flow!L$28</f>
        <v>-558891.677567056</v>
      </c>
      <c r="M19" s="51" t="n">
        <f aca="false">L19+Cash_Flow!M$26+Cash_Flow!M$28</f>
        <v>-545696.261492797</v>
      </c>
      <c r="N19" s="51" t="n">
        <f aca="false">M19+Cash_Flow!N$26+Cash_Flow!N$28</f>
        <v>-529845.377538984</v>
      </c>
      <c r="O19" s="51" t="n">
        <f aca="false">N19+Cash_Flow!O$26+Cash_Flow!O$28</f>
        <v>-518934.549713614</v>
      </c>
      <c r="P19" s="51" t="n">
        <f aca="false">O19+Cash_Flow!P$26+Cash_Flow!P$28</f>
        <v>-533717.042415229</v>
      </c>
      <c r="Q19" s="51" t="n">
        <f aca="false">P19+Cash_Flow!Q$26+Cash_Flow!Q$28</f>
        <v>-536315.033188931</v>
      </c>
      <c r="R19" s="51" t="n">
        <f aca="false">Q19+Cash_Flow!R$26+Cash_Flow!R$28</f>
        <v>-487516.438331319</v>
      </c>
      <c r="S19" s="51" t="n">
        <f aca="false">R19+Cash_Flow!S$26+Cash_Flow!S$28</f>
        <v>-483693.697353798</v>
      </c>
      <c r="T19" s="51" t="n">
        <f aca="false">S19+Cash_Flow!T$26+Cash_Flow!T$28</f>
        <v>-475694.118631993</v>
      </c>
      <c r="U19" s="51" t="n">
        <f aca="false">T19+Cash_Flow!U$26+Cash_Flow!U$28</f>
        <v>-447256.774551822</v>
      </c>
      <c r="V19" s="51" t="n">
        <f aca="false">U19+Cash_Flow!V$26+Cash_Flow!V$28</f>
        <v>-411521.404952131</v>
      </c>
      <c r="W19" s="51" t="n">
        <f aca="false">V19+Cash_Flow!W$26+Cash_Flow!W$28</f>
        <v>-369908.874393933</v>
      </c>
      <c r="X19" s="51" t="n">
        <f aca="false">W19+Cash_Flow!X$26+Cash_Flow!X$28</f>
        <v>-242713.326060638</v>
      </c>
      <c r="Y19" s="51" t="n">
        <f aca="false">X19+Cash_Flow!Y$26+Cash_Flow!Y$28</f>
        <v>-193926.250919464</v>
      </c>
      <c r="Z19" s="51" t="n">
        <f aca="false">Y19+Cash_Flow!Z$26+Cash_Flow!Z$28</f>
        <v>-138580.341083846</v>
      </c>
      <c r="AA19" s="51" t="n">
        <f aca="false">Z19+Cash_Flow!AA$26+Cash_Flow!AA$28</f>
        <v>-76076.202172622</v>
      </c>
      <c r="AB19" s="51" t="n">
        <f aca="false">AA19+Cash_Flow!AB$26+Cash_Flow!AB$28</f>
        <v>-28217.0552150959</v>
      </c>
      <c r="AC19" s="51" t="n">
        <f aca="false">AB19+Cash_Flow!AC$26+Cash_Flow!AC$28</f>
        <v>29095.2876880314</v>
      </c>
      <c r="AD19" s="51" t="n">
        <f aca="false">AC19+Cash_Flow!AD$26+Cash_Flow!AD$28</f>
        <v>139169.781039565</v>
      </c>
      <c r="AE19" s="51" t="n">
        <f aca="false">AD19+Cash_Flow!AE$26+Cash_Flow!AE$28</f>
        <v>205574.70021692</v>
      </c>
      <c r="AF19" s="51" t="n">
        <f aca="false">AE19+Cash_Flow!AF$26+Cash_Flow!AF$28</f>
        <v>282349.670087864</v>
      </c>
      <c r="AG19" s="51" t="n">
        <f aca="false">AF19+Cash_Flow!AG$26+Cash_Flow!AG$28</f>
        <v>486731.982947056</v>
      </c>
      <c r="AH19" s="51" t="n">
        <f aca="false">AG19+Cash_Flow!AH$26+Cash_Flow!AH$28</f>
        <v>588133.551595275</v>
      </c>
      <c r="AI19" s="51" t="n">
        <f aca="false">AH19+Cash_Flow!AI$26+Cash_Flow!AI$28</f>
        <v>701855.240124146</v>
      </c>
      <c r="AJ19" s="51" t="n">
        <f aca="false">AI19+Cash_Flow!AJ$26+Cash_Flow!AJ$28</f>
        <v>984884.757338292</v>
      </c>
      <c r="AK19" s="51" t="n">
        <f aca="false">AJ19+Cash_Flow!AK$26+Cash_Flow!AK$28</f>
        <v>1112359.55720015</v>
      </c>
      <c r="AL19" s="51" t="n">
        <f aca="false">AK19+Cash_Flow!AL$26+Cash_Flow!AL$28</f>
        <v>1253484.21641591</v>
      </c>
    </row>
    <row r="20" customFormat="false" ht="15" hidden="true" customHeight="false" outlineLevel="0" collapsed="false">
      <c r="A20" s="26" t="s">
        <v>811</v>
      </c>
      <c r="B20" s="24"/>
      <c r="C20" s="56" t="n">
        <f aca="false">IF(C19&gt;=$C$8,1,9999)</f>
        <v>9999</v>
      </c>
      <c r="D20" s="56" t="n">
        <f aca="false">IF(D19&gt;=$C$8,2,9999)</f>
        <v>9999</v>
      </c>
      <c r="E20" s="56" t="n">
        <f aca="false">IF(E19&gt;=$C$8,3,9999)</f>
        <v>9999</v>
      </c>
      <c r="F20" s="56" t="n">
        <f aca="false">IF(F19&gt;=$C$8,4,9999)</f>
        <v>9999</v>
      </c>
      <c r="G20" s="56" t="n">
        <f aca="false">IF(G19&gt;=$C$8,5,9999)</f>
        <v>9999</v>
      </c>
      <c r="H20" s="56" t="n">
        <f aca="false">IF(H19&gt;=$C$8,6,9999)</f>
        <v>9999</v>
      </c>
      <c r="I20" s="56" t="n">
        <f aca="false">IF(I19&gt;=$C$8,7,9999)</f>
        <v>9999</v>
      </c>
      <c r="J20" s="56" t="n">
        <f aca="false">IF(J19&gt;=$C$8,8,9999)</f>
        <v>9999</v>
      </c>
      <c r="K20" s="56" t="n">
        <f aca="false">IF(K19&gt;=$C$8,9,9999)</f>
        <v>9999</v>
      </c>
      <c r="L20" s="56" t="n">
        <f aca="false">IF(L19&gt;=$C$8,10,9999)</f>
        <v>9999</v>
      </c>
      <c r="M20" s="56" t="n">
        <f aca="false">IF(M19&gt;=$C$8,11,9999)</f>
        <v>9999</v>
      </c>
      <c r="N20" s="56" t="n">
        <f aca="false">IF(N19&gt;=$C$8,12,9999)</f>
        <v>9999</v>
      </c>
      <c r="O20" s="56" t="n">
        <f aca="false">IF(O19&gt;=$C$8,13,9999)</f>
        <v>9999</v>
      </c>
      <c r="P20" s="56" t="n">
        <f aca="false">IF(P19&gt;=$C$8,14,9999)</f>
        <v>9999</v>
      </c>
      <c r="Q20" s="56" t="n">
        <f aca="false">IF(Q19&gt;=$C$8,15,9999)</f>
        <v>9999</v>
      </c>
      <c r="R20" s="56" t="n">
        <f aca="false">IF(R19&gt;=$C$8,16,9999)</f>
        <v>9999</v>
      </c>
      <c r="S20" s="56" t="n">
        <f aca="false">IF(S19&gt;=$C$8,17,9999)</f>
        <v>9999</v>
      </c>
      <c r="T20" s="56" t="n">
        <f aca="false">IF(T19&gt;=$C$8,18,9999)</f>
        <v>9999</v>
      </c>
      <c r="U20" s="56" t="n">
        <f aca="false">IF(U19&gt;=$C$8,19,9999)</f>
        <v>9999</v>
      </c>
      <c r="V20" s="56" t="n">
        <f aca="false">IF(V19&gt;=$C$8,20,9999)</f>
        <v>9999</v>
      </c>
      <c r="W20" s="56" t="n">
        <f aca="false">IF(W19&gt;=$C$8,21,9999)</f>
        <v>9999</v>
      </c>
      <c r="X20" s="56" t="n">
        <f aca="false">IF(X19&gt;=$C$8,22,9999)</f>
        <v>9999</v>
      </c>
      <c r="Y20" s="56" t="n">
        <f aca="false">IF(Y19&gt;=$C$8,23,9999)</f>
        <v>9999</v>
      </c>
      <c r="Z20" s="56" t="n">
        <f aca="false">IF(Z19&gt;=$C$8,24,9999)</f>
        <v>9999</v>
      </c>
      <c r="AA20" s="56" t="n">
        <f aca="false">IF(AA19&gt;=$C$8,25,9999)</f>
        <v>9999</v>
      </c>
      <c r="AB20" s="56" t="n">
        <f aca="false">IF(AB19&gt;=$C$8,26,9999)</f>
        <v>9999</v>
      </c>
      <c r="AC20" s="56" t="n">
        <f aca="false">IF(AC19&gt;=$C$8,27,9999)</f>
        <v>9999</v>
      </c>
      <c r="AD20" s="56" t="n">
        <f aca="false">IF(AD19&gt;=$C$8,28,9999)</f>
        <v>9999</v>
      </c>
      <c r="AE20" s="56" t="n">
        <f aca="false">IF(AE19&gt;=$C$8,29,9999)</f>
        <v>9999</v>
      </c>
      <c r="AF20" s="56" t="n">
        <f aca="false">IF(AF19&gt;=$C$8,30,9999)</f>
        <v>9999</v>
      </c>
      <c r="AG20" s="56" t="n">
        <f aca="false">IF(AG19&gt;=$C$8,31,9999)</f>
        <v>9999</v>
      </c>
      <c r="AH20" s="56" t="n">
        <f aca="false">IF(AH19&gt;=$C$8,32,9999)</f>
        <v>9999</v>
      </c>
      <c r="AI20" s="56" t="n">
        <f aca="false">IF(AI19&gt;=$C$8,33,9999)</f>
        <v>33</v>
      </c>
      <c r="AJ20" s="56" t="n">
        <f aca="false">IF(AJ19&gt;=$C$8,34,9999)</f>
        <v>34</v>
      </c>
      <c r="AK20" s="56" t="n">
        <f aca="false">IF(AK19&gt;=$C$8,35,9999)</f>
        <v>35</v>
      </c>
      <c r="AL20" s="56" t="n">
        <f aca="false">IF(AL19&gt;=$C$8,36,9999)</f>
        <v>36</v>
      </c>
    </row>
    <row r="21" customFormat="false" ht="15" hidden="false" customHeight="false" outlineLevel="0" collapsed="false">
      <c r="A21" s="10" t="s">
        <v>812</v>
      </c>
      <c r="B21" s="24" t="s">
        <v>813</v>
      </c>
      <c r="C21" s="46" t="n">
        <f aca="false">MIN(C20:AL20)</f>
        <v>33</v>
      </c>
      <c r="D21" s="6" t="str">
        <f aca="false">IF(C21=9999,"beyond the 36 months modelled",INDEX($C$18:$AL$18,1,C21))</f>
        <v>Jun 28</v>
      </c>
    </row>
    <row r="23" customFormat="false" ht="16.5" hidden="false" customHeight="true" outlineLevel="0" collapsed="false">
      <c r="A23" s="21" t="s">
        <v>814</v>
      </c>
      <c r="B23" s="21"/>
      <c r="C23" s="21"/>
      <c r="D23" s="21"/>
      <c r="E23" s="21"/>
      <c r="F23" s="21"/>
      <c r="G23" s="21"/>
      <c r="H23" s="21"/>
    </row>
    <row r="24" customFormat="false" ht="15" hidden="false" customHeight="false" outlineLevel="0" collapsed="false">
      <c r="A24" s="22"/>
      <c r="B24" s="22"/>
      <c r="C24" s="23" t="s">
        <v>61</v>
      </c>
      <c r="D24" s="23" t="s">
        <v>62</v>
      </c>
      <c r="E24" s="23" t="s">
        <v>63</v>
      </c>
      <c r="F24" s="23" t="s">
        <v>815</v>
      </c>
    </row>
    <row r="25" customFormat="false" ht="15" hidden="false" customHeight="false" outlineLevel="0" collapsed="false">
      <c r="A25" s="10" t="s">
        <v>698</v>
      </c>
      <c r="B25" s="24" t="s">
        <v>816</v>
      </c>
      <c r="C25" s="25" t="n">
        <f aca="false">Stress_Test!C$21-Capex!AN$18</f>
        <v>-346885.333352736</v>
      </c>
      <c r="D25" s="25" t="n">
        <f aca="false">Stress_Test!D$21-Capex!AO$18</f>
        <v>624919.382661359</v>
      </c>
      <c r="E25" s="25" t="n">
        <f aca="false">Stress_Test!E$21-Capex!AP$18</f>
        <v>1861439.30724464</v>
      </c>
      <c r="F25" s="89" t="n">
        <f aca="false">IFERROR(SUM(C25:E25)/$C$8,0)</f>
        <v>3.29149747162041</v>
      </c>
    </row>
    <row r="26" customFormat="false" ht="15" hidden="false" customHeight="false" outlineLevel="0" collapsed="false">
      <c r="A26" s="26" t="s">
        <v>700</v>
      </c>
      <c r="B26" s="24" t="s">
        <v>816</v>
      </c>
      <c r="C26" s="60" t="n">
        <f aca="false">Stress_Test!C$22-Capex!AN$18</f>
        <v>-281162.254073916</v>
      </c>
      <c r="D26" s="60" t="n">
        <f aca="false">Stress_Test!D$22-Capex!AO$18</f>
        <v>1016702.39184815</v>
      </c>
      <c r="E26" s="60" t="n">
        <f aca="false">Stress_Test!E$22-Capex!AP$18</f>
        <v>2736887.85839569</v>
      </c>
      <c r="F26" s="89" t="n">
        <f aca="false">IFERROR(SUM(C26:E26)/$C$8,0)</f>
        <v>5.34219691718449</v>
      </c>
    </row>
    <row r="27" customFormat="false" ht="15" hidden="false" customHeight="false" outlineLevel="0" collapsed="false">
      <c r="A27" s="26" t="s">
        <v>702</v>
      </c>
      <c r="B27" s="24" t="s">
        <v>816</v>
      </c>
      <c r="C27" s="60" t="n">
        <f aca="false">Stress_Test!C$23-Capex!AN$18</f>
        <v>-466211.570087857</v>
      </c>
      <c r="D27" s="60" t="n">
        <f aca="false">Stress_Test!D$23-Capex!AO$18</f>
        <v>62724.1960110161</v>
      </c>
      <c r="E27" s="60" t="n">
        <f aca="false">Stress_Test!E$23-Capex!AP$18</f>
        <v>642398.811658911</v>
      </c>
      <c r="F27" s="89" t="n">
        <f aca="false">IFERROR(SUM(C27:E27)/$C$8,0)</f>
        <v>0.367556057818569</v>
      </c>
    </row>
    <row r="28" customFormat="false" ht="15" hidden="false" customHeight="false" outlineLevel="0" collapsed="false">
      <c r="A28" s="26" t="s">
        <v>704</v>
      </c>
      <c r="B28" s="24" t="s">
        <v>816</v>
      </c>
      <c r="C28" s="60" t="n">
        <f aca="false">Stress_Test!C$24-Capex!AN$18</f>
        <v>-544555.403789155</v>
      </c>
      <c r="D28" s="60" t="n">
        <f aca="false">Stress_Test!D$24-Capex!AO$18</f>
        <v>-349020.506066078</v>
      </c>
      <c r="E28" s="60" t="n">
        <f aca="false">Stress_Test!E$24-Capex!AP$18</f>
        <v>-267114.58396007</v>
      </c>
      <c r="F28" s="89" t="n">
        <f aca="false">IFERROR(SUM(C28:E28)/$C$8,0)</f>
        <v>-1.78567768279277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4"/>
    <col collapsed="false" customWidth="true" hidden="false" outlineLevel="0" max="2" min="2" style="1" width="26"/>
    <col collapsed="false" customWidth="true" hidden="false" outlineLevel="0" max="6" min="3" style="1" width="15"/>
  </cols>
  <sheetData>
    <row r="1" customFormat="false" ht="25.5" hidden="false" customHeight="true" outlineLevel="0" collapsed="false">
      <c r="A1" s="19" t="s">
        <v>817</v>
      </c>
      <c r="B1" s="19"/>
      <c r="C1" s="19"/>
      <c r="D1" s="19"/>
      <c r="E1" s="19"/>
      <c r="F1" s="19"/>
      <c r="G1" s="19"/>
      <c r="H1" s="19"/>
    </row>
    <row r="2" customFormat="false" ht="13.5" hidden="false" customHeight="true" outlineLevel="0" collapsed="false">
      <c r="A2" s="20" t="s">
        <v>818</v>
      </c>
      <c r="B2" s="20"/>
      <c r="C2" s="20"/>
      <c r="D2" s="20"/>
      <c r="E2" s="20"/>
      <c r="F2" s="20"/>
      <c r="G2" s="20"/>
      <c r="H2" s="20"/>
    </row>
    <row r="3" customFormat="false" ht="3.75" hidden="false" customHeight="true" outlineLevel="0" collapsed="false">
      <c r="A3" s="5"/>
      <c r="B3" s="5"/>
      <c r="C3" s="5"/>
      <c r="D3" s="5"/>
      <c r="E3" s="5"/>
      <c r="F3" s="5"/>
      <c r="G3" s="5"/>
      <c r="H3" s="5"/>
    </row>
    <row r="5" customFormat="false" ht="16.5" hidden="false" customHeight="true" outlineLevel="0" collapsed="false">
      <c r="A5" s="21" t="s">
        <v>819</v>
      </c>
      <c r="B5" s="21"/>
      <c r="C5" s="21"/>
      <c r="D5" s="21"/>
      <c r="E5" s="21"/>
      <c r="F5" s="21"/>
      <c r="G5" s="21"/>
      <c r="H5" s="21"/>
    </row>
    <row r="6" customFormat="false" ht="15" hidden="false" customHeight="false" outlineLevel="0" collapsed="false">
      <c r="A6" s="22"/>
      <c r="B6" s="22"/>
      <c r="C6" s="23" t="s">
        <v>820</v>
      </c>
      <c r="D6" s="23" t="s">
        <v>821</v>
      </c>
    </row>
    <row r="7" customFormat="false" ht="15" hidden="false" customHeight="false" outlineLevel="0" collapsed="false">
      <c r="A7" s="26" t="s">
        <v>822</v>
      </c>
      <c r="B7" s="24" t="s">
        <v>823</v>
      </c>
      <c r="C7" s="39" t="n">
        <v>175000</v>
      </c>
      <c r="D7" s="39" t="n">
        <v>350000</v>
      </c>
    </row>
    <row r="8" customFormat="false" ht="15" hidden="false" customHeight="false" outlineLevel="0" collapsed="false">
      <c r="A8" s="26" t="s">
        <v>824</v>
      </c>
      <c r="B8" s="24" t="s">
        <v>825</v>
      </c>
      <c r="C8" s="39" t="n">
        <v>1400000</v>
      </c>
      <c r="D8" s="39" t="n">
        <v>2600000</v>
      </c>
    </row>
    <row r="9" customFormat="false" ht="15" hidden="false" customHeight="false" outlineLevel="0" collapsed="false">
      <c r="A9" s="10" t="s">
        <v>826</v>
      </c>
      <c r="B9" s="24"/>
      <c r="C9" s="25" t="n">
        <f aca="false">C8+C7</f>
        <v>1575000</v>
      </c>
      <c r="D9" s="25" t="n">
        <f aca="false">D8+D7</f>
        <v>2950000</v>
      </c>
    </row>
    <row r="10" customFormat="false" ht="15" hidden="false" customHeight="false" outlineLevel="0" collapsed="false">
      <c r="A10" s="10" t="s">
        <v>827</v>
      </c>
      <c r="B10" s="24"/>
      <c r="C10" s="89" t="n">
        <f aca="false">IFERROR(C7/C9,0)</f>
        <v>0.111111111111111</v>
      </c>
      <c r="D10" s="89" t="n">
        <f aca="false">IFERROR(D7/D9,0)</f>
        <v>0.11864406779661</v>
      </c>
    </row>
    <row r="11" customFormat="false" ht="15" hidden="false" customHeight="false" outlineLevel="0" collapsed="false">
      <c r="A11" s="26" t="s">
        <v>828</v>
      </c>
      <c r="B11" s="24" t="s">
        <v>829</v>
      </c>
      <c r="C11" s="34" t="n">
        <v>0.38</v>
      </c>
      <c r="D11" s="34" t="n">
        <v>0.3</v>
      </c>
    </row>
    <row r="12" customFormat="false" ht="15" hidden="false" customHeight="false" outlineLevel="0" collapsed="false">
      <c r="A12" s="13" t="s">
        <v>830</v>
      </c>
      <c r="B12" s="69"/>
      <c r="C12" s="98" t="n">
        <f aca="false">C10*(1-C11)</f>
        <v>0.0688888888888889</v>
      </c>
      <c r="D12" s="98" t="n">
        <f aca="false">D10*(1-D11)</f>
        <v>0.0830508474576271</v>
      </c>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N12" s="81"/>
      <c r="AO12" s="81"/>
      <c r="AP12" s="81"/>
    </row>
    <row r="14" customFormat="false" ht="16.5" hidden="false" customHeight="true" outlineLevel="0" collapsed="false">
      <c r="A14" s="21" t="s">
        <v>831</v>
      </c>
      <c r="B14" s="21"/>
      <c r="C14" s="21"/>
      <c r="D14" s="21"/>
      <c r="E14" s="21"/>
      <c r="F14" s="21"/>
      <c r="G14" s="21"/>
      <c r="H14" s="21"/>
    </row>
    <row r="15" customFormat="false" ht="15" hidden="false" customHeight="false" outlineLevel="0" collapsed="false">
      <c r="A15" s="32" t="s">
        <v>832</v>
      </c>
      <c r="B15" s="32"/>
      <c r="C15" s="32"/>
      <c r="D15" s="32"/>
      <c r="E15" s="32"/>
      <c r="F15" s="32"/>
      <c r="G15" s="32"/>
      <c r="H15" s="32"/>
    </row>
    <row r="16" customFormat="false" ht="15" hidden="false" customHeight="false" outlineLevel="0" collapsed="false">
      <c r="A16" s="83" t="s">
        <v>833</v>
      </c>
      <c r="B16" s="22"/>
      <c r="C16" s="84" t="s">
        <v>834</v>
      </c>
      <c r="D16" s="84" t="s">
        <v>835</v>
      </c>
      <c r="E16" s="84" t="s">
        <v>836</v>
      </c>
      <c r="F16" s="84" t="s">
        <v>837</v>
      </c>
    </row>
    <row r="17" customFormat="false" ht="15" hidden="false" customHeight="false" outlineLevel="0" collapsed="false">
      <c r="A17" s="26" t="s">
        <v>838</v>
      </c>
      <c r="B17" s="24" t="s">
        <v>839</v>
      </c>
      <c r="C17" s="85" t="n">
        <v>2.5</v>
      </c>
      <c r="D17" s="25" t="n">
        <f aca="false">C17*KPIs!$E$7</f>
        <v>15281469.8858941</v>
      </c>
      <c r="E17" s="60" t="n">
        <f aca="false">$D$17*C$12</f>
        <v>1052723.48102826</v>
      </c>
      <c r="F17" s="60" t="n">
        <f aca="false">$D$17*D$12</f>
        <v>1269139.02442172</v>
      </c>
    </row>
    <row r="18" customFormat="false" ht="15" hidden="false" customHeight="false" outlineLevel="0" collapsed="false">
      <c r="A18" s="26" t="s">
        <v>840</v>
      </c>
      <c r="B18" s="24" t="s">
        <v>841</v>
      </c>
      <c r="C18" s="85" t="n">
        <v>4</v>
      </c>
      <c r="D18" s="25" t="n">
        <f aca="false">C18*KPIs!$E$7</f>
        <v>24450351.8174306</v>
      </c>
      <c r="E18" s="60" t="n">
        <f aca="false">$D$18*C$12</f>
        <v>1684357.56964522</v>
      </c>
      <c r="F18" s="60" t="n">
        <f aca="false">$D$18*D$12</f>
        <v>2030622.43907475</v>
      </c>
    </row>
    <row r="19" customFormat="false" ht="15" hidden="false" customHeight="false" outlineLevel="0" collapsed="false">
      <c r="A19" s="26" t="s">
        <v>842</v>
      </c>
      <c r="B19" s="24" t="s">
        <v>843</v>
      </c>
      <c r="C19" s="85" t="n">
        <v>6</v>
      </c>
      <c r="D19" s="25" t="n">
        <f aca="false">C19*KPIs!$E$7</f>
        <v>36675527.7261459</v>
      </c>
      <c r="E19" s="60" t="n">
        <f aca="false">$D$19*C$12</f>
        <v>2526536.35446783</v>
      </c>
      <c r="F19" s="60" t="n">
        <f aca="false">$D$19*D$12</f>
        <v>3045933.65861212</v>
      </c>
    </row>
    <row r="20" customFormat="false" ht="15" hidden="false" customHeight="false" outlineLevel="0" collapsed="false">
      <c r="A20" s="26" t="s">
        <v>844</v>
      </c>
      <c r="B20" s="24" t="s">
        <v>845</v>
      </c>
      <c r="C20" s="85" t="n">
        <v>12</v>
      </c>
      <c r="D20" s="25" t="n">
        <f aca="false">C20*KPIs!$E$21</f>
        <v>22435191.6869357</v>
      </c>
      <c r="E20" s="60" t="n">
        <f aca="false">$D$20*C$12</f>
        <v>1545535.42732224</v>
      </c>
      <c r="F20" s="60" t="n">
        <f aca="false">$D$20*D$12</f>
        <v>1863261.68247432</v>
      </c>
    </row>
    <row r="22" customFormat="false" ht="16.5" hidden="false" customHeight="true" outlineLevel="0" collapsed="false">
      <c r="A22" s="21" t="s">
        <v>846</v>
      </c>
      <c r="B22" s="21"/>
      <c r="C22" s="21"/>
      <c r="D22" s="21"/>
      <c r="E22" s="21"/>
      <c r="F22" s="21"/>
      <c r="G22" s="21"/>
      <c r="H22" s="21"/>
    </row>
    <row r="23" customFormat="false" ht="15" hidden="false" customHeight="false" outlineLevel="0" collapsed="false">
      <c r="A23" s="26" t="s">
        <v>847</v>
      </c>
      <c r="B23" s="24" t="s">
        <v>848</v>
      </c>
      <c r="C23" s="42" t="n">
        <v>3.5</v>
      </c>
      <c r="D23" s="42" t="n">
        <v>3</v>
      </c>
    </row>
    <row r="24" customFormat="false" ht="15" hidden="false" customHeight="false" outlineLevel="0" collapsed="false">
      <c r="A24" s="10" t="s">
        <v>849</v>
      </c>
      <c r="B24" s="24" t="s">
        <v>850</v>
      </c>
      <c r="C24" s="25" t="n">
        <f aca="false">E18</f>
        <v>1684357.56964522</v>
      </c>
      <c r="D24" s="25" t="n">
        <f aca="false">F18</f>
        <v>2030622.43907475</v>
      </c>
    </row>
    <row r="25" customFormat="false" ht="15" hidden="false" customHeight="false" outlineLevel="0" collapsed="false">
      <c r="A25" s="13" t="s">
        <v>851</v>
      </c>
      <c r="B25" s="69"/>
      <c r="C25" s="99" t="n">
        <f aca="false">IFERROR(C24/C7,0)</f>
        <v>9.62490039797269</v>
      </c>
      <c r="D25" s="99" t="n">
        <f aca="false">IFERROR(D24/D7,0)</f>
        <v>5.80177839735642</v>
      </c>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N25" s="81"/>
      <c r="AO25" s="81"/>
      <c r="AP25" s="81"/>
    </row>
    <row r="26" customFormat="false" ht="15" hidden="false" customHeight="false" outlineLevel="0" collapsed="false">
      <c r="A26" s="13" t="s">
        <v>852</v>
      </c>
      <c r="B26" s="69" t="s">
        <v>853</v>
      </c>
      <c r="C26" s="98" t="n">
        <f aca="false">IFERROR(C25^(1/C23)-1,0)</f>
        <v>0.909722898013414</v>
      </c>
      <c r="D26" s="98" t="n">
        <f aca="false">IFERROR(D25^(1/D23)-1,0)</f>
        <v>0.796885395417412</v>
      </c>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N26" s="81"/>
      <c r="AO26" s="81"/>
      <c r="AP26" s="81"/>
    </row>
    <row r="28" customFormat="false" ht="16.5" hidden="false" customHeight="true" outlineLevel="0" collapsed="false">
      <c r="A28" s="21" t="s">
        <v>854</v>
      </c>
      <c r="B28" s="21"/>
      <c r="C28" s="21"/>
      <c r="D28" s="21"/>
      <c r="E28" s="21"/>
      <c r="F28" s="21"/>
      <c r="G28" s="21"/>
      <c r="H28" s="21"/>
    </row>
    <row r="29" customFormat="false" ht="30" hidden="false" customHeight="true" outlineLevel="0" collapsed="false">
      <c r="A29" s="10" t="s">
        <v>855</v>
      </c>
      <c r="B29" s="24"/>
      <c r="C29" s="100" t="s">
        <v>856</v>
      </c>
      <c r="D29" s="100"/>
      <c r="E29" s="100"/>
      <c r="F29" s="100"/>
      <c r="G29" s="100"/>
      <c r="H29" s="100"/>
    </row>
    <row r="30" customFormat="false" ht="30" hidden="false" customHeight="true" outlineLevel="0" collapsed="false">
      <c r="A30" s="10" t="s">
        <v>857</v>
      </c>
      <c r="B30" s="24"/>
      <c r="C30" s="100" t="s">
        <v>858</v>
      </c>
      <c r="D30" s="100"/>
      <c r="E30" s="100"/>
      <c r="F30" s="100"/>
      <c r="G30" s="100"/>
      <c r="H30" s="100"/>
    </row>
    <row r="31" customFormat="false" ht="30" hidden="false" customHeight="true" outlineLevel="0" collapsed="false">
      <c r="A31" s="10" t="s">
        <v>859</v>
      </c>
      <c r="B31" s="24"/>
      <c r="C31" s="100" t="s">
        <v>860</v>
      </c>
      <c r="D31" s="100"/>
      <c r="E31" s="100"/>
      <c r="F31" s="100"/>
      <c r="G31" s="100"/>
      <c r="H31" s="100"/>
    </row>
    <row r="32" customFormat="false" ht="30" hidden="false" customHeight="true" outlineLevel="0" collapsed="false">
      <c r="A32" s="10" t="s">
        <v>861</v>
      </c>
      <c r="B32" s="24"/>
      <c r="C32" s="100" t="s">
        <v>862</v>
      </c>
      <c r="D32" s="100"/>
      <c r="E32" s="100"/>
      <c r="F32" s="100"/>
      <c r="G32" s="100"/>
      <c r="H32" s="100"/>
    </row>
    <row r="33" customFormat="false" ht="30" hidden="false" customHeight="true" outlineLevel="0" collapsed="false">
      <c r="A33" s="10" t="s">
        <v>863</v>
      </c>
      <c r="B33" s="24"/>
      <c r="C33" s="100" t="s">
        <v>864</v>
      </c>
      <c r="D33" s="100"/>
      <c r="E33" s="100"/>
      <c r="F33" s="100"/>
      <c r="G33" s="100"/>
      <c r="H33" s="100"/>
    </row>
  </sheetData>
  <mergeCells count="8">
    <mergeCell ref="A1:H1"/>
    <mergeCell ref="A2:H2"/>
    <mergeCell ref="A15:H15"/>
    <mergeCell ref="C29:H29"/>
    <mergeCell ref="C30:H30"/>
    <mergeCell ref="C31:H31"/>
    <mergeCell ref="C32:H32"/>
    <mergeCell ref="C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2026-10-19T16:43:48Z</dcterms:created>
  <dc:creator>openpyxl</dc:creator>
  <dc:description/>
  <dc:language>en-US</dc:language>
  <cp:lastModifiedBy/>
  <dcterms:modified xsi:type="dcterms:W3CDTF">2026-10-19T16:44:32Z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